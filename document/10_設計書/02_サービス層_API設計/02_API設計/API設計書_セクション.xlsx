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3FDFE4AD-6C73-4273-A3DF-23EE87A5E16B}" xr6:coauthVersionLast="47" xr6:coauthVersionMax="47" xr10:uidLastSave="{00000000-0000-0000-0000-000000000000}"/>
  <bookViews>
    <workbookView xWindow="14303" yWindow="-98" windowWidth="28995" windowHeight="15675" tabRatio="805" xr2:uid="{00000000-000D-0000-FFFF-FFFF00000000}"/>
  </bookViews>
  <sheets>
    <sheet name="表紙" sheetId="1" r:id="rId1"/>
    <sheet name="更新履歴" sheetId="2" r:id="rId2"/>
    <sheet name="API一覧" sheetId="3" r:id="rId3"/>
    <sheet name="セクションサービスDTO取得" sheetId="4" r:id="rId4"/>
    <sheet name="セクション件数取得" sheetId="5" r:id="rId5"/>
    <sheet name="セクション件数取得（コースID）" sheetId="6" r:id="rId6"/>
  </sheets>
  <definedNames>
    <definedName name="_xlnm.Print_Area" localSheetId="3">セクションサービスDTO取得!$A$1:$BF$70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4" l="1"/>
  <c r="B42" i="4"/>
  <c r="B41" i="4"/>
  <c r="B40" i="4"/>
  <c r="B39" i="4"/>
  <c r="B38" i="4"/>
  <c r="B37" i="4"/>
  <c r="B35" i="4"/>
  <c r="B34" i="4"/>
  <c r="B36" i="4"/>
  <c r="B33" i="4"/>
  <c r="B32" i="4"/>
  <c r="B31" i="4"/>
  <c r="B30" i="4"/>
  <c r="B29" i="4"/>
  <c r="B28" i="4"/>
  <c r="B27" i="4"/>
  <c r="B26" i="4"/>
  <c r="B25" i="4"/>
  <c r="B24" i="4"/>
  <c r="B23" i="4"/>
  <c r="B22" i="4"/>
  <c r="R2" i="6"/>
  <c r="J2" i="6"/>
  <c r="A2" i="6"/>
  <c r="R2" i="5"/>
  <c r="J2" i="5"/>
  <c r="A2" i="5"/>
  <c r="R2" i="4"/>
  <c r="J2" i="4"/>
  <c r="A2" i="4"/>
  <c r="R2" i="3"/>
  <c r="J2" i="3"/>
  <c r="A2" i="3"/>
  <c r="AO2" i="2"/>
  <c r="AJ2" i="2"/>
  <c r="J2" i="2"/>
  <c r="A2" i="2"/>
  <c r="R1" i="2"/>
  <c r="R1" i="6" s="1"/>
  <c r="AA17" i="1"/>
  <c r="X17" i="1"/>
  <c r="R1" i="3" l="1"/>
  <c r="R1" i="4"/>
  <c r="R1" i="5"/>
</calcChain>
</file>

<file path=xl/sharedStrings.xml><?xml version="1.0" encoding="utf-8"?>
<sst xmlns="http://schemas.openxmlformats.org/spreadsheetml/2006/main" count="408" uniqueCount="158">
  <si>
    <t>LMS学習管理システム</t>
  </si>
  <si>
    <t>セクション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</si>
  <si>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</si>
  <si>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</si>
  <si>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</si>
  <si>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</si>
  <si>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</si>
  <si>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</si>
  <si>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</si>
  <si>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</si>
  <si>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</si>
  <si>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</si>
  <si>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</si>
  <si>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上村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</si>
  <si>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</si>
  <si>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</si>
  <si>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</si>
  <si>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</si>
  <si>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</si>
  <si>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</si>
  <si>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</si>
  <si>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</si>
  <si>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</si>
  <si>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セクションサービス取得</t>
  </si>
  <si>
    <t>リスト型の項目の論理名を修正</t>
  </si>
  <si>
    <t>セクションサービスDTO取得</t>
  </si>
  <si>
    <t>メソッド名：セクションサービス取得⇒セクションサービスDTO取得</t>
  </si>
  <si>
    <t>API一覧</t>
  </si>
  <si>
    <t>No</t>
  </si>
  <si>
    <t>API名</t>
  </si>
  <si>
    <t>論理名</t>
  </si>
  <si>
    <t>物理名</t>
  </si>
  <si>
    <t>getSectionDetail</t>
  </si>
  <si>
    <t>セクション件数取得</t>
  </si>
  <si>
    <t>getSectionCount</t>
  </si>
  <si>
    <t>セクション件数取得（コースID）</t>
  </si>
  <si>
    <t>getSectionCountByCourseId</t>
  </si>
  <si>
    <t>API仕様</t>
  </si>
  <si>
    <t>セクションサービスを取得</t>
  </si>
  <si>
    <t>SQL</t>
  </si>
  <si>
    <t>SELECT</t>
  </si>
  <si>
    <t>入力パラメータ</t>
  </si>
  <si>
    <t>項目名</t>
  </si>
  <si>
    <t>編集内容</t>
  </si>
  <si>
    <t>備考</t>
  </si>
  <si>
    <t>セクションID</t>
  </si>
  <si>
    <t>sectionId</t>
  </si>
  <si>
    <t>-</t>
  </si>
  <si>
    <t>企業アカウントID</t>
  </si>
  <si>
    <t>accountId</t>
  </si>
  <si>
    <t>LMSユーザID</t>
  </si>
  <si>
    <t>lmsUserId</t>
  </si>
  <si>
    <t>削除フラグ</t>
  </si>
  <si>
    <t>deleteFlg</t>
  </si>
  <si>
    <t>出力パラメータ</t>
  </si>
  <si>
    <t>クラス</t>
  </si>
  <si>
    <t>SectionServiceSectionDto</t>
  </si>
  <si>
    <t>取得テーブル</t>
  </si>
  <si>
    <t>セクションマスタ</t>
  </si>
  <si>
    <t>m_section</t>
  </si>
  <si>
    <t>セクション名</t>
  </si>
  <si>
    <t>sectionName</t>
  </si>
  <si>
    <t>概要</t>
  </si>
  <si>
    <t>sectionDescription</t>
  </si>
  <si>
    <t>コースID</t>
  </si>
  <si>
    <t>courseId</t>
  </si>
  <si>
    <t>date</t>
  </si>
  <si>
    <t>fileDtoList.fileId</t>
  </si>
  <si>
    <t>ファイルマスタ</t>
  </si>
  <si>
    <t>m_file</t>
  </si>
  <si>
    <t>fileDtoList.fileName</t>
  </si>
  <si>
    <t>fileDtoList.filePath</t>
  </si>
  <si>
    <t>examDtoList.examSectionId</t>
  </si>
  <si>
    <t>試験・セクション紐付け</t>
  </si>
  <si>
    <t>t_exam_section</t>
  </si>
  <si>
    <t>examDtoList.examId</t>
  </si>
  <si>
    <t>試験マスタ</t>
  </si>
  <si>
    <t>m_exam</t>
  </si>
  <si>
    <t>examDtoList.examName</t>
  </si>
  <si>
    <t>examDtoList.genreId</t>
  </si>
  <si>
    <t>examDtoList.publicDate</t>
  </si>
  <si>
    <t>examDtoList.publicFlg</t>
  </si>
  <si>
    <t>日報マスタ</t>
  </si>
  <si>
    <t>m_daily_report</t>
  </si>
  <si>
    <t>reportDtoList.dailyReportSubmitId</t>
  </si>
  <si>
    <t>日報提出</t>
  </si>
  <si>
    <t>t_daily_report_submit</t>
  </si>
  <si>
    <t>reportDtoList.reportName</t>
  </si>
  <si>
    <t>成果物・セクション紐付け</t>
  </si>
  <si>
    <t>t_deliverables_section</t>
  </si>
  <si>
    <t>deliverablesDtoList.submissionDeadline</t>
  </si>
  <si>
    <t>成果物マスタ</t>
  </si>
  <si>
    <t>m_deliverables</t>
  </si>
  <si>
    <t>deliverablesDtoList.deliverablesDto.deliverablesName</t>
  </si>
  <si>
    <t>抽出テーブル</t>
  </si>
  <si>
    <t>結合条件</t>
  </si>
  <si>
    <t>ファイル・セクション紐付け</t>
  </si>
  <si>
    <t>LEFT OUTER JOIN</t>
  </si>
  <si>
    <t>ファイル・セクション紐付け．セクションID = セクションマスタ．セクションID</t>
  </si>
  <si>
    <t>ファイルマスタ．ファイルID = ファイル・セクション紐付け．ファイルID</t>
  </si>
  <si>
    <t>コース・日報紐付け</t>
  </si>
  <si>
    <t>セクションマスタ．コースID = コース・日報紐付け．コースID</t>
  </si>
  <si>
    <t>セクションマスタ．セクションID = 成果物・セクション紐付け．セクションID AND 成果物・セクション紐付け．削除フラグ = 入力パラメータ．削除フラグ</t>
  </si>
  <si>
    <t>抽出条件</t>
  </si>
  <si>
    <t>セクションマスタ．セクションID = 入力パラメータ．セクションID</t>
  </si>
  <si>
    <r>
      <rPr>
        <sz val="10"/>
        <color rgb="FF000000"/>
        <rFont val="ＭＳ Ｐゴシック"/>
        <family val="3"/>
        <charset val="1"/>
      </rPr>
      <t>AND セクションマスタ</t>
    </r>
    <r>
      <rPr>
        <sz val="10"/>
        <color rgb="FF000000"/>
        <rFont val="游ゴシック"/>
        <family val="2"/>
        <charset val="128"/>
      </rPr>
      <t>．</t>
    </r>
    <r>
      <rPr>
        <sz val="10"/>
        <color rgb="FF000000"/>
        <rFont val="ＭＳ Ｐゴシック"/>
        <family val="3"/>
        <charset val="1"/>
      </rPr>
      <t>企業アカウントID</t>
    </r>
    <r>
      <rPr>
        <sz val="10"/>
        <rFont val="ＭＳ Ｐゴシック"/>
        <family val="3"/>
        <charset val="1"/>
      </rPr>
      <t xml:space="preserve"> = 入力パラメータ．企業アカウントID</t>
    </r>
  </si>
  <si>
    <t>AND セクションマスタ．削除フラグ = 入力パラメータ．削除フラグ</t>
  </si>
  <si>
    <t>ソート</t>
  </si>
  <si>
    <t>副問い合わせ</t>
  </si>
  <si>
    <t>更新対象項目名</t>
  </si>
  <si>
    <t>取得元</t>
  </si>
  <si>
    <t>セクションマスタの件数を取得</t>
  </si>
  <si>
    <t>Integer</t>
  </si>
  <si>
    <t>セクション数</t>
  </si>
  <si>
    <t>セクションID = 入力パラメータ．セクションID</t>
  </si>
  <si>
    <t>コースIDに紐づくセクションの件数を取得</t>
  </si>
  <si>
    <t>AND 日付 = 入力パラメータ．日付</t>
  </si>
  <si>
    <t>試験・セクション紐付け</t>
    <phoneticPr fontId="66"/>
  </si>
  <si>
    <t>m_exam</t>
    <phoneticPr fontId="66"/>
  </si>
  <si>
    <t>試験実施済フラグ</t>
    <phoneticPr fontId="66"/>
  </si>
  <si>
    <t>examFlg</t>
    <phoneticPr fontId="66"/>
  </si>
  <si>
    <t>試験・セクション紐付け</t>
    <phoneticPr fontId="67"/>
  </si>
  <si>
    <t>deliverablesDtoList.deliverablesSectionId</t>
    <phoneticPr fontId="66"/>
  </si>
  <si>
    <r>
      <t>コース・日報紐付け．日報ID = 日報マスタ</t>
    </r>
    <r>
      <rPr>
        <sz val="10"/>
        <rFont val="ＭＳ Ｐゴシック"/>
        <family val="3"/>
        <charset val="1"/>
      </rPr>
      <t>．日報ID</t>
    </r>
  </si>
  <si>
    <t>CASE WHEN 試験・セクション紐付け．公開日時 &lt; CURRENT_TIMESTAMP THEN 'true' ELSE 'false' END</t>
  </si>
  <si>
    <t>セクションサービス成果物セクションDTOリスト．成果物・セクション紐付けID</t>
  </si>
  <si>
    <t>セクションサービス成果物セクションDTOリスト．提出期限</t>
  </si>
  <si>
    <t>セクションサービス成果物セクションDTOリスト．成果物ID</t>
  </si>
  <si>
    <t>セクションサービス成果物セクションDTOリスト．成果物名</t>
  </si>
  <si>
    <t>岡野</t>
    <rPh sb="0" eb="2">
      <t>オカノ</t>
    </rPh>
    <phoneticPr fontId="66"/>
  </si>
  <si>
    <t>体験型Java研修</t>
  </si>
  <si>
    <t>reportDtoList.dailyReportId</t>
    <phoneticPr fontId="66"/>
  </si>
  <si>
    <t>deliverablesDtoList.deliverablesDto.deliverablesId</t>
    <phoneticPr fontId="66"/>
  </si>
  <si>
    <t>堀井</t>
    <rPh sb="0" eb="2">
      <t>ホリイ</t>
    </rPh>
    <phoneticPr fontId="66"/>
  </si>
  <si>
    <t>Task.19</t>
    <phoneticPr fontId="66"/>
  </si>
  <si>
    <t>Task.19 実装内容取り込み</t>
    <rPh sb="8" eb="10">
      <t>ジッソウ</t>
    </rPh>
    <rPh sb="10" eb="12">
      <t>ナイヨウ</t>
    </rPh>
    <rPh sb="12" eb="13">
      <t>ト</t>
    </rPh>
    <rPh sb="14" eb="15">
      <t>コ</t>
    </rPh>
    <phoneticPr fontId="66"/>
  </si>
  <si>
    <t>「試験結果テーブル」から以下を取得
　・試験・セクション紐付けID
　・レコード件数　列別名 exam_count
条件：　LMSユーザID = 入力パラメータ．LMSユーザID
グループ：　試験・セクション紐付けIDごと</t>
    <rPh sb="12" eb="14">
      <t>イカ</t>
    </rPh>
    <rPh sb="15" eb="17">
      <t>シュトク</t>
    </rPh>
    <rPh sb="40" eb="42">
      <t>ケンスウ</t>
    </rPh>
    <rPh sb="43" eb="46">
      <t>レツベツメイ</t>
    </rPh>
    <rPh sb="58" eb="60">
      <t>ジョウケン</t>
    </rPh>
    <phoneticPr fontId="66"/>
  </si>
  <si>
    <t>副問い合わせ</t>
    <phoneticPr fontId="66"/>
  </si>
  <si>
    <t>副問い合わせ1</t>
    <phoneticPr fontId="67"/>
  </si>
  <si>
    <t>副問い合わせ1.試験・セクション紐付けID = 試験・セクション紐付け.セクション紐付けID</t>
    <phoneticPr fontId="67"/>
  </si>
  <si>
    <t>セクションマスタ．セクションID = 試験・セクション紐付け．セクションID 
AND 試験・セクション紐付け．削除フラグ = 入力パラメータ．削除フラグ</t>
    <phoneticPr fontId="66"/>
  </si>
  <si>
    <t>日報提出．日付 = セクションマスタ．日付 
AND 日報提出．LMSユーザID = 入力パラメータ．LMSユーザID 
AND 日報マスタ．日報ID = 日報提出．日報ID 
AND 日報提出．削除フラグ = 入力パラメータ．削除フラグ</t>
    <phoneticPr fontId="66"/>
  </si>
  <si>
    <r>
      <t>成果物・セクション紐付け．成果物</t>
    </r>
    <r>
      <rPr>
        <sz val="10"/>
        <color rgb="FF000000"/>
        <rFont val="ƒƒCƒŠƒI"/>
        <family val="3"/>
        <charset val="128"/>
      </rPr>
      <t xml:space="preserve">ID = </t>
    </r>
    <r>
      <rPr>
        <sz val="10"/>
        <color rgb="FF000000"/>
        <rFont val="ＭＳ Ｐゴシック"/>
        <family val="3"/>
        <charset val="1"/>
      </rPr>
      <t>成果物マスタ．成果物</t>
    </r>
    <r>
      <rPr>
        <sz val="10"/>
        <color rgb="FF000000"/>
        <rFont val="ƒƒCƒŠƒI"/>
        <charset val="128"/>
      </rPr>
      <t>ID</t>
    </r>
    <r>
      <rPr>
        <sz val="10"/>
        <rFont val="ＭＳ Ｐゴシック"/>
        <family val="3"/>
        <charset val="1"/>
      </rPr>
      <t xml:space="preserve"> 
AND 成果物マスタ．削除フラグ = 入力パラメータ．削除フラグ</t>
    </r>
    <phoneticPr fontId="66"/>
  </si>
  <si>
    <t>試験・セクション紐付け．試験ID = 試験マスタ．試験ID 
AND 試験マスタ．削除フラグ = 入力パラメータ．削除フラグ</t>
    <phoneticPr fontId="66"/>
  </si>
  <si>
    <t>セクションファイルDTOリスト．
ファイルID</t>
    <phoneticPr fontId="66"/>
  </si>
  <si>
    <t>セクションファイルDTOリスト．
ファイル名</t>
    <phoneticPr fontId="66"/>
  </si>
  <si>
    <t>セクションファイルDTOリスト．
ファイル場所</t>
    <phoneticPr fontId="66"/>
  </si>
  <si>
    <t>セクションサービス試験DTOリスト．
試験・セクション紐付けID</t>
    <phoneticPr fontId="66"/>
  </si>
  <si>
    <t>セクションサービス試験DTOリスト．
試験ID</t>
    <phoneticPr fontId="66"/>
  </si>
  <si>
    <t>セクションサービス試験DTOリスト．
試験名</t>
    <phoneticPr fontId="66"/>
  </si>
  <si>
    <t>セクションサービス試験DTOリスト．
ジャンルID</t>
    <phoneticPr fontId="66"/>
  </si>
  <si>
    <t>セクションサービス試験DTOリスト．
公開日時</t>
    <phoneticPr fontId="66"/>
  </si>
  <si>
    <t>セクションサービス試験DTOリスト．
公開フラグ</t>
    <phoneticPr fontId="66"/>
  </si>
  <si>
    <t>セクションサービスレポートDTOリスト．
日報ID</t>
    <phoneticPr fontId="66"/>
  </si>
  <si>
    <t>セクションサービスレポートDTOリスト．
日報提出ID</t>
    <phoneticPr fontId="66"/>
  </si>
  <si>
    <t>セクションサービスレポートDTOリスト．
レポート名</t>
    <phoneticPr fontId="66"/>
  </si>
  <si>
    <t>CASE WHEN 副問い合わせ1.exam_count IS NULL THEN false ELSE true END AS 試験実施済フラグ,</t>
    <phoneticPr fontId="67"/>
  </si>
  <si>
    <t>COUNT(*)</t>
    <phoneticPr fontId="6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</si>
</sst>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7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i/>
      <sz val="10"/>
      <color rgb="FF2A00FF"/>
      <name val="游ゴシック"/>
      <family val="2"/>
      <charset val="128"/>
    </font>
    <font>
      <b/>
      <sz val="10"/>
      <name val="ＭＳ Ｐゴシック"/>
      <family val="3"/>
      <charset val="128"/>
    </font>
    <font>
      <sz val="10"/>
      <color rgb="FF000000"/>
      <name val="ƒƒCƒŠƒI"/>
      <family val="3"/>
      <charset val="128"/>
    </font>
    <font>
      <sz val="10"/>
      <color rgb="FF000000"/>
      <name val="ƒƒCƒŠƒI"/>
      <charset val="128"/>
    </font>
    <font>
      <sz val="10"/>
      <color rgb="FF000000"/>
      <name val="游ゴシック"/>
      <family val="2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6"/>
      <name val="ＭＳ Ｐゴシック"/>
      <family val="2"/>
      <charset val="128"/>
    </font>
    <font>
      <sz val="10"/>
      <name val="ＭＳ Ｐゴシック"/>
      <family val="3"/>
    </font>
    <font>
      <sz val="10"/>
      <color rgb="FFC9211E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1"/>
      <color rgb="FF333333"/>
      <name val="游ゴシック"/>
      <family val="3"/>
      <charset val="128"/>
    </font>
    <font>
      <sz val="10"/>
      <color rgb="FF0000FF"/>
      <name val="ＭＳ Ｐゴシック"/>
      <family val="3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5" fillId="0" borderId="0" applyBorder="0" applyProtection="0">
      <alignment vertical="center"/>
    </xf>
    <xf numFmtId="40" fontId="65" fillId="0" borderId="0" applyBorder="0" applyProtection="0">
      <alignment vertical="center"/>
    </xf>
    <xf numFmtId="176" fontId="65" fillId="0" borderId="0" applyBorder="0" applyProtection="0">
      <alignment vertical="center"/>
    </xf>
    <xf numFmtId="177" fontId="65" fillId="0" borderId="0" applyBorder="0" applyProtection="0">
      <alignment vertical="center"/>
    </xf>
    <xf numFmtId="178" fontId="65" fillId="0" borderId="3"/>
    <xf numFmtId="178" fontId="65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5" fillId="0" borderId="0" applyBorder="0" applyProtection="0">
      <alignment vertical="center"/>
    </xf>
    <xf numFmtId="40" fontId="65" fillId="0" borderId="0" applyBorder="0" applyProtection="0">
      <alignment vertical="center"/>
    </xf>
    <xf numFmtId="176" fontId="65" fillId="0" borderId="0" applyBorder="0" applyProtection="0">
      <alignment vertical="center"/>
    </xf>
    <xf numFmtId="177" fontId="65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5" fillId="0" borderId="0" applyBorder="0" applyProtection="0">
      <alignment vertical="center"/>
    </xf>
    <xf numFmtId="38" fontId="65" fillId="0" borderId="0" applyBorder="0" applyProtection="0">
      <alignment vertical="center"/>
    </xf>
    <xf numFmtId="38" fontId="65" fillId="0" borderId="0" applyBorder="0" applyProtection="0">
      <alignment vertical="center"/>
    </xf>
    <xf numFmtId="0" fontId="6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7" fillId="0" borderId="0"/>
    <xf numFmtId="0" fontId="65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71" fillId="0" borderId="0">
      <alignment vertical="center"/>
    </xf>
  </cellStyleXfs>
  <cellXfs count="156">
    <xf numFmtId="0" fontId="0" fillId="0" borderId="0" xfId="0">
      <alignment vertic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0" fontId="49" fillId="8" borderId="0" xfId="603" applyNumberFormat="1" applyFont="1" applyFill="1" applyAlignment="1">
      <alignment horizontal="center"/>
    </xf>
    <xf numFmtId="181" fontId="49" fillId="8" borderId="0" xfId="603" applyNumberFormat="1" applyFont="1" applyFill="1" applyAlignment="1">
      <alignment horizontal="left"/>
    </xf>
    <xf numFmtId="182" fontId="49" fillId="8" borderId="0" xfId="603" applyNumberFormat="1" applyFont="1" applyFill="1" applyAlignment="1">
      <alignment horizontal="center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5" fillId="0" borderId="53" xfId="0" applyFont="1" applyBorder="1">
      <alignment vertical="center"/>
    </xf>
    <xf numFmtId="0" fontId="61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/>
    </xf>
    <xf numFmtId="0" fontId="70" fillId="29" borderId="55" xfId="0" applyFont="1" applyFill="1" applyBorder="1">
      <alignment vertical="center"/>
    </xf>
    <xf numFmtId="0" fontId="70" fillId="29" borderId="56" xfId="0" applyFont="1" applyFill="1" applyBorder="1">
      <alignment vertical="center"/>
    </xf>
    <xf numFmtId="0" fontId="57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70" fillId="0" borderId="0" xfId="0" applyFont="1">
      <alignment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7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5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57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23" xfId="604" applyBorder="1" applyAlignment="1">
      <alignment horizontal="center" vertical="center"/>
    </xf>
    <xf numFmtId="0" fontId="19" fillId="0" borderId="24" xfId="604" applyBorder="1" applyAlignment="1">
      <alignment horizontal="center" vertical="center"/>
    </xf>
    <xf numFmtId="0" fontId="19" fillId="0" borderId="25" xfId="604" applyBorder="1" applyAlignment="1">
      <alignment horizontal="center" vertical="center"/>
    </xf>
    <xf numFmtId="0" fontId="19" fillId="0" borderId="58" xfId="604" applyBorder="1" applyAlignment="1">
      <alignment horizontal="center" vertical="center"/>
    </xf>
    <xf numFmtId="0" fontId="19" fillId="0" borderId="59" xfId="604" applyBorder="1" applyAlignment="1">
      <alignment horizontal="center" vertical="center"/>
    </xf>
    <xf numFmtId="0" fontId="19" fillId="0" borderId="61" xfId="604" applyBorder="1" applyAlignment="1">
      <alignment horizontal="center" vertical="center"/>
    </xf>
    <xf numFmtId="183" fontId="19" fillId="0" borderId="23" xfId="604" applyNumberFormat="1" applyBorder="1" applyAlignment="1">
      <alignment horizontal="center" vertical="center"/>
    </xf>
    <xf numFmtId="183" fontId="19" fillId="0" borderId="24" xfId="604" applyNumberFormat="1" applyBorder="1" applyAlignment="1">
      <alignment horizontal="center" vertical="center"/>
    </xf>
    <xf numFmtId="183" fontId="19" fillId="0" borderId="57" xfId="604" applyNumberFormat="1" applyBorder="1" applyAlignment="1">
      <alignment horizontal="center" vertical="center"/>
    </xf>
    <xf numFmtId="183" fontId="19" fillId="0" borderId="58" xfId="604" applyNumberFormat="1" applyBorder="1" applyAlignment="1">
      <alignment horizontal="center" vertical="center"/>
    </xf>
    <xf numFmtId="183" fontId="19" fillId="0" borderId="59" xfId="604" applyNumberFormat="1" applyBorder="1" applyAlignment="1">
      <alignment horizontal="center" vertical="center"/>
    </xf>
    <xf numFmtId="183" fontId="19" fillId="0" borderId="60" xfId="604" applyNumberFormat="1" applyBorder="1" applyAlignment="1">
      <alignment horizontal="center" vertical="center"/>
    </xf>
    <xf numFmtId="0" fontId="57" fillId="0" borderId="52" xfId="0" applyFont="1" applyBorder="1" applyAlignment="1">
      <alignment horizontal="left" vertical="center" wrapText="1"/>
    </xf>
    <xf numFmtId="0" fontId="57" fillId="0" borderId="52" xfId="0" applyFont="1" applyBorder="1" applyAlignment="1">
      <alignment vertical="center" wrapText="1"/>
    </xf>
    <xf numFmtId="0" fontId="59" fillId="0" borderId="52" xfId="0" applyFont="1" applyBorder="1" applyAlignment="1">
      <alignment vertical="center" wrapText="1"/>
    </xf>
    <xf numFmtId="0" fontId="68" fillId="0" borderId="52" xfId="0" applyFont="1" applyBorder="1" applyAlignment="1">
      <alignment horizontal="center" vertical="center"/>
    </xf>
    <xf numFmtId="0" fontId="55" fillId="0" borderId="52" xfId="0" applyFont="1" applyBorder="1" applyAlignment="1">
      <alignment horizontal="left" vertical="center" wrapText="1"/>
    </xf>
    <xf numFmtId="0" fontId="55" fillId="0" borderId="52" xfId="0" applyFont="1" applyBorder="1" applyAlignment="1">
      <alignment vertical="center" wrapText="1"/>
    </xf>
    <xf numFmtId="0" fontId="68" fillId="0" borderId="52" xfId="0" applyFont="1" applyBorder="1" applyAlignment="1">
      <alignment horizontal="left" vertical="center"/>
    </xf>
    <xf numFmtId="0" fontId="55" fillId="0" borderId="55" xfId="0" applyFont="1" applyBorder="1" applyAlignment="1">
      <alignment horizontal="left" vertical="center"/>
    </xf>
    <xf numFmtId="0" fontId="70" fillId="0" borderId="52" xfId="0" applyFont="1" applyBorder="1" applyAlignment="1">
      <alignment horizontal="center" vertical="center" wrapText="1"/>
    </xf>
    <xf numFmtId="0" fontId="70" fillId="0" borderId="52" xfId="0" applyFont="1" applyBorder="1" applyAlignment="1">
      <alignment horizontal="left" vertical="center" wrapText="1"/>
    </xf>
    <xf numFmtId="0" fontId="70" fillId="0" borderId="52" xfId="0" applyFont="1" applyBorder="1" applyAlignment="1">
      <alignment vertical="center" wrapText="1"/>
    </xf>
    <xf numFmtId="0" fontId="70" fillId="0" borderId="55" xfId="0" applyFont="1" applyBorder="1" applyAlignment="1">
      <alignment horizontal="left" vertical="center" wrapText="1"/>
    </xf>
    <xf numFmtId="0" fontId="69" fillId="0" borderId="52" xfId="0" applyFont="1" applyBorder="1" applyAlignment="1">
      <alignment horizontal="left" vertical="center" wrapText="1"/>
    </xf>
    <xf numFmtId="0" fontId="68" fillId="0" borderId="52" xfId="0" applyFont="1" applyBorder="1" applyAlignment="1">
      <alignment horizontal="center" vertical="center" wrapText="1"/>
    </xf>
    <xf numFmtId="0" fontId="68" fillId="0" borderId="52" xfId="0" applyFont="1" applyBorder="1" applyAlignment="1">
      <alignment horizontal="left" vertical="center" wrapText="1"/>
    </xf>
    <xf numFmtId="0" fontId="55" fillId="0" borderId="55" xfId="0" applyFont="1" applyBorder="1" applyAlignment="1">
      <alignment horizontal="left" vertical="center" wrapText="1"/>
    </xf>
    <xf numFmtId="0" fontId="57" fillId="0" borderId="52" xfId="0" applyFont="1" applyBorder="1">
      <alignment vertical="center"/>
    </xf>
    <xf numFmtId="0" fontId="57" fillId="28" borderId="52" xfId="0" applyFont="1" applyFill="1" applyBorder="1">
      <alignment vertical="center"/>
    </xf>
    <xf numFmtId="0" fontId="57" fillId="28" borderId="52" xfId="0" applyFont="1" applyFill="1" applyBorder="1" applyAlignment="1">
      <alignment horizontal="left" vertical="center"/>
    </xf>
    <xf numFmtId="0" fontId="57" fillId="0" borderId="54" xfId="0" applyFont="1" applyBorder="1">
      <alignment vertical="center"/>
    </xf>
    <xf numFmtId="0" fontId="57" fillId="0" borderId="52" xfId="0" applyFont="1" applyBorder="1" applyAlignment="1">
      <alignment vertical="top" wrapText="1"/>
    </xf>
    <xf numFmtId="0" fontId="59" fillId="0" borderId="52" xfId="0" applyFont="1" applyBorder="1" applyAlignment="1">
      <alignment vertical="top" wrapText="1"/>
    </xf>
    <xf numFmtId="0" fontId="70" fillId="29" borderId="52" xfId="0" applyFont="1" applyFill="1" applyBorder="1" applyAlignment="1">
      <alignment horizontal="center" vertical="center"/>
    </xf>
    <xf numFmtId="0" fontId="70" fillId="0" borderId="52" xfId="0" applyFont="1" applyBorder="1">
      <alignment vertical="center"/>
    </xf>
    <xf numFmtId="0" fontId="70" fillId="29" borderId="55" xfId="0" applyFont="1" applyFill="1" applyBorder="1" applyAlignment="1">
      <alignment vertical="center" wrapText="1"/>
    </xf>
    <xf numFmtId="0" fontId="70" fillId="29" borderId="56" xfId="0" applyFont="1" applyFill="1" applyBorder="1" applyAlignment="1">
      <alignment vertical="center" wrapText="1"/>
    </xf>
    <xf numFmtId="0" fontId="70" fillId="29" borderId="54" xfId="0" applyFont="1" applyFill="1" applyBorder="1" applyAlignment="1">
      <alignment vertical="center" wrapText="1"/>
    </xf>
    <xf numFmtId="0" fontId="55" fillId="0" borderId="52" xfId="0" applyFont="1" applyBorder="1" applyAlignment="1">
      <alignment horizontal="center" vertical="center"/>
    </xf>
    <xf numFmtId="0" fontId="55" fillId="28" borderId="52" xfId="0" applyFont="1" applyFill="1" applyBorder="1" applyAlignment="1">
      <alignment horizontal="center" vertical="center"/>
    </xf>
    <xf numFmtId="0" fontId="55" fillId="0" borderId="52" xfId="0" applyFont="1" applyBorder="1">
      <alignment vertical="center"/>
    </xf>
    <xf numFmtId="0" fontId="57" fillId="0" borderId="55" xfId="0" applyFont="1" applyBorder="1" applyAlignment="1">
      <alignment horizontal="left" vertical="center"/>
    </xf>
    <xf numFmtId="0" fontId="58" fillId="28" borderId="52" xfId="0" applyFont="1" applyFill="1" applyBorder="1">
      <alignment vertical="center"/>
    </xf>
    <xf numFmtId="0" fontId="72" fillId="0" borderId="52" xfId="0" applyFont="1" applyBorder="1" applyAlignment="1">
      <alignment horizontal="center" vertical="center"/>
    </xf>
    <xf numFmtId="0" fontId="72" fillId="0" borderId="52" xfId="0" applyFont="1" applyBorder="1" applyAlignment="1">
      <alignment horizontal="left" vertical="center" wrapText="1"/>
    </xf>
    <xf numFmtId="0" fontId="70" fillId="0" borderId="52" xfId="0" applyFont="1" applyBorder="1" applyAlignment="1">
      <alignment horizontal="left"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13" xfId="745" xr:uid="{B775FDD2-822A-449D-B00C-A79A1B46784B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1"/>
  </cols>
  <sheetData>
    <row r="1" spans="1:53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56" t="s">
        <v>0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56" t="s">
        <v>130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2"/>
      <c r="P11" s="2"/>
      <c r="Q11" s="2"/>
      <c r="R11" s="2"/>
      <c r="S11" s="49" t="s">
        <v>1</v>
      </c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2"/>
      <c r="AL11" s="2"/>
      <c r="AM11" s="2"/>
      <c r="AN11" s="2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9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2"/>
      <c r="P12" s="2"/>
      <c r="Q12" s="2"/>
      <c r="R12" s="2"/>
      <c r="S12" s="57" t="s">
        <v>2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2"/>
      <c r="AL12" s="2"/>
      <c r="AM12" s="2"/>
      <c r="AN12" s="2"/>
      <c r="AO12" s="7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9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2"/>
      <c r="P13" s="2"/>
      <c r="Q13" s="2"/>
      <c r="R13" s="2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2"/>
      <c r="AL13" s="2"/>
      <c r="AM13" s="2"/>
      <c r="AN13" s="2"/>
      <c r="AO13" s="7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1"/>
      <c r="Y15" s="2"/>
      <c r="Z15" s="2"/>
      <c r="AA15" s="50"/>
      <c r="AB15" s="50"/>
      <c r="AC15" s="50"/>
      <c r="AD15" s="50"/>
      <c r="AE15" s="50"/>
      <c r="AF15" s="50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1"/>
      <c r="Y16" s="2"/>
      <c r="Z16" s="2"/>
      <c r="AA16" s="12"/>
      <c r="AB16" s="12"/>
      <c r="AC16" s="12"/>
      <c r="AD16" s="12"/>
      <c r="AE16" s="12"/>
      <c r="AF16" s="1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>"第"&amp;TEXT(MAX(更新履歴!A8:I167),"#0.0")&amp;"版"</f>
        <v>第1.1版</v>
      </c>
      <c r="Y17" s="13"/>
      <c r="Z17" s="13"/>
      <c r="AA17" s="51">
        <f>MAX(更新履歴!J8:Q85)</f>
        <v>44602</v>
      </c>
      <c r="AB17" s="51"/>
      <c r="AC17" s="51"/>
      <c r="AD17" s="51"/>
      <c r="AE17" s="51"/>
      <c r="AF17" s="51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1"/>
      <c r="Y18" s="2"/>
      <c r="Z18" s="2"/>
      <c r="AA18" s="14"/>
      <c r="AB18" s="14"/>
      <c r="AC18" s="14"/>
      <c r="AD18" s="14"/>
      <c r="AE18" s="14"/>
      <c r="AF18" s="14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5"/>
      <c r="Y19" s="2"/>
      <c r="Z19" s="2"/>
      <c r="AA19" s="52"/>
      <c r="AB19" s="52"/>
      <c r="AC19" s="52"/>
      <c r="AD19" s="52"/>
      <c r="AE19" s="52"/>
      <c r="AF19" s="52"/>
      <c r="AG19" s="16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53" t="s">
        <v>3</v>
      </c>
      <c r="V20" s="53"/>
      <c r="W20" s="53"/>
      <c r="X20" s="53"/>
      <c r="Y20" s="53"/>
      <c r="Z20" s="54" t="s">
        <v>4</v>
      </c>
      <c r="AA20" s="54"/>
      <c r="AB20" s="54"/>
      <c r="AC20" s="54"/>
      <c r="AD20" s="54"/>
      <c r="AE20" s="53" t="s">
        <v>5</v>
      </c>
      <c r="AF20" s="53"/>
      <c r="AG20" s="53"/>
      <c r="AH20" s="53"/>
      <c r="AI20" s="5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7" t="s">
        <v>6</v>
      </c>
      <c r="V21" s="47"/>
      <c r="W21" s="47"/>
      <c r="X21" s="47"/>
      <c r="Y21" s="47"/>
      <c r="Z21" s="17"/>
      <c r="AA21" s="18"/>
      <c r="AB21" s="18"/>
      <c r="AC21" s="18"/>
      <c r="AD21" s="19"/>
      <c r="AE21" s="2"/>
      <c r="AF21" s="2"/>
      <c r="AG21" s="2"/>
      <c r="AH21" s="2"/>
      <c r="AI21" s="2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7"/>
      <c r="V22" s="47"/>
      <c r="W22" s="47"/>
      <c r="X22" s="47"/>
      <c r="Y22" s="47"/>
      <c r="Z22" s="21"/>
      <c r="AA22" s="2"/>
      <c r="AB22" s="2"/>
      <c r="AC22" s="2"/>
      <c r="AD22" s="20"/>
      <c r="AE22" s="2"/>
      <c r="AF22" s="2"/>
      <c r="AG22" s="2"/>
      <c r="AH22" s="2"/>
      <c r="AI22" s="2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7"/>
      <c r="V23" s="47"/>
      <c r="W23" s="47"/>
      <c r="X23" s="47"/>
      <c r="Y23" s="47"/>
      <c r="Z23" s="21"/>
      <c r="AA23" s="2"/>
      <c r="AB23" s="2"/>
      <c r="AC23" s="2"/>
      <c r="AD23" s="20"/>
      <c r="AE23" s="2"/>
      <c r="AF23" s="2"/>
      <c r="AG23" s="2"/>
      <c r="AH23" s="2"/>
      <c r="AI23" s="20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7"/>
      <c r="V24" s="47"/>
      <c r="W24" s="47"/>
      <c r="X24" s="47"/>
      <c r="Y24" s="47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6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96" t="s">
        <v>7</v>
      </c>
      <c r="B1" s="96"/>
      <c r="C1" s="96"/>
      <c r="D1" s="96"/>
      <c r="E1" s="96"/>
      <c r="F1" s="96"/>
      <c r="G1" s="96"/>
      <c r="H1" s="96"/>
      <c r="I1" s="96"/>
      <c r="J1" s="97" t="s">
        <v>8</v>
      </c>
      <c r="K1" s="97"/>
      <c r="L1" s="97"/>
      <c r="M1" s="97"/>
      <c r="N1" s="97"/>
      <c r="O1" s="97"/>
      <c r="P1" s="97"/>
      <c r="Q1" s="97"/>
      <c r="R1" s="98" t="str">
        <f>表紙!S12</f>
        <v>API設計書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9" t="s">
        <v>3</v>
      </c>
      <c r="AK1" s="99"/>
      <c r="AL1" s="99"/>
      <c r="AM1" s="99"/>
      <c r="AN1" s="99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体験型Java研修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">
        <v>12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tr">
        <f>AT8</f>
        <v>臼井</v>
      </c>
      <c r="AK2" s="93"/>
      <c r="AL2" s="93"/>
      <c r="AM2" s="93"/>
      <c r="AN2" s="93"/>
      <c r="AO2" s="63">
        <f>J8</f>
        <v>44258</v>
      </c>
      <c r="AP2" s="63"/>
      <c r="AQ2" s="63"/>
      <c r="AR2" s="63"/>
      <c r="AS2" s="63"/>
      <c r="AT2" s="94" t="s">
        <v>133</v>
      </c>
      <c r="AU2" s="94"/>
      <c r="AV2" s="94"/>
      <c r="AW2" s="94"/>
      <c r="AX2" s="94"/>
      <c r="AY2" s="95">
        <v>45254</v>
      </c>
      <c r="AZ2" s="95"/>
      <c r="BA2" s="95"/>
      <c r="BB2" s="95"/>
      <c r="BC2" s="95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63"/>
      <c r="AP3" s="63"/>
      <c r="AQ3" s="63"/>
      <c r="AR3" s="63"/>
      <c r="AS3" s="63"/>
      <c r="AT3" s="94"/>
      <c r="AU3" s="94"/>
      <c r="AV3" s="94"/>
      <c r="AW3" s="94"/>
      <c r="AX3" s="94"/>
      <c r="AY3" s="95"/>
      <c r="AZ3" s="95"/>
      <c r="BA3" s="95"/>
      <c r="BB3" s="95"/>
      <c r="BC3" s="95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85" t="s">
        <v>14</v>
      </c>
      <c r="B5" s="85"/>
      <c r="C5" s="85"/>
      <c r="D5" s="85"/>
      <c r="E5" s="85"/>
      <c r="F5" s="85"/>
      <c r="G5" s="85"/>
      <c r="H5" s="85"/>
      <c r="I5" s="85"/>
      <c r="J5" s="86" t="s">
        <v>15</v>
      </c>
      <c r="K5" s="86"/>
      <c r="L5" s="86"/>
      <c r="M5" s="86"/>
      <c r="N5" s="86"/>
      <c r="O5" s="86"/>
      <c r="P5" s="86"/>
      <c r="Q5" s="86"/>
      <c r="R5" s="86" t="s">
        <v>16</v>
      </c>
      <c r="S5" s="86"/>
      <c r="T5" s="86"/>
      <c r="U5" s="86"/>
      <c r="V5" s="86" t="s">
        <v>17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7" t="s">
        <v>18</v>
      </c>
      <c r="AU5" s="87"/>
      <c r="AV5" s="87"/>
      <c r="AW5" s="87"/>
      <c r="AX5" s="87"/>
      <c r="AY5" s="87"/>
      <c r="AZ5" s="87"/>
      <c r="BA5" s="87"/>
      <c r="BB5" s="87"/>
      <c r="BC5" s="87"/>
    </row>
    <row r="6" spans="1:55" s="31" customFormat="1" ht="13.5" customHeight="1">
      <c r="A6" s="85"/>
      <c r="B6" s="85"/>
      <c r="C6" s="85"/>
      <c r="D6" s="85"/>
      <c r="E6" s="85"/>
      <c r="F6" s="85"/>
      <c r="G6" s="85"/>
      <c r="H6" s="85"/>
      <c r="I6" s="85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7"/>
      <c r="AU6" s="87"/>
      <c r="AV6" s="87"/>
      <c r="AW6" s="87"/>
      <c r="AX6" s="87"/>
      <c r="AY6" s="87"/>
      <c r="AZ6" s="87"/>
      <c r="BA6" s="87"/>
      <c r="BB6" s="87"/>
      <c r="BC6" s="87"/>
    </row>
    <row r="7" spans="1:55" s="31" customFormat="1" ht="13.5" customHeight="1">
      <c r="A7" s="85"/>
      <c r="B7" s="85"/>
      <c r="C7" s="85"/>
      <c r="D7" s="85"/>
      <c r="E7" s="85"/>
      <c r="F7" s="85"/>
      <c r="G7" s="85"/>
      <c r="H7" s="85"/>
      <c r="I7" s="85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7"/>
      <c r="AU7" s="87"/>
      <c r="AV7" s="87"/>
      <c r="AW7" s="87"/>
      <c r="AX7" s="87"/>
      <c r="AY7" s="87"/>
      <c r="AZ7" s="87"/>
      <c r="BA7" s="87"/>
      <c r="BB7" s="87"/>
      <c r="BC7" s="87"/>
    </row>
    <row r="8" spans="1:55" s="31" customFormat="1" ht="13.5" customHeight="1">
      <c r="A8" s="77">
        <v>1</v>
      </c>
      <c r="B8" s="77"/>
      <c r="C8" s="77"/>
      <c r="D8" s="77"/>
      <c r="E8" s="77"/>
      <c r="F8" s="77"/>
      <c r="G8" s="77"/>
      <c r="H8" s="77"/>
      <c r="I8" s="77"/>
      <c r="J8" s="81">
        <v>44258</v>
      </c>
      <c r="K8" s="81"/>
      <c r="L8" s="81"/>
      <c r="M8" s="81"/>
      <c r="N8" s="81"/>
      <c r="O8" s="81"/>
      <c r="P8" s="81"/>
      <c r="Q8" s="81"/>
      <c r="R8" s="82" t="s">
        <v>19</v>
      </c>
      <c r="S8" s="82"/>
      <c r="T8" s="82"/>
      <c r="U8" s="82"/>
      <c r="V8" s="83" t="s">
        <v>20</v>
      </c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4" t="s">
        <v>6</v>
      </c>
      <c r="AU8" s="84"/>
      <c r="AV8" s="84"/>
      <c r="AW8" s="84"/>
      <c r="AX8" s="84"/>
      <c r="AY8" s="84"/>
      <c r="AZ8" s="84"/>
      <c r="BA8" s="84"/>
      <c r="BB8" s="84"/>
      <c r="BC8" s="84"/>
    </row>
    <row r="9" spans="1:55" s="31" customFormat="1" ht="13.5" customHeight="1">
      <c r="A9" s="77"/>
      <c r="B9" s="77"/>
      <c r="C9" s="77"/>
      <c r="D9" s="77"/>
      <c r="E9" s="77"/>
      <c r="F9" s="77"/>
      <c r="G9" s="77"/>
      <c r="H9" s="77"/>
      <c r="I9" s="77"/>
      <c r="J9" s="81"/>
      <c r="K9" s="81"/>
      <c r="L9" s="81"/>
      <c r="M9" s="81"/>
      <c r="N9" s="81"/>
      <c r="O9" s="81"/>
      <c r="P9" s="81"/>
      <c r="Q9" s="81"/>
      <c r="R9" s="82"/>
      <c r="S9" s="82"/>
      <c r="T9" s="82"/>
      <c r="U9" s="82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4"/>
      <c r="AU9" s="84"/>
      <c r="AV9" s="84"/>
      <c r="AW9" s="84"/>
      <c r="AX9" s="84"/>
      <c r="AY9" s="84"/>
      <c r="AZ9" s="84"/>
      <c r="BA9" s="84"/>
      <c r="BB9" s="84"/>
      <c r="BC9" s="84"/>
    </row>
    <row r="10" spans="1:55" s="31" customFormat="1" ht="13.5" customHeight="1">
      <c r="A10" s="77"/>
      <c r="B10" s="77"/>
      <c r="C10" s="77"/>
      <c r="D10" s="77"/>
      <c r="E10" s="77"/>
      <c r="F10" s="77"/>
      <c r="G10" s="77"/>
      <c r="H10" s="77"/>
      <c r="I10" s="77"/>
      <c r="J10" s="81"/>
      <c r="K10" s="81"/>
      <c r="L10" s="81"/>
      <c r="M10" s="81"/>
      <c r="N10" s="81"/>
      <c r="O10" s="81"/>
      <c r="P10" s="81"/>
      <c r="Q10" s="81"/>
      <c r="R10" s="82"/>
      <c r="S10" s="82"/>
      <c r="T10" s="82"/>
      <c r="U10" s="82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4"/>
      <c r="AU10" s="84"/>
      <c r="AV10" s="84"/>
      <c r="AW10" s="84"/>
      <c r="AX10" s="84"/>
      <c r="AY10" s="84"/>
      <c r="AZ10" s="84"/>
      <c r="BA10" s="84"/>
      <c r="BB10" s="84"/>
      <c r="BC10" s="84"/>
    </row>
    <row r="11" spans="1:55" s="31" customFormat="1" ht="13.5" customHeight="1">
      <c r="A11" s="77">
        <v>1</v>
      </c>
      <c r="B11" s="77"/>
      <c r="C11" s="77"/>
      <c r="D11" s="77"/>
      <c r="E11" s="77"/>
      <c r="F11" s="77"/>
      <c r="G11" s="77"/>
      <c r="H11" s="77"/>
      <c r="I11" s="77"/>
      <c r="J11" s="68">
        <v>44292</v>
      </c>
      <c r="K11" s="68"/>
      <c r="L11" s="68"/>
      <c r="M11" s="68"/>
      <c r="N11" s="68"/>
      <c r="O11" s="68"/>
      <c r="P11" s="68"/>
      <c r="Q11" s="68"/>
      <c r="R11" s="79" t="s">
        <v>21</v>
      </c>
      <c r="S11" s="79"/>
      <c r="T11" s="79"/>
      <c r="U11" s="79"/>
      <c r="V11" s="80" t="s">
        <v>22</v>
      </c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71" t="s">
        <v>13</v>
      </c>
      <c r="AU11" s="71"/>
      <c r="AV11" s="71"/>
      <c r="AW11" s="71"/>
      <c r="AX11" s="71"/>
      <c r="AY11" s="71"/>
      <c r="AZ11" s="71"/>
      <c r="BA11" s="71"/>
      <c r="BB11" s="71"/>
      <c r="BC11" s="71"/>
    </row>
    <row r="12" spans="1:55" s="31" customFormat="1" ht="13.5" customHeight="1">
      <c r="A12" s="77"/>
      <c r="B12" s="77"/>
      <c r="C12" s="77"/>
      <c r="D12" s="77"/>
      <c r="E12" s="77"/>
      <c r="F12" s="77"/>
      <c r="G12" s="77"/>
      <c r="H12" s="77"/>
      <c r="I12" s="77"/>
      <c r="J12" s="68"/>
      <c r="K12" s="68"/>
      <c r="L12" s="68"/>
      <c r="M12" s="68"/>
      <c r="N12" s="68"/>
      <c r="O12" s="68"/>
      <c r="P12" s="68"/>
      <c r="Q12" s="68"/>
      <c r="R12" s="79"/>
      <c r="S12" s="79"/>
      <c r="T12" s="79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71"/>
      <c r="AU12" s="71"/>
      <c r="AV12" s="71"/>
      <c r="AW12" s="71"/>
      <c r="AX12" s="71"/>
      <c r="AY12" s="71"/>
      <c r="AZ12" s="71"/>
      <c r="BA12" s="71"/>
      <c r="BB12" s="71"/>
      <c r="BC12" s="71"/>
    </row>
    <row r="13" spans="1:55" s="31" customFormat="1" ht="13.5" customHeight="1">
      <c r="A13" s="77"/>
      <c r="B13" s="77"/>
      <c r="C13" s="77"/>
      <c r="D13" s="77"/>
      <c r="E13" s="77"/>
      <c r="F13" s="77"/>
      <c r="G13" s="77"/>
      <c r="H13" s="77"/>
      <c r="I13" s="77"/>
      <c r="J13" s="68"/>
      <c r="K13" s="68"/>
      <c r="L13" s="68"/>
      <c r="M13" s="68"/>
      <c r="N13" s="68"/>
      <c r="O13" s="68"/>
      <c r="P13" s="68"/>
      <c r="Q13" s="68"/>
      <c r="R13" s="79"/>
      <c r="S13" s="79"/>
      <c r="T13" s="79"/>
      <c r="U13" s="79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71"/>
      <c r="AU13" s="71"/>
      <c r="AV13" s="71"/>
      <c r="AW13" s="71"/>
      <c r="AX13" s="71"/>
      <c r="AY13" s="71"/>
      <c r="AZ13" s="71"/>
      <c r="BA13" s="71"/>
      <c r="BB13" s="71"/>
      <c r="BC13" s="71"/>
    </row>
    <row r="14" spans="1:55" s="31" customFormat="1" ht="13.5" customHeight="1">
      <c r="A14" s="77">
        <v>1</v>
      </c>
      <c r="B14" s="77"/>
      <c r="C14" s="77"/>
      <c r="D14" s="77"/>
      <c r="E14" s="77"/>
      <c r="F14" s="77"/>
      <c r="G14" s="77"/>
      <c r="H14" s="77"/>
      <c r="I14" s="77"/>
      <c r="J14" s="68">
        <v>44328</v>
      </c>
      <c r="K14" s="68"/>
      <c r="L14" s="68"/>
      <c r="M14" s="68"/>
      <c r="N14" s="68"/>
      <c r="O14" s="68"/>
      <c r="P14" s="68"/>
      <c r="Q14" s="68"/>
      <c r="R14" s="69" t="s">
        <v>23</v>
      </c>
      <c r="S14" s="69"/>
      <c r="T14" s="69"/>
      <c r="U14" s="69"/>
      <c r="V14" s="70" t="s">
        <v>24</v>
      </c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1" t="s">
        <v>13</v>
      </c>
      <c r="AU14" s="71"/>
      <c r="AV14" s="71"/>
      <c r="AW14" s="71"/>
      <c r="AX14" s="71"/>
      <c r="AY14" s="71"/>
      <c r="AZ14" s="71"/>
      <c r="BA14" s="71"/>
      <c r="BB14" s="71"/>
      <c r="BC14" s="71"/>
    </row>
    <row r="15" spans="1:55" s="31" customFormat="1" ht="13.5" customHeight="1">
      <c r="A15" s="77"/>
      <c r="B15" s="77"/>
      <c r="C15" s="77"/>
      <c r="D15" s="77"/>
      <c r="E15" s="77"/>
      <c r="F15" s="77"/>
      <c r="G15" s="77"/>
      <c r="H15" s="77"/>
      <c r="I15" s="77"/>
      <c r="J15" s="68"/>
      <c r="K15" s="68"/>
      <c r="L15" s="68"/>
      <c r="M15" s="68"/>
      <c r="N15" s="68"/>
      <c r="O15" s="68"/>
      <c r="P15" s="68"/>
      <c r="Q15" s="68"/>
      <c r="R15" s="69"/>
      <c r="S15" s="69"/>
      <c r="T15" s="69"/>
      <c r="U15" s="69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1"/>
      <c r="AU15" s="71"/>
      <c r="AV15" s="71"/>
      <c r="AW15" s="71"/>
      <c r="AX15" s="71"/>
      <c r="AY15" s="71"/>
      <c r="AZ15" s="71"/>
      <c r="BA15" s="71"/>
      <c r="BB15" s="71"/>
      <c r="BC15" s="71"/>
    </row>
    <row r="16" spans="1:55" s="31" customFormat="1" ht="13.5" customHeight="1">
      <c r="A16" s="77"/>
      <c r="B16" s="77"/>
      <c r="C16" s="77"/>
      <c r="D16" s="77"/>
      <c r="E16" s="77"/>
      <c r="F16" s="77"/>
      <c r="G16" s="77"/>
      <c r="H16" s="77"/>
      <c r="I16" s="77"/>
      <c r="J16" s="68"/>
      <c r="K16" s="68"/>
      <c r="L16" s="68"/>
      <c r="M16" s="68"/>
      <c r="N16" s="68"/>
      <c r="O16" s="68"/>
      <c r="P16" s="68"/>
      <c r="Q16" s="68"/>
      <c r="R16" s="69"/>
      <c r="S16" s="69"/>
      <c r="T16" s="69"/>
      <c r="U16" s="69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1"/>
      <c r="AU16" s="71"/>
      <c r="AV16" s="71"/>
      <c r="AW16" s="71"/>
      <c r="AX16" s="71"/>
      <c r="AY16" s="71"/>
      <c r="AZ16" s="71"/>
      <c r="BA16" s="71"/>
      <c r="BB16" s="71"/>
      <c r="BC16" s="71"/>
    </row>
    <row r="17" spans="1:55" s="31" customFormat="1" ht="13.5" customHeight="1">
      <c r="A17" s="77">
        <v>1</v>
      </c>
      <c r="B17" s="77"/>
      <c r="C17" s="77"/>
      <c r="D17" s="77"/>
      <c r="E17" s="77"/>
      <c r="F17" s="77"/>
      <c r="G17" s="77"/>
      <c r="H17" s="77"/>
      <c r="I17" s="77"/>
      <c r="J17" s="68">
        <v>44328</v>
      </c>
      <c r="K17" s="68"/>
      <c r="L17" s="68"/>
      <c r="M17" s="68"/>
      <c r="N17" s="68"/>
      <c r="O17" s="68"/>
      <c r="P17" s="68"/>
      <c r="Q17" s="68"/>
      <c r="R17" s="69" t="s">
        <v>25</v>
      </c>
      <c r="S17" s="69"/>
      <c r="T17" s="69"/>
      <c r="U17" s="69"/>
      <c r="V17" s="78" t="s">
        <v>26</v>
      </c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1" t="s">
        <v>13</v>
      </c>
      <c r="AU17" s="71"/>
      <c r="AV17" s="71"/>
      <c r="AW17" s="71"/>
      <c r="AX17" s="71"/>
      <c r="AY17" s="71"/>
      <c r="AZ17" s="71"/>
      <c r="BA17" s="71"/>
      <c r="BB17" s="71"/>
      <c r="BC17" s="71"/>
    </row>
    <row r="18" spans="1:55" s="31" customFormat="1" ht="13.5" customHeight="1">
      <c r="A18" s="77"/>
      <c r="B18" s="77"/>
      <c r="C18" s="77"/>
      <c r="D18" s="77"/>
      <c r="E18" s="77"/>
      <c r="F18" s="77"/>
      <c r="G18" s="77"/>
      <c r="H18" s="77"/>
      <c r="I18" s="77"/>
      <c r="J18" s="68"/>
      <c r="K18" s="68"/>
      <c r="L18" s="68"/>
      <c r="M18" s="68"/>
      <c r="N18" s="68"/>
      <c r="O18" s="68"/>
      <c r="P18" s="68"/>
      <c r="Q18" s="68"/>
      <c r="R18" s="69"/>
      <c r="S18" s="69"/>
      <c r="T18" s="69"/>
      <c r="U18" s="69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1"/>
      <c r="AU18" s="71"/>
      <c r="AV18" s="71"/>
      <c r="AW18" s="71"/>
      <c r="AX18" s="71"/>
      <c r="AY18" s="71"/>
      <c r="AZ18" s="71"/>
      <c r="BA18" s="71"/>
      <c r="BB18" s="71"/>
      <c r="BC18" s="71"/>
    </row>
    <row r="19" spans="1:55" s="31" customFormat="1" ht="13.5" customHeight="1">
      <c r="A19" s="77"/>
      <c r="B19" s="77"/>
      <c r="C19" s="77"/>
      <c r="D19" s="77"/>
      <c r="E19" s="77"/>
      <c r="F19" s="77"/>
      <c r="G19" s="77"/>
      <c r="H19" s="77"/>
      <c r="I19" s="77"/>
      <c r="J19" s="68"/>
      <c r="K19" s="68"/>
      <c r="L19" s="68"/>
      <c r="M19" s="68"/>
      <c r="N19" s="68"/>
      <c r="O19" s="68"/>
      <c r="P19" s="68"/>
      <c r="Q19" s="68"/>
      <c r="R19" s="69"/>
      <c r="S19" s="69"/>
      <c r="T19" s="69"/>
      <c r="U19" s="69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1"/>
      <c r="AU19" s="71"/>
      <c r="AV19" s="71"/>
      <c r="AW19" s="71"/>
      <c r="AX19" s="71"/>
      <c r="AY19" s="71"/>
      <c r="AZ19" s="71"/>
      <c r="BA19" s="71"/>
      <c r="BB19" s="71"/>
      <c r="BC19" s="71"/>
    </row>
    <row r="20" spans="1:55" s="31" customFormat="1" ht="13.5" customHeight="1">
      <c r="A20" s="67">
        <v>1.1000000000000001</v>
      </c>
      <c r="B20" s="67"/>
      <c r="C20" s="67"/>
      <c r="D20" s="67"/>
      <c r="E20" s="67"/>
      <c r="F20" s="67"/>
      <c r="G20" s="67"/>
      <c r="H20" s="67"/>
      <c r="I20" s="67"/>
      <c r="J20" s="68">
        <v>44602</v>
      </c>
      <c r="K20" s="68"/>
      <c r="L20" s="68"/>
      <c r="M20" s="68"/>
      <c r="N20" s="68"/>
      <c r="O20" s="68"/>
      <c r="P20" s="68"/>
      <c r="Q20" s="68"/>
      <c r="R20" s="69" t="s">
        <v>25</v>
      </c>
      <c r="S20" s="69"/>
      <c r="T20" s="69"/>
      <c r="U20" s="69"/>
      <c r="V20" s="70" t="s">
        <v>135</v>
      </c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1" t="s">
        <v>129</v>
      </c>
      <c r="AU20" s="71"/>
      <c r="AV20" s="71"/>
      <c r="AW20" s="71"/>
      <c r="AX20" s="71"/>
      <c r="AY20" s="71"/>
      <c r="AZ20" s="71"/>
      <c r="BA20" s="71"/>
      <c r="BB20" s="71"/>
      <c r="BC20" s="71"/>
    </row>
    <row r="21" spans="1:55" s="31" customFormat="1" ht="13.5" customHeight="1">
      <c r="A21" s="67"/>
      <c r="B21" s="67"/>
      <c r="C21" s="67"/>
      <c r="D21" s="67"/>
      <c r="E21" s="67"/>
      <c r="F21" s="67"/>
      <c r="G21" s="67"/>
      <c r="H21" s="67"/>
      <c r="I21" s="67"/>
      <c r="J21" s="68"/>
      <c r="K21" s="68"/>
      <c r="L21" s="68"/>
      <c r="M21" s="68"/>
      <c r="N21" s="68"/>
      <c r="O21" s="68"/>
      <c r="P21" s="68"/>
      <c r="Q21" s="68"/>
      <c r="R21" s="69"/>
      <c r="S21" s="69"/>
      <c r="T21" s="69"/>
      <c r="U21" s="69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1"/>
      <c r="AU21" s="71"/>
      <c r="AV21" s="71"/>
      <c r="AW21" s="71"/>
      <c r="AX21" s="71"/>
      <c r="AY21" s="71"/>
      <c r="AZ21" s="71"/>
      <c r="BA21" s="71"/>
      <c r="BB21" s="71"/>
      <c r="BC21" s="71"/>
    </row>
    <row r="22" spans="1:55" s="31" customFormat="1" ht="13.5" customHeight="1">
      <c r="A22" s="67"/>
      <c r="B22" s="67"/>
      <c r="C22" s="67"/>
      <c r="D22" s="67"/>
      <c r="E22" s="67"/>
      <c r="F22" s="67"/>
      <c r="G22" s="67"/>
      <c r="H22" s="67"/>
      <c r="I22" s="67"/>
      <c r="J22" s="68"/>
      <c r="K22" s="68"/>
      <c r="L22" s="68"/>
      <c r="M22" s="68"/>
      <c r="N22" s="68"/>
      <c r="O22" s="68"/>
      <c r="P22" s="68"/>
      <c r="Q22" s="68"/>
      <c r="R22" s="69"/>
      <c r="S22" s="69"/>
      <c r="T22" s="69"/>
      <c r="U22" s="69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1"/>
      <c r="AU22" s="71"/>
      <c r="AV22" s="71"/>
      <c r="AW22" s="71"/>
      <c r="AX22" s="71"/>
      <c r="AY22" s="71"/>
      <c r="AZ22" s="71"/>
      <c r="BA22" s="71"/>
      <c r="BB22" s="71"/>
      <c r="BC22" s="71"/>
    </row>
    <row r="23" spans="1:55" s="31" customFormat="1" ht="13.5" customHeight="1">
      <c r="A23" s="72"/>
      <c r="B23" s="72"/>
      <c r="C23" s="72"/>
      <c r="D23" s="72"/>
      <c r="E23" s="72"/>
      <c r="F23" s="72"/>
      <c r="G23" s="72"/>
      <c r="H23" s="72"/>
      <c r="I23" s="72"/>
      <c r="J23" s="73"/>
      <c r="K23" s="73"/>
      <c r="L23" s="73"/>
      <c r="M23" s="73"/>
      <c r="N23" s="73"/>
      <c r="O23" s="73"/>
      <c r="P23" s="73"/>
      <c r="Q23" s="73"/>
      <c r="R23" s="74"/>
      <c r="S23" s="74"/>
      <c r="T23" s="74"/>
      <c r="U23" s="74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6"/>
      <c r="AU23" s="76"/>
      <c r="AV23" s="76"/>
      <c r="AW23" s="76"/>
      <c r="AX23" s="76"/>
      <c r="AY23" s="76"/>
      <c r="AZ23" s="76"/>
      <c r="BA23" s="76"/>
      <c r="BB23" s="76"/>
      <c r="BC23" s="76"/>
    </row>
    <row r="24" spans="1:55" s="31" customFormat="1" ht="13.5" customHeight="1">
      <c r="A24" s="72"/>
      <c r="B24" s="72"/>
      <c r="C24" s="72"/>
      <c r="D24" s="72"/>
      <c r="E24" s="72"/>
      <c r="F24" s="72"/>
      <c r="G24" s="72"/>
      <c r="H24" s="72"/>
      <c r="I24" s="72"/>
      <c r="J24" s="73"/>
      <c r="K24" s="73"/>
      <c r="L24" s="73"/>
      <c r="M24" s="73"/>
      <c r="N24" s="73"/>
      <c r="O24" s="73"/>
      <c r="P24" s="73"/>
      <c r="Q24" s="73"/>
      <c r="R24" s="74"/>
      <c r="S24" s="74"/>
      <c r="T24" s="74"/>
      <c r="U24" s="74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6"/>
      <c r="AU24" s="76"/>
      <c r="AV24" s="76"/>
      <c r="AW24" s="76"/>
      <c r="AX24" s="76"/>
      <c r="AY24" s="76"/>
      <c r="AZ24" s="76"/>
      <c r="BA24" s="76"/>
      <c r="BB24" s="76"/>
      <c r="BC24" s="76"/>
    </row>
    <row r="25" spans="1:55" s="31" customFormat="1" ht="13.5" customHeight="1">
      <c r="A25" s="72"/>
      <c r="B25" s="72"/>
      <c r="C25" s="72"/>
      <c r="D25" s="72"/>
      <c r="E25" s="72"/>
      <c r="F25" s="72"/>
      <c r="G25" s="72"/>
      <c r="H25" s="72"/>
      <c r="I25" s="72"/>
      <c r="J25" s="73"/>
      <c r="K25" s="73"/>
      <c r="L25" s="73"/>
      <c r="M25" s="73"/>
      <c r="N25" s="73"/>
      <c r="O25" s="73"/>
      <c r="P25" s="73"/>
      <c r="Q25" s="73"/>
      <c r="R25" s="74"/>
      <c r="S25" s="74"/>
      <c r="T25" s="74"/>
      <c r="U25" s="74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6"/>
      <c r="AU25" s="76"/>
      <c r="AV25" s="76"/>
      <c r="AW25" s="76"/>
      <c r="AX25" s="76"/>
      <c r="AY25" s="76"/>
      <c r="AZ25" s="76"/>
      <c r="BA25" s="76"/>
      <c r="BB25" s="76"/>
      <c r="BC25" s="76"/>
    </row>
    <row r="26" spans="1:55" s="31" customFormat="1" ht="13.5" customHeight="1">
      <c r="A26" s="67"/>
      <c r="B26" s="67"/>
      <c r="C26" s="67"/>
      <c r="D26" s="67"/>
      <c r="E26" s="67"/>
      <c r="F26" s="67"/>
      <c r="G26" s="67"/>
      <c r="H26" s="67"/>
      <c r="I26" s="67"/>
      <c r="J26" s="68"/>
      <c r="K26" s="68"/>
      <c r="L26" s="68"/>
      <c r="M26" s="68"/>
      <c r="N26" s="68"/>
      <c r="O26" s="68"/>
      <c r="P26" s="68"/>
      <c r="Q26" s="68"/>
      <c r="R26" s="69"/>
      <c r="S26" s="69"/>
      <c r="T26" s="69"/>
      <c r="U26" s="69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1"/>
      <c r="AU26" s="71"/>
      <c r="AV26" s="71"/>
      <c r="AW26" s="71"/>
      <c r="AX26" s="71"/>
      <c r="AY26" s="71"/>
      <c r="AZ26" s="71"/>
      <c r="BA26" s="71"/>
      <c r="BB26" s="71"/>
      <c r="BC26" s="71"/>
    </row>
    <row r="27" spans="1:55" s="31" customFormat="1" ht="13.5" customHeight="1">
      <c r="A27" s="67"/>
      <c r="B27" s="67"/>
      <c r="C27" s="67"/>
      <c r="D27" s="67"/>
      <c r="E27" s="67"/>
      <c r="F27" s="67"/>
      <c r="G27" s="67"/>
      <c r="H27" s="67"/>
      <c r="I27" s="67"/>
      <c r="J27" s="68"/>
      <c r="K27" s="68"/>
      <c r="L27" s="68"/>
      <c r="M27" s="68"/>
      <c r="N27" s="68"/>
      <c r="O27" s="68"/>
      <c r="P27" s="68"/>
      <c r="Q27" s="68"/>
      <c r="R27" s="69"/>
      <c r="S27" s="69"/>
      <c r="T27" s="69"/>
      <c r="U27" s="69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1"/>
      <c r="AU27" s="71"/>
      <c r="AV27" s="71"/>
      <c r="AW27" s="71"/>
      <c r="AX27" s="71"/>
      <c r="AY27" s="71"/>
      <c r="AZ27" s="71"/>
      <c r="BA27" s="71"/>
      <c r="BB27" s="71"/>
      <c r="BC27" s="71"/>
    </row>
    <row r="28" spans="1:55" s="31" customFormat="1" ht="13.5" customHeight="1">
      <c r="A28" s="67"/>
      <c r="B28" s="67"/>
      <c r="C28" s="67"/>
      <c r="D28" s="67"/>
      <c r="E28" s="67"/>
      <c r="F28" s="67"/>
      <c r="G28" s="67"/>
      <c r="H28" s="67"/>
      <c r="I28" s="67"/>
      <c r="J28" s="68"/>
      <c r="K28" s="68"/>
      <c r="L28" s="68"/>
      <c r="M28" s="68"/>
      <c r="N28" s="68"/>
      <c r="O28" s="68"/>
      <c r="P28" s="68"/>
      <c r="Q28" s="68"/>
      <c r="R28" s="69"/>
      <c r="S28" s="69"/>
      <c r="T28" s="69"/>
      <c r="U28" s="69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1"/>
      <c r="AU28" s="71"/>
      <c r="AV28" s="71"/>
      <c r="AW28" s="71"/>
      <c r="AX28" s="71"/>
      <c r="AY28" s="71"/>
      <c r="AZ28" s="71"/>
      <c r="BA28" s="71"/>
      <c r="BB28" s="71"/>
      <c r="BC28" s="71"/>
    </row>
    <row r="29" spans="1:55" s="31" customFormat="1" ht="13.5" customHeight="1">
      <c r="A29" s="62"/>
      <c r="B29" s="62"/>
      <c r="C29" s="62"/>
      <c r="D29" s="62"/>
      <c r="E29" s="62"/>
      <c r="F29" s="62"/>
      <c r="G29" s="62"/>
      <c r="H29" s="62"/>
      <c r="I29" s="62"/>
      <c r="J29" s="63"/>
      <c r="K29" s="63"/>
      <c r="L29" s="63"/>
      <c r="M29" s="63"/>
      <c r="N29" s="63"/>
      <c r="O29" s="63"/>
      <c r="P29" s="63"/>
      <c r="Q29" s="63"/>
      <c r="R29" s="64"/>
      <c r="S29" s="64"/>
      <c r="T29" s="64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6"/>
      <c r="AU29" s="66"/>
      <c r="AV29" s="66"/>
      <c r="AW29" s="66"/>
      <c r="AX29" s="66"/>
      <c r="AY29" s="66"/>
      <c r="AZ29" s="66"/>
      <c r="BA29" s="66"/>
      <c r="BB29" s="66"/>
      <c r="BC29" s="66"/>
    </row>
    <row r="30" spans="1:55" s="31" customFormat="1" ht="13.5" customHeight="1">
      <c r="A30" s="62"/>
      <c r="B30" s="62"/>
      <c r="C30" s="62"/>
      <c r="D30" s="62"/>
      <c r="E30" s="62"/>
      <c r="F30" s="62"/>
      <c r="G30" s="62"/>
      <c r="H30" s="62"/>
      <c r="I30" s="62"/>
      <c r="J30" s="63"/>
      <c r="K30" s="63"/>
      <c r="L30" s="63"/>
      <c r="M30" s="63"/>
      <c r="N30" s="63"/>
      <c r="O30" s="63"/>
      <c r="P30" s="63"/>
      <c r="Q30" s="63"/>
      <c r="R30" s="64"/>
      <c r="S30" s="64"/>
      <c r="T30" s="64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6"/>
      <c r="AU30" s="66"/>
      <c r="AV30" s="66"/>
      <c r="AW30" s="66"/>
      <c r="AX30" s="66"/>
      <c r="AY30" s="66"/>
      <c r="AZ30" s="66"/>
      <c r="BA30" s="66"/>
      <c r="BB30" s="66"/>
      <c r="BC30" s="66"/>
    </row>
    <row r="31" spans="1:55" s="31" customFormat="1" ht="13.5" customHeight="1">
      <c r="A31" s="62"/>
      <c r="B31" s="62"/>
      <c r="C31" s="62"/>
      <c r="D31" s="62"/>
      <c r="E31" s="62"/>
      <c r="F31" s="62"/>
      <c r="G31" s="62"/>
      <c r="H31" s="62"/>
      <c r="I31" s="62"/>
      <c r="J31" s="63"/>
      <c r="K31" s="63"/>
      <c r="L31" s="63"/>
      <c r="M31" s="63"/>
      <c r="N31" s="63"/>
      <c r="O31" s="63"/>
      <c r="P31" s="63"/>
      <c r="Q31" s="63"/>
      <c r="R31" s="64"/>
      <c r="S31" s="64"/>
      <c r="T31" s="64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6"/>
      <c r="AU31" s="66"/>
      <c r="AV31" s="66"/>
      <c r="AW31" s="66"/>
      <c r="AX31" s="66"/>
      <c r="AY31" s="66"/>
      <c r="AZ31" s="66"/>
      <c r="BA31" s="66"/>
      <c r="BB31" s="66"/>
      <c r="BC31" s="66"/>
    </row>
    <row r="32" spans="1:55" s="31" customFormat="1" ht="13.5" customHeight="1">
      <c r="A32" s="58"/>
      <c r="B32" s="58"/>
      <c r="C32" s="58"/>
      <c r="D32" s="58"/>
      <c r="E32" s="58"/>
      <c r="F32" s="58"/>
      <c r="G32" s="58"/>
      <c r="H32" s="58"/>
      <c r="I32" s="58"/>
      <c r="J32" s="59"/>
      <c r="K32" s="59"/>
      <c r="L32" s="59"/>
      <c r="M32" s="59"/>
      <c r="N32" s="59"/>
      <c r="O32" s="59"/>
      <c r="P32" s="59"/>
      <c r="Q32" s="59"/>
      <c r="R32" s="60"/>
      <c r="S32" s="60"/>
      <c r="T32" s="60"/>
      <c r="U32" s="60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0"/>
      <c r="AU32" s="60"/>
      <c r="AV32" s="60"/>
      <c r="AW32" s="60"/>
      <c r="AX32" s="60"/>
      <c r="AY32" s="60"/>
      <c r="AZ32" s="60"/>
      <c r="BA32" s="60"/>
      <c r="BB32" s="60"/>
      <c r="BC32" s="60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40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1" customFormat="1" ht="13.5" customHeight="1">
      <c r="A1" s="96" t="s">
        <v>7</v>
      </c>
      <c r="B1" s="96"/>
      <c r="C1" s="96"/>
      <c r="D1" s="96"/>
      <c r="E1" s="96"/>
      <c r="F1" s="96"/>
      <c r="G1" s="96"/>
      <c r="H1" s="96"/>
      <c r="I1" s="96"/>
      <c r="J1" s="97" t="s">
        <v>8</v>
      </c>
      <c r="K1" s="97"/>
      <c r="L1" s="97"/>
      <c r="M1" s="97"/>
      <c r="N1" s="97"/>
      <c r="O1" s="97"/>
      <c r="P1" s="97"/>
      <c r="Q1" s="97"/>
      <c r="R1" s="98" t="str">
        <f>更新履歴!R1</f>
        <v>API設計書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9" t="s">
        <v>3</v>
      </c>
      <c r="AK1" s="99"/>
      <c r="AL1" s="99"/>
      <c r="AM1" s="99"/>
      <c r="AN1" s="99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107" t="s">
        <v>11</v>
      </c>
      <c r="AZ1" s="107"/>
      <c r="BA1" s="107"/>
      <c r="BB1" s="107"/>
      <c r="BC1" s="107"/>
    </row>
    <row r="2" spans="1:55" s="1" customFormat="1" ht="13.5" customHeight="1" thickBot="1">
      <c r="A2" s="108" t="str">
        <f>表紙!O10</f>
        <v>体験型Java研修</v>
      </c>
      <c r="B2" s="108"/>
      <c r="C2" s="108"/>
      <c r="D2" s="108"/>
      <c r="E2" s="108"/>
      <c r="F2" s="108"/>
      <c r="G2" s="108"/>
      <c r="H2" s="108"/>
      <c r="I2" s="108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セクション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63">
        <v>44258</v>
      </c>
      <c r="AP2" s="63"/>
      <c r="AQ2" s="63"/>
      <c r="AR2" s="63"/>
      <c r="AS2" s="63"/>
      <c r="AT2" s="109" t="s">
        <v>13</v>
      </c>
      <c r="AU2" s="110"/>
      <c r="AV2" s="110"/>
      <c r="AW2" s="110"/>
      <c r="AX2" s="111"/>
      <c r="AY2" s="115">
        <v>44292</v>
      </c>
      <c r="AZ2" s="116"/>
      <c r="BA2" s="116"/>
      <c r="BB2" s="116"/>
      <c r="BC2" s="117"/>
    </row>
    <row r="3" spans="1:55" s="1" customFormat="1" ht="13.5" customHeight="1" thickBot="1">
      <c r="A3" s="108"/>
      <c r="B3" s="108"/>
      <c r="C3" s="108"/>
      <c r="D3" s="108"/>
      <c r="E3" s="108"/>
      <c r="F3" s="108"/>
      <c r="G3" s="108"/>
      <c r="H3" s="108"/>
      <c r="I3" s="108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63"/>
      <c r="AP3" s="63"/>
      <c r="AQ3" s="63"/>
      <c r="AR3" s="63"/>
      <c r="AS3" s="63"/>
      <c r="AT3" s="112"/>
      <c r="AU3" s="113"/>
      <c r="AV3" s="113"/>
      <c r="AW3" s="113"/>
      <c r="AX3" s="114"/>
      <c r="AY3" s="118"/>
      <c r="AZ3" s="119"/>
      <c r="BA3" s="119"/>
      <c r="BB3" s="119"/>
      <c r="BC3" s="120"/>
    </row>
    <row r="4" spans="1:55" s="33" customFormat="1" ht="13.5" customHeight="1"/>
    <row r="5" spans="1:55" s="33" customFormat="1" ht="13.5" customHeight="1">
      <c r="B5" s="34" t="s">
        <v>27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105" t="s">
        <v>28</v>
      </c>
      <c r="D7" s="105"/>
      <c r="E7" s="105" t="s">
        <v>29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105"/>
      <c r="D8" s="105"/>
      <c r="E8" s="105" t="s">
        <v>30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 t="s">
        <v>31</v>
      </c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100">
        <v>1</v>
      </c>
      <c r="D9" s="100"/>
      <c r="E9" s="106" t="s">
        <v>25</v>
      </c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4" t="s">
        <v>32</v>
      </c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100">
        <v>2</v>
      </c>
      <c r="D10" s="100"/>
      <c r="E10" s="104" t="s">
        <v>33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 t="s">
        <v>34</v>
      </c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100">
        <v>3</v>
      </c>
      <c r="D11" s="100"/>
      <c r="E11" s="104" t="s">
        <v>35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 t="s">
        <v>36</v>
      </c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100"/>
      <c r="D12" s="100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0"/>
      <c r="D13" s="100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0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 s="100"/>
      <c r="D15" s="1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50" s="33" customFormat="1" ht="13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spans="3:50" s="33" customFormat="1" ht="13.5" customHeight="1"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spans="3:50" s="33" customFormat="1" ht="13.5" customHeight="1"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spans="3:50" s="33" customFormat="1" ht="13.5" customHeight="1"/>
    <row r="21" spans="3:50" s="33" customFormat="1" ht="13.5" customHeight="1"/>
    <row r="22" spans="3:50" s="33" customFormat="1" ht="13.5" customHeight="1"/>
    <row r="23" spans="3:50" s="33" customFormat="1" ht="13.5" customHeight="1"/>
    <row r="24" spans="3:50" s="33" customFormat="1" ht="13.5" customHeight="1"/>
    <row r="25" spans="3:50" s="33" customFormat="1" ht="13.5" customHeight="1"/>
    <row r="26" spans="3:50" s="33" customFormat="1" ht="13.5" customHeight="1"/>
    <row r="27" spans="3:50" s="33" customFormat="1" ht="13.5" customHeight="1"/>
    <row r="28" spans="3:50" s="33" customFormat="1" ht="13.5" customHeight="1"/>
    <row r="29" spans="3:50" s="33" customFormat="1" ht="13.5" customHeight="1"/>
    <row r="30" spans="3:50" s="33" customFormat="1" ht="13.5" customHeight="1"/>
    <row r="31" spans="3:50" s="33" customFormat="1" ht="13.5" customHeight="1"/>
    <row r="32" spans="3:50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  <row r="38" s="33" customFormat="1" ht="13.5" customHeight="1"/>
    <row r="39" s="33" customFormat="1" ht="13.5" customHeight="1"/>
    <row r="40" s="33" customFormat="1" ht="13.5" customHeight="1"/>
  </sheetData>
  <mergeCells count="3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4:D14"/>
    <mergeCell ref="E14:S14"/>
    <mergeCell ref="T14:AF14"/>
  </mergeCells>
  <phoneticPr fontId="66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7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8" width="2.59765625" style="32"/>
  </cols>
  <sheetData>
    <row r="1" spans="1:55" s="26" customFormat="1" ht="14.4">
      <c r="A1" s="96" t="s">
        <v>7</v>
      </c>
      <c r="B1" s="96"/>
      <c r="C1" s="96"/>
      <c r="D1" s="96"/>
      <c r="E1" s="96"/>
      <c r="F1" s="96"/>
      <c r="G1" s="96"/>
      <c r="H1" s="96"/>
      <c r="I1" s="96"/>
      <c r="J1" s="97" t="s">
        <v>8</v>
      </c>
      <c r="K1" s="97"/>
      <c r="L1" s="97"/>
      <c r="M1" s="97"/>
      <c r="N1" s="97"/>
      <c r="O1" s="97"/>
      <c r="P1" s="97"/>
      <c r="Q1" s="97"/>
      <c r="R1" s="98" t="str">
        <f>更新履歴!R1</f>
        <v>API設計書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9" t="s">
        <v>3</v>
      </c>
      <c r="AK1" s="99"/>
      <c r="AL1" s="99"/>
      <c r="AM1" s="99"/>
      <c r="AN1" s="99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6" customFormat="1" ht="13.2">
      <c r="A2" s="108" t="str">
        <f>表紙!O10</f>
        <v>体験型Java研修</v>
      </c>
      <c r="B2" s="108"/>
      <c r="C2" s="108"/>
      <c r="D2" s="108"/>
      <c r="E2" s="108"/>
      <c r="F2" s="108"/>
      <c r="G2" s="108"/>
      <c r="H2" s="108"/>
      <c r="I2" s="108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セクション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63">
        <v>44258</v>
      </c>
      <c r="AP2" s="63"/>
      <c r="AQ2" s="63"/>
      <c r="AR2" s="63"/>
      <c r="AS2" s="63"/>
      <c r="AT2" s="94" t="s">
        <v>129</v>
      </c>
      <c r="AU2" s="94"/>
      <c r="AV2" s="94"/>
      <c r="AW2" s="94"/>
      <c r="AX2" s="94"/>
      <c r="AY2" s="95">
        <v>44602</v>
      </c>
      <c r="AZ2" s="95"/>
      <c r="BA2" s="95"/>
      <c r="BB2" s="95"/>
      <c r="BC2" s="95"/>
    </row>
    <row r="3" spans="1:55" s="26" customFormat="1" ht="13.2">
      <c r="A3" s="108"/>
      <c r="B3" s="108"/>
      <c r="C3" s="108"/>
      <c r="D3" s="108"/>
      <c r="E3" s="108"/>
      <c r="F3" s="108"/>
      <c r="G3" s="108"/>
      <c r="H3" s="108"/>
      <c r="I3" s="108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63"/>
      <c r="AP3" s="63"/>
      <c r="AQ3" s="63"/>
      <c r="AR3" s="63"/>
      <c r="AS3" s="63"/>
      <c r="AT3" s="94"/>
      <c r="AU3" s="94"/>
      <c r="AV3" s="94"/>
      <c r="AW3" s="94"/>
      <c r="AX3" s="94"/>
      <c r="AY3" s="95"/>
      <c r="AZ3" s="95"/>
      <c r="BA3" s="95"/>
      <c r="BB3" s="95"/>
      <c r="BC3" s="95"/>
    </row>
    <row r="4" spans="1:5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2">
      <c r="B5" s="37" t="s">
        <v>37</v>
      </c>
    </row>
    <row r="6" spans="1:55" s="33" customFormat="1" ht="12">
      <c r="A6" s="35"/>
      <c r="B6" s="35"/>
      <c r="C6" s="35" t="s">
        <v>38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2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2">
      <c r="A8" s="35"/>
      <c r="B8" s="139" t="s">
        <v>39</v>
      </c>
      <c r="C8" s="139"/>
      <c r="D8" s="139"/>
      <c r="E8" s="139"/>
      <c r="F8" s="139"/>
      <c r="G8" s="140" t="s">
        <v>40</v>
      </c>
      <c r="H8" s="140"/>
      <c r="I8" s="140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2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2">
      <c r="A10" s="35"/>
      <c r="B10" s="35" t="s">
        <v>41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2">
      <c r="A11" s="35"/>
      <c r="B11" s="105" t="s">
        <v>28</v>
      </c>
      <c r="C11" s="105"/>
      <c r="D11" s="105" t="s">
        <v>42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 t="s">
        <v>43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 t="s">
        <v>44</v>
      </c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35"/>
    </row>
    <row r="12" spans="1:55" s="33" customFormat="1" ht="12">
      <c r="A12" s="35"/>
      <c r="B12" s="105"/>
      <c r="C12" s="105"/>
      <c r="D12" s="105" t="s">
        <v>30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31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35"/>
    </row>
    <row r="13" spans="1:55" s="33" customFormat="1" ht="12">
      <c r="A13" s="35"/>
      <c r="B13" s="100">
        <v>1</v>
      </c>
      <c r="C13" s="100"/>
      <c r="D13" s="137" t="s">
        <v>45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 t="s">
        <v>46</v>
      </c>
      <c r="O13" s="137"/>
      <c r="P13" s="137"/>
      <c r="Q13" s="137"/>
      <c r="R13" s="137"/>
      <c r="S13" s="137"/>
      <c r="T13" s="137"/>
      <c r="U13" s="137"/>
      <c r="V13" s="137"/>
      <c r="W13" s="137"/>
      <c r="X13" s="137" t="s">
        <v>47</v>
      </c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 t="s">
        <v>47</v>
      </c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35"/>
    </row>
    <row r="14" spans="1:55" s="33" customFormat="1" ht="12">
      <c r="A14" s="35"/>
      <c r="B14" s="100">
        <v>2</v>
      </c>
      <c r="C14" s="100"/>
      <c r="D14" s="137" t="s">
        <v>48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 t="s">
        <v>49</v>
      </c>
      <c r="O14" s="137"/>
      <c r="P14" s="137"/>
      <c r="Q14" s="137"/>
      <c r="R14" s="137"/>
      <c r="S14" s="137"/>
      <c r="T14" s="137"/>
      <c r="U14" s="137"/>
      <c r="V14" s="137"/>
      <c r="W14" s="137"/>
      <c r="X14" s="137" t="s">
        <v>47</v>
      </c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 t="s">
        <v>47</v>
      </c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35"/>
    </row>
    <row r="15" spans="1:55" s="33" customFormat="1" ht="12">
      <c r="A15" s="35"/>
      <c r="B15" s="100">
        <v>3</v>
      </c>
      <c r="C15" s="100"/>
      <c r="D15" s="137" t="s">
        <v>50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 t="s">
        <v>51</v>
      </c>
      <c r="O15" s="137"/>
      <c r="P15" s="137"/>
      <c r="Q15" s="137"/>
      <c r="R15" s="137"/>
      <c r="S15" s="137"/>
      <c r="T15" s="137"/>
      <c r="U15" s="137"/>
      <c r="V15" s="137"/>
      <c r="W15" s="137"/>
      <c r="X15" s="137" t="s">
        <v>47</v>
      </c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 t="s">
        <v>47</v>
      </c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35"/>
    </row>
    <row r="16" spans="1:55" s="33" customFormat="1" ht="12">
      <c r="A16" s="35"/>
      <c r="B16" s="100">
        <v>4</v>
      </c>
      <c r="C16" s="100"/>
      <c r="D16" s="137" t="s">
        <v>52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 t="s">
        <v>53</v>
      </c>
      <c r="O16" s="137"/>
      <c r="P16" s="137"/>
      <c r="Q16" s="137"/>
      <c r="R16" s="137"/>
      <c r="S16" s="137"/>
      <c r="T16" s="137"/>
      <c r="U16" s="137"/>
      <c r="V16" s="137"/>
      <c r="W16" s="137"/>
      <c r="X16" s="137" t="s">
        <v>47</v>
      </c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 t="s">
        <v>47</v>
      </c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35"/>
    </row>
    <row r="17" spans="1:55" s="33" customFormat="1" ht="12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 s="33" customFormat="1" ht="12">
      <c r="A18" s="35"/>
      <c r="B18" s="35" t="s">
        <v>54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spans="1:55" s="33" customFormat="1" ht="12">
      <c r="A19" s="35"/>
      <c r="B19" s="138" t="s">
        <v>55</v>
      </c>
      <c r="C19" s="138"/>
      <c r="D19" s="138"/>
      <c r="E19" s="138"/>
      <c r="F19" s="138"/>
      <c r="G19" s="138"/>
      <c r="H19" s="101" t="s">
        <v>56</v>
      </c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</row>
    <row r="20" spans="1:55" s="33" customFormat="1" ht="12">
      <c r="A20" s="35"/>
      <c r="B20" s="105" t="s">
        <v>28</v>
      </c>
      <c r="C20" s="105"/>
      <c r="D20" s="105" t="s">
        <v>42</v>
      </c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 t="s">
        <v>57</v>
      </c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 t="s">
        <v>43</v>
      </c>
      <c r="AN20" s="105"/>
      <c r="AO20" s="105"/>
      <c r="AP20" s="105"/>
      <c r="AQ20" s="105"/>
      <c r="AR20" s="105"/>
      <c r="AS20" s="105"/>
      <c r="AT20" s="105"/>
      <c r="AU20" s="105"/>
      <c r="AV20" s="105" t="s">
        <v>44</v>
      </c>
      <c r="AW20" s="105"/>
      <c r="AX20" s="105"/>
      <c r="AY20" s="105"/>
      <c r="AZ20" s="105"/>
      <c r="BA20" s="105"/>
      <c r="BB20" s="105"/>
    </row>
    <row r="21" spans="1:55" s="33" customFormat="1" ht="12">
      <c r="A21" s="35"/>
      <c r="B21" s="105"/>
      <c r="C21" s="105"/>
      <c r="D21" s="105" t="s">
        <v>30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 t="s">
        <v>31</v>
      </c>
      <c r="P21" s="105"/>
      <c r="Q21" s="105"/>
      <c r="R21" s="105"/>
      <c r="S21" s="105"/>
      <c r="T21" s="105"/>
      <c r="U21" s="105"/>
      <c r="V21" s="105"/>
      <c r="W21" s="105" t="s">
        <v>30</v>
      </c>
      <c r="X21" s="105"/>
      <c r="Y21" s="105"/>
      <c r="Z21" s="105"/>
      <c r="AA21" s="105"/>
      <c r="AB21" s="105"/>
      <c r="AC21" s="105"/>
      <c r="AD21" s="105"/>
      <c r="AE21" s="105" t="s">
        <v>31</v>
      </c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</row>
    <row r="22" spans="1:55" s="33" customFormat="1" ht="12">
      <c r="A22" s="35"/>
      <c r="B22" s="124">
        <f t="shared" ref="B22:B43" si="0">ROW()-21</f>
        <v>1</v>
      </c>
      <c r="C22" s="124"/>
      <c r="D22" s="127" t="s">
        <v>45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6" t="s">
        <v>46</v>
      </c>
      <c r="P22" s="126"/>
      <c r="Q22" s="126"/>
      <c r="R22" s="126"/>
      <c r="S22" s="126"/>
      <c r="T22" s="126"/>
      <c r="U22" s="126"/>
      <c r="V22" s="126"/>
      <c r="W22" s="127" t="s">
        <v>58</v>
      </c>
      <c r="X22" s="127"/>
      <c r="Y22" s="127"/>
      <c r="Z22" s="127"/>
      <c r="AA22" s="127"/>
      <c r="AB22" s="127"/>
      <c r="AC22" s="127"/>
      <c r="AD22" s="127"/>
      <c r="AE22" s="127" t="s">
        <v>59</v>
      </c>
      <c r="AF22" s="127"/>
      <c r="AG22" s="127"/>
      <c r="AH22" s="127"/>
      <c r="AI22" s="127"/>
      <c r="AJ22" s="127"/>
      <c r="AK22" s="127"/>
      <c r="AL22" s="127"/>
      <c r="AM22" s="128"/>
      <c r="AN22" s="128"/>
      <c r="AO22" s="128"/>
      <c r="AP22" s="128"/>
      <c r="AQ22" s="128"/>
      <c r="AR22" s="128"/>
      <c r="AS22" s="128"/>
      <c r="AT22" s="128"/>
      <c r="AU22" s="128"/>
      <c r="AV22" s="127" t="s">
        <v>47</v>
      </c>
      <c r="AW22" s="127"/>
      <c r="AX22" s="127"/>
      <c r="AY22" s="127"/>
      <c r="AZ22" s="127"/>
      <c r="BA22" s="127"/>
      <c r="BB22" s="127"/>
    </row>
    <row r="23" spans="1:55" s="33" customFormat="1" ht="12">
      <c r="A23" s="35"/>
      <c r="B23" s="124">
        <f t="shared" si="0"/>
        <v>2</v>
      </c>
      <c r="C23" s="124"/>
      <c r="D23" s="127" t="s">
        <v>60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6" t="s">
        <v>61</v>
      </c>
      <c r="P23" s="126"/>
      <c r="Q23" s="126"/>
      <c r="R23" s="126"/>
      <c r="S23" s="126"/>
      <c r="T23" s="126"/>
      <c r="U23" s="126"/>
      <c r="V23" s="126"/>
      <c r="W23" s="127" t="s">
        <v>58</v>
      </c>
      <c r="X23" s="127"/>
      <c r="Y23" s="127"/>
      <c r="Z23" s="127"/>
      <c r="AA23" s="127"/>
      <c r="AB23" s="127"/>
      <c r="AC23" s="127"/>
      <c r="AD23" s="127"/>
      <c r="AE23" s="127" t="s">
        <v>59</v>
      </c>
      <c r="AF23" s="127"/>
      <c r="AG23" s="127"/>
      <c r="AH23" s="127"/>
      <c r="AI23" s="127"/>
      <c r="AJ23" s="127"/>
      <c r="AK23" s="127"/>
      <c r="AL23" s="127"/>
      <c r="AM23" s="128"/>
      <c r="AN23" s="128"/>
      <c r="AO23" s="128"/>
      <c r="AP23" s="128"/>
      <c r="AQ23" s="128"/>
      <c r="AR23" s="128"/>
      <c r="AS23" s="128"/>
      <c r="AT23" s="128"/>
      <c r="AU23" s="128"/>
      <c r="AV23" s="127"/>
      <c r="AW23" s="127"/>
      <c r="AX23" s="127"/>
      <c r="AY23" s="127"/>
      <c r="AZ23" s="127"/>
      <c r="BA23" s="127"/>
      <c r="BB23" s="127"/>
    </row>
    <row r="24" spans="1:55" s="33" customFormat="1" ht="12">
      <c r="A24" s="35"/>
      <c r="B24" s="124">
        <f t="shared" si="0"/>
        <v>3</v>
      </c>
      <c r="C24" s="124"/>
      <c r="D24" s="127" t="s">
        <v>62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6" t="s">
        <v>63</v>
      </c>
      <c r="P24" s="126"/>
      <c r="Q24" s="126"/>
      <c r="R24" s="126"/>
      <c r="S24" s="126"/>
      <c r="T24" s="126"/>
      <c r="U24" s="126"/>
      <c r="V24" s="126"/>
      <c r="W24" s="127" t="s">
        <v>58</v>
      </c>
      <c r="X24" s="127"/>
      <c r="Y24" s="127"/>
      <c r="Z24" s="127"/>
      <c r="AA24" s="127"/>
      <c r="AB24" s="127"/>
      <c r="AC24" s="127"/>
      <c r="AD24" s="127"/>
      <c r="AE24" s="127" t="s">
        <v>59</v>
      </c>
      <c r="AF24" s="127"/>
      <c r="AG24" s="127"/>
      <c r="AH24" s="127"/>
      <c r="AI24" s="127"/>
      <c r="AJ24" s="127"/>
      <c r="AK24" s="127"/>
      <c r="AL24" s="127"/>
      <c r="AM24" s="128"/>
      <c r="AN24" s="128"/>
      <c r="AO24" s="128"/>
      <c r="AP24" s="128"/>
      <c r="AQ24" s="128"/>
      <c r="AR24" s="128"/>
      <c r="AS24" s="128"/>
      <c r="AT24" s="128"/>
      <c r="AU24" s="128"/>
      <c r="AV24" s="127"/>
      <c r="AW24" s="127"/>
      <c r="AX24" s="127"/>
      <c r="AY24" s="127"/>
      <c r="AZ24" s="127"/>
      <c r="BA24" s="127"/>
      <c r="BB24" s="127"/>
    </row>
    <row r="25" spans="1:55" s="33" customFormat="1" ht="12">
      <c r="A25" s="35"/>
      <c r="B25" s="124">
        <f t="shared" si="0"/>
        <v>4</v>
      </c>
      <c r="C25" s="124"/>
      <c r="D25" s="127" t="s">
        <v>64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6" t="s">
        <v>65</v>
      </c>
      <c r="P25" s="126"/>
      <c r="Q25" s="126"/>
      <c r="R25" s="126"/>
      <c r="S25" s="126"/>
      <c r="T25" s="126"/>
      <c r="U25" s="126"/>
      <c r="V25" s="126"/>
      <c r="W25" s="127" t="s">
        <v>58</v>
      </c>
      <c r="X25" s="127"/>
      <c r="Y25" s="127"/>
      <c r="Z25" s="127"/>
      <c r="AA25" s="127"/>
      <c r="AB25" s="127"/>
      <c r="AC25" s="127"/>
      <c r="AD25" s="127"/>
      <c r="AE25" s="127" t="s">
        <v>59</v>
      </c>
      <c r="AF25" s="127"/>
      <c r="AG25" s="127"/>
      <c r="AH25" s="127"/>
      <c r="AI25" s="127"/>
      <c r="AJ25" s="127"/>
      <c r="AK25" s="127"/>
      <c r="AL25" s="127"/>
      <c r="AM25" s="128"/>
      <c r="AN25" s="128"/>
      <c r="AO25" s="128"/>
      <c r="AP25" s="128"/>
      <c r="AQ25" s="128"/>
      <c r="AR25" s="128"/>
      <c r="AS25" s="128"/>
      <c r="AT25" s="128"/>
      <c r="AU25" s="128"/>
      <c r="AV25" s="127"/>
      <c r="AW25" s="127"/>
      <c r="AX25" s="127"/>
      <c r="AY25" s="127"/>
      <c r="AZ25" s="127"/>
      <c r="BA25" s="127"/>
      <c r="BB25" s="127"/>
    </row>
    <row r="26" spans="1:55" s="33" customFormat="1" ht="12">
      <c r="A26" s="35"/>
      <c r="B26" s="124">
        <f t="shared" si="0"/>
        <v>5</v>
      </c>
      <c r="C26" s="124"/>
      <c r="D26" s="127" t="s">
        <v>15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6" t="s">
        <v>66</v>
      </c>
      <c r="P26" s="126"/>
      <c r="Q26" s="126"/>
      <c r="R26" s="126"/>
      <c r="S26" s="126"/>
      <c r="T26" s="126"/>
      <c r="U26" s="126"/>
      <c r="V26" s="126"/>
      <c r="W26" s="127" t="s">
        <v>58</v>
      </c>
      <c r="X26" s="127"/>
      <c r="Y26" s="127"/>
      <c r="Z26" s="127"/>
      <c r="AA26" s="127"/>
      <c r="AB26" s="127"/>
      <c r="AC26" s="127"/>
      <c r="AD26" s="127"/>
      <c r="AE26" s="127" t="s">
        <v>59</v>
      </c>
      <c r="AF26" s="127"/>
      <c r="AG26" s="127"/>
      <c r="AH26" s="127"/>
      <c r="AI26" s="127"/>
      <c r="AJ26" s="127"/>
      <c r="AK26" s="127"/>
      <c r="AL26" s="127"/>
      <c r="AM26" s="128"/>
      <c r="AN26" s="128"/>
      <c r="AO26" s="128"/>
      <c r="AP26" s="128"/>
      <c r="AQ26" s="128"/>
      <c r="AR26" s="128"/>
      <c r="AS26" s="128"/>
      <c r="AT26" s="128"/>
      <c r="AU26" s="128"/>
      <c r="AV26" s="127"/>
      <c r="AW26" s="127"/>
      <c r="AX26" s="127"/>
      <c r="AY26" s="127"/>
      <c r="AZ26" s="127"/>
      <c r="BA26" s="127"/>
      <c r="BB26" s="127"/>
    </row>
    <row r="27" spans="1:55" s="33" customFormat="1" ht="24" customHeight="1">
      <c r="A27" s="35"/>
      <c r="B27" s="124">
        <f t="shared" si="0"/>
        <v>6</v>
      </c>
      <c r="C27" s="124"/>
      <c r="D27" s="125" t="s">
        <v>144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6" t="s">
        <v>67</v>
      </c>
      <c r="P27" s="126"/>
      <c r="Q27" s="126"/>
      <c r="R27" s="126"/>
      <c r="S27" s="126"/>
      <c r="T27" s="126"/>
      <c r="U27" s="126"/>
      <c r="V27" s="126"/>
      <c r="W27" s="127" t="s">
        <v>68</v>
      </c>
      <c r="X27" s="127"/>
      <c r="Y27" s="127"/>
      <c r="Z27" s="127"/>
      <c r="AA27" s="127"/>
      <c r="AB27" s="127"/>
      <c r="AC27" s="127"/>
      <c r="AD27" s="127"/>
      <c r="AE27" s="127" t="s">
        <v>69</v>
      </c>
      <c r="AF27" s="127"/>
      <c r="AG27" s="127"/>
      <c r="AH27" s="127"/>
      <c r="AI27" s="127"/>
      <c r="AJ27" s="127"/>
      <c r="AK27" s="127"/>
      <c r="AL27" s="127"/>
      <c r="AM27" s="128"/>
      <c r="AN27" s="128"/>
      <c r="AO27" s="128"/>
      <c r="AP27" s="128"/>
      <c r="AQ27" s="128"/>
      <c r="AR27" s="128"/>
      <c r="AS27" s="128"/>
      <c r="AT27" s="128"/>
      <c r="AU27" s="128"/>
      <c r="AV27" s="127"/>
      <c r="AW27" s="127"/>
      <c r="AX27" s="127"/>
      <c r="AY27" s="127"/>
      <c r="AZ27" s="127"/>
      <c r="BA27" s="127"/>
      <c r="BB27" s="127"/>
    </row>
    <row r="28" spans="1:55" s="33" customFormat="1" ht="24" customHeight="1">
      <c r="A28" s="35"/>
      <c r="B28" s="124">
        <f t="shared" si="0"/>
        <v>7</v>
      </c>
      <c r="C28" s="124"/>
      <c r="D28" s="125" t="s">
        <v>145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6" t="s">
        <v>70</v>
      </c>
      <c r="P28" s="126"/>
      <c r="Q28" s="126"/>
      <c r="R28" s="126"/>
      <c r="S28" s="126"/>
      <c r="T28" s="126"/>
      <c r="U28" s="126"/>
      <c r="V28" s="126"/>
      <c r="W28" s="127" t="s">
        <v>68</v>
      </c>
      <c r="X28" s="127"/>
      <c r="Y28" s="127"/>
      <c r="Z28" s="127"/>
      <c r="AA28" s="127"/>
      <c r="AB28" s="127"/>
      <c r="AC28" s="127"/>
      <c r="AD28" s="127"/>
      <c r="AE28" s="127" t="s">
        <v>69</v>
      </c>
      <c r="AF28" s="127"/>
      <c r="AG28" s="127"/>
      <c r="AH28" s="127"/>
      <c r="AI28" s="127"/>
      <c r="AJ28" s="127"/>
      <c r="AK28" s="127"/>
      <c r="AL28" s="127"/>
      <c r="AM28" s="128"/>
      <c r="AN28" s="128"/>
      <c r="AO28" s="128"/>
      <c r="AP28" s="128"/>
      <c r="AQ28" s="128"/>
      <c r="AR28" s="128"/>
      <c r="AS28" s="128"/>
      <c r="AT28" s="128"/>
      <c r="AU28" s="128"/>
      <c r="AV28" s="127"/>
      <c r="AW28" s="127"/>
      <c r="AX28" s="127"/>
      <c r="AY28" s="127"/>
      <c r="AZ28" s="127"/>
      <c r="BA28" s="127"/>
      <c r="BB28" s="127"/>
    </row>
    <row r="29" spans="1:55" s="33" customFormat="1" ht="24" customHeight="1">
      <c r="A29" s="35"/>
      <c r="B29" s="124">
        <f t="shared" si="0"/>
        <v>8</v>
      </c>
      <c r="C29" s="124"/>
      <c r="D29" s="125" t="s">
        <v>146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6" t="s">
        <v>71</v>
      </c>
      <c r="P29" s="126"/>
      <c r="Q29" s="126"/>
      <c r="R29" s="126"/>
      <c r="S29" s="126"/>
      <c r="T29" s="126"/>
      <c r="U29" s="126"/>
      <c r="V29" s="126"/>
      <c r="W29" s="127" t="s">
        <v>68</v>
      </c>
      <c r="X29" s="127"/>
      <c r="Y29" s="127"/>
      <c r="Z29" s="127"/>
      <c r="AA29" s="127"/>
      <c r="AB29" s="127"/>
      <c r="AC29" s="127"/>
      <c r="AD29" s="127"/>
      <c r="AE29" s="127" t="s">
        <v>69</v>
      </c>
      <c r="AF29" s="127"/>
      <c r="AG29" s="127"/>
      <c r="AH29" s="127"/>
      <c r="AI29" s="127"/>
      <c r="AJ29" s="127"/>
      <c r="AK29" s="127"/>
      <c r="AL29" s="127"/>
      <c r="AM29" s="128"/>
      <c r="AN29" s="128"/>
      <c r="AO29" s="128"/>
      <c r="AP29" s="128"/>
      <c r="AQ29" s="128"/>
      <c r="AR29" s="128"/>
      <c r="AS29" s="128"/>
      <c r="AT29" s="128"/>
      <c r="AU29" s="128"/>
      <c r="AV29" s="127"/>
      <c r="AW29" s="127"/>
      <c r="AX29" s="127"/>
      <c r="AY29" s="127"/>
      <c r="AZ29" s="127"/>
      <c r="BA29" s="127"/>
      <c r="BB29" s="127"/>
    </row>
    <row r="30" spans="1:55" s="33" customFormat="1" ht="24" customHeight="1">
      <c r="A30" s="35"/>
      <c r="B30" s="124">
        <f t="shared" si="0"/>
        <v>9</v>
      </c>
      <c r="C30" s="124"/>
      <c r="D30" s="125" t="s">
        <v>147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6" t="s">
        <v>72</v>
      </c>
      <c r="P30" s="126"/>
      <c r="Q30" s="126"/>
      <c r="R30" s="126"/>
      <c r="S30" s="126"/>
      <c r="T30" s="126"/>
      <c r="U30" s="126"/>
      <c r="V30" s="126"/>
      <c r="W30" s="127" t="s">
        <v>117</v>
      </c>
      <c r="X30" s="127"/>
      <c r="Y30" s="127"/>
      <c r="Z30" s="127"/>
      <c r="AA30" s="127"/>
      <c r="AB30" s="127"/>
      <c r="AC30" s="127"/>
      <c r="AD30" s="127"/>
      <c r="AE30" s="127" t="s">
        <v>74</v>
      </c>
      <c r="AF30" s="127"/>
      <c r="AG30" s="127"/>
      <c r="AH30" s="127"/>
      <c r="AI30" s="127"/>
      <c r="AJ30" s="127"/>
      <c r="AK30" s="127"/>
      <c r="AL30" s="127"/>
      <c r="AM30" s="128"/>
      <c r="AN30" s="128"/>
      <c r="AO30" s="128"/>
      <c r="AP30" s="128"/>
      <c r="AQ30" s="128"/>
      <c r="AR30" s="128"/>
      <c r="AS30" s="128"/>
      <c r="AT30" s="128"/>
      <c r="AU30" s="128"/>
      <c r="AV30" s="127"/>
      <c r="AW30" s="127"/>
      <c r="AX30" s="127"/>
      <c r="AY30" s="127"/>
      <c r="AZ30" s="127"/>
      <c r="BA30" s="127"/>
      <c r="BB30" s="127"/>
    </row>
    <row r="31" spans="1:55" s="33" customFormat="1" ht="24" customHeight="1">
      <c r="A31" s="35"/>
      <c r="B31" s="124">
        <f t="shared" si="0"/>
        <v>10</v>
      </c>
      <c r="C31" s="124"/>
      <c r="D31" s="125" t="s">
        <v>148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6" t="s">
        <v>75</v>
      </c>
      <c r="P31" s="126"/>
      <c r="Q31" s="126"/>
      <c r="R31" s="126"/>
      <c r="S31" s="126"/>
      <c r="T31" s="126"/>
      <c r="U31" s="126"/>
      <c r="V31" s="126"/>
      <c r="W31" s="127" t="s">
        <v>76</v>
      </c>
      <c r="X31" s="127"/>
      <c r="Y31" s="127"/>
      <c r="Z31" s="127"/>
      <c r="AA31" s="127"/>
      <c r="AB31" s="127"/>
      <c r="AC31" s="127"/>
      <c r="AD31" s="127"/>
      <c r="AE31" s="127" t="s">
        <v>118</v>
      </c>
      <c r="AF31" s="127"/>
      <c r="AG31" s="127"/>
      <c r="AH31" s="127"/>
      <c r="AI31" s="127"/>
      <c r="AJ31" s="127"/>
      <c r="AK31" s="127"/>
      <c r="AL31" s="127"/>
      <c r="AM31" s="128"/>
      <c r="AN31" s="128"/>
      <c r="AO31" s="128"/>
      <c r="AP31" s="128"/>
      <c r="AQ31" s="128"/>
      <c r="AR31" s="128"/>
      <c r="AS31" s="128"/>
      <c r="AT31" s="128"/>
      <c r="AU31" s="128"/>
      <c r="AV31" s="127"/>
      <c r="AW31" s="127"/>
      <c r="AX31" s="127"/>
      <c r="AY31" s="127"/>
      <c r="AZ31" s="127"/>
      <c r="BA31" s="127"/>
      <c r="BB31" s="127"/>
    </row>
    <row r="32" spans="1:55" s="33" customFormat="1" ht="24" customHeight="1">
      <c r="A32" s="35"/>
      <c r="B32" s="124">
        <f t="shared" si="0"/>
        <v>11</v>
      </c>
      <c r="C32" s="124"/>
      <c r="D32" s="125" t="s">
        <v>149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6" t="s">
        <v>78</v>
      </c>
      <c r="P32" s="126"/>
      <c r="Q32" s="126"/>
      <c r="R32" s="126"/>
      <c r="S32" s="126"/>
      <c r="T32" s="126"/>
      <c r="U32" s="126"/>
      <c r="V32" s="126"/>
      <c r="W32" s="127" t="s">
        <v>76</v>
      </c>
      <c r="X32" s="127"/>
      <c r="Y32" s="127"/>
      <c r="Z32" s="127"/>
      <c r="AA32" s="127"/>
      <c r="AB32" s="127"/>
      <c r="AC32" s="127"/>
      <c r="AD32" s="127"/>
      <c r="AE32" s="127" t="s">
        <v>77</v>
      </c>
      <c r="AF32" s="127"/>
      <c r="AG32" s="127"/>
      <c r="AH32" s="127"/>
      <c r="AI32" s="127"/>
      <c r="AJ32" s="127"/>
      <c r="AK32" s="127"/>
      <c r="AL32" s="127"/>
      <c r="AM32" s="128"/>
      <c r="AN32" s="128"/>
      <c r="AO32" s="128"/>
      <c r="AP32" s="128"/>
      <c r="AQ32" s="128"/>
      <c r="AR32" s="128"/>
      <c r="AS32" s="128"/>
      <c r="AT32" s="128"/>
      <c r="AU32" s="128"/>
      <c r="AV32" s="127"/>
      <c r="AW32" s="127"/>
      <c r="AX32" s="127"/>
      <c r="AY32" s="127"/>
      <c r="AZ32" s="127"/>
      <c r="BA32" s="127"/>
      <c r="BB32" s="127"/>
    </row>
    <row r="33" spans="1:56" s="33" customFormat="1" ht="24" customHeight="1">
      <c r="A33" s="35"/>
      <c r="B33" s="124">
        <f t="shared" si="0"/>
        <v>12</v>
      </c>
      <c r="C33" s="124"/>
      <c r="D33" s="125" t="s">
        <v>150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6" t="s">
        <v>79</v>
      </c>
      <c r="P33" s="126"/>
      <c r="Q33" s="126"/>
      <c r="R33" s="126"/>
      <c r="S33" s="126"/>
      <c r="T33" s="126"/>
      <c r="U33" s="126"/>
      <c r="V33" s="126"/>
      <c r="W33" s="127" t="s">
        <v>76</v>
      </c>
      <c r="X33" s="127"/>
      <c r="Y33" s="127"/>
      <c r="Z33" s="127"/>
      <c r="AA33" s="127"/>
      <c r="AB33" s="127"/>
      <c r="AC33" s="127"/>
      <c r="AD33" s="127"/>
      <c r="AE33" s="127" t="s">
        <v>77</v>
      </c>
      <c r="AF33" s="127"/>
      <c r="AG33" s="127"/>
      <c r="AH33" s="127"/>
      <c r="AI33" s="127"/>
      <c r="AJ33" s="127"/>
      <c r="AK33" s="127"/>
      <c r="AL33" s="127"/>
      <c r="AM33" s="128"/>
      <c r="AN33" s="128"/>
      <c r="AO33" s="128"/>
      <c r="AP33" s="128"/>
      <c r="AQ33" s="128"/>
      <c r="AR33" s="128"/>
      <c r="AS33" s="128"/>
      <c r="AT33" s="128"/>
      <c r="AU33" s="128"/>
      <c r="AV33" s="127"/>
      <c r="AW33" s="127"/>
      <c r="AX33" s="127"/>
      <c r="AY33" s="127"/>
      <c r="AZ33" s="127"/>
      <c r="BA33" s="127"/>
      <c r="BB33" s="127"/>
    </row>
    <row r="34" spans="1:56" s="33" customFormat="1" ht="24" customHeight="1">
      <c r="A34" s="35"/>
      <c r="B34" s="124">
        <f t="shared" si="0"/>
        <v>13</v>
      </c>
      <c r="C34" s="124"/>
      <c r="D34" s="125" t="s">
        <v>151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 t="s">
        <v>80</v>
      </c>
      <c r="P34" s="126"/>
      <c r="Q34" s="126"/>
      <c r="R34" s="126"/>
      <c r="S34" s="126"/>
      <c r="T34" s="126"/>
      <c r="U34" s="126"/>
      <c r="V34" s="126"/>
      <c r="W34" s="127" t="s">
        <v>121</v>
      </c>
      <c r="X34" s="127"/>
      <c r="Y34" s="127"/>
      <c r="Z34" s="127"/>
      <c r="AA34" s="127"/>
      <c r="AB34" s="127"/>
      <c r="AC34" s="127"/>
      <c r="AD34" s="127"/>
      <c r="AE34" s="127" t="s">
        <v>74</v>
      </c>
      <c r="AF34" s="127"/>
      <c r="AG34" s="127"/>
      <c r="AH34" s="127"/>
      <c r="AI34" s="127"/>
      <c r="AJ34" s="127"/>
      <c r="AK34" s="127"/>
      <c r="AL34" s="127"/>
      <c r="AM34" s="128"/>
      <c r="AN34" s="128"/>
      <c r="AO34" s="128"/>
      <c r="AP34" s="128"/>
      <c r="AQ34" s="128"/>
      <c r="AR34" s="128"/>
      <c r="AS34" s="128"/>
      <c r="AT34" s="128"/>
      <c r="AU34" s="128"/>
      <c r="AV34" s="127"/>
      <c r="AW34" s="127"/>
      <c r="AX34" s="127"/>
      <c r="AY34" s="127"/>
      <c r="AZ34" s="127"/>
      <c r="BA34" s="127"/>
      <c r="BB34" s="127"/>
    </row>
    <row r="35" spans="1:56" s="45" customFormat="1" ht="55.05" customHeight="1">
      <c r="A35" s="44"/>
      <c r="B35" s="134">
        <f t="shared" si="0"/>
        <v>14</v>
      </c>
      <c r="C35" s="134"/>
      <c r="D35" s="125" t="s">
        <v>152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 t="s">
        <v>81</v>
      </c>
      <c r="P35" s="126"/>
      <c r="Q35" s="126"/>
      <c r="R35" s="126"/>
      <c r="S35" s="126"/>
      <c r="T35" s="126"/>
      <c r="U35" s="126"/>
      <c r="V35" s="126"/>
      <c r="W35" s="135" t="s">
        <v>47</v>
      </c>
      <c r="X35" s="135"/>
      <c r="Y35" s="135"/>
      <c r="Z35" s="135"/>
      <c r="AA35" s="135"/>
      <c r="AB35" s="135"/>
      <c r="AC35" s="135"/>
      <c r="AD35" s="135"/>
      <c r="AE35" s="135" t="s">
        <v>47</v>
      </c>
      <c r="AF35" s="135"/>
      <c r="AG35" s="135"/>
      <c r="AH35" s="135"/>
      <c r="AI35" s="135"/>
      <c r="AJ35" s="135"/>
      <c r="AK35" s="135"/>
      <c r="AL35" s="135"/>
      <c r="AM35" s="136" t="s">
        <v>124</v>
      </c>
      <c r="AN35" s="136"/>
      <c r="AO35" s="136"/>
      <c r="AP35" s="136"/>
      <c r="AQ35" s="136"/>
      <c r="AR35" s="136"/>
      <c r="AS35" s="136"/>
      <c r="AT35" s="136"/>
      <c r="AU35" s="136"/>
      <c r="AV35" s="135"/>
      <c r="AW35" s="135"/>
      <c r="AX35" s="135"/>
      <c r="AY35" s="135"/>
      <c r="AZ35" s="135"/>
      <c r="BA35" s="135"/>
      <c r="BB35" s="135"/>
    </row>
    <row r="36" spans="1:56" s="45" customFormat="1" ht="55.05" customHeight="1">
      <c r="A36" s="44"/>
      <c r="B36" s="129">
        <f t="shared" si="0"/>
        <v>15</v>
      </c>
      <c r="C36" s="129"/>
      <c r="D36" s="130" t="s">
        <v>119</v>
      </c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1" t="s">
        <v>120</v>
      </c>
      <c r="P36" s="131"/>
      <c r="Q36" s="131"/>
      <c r="R36" s="131"/>
      <c r="S36" s="131"/>
      <c r="T36" s="131"/>
      <c r="U36" s="131"/>
      <c r="V36" s="131"/>
      <c r="W36" s="130" t="s">
        <v>47</v>
      </c>
      <c r="X36" s="130"/>
      <c r="Y36" s="130"/>
      <c r="Z36" s="130"/>
      <c r="AA36" s="130"/>
      <c r="AB36" s="130"/>
      <c r="AC36" s="130"/>
      <c r="AD36" s="130"/>
      <c r="AE36" s="130" t="s">
        <v>47</v>
      </c>
      <c r="AF36" s="130"/>
      <c r="AG36" s="130"/>
      <c r="AH36" s="130"/>
      <c r="AI36" s="130"/>
      <c r="AJ36" s="130"/>
      <c r="AK36" s="130"/>
      <c r="AL36" s="130"/>
      <c r="AM36" s="132" t="s">
        <v>156</v>
      </c>
      <c r="AN36" s="132"/>
      <c r="AO36" s="132"/>
      <c r="AP36" s="132"/>
      <c r="AQ36" s="132"/>
      <c r="AR36" s="132"/>
      <c r="AS36" s="132"/>
      <c r="AT36" s="132"/>
      <c r="AU36" s="132"/>
      <c r="AV36" s="133"/>
      <c r="AW36" s="133"/>
      <c r="AX36" s="133"/>
      <c r="AY36" s="133"/>
      <c r="AZ36" s="133"/>
      <c r="BA36" s="133"/>
      <c r="BB36" s="133"/>
      <c r="BD36" s="46" t="s">
        <v>134</v>
      </c>
    </row>
    <row r="37" spans="1:56" s="33" customFormat="1" ht="25.95" customHeight="1">
      <c r="A37" s="35"/>
      <c r="B37" s="124">
        <f t="shared" si="0"/>
        <v>16</v>
      </c>
      <c r="C37" s="124"/>
      <c r="D37" s="125" t="s">
        <v>153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 t="s">
        <v>131</v>
      </c>
      <c r="P37" s="126"/>
      <c r="Q37" s="126"/>
      <c r="R37" s="126"/>
      <c r="S37" s="126"/>
      <c r="T37" s="126"/>
      <c r="U37" s="126"/>
      <c r="V37" s="126"/>
      <c r="W37" s="127" t="s">
        <v>82</v>
      </c>
      <c r="X37" s="127"/>
      <c r="Y37" s="127"/>
      <c r="Z37" s="127"/>
      <c r="AA37" s="127"/>
      <c r="AB37" s="127"/>
      <c r="AC37" s="127"/>
      <c r="AD37" s="127"/>
      <c r="AE37" s="127" t="s">
        <v>83</v>
      </c>
      <c r="AF37" s="127"/>
      <c r="AG37" s="127"/>
      <c r="AH37" s="127"/>
      <c r="AI37" s="127"/>
      <c r="AJ37" s="127"/>
      <c r="AK37" s="127"/>
      <c r="AL37" s="127"/>
      <c r="AM37" s="128"/>
      <c r="AN37" s="128"/>
      <c r="AO37" s="128"/>
      <c r="AP37" s="128"/>
      <c r="AQ37" s="128"/>
      <c r="AR37" s="128"/>
      <c r="AS37" s="128"/>
      <c r="AT37" s="128"/>
      <c r="AU37" s="128"/>
      <c r="AV37" s="127"/>
      <c r="AW37" s="127"/>
      <c r="AX37" s="127"/>
      <c r="AY37" s="127"/>
      <c r="AZ37" s="127"/>
      <c r="BA37" s="127"/>
      <c r="BB37" s="127"/>
    </row>
    <row r="38" spans="1:56" s="33" customFormat="1" ht="25.95" customHeight="1">
      <c r="A38" s="35"/>
      <c r="B38" s="124">
        <f t="shared" si="0"/>
        <v>17</v>
      </c>
      <c r="C38" s="124"/>
      <c r="D38" s="125" t="s">
        <v>154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 t="s">
        <v>84</v>
      </c>
      <c r="P38" s="126"/>
      <c r="Q38" s="126"/>
      <c r="R38" s="126"/>
      <c r="S38" s="126"/>
      <c r="T38" s="126"/>
      <c r="U38" s="126"/>
      <c r="V38" s="126"/>
      <c r="W38" s="127" t="s">
        <v>85</v>
      </c>
      <c r="X38" s="127"/>
      <c r="Y38" s="127"/>
      <c r="Z38" s="127"/>
      <c r="AA38" s="127"/>
      <c r="AB38" s="127"/>
      <c r="AC38" s="127"/>
      <c r="AD38" s="127"/>
      <c r="AE38" s="127" t="s">
        <v>86</v>
      </c>
      <c r="AF38" s="127"/>
      <c r="AG38" s="127"/>
      <c r="AH38" s="127"/>
      <c r="AI38" s="127"/>
      <c r="AJ38" s="127"/>
      <c r="AK38" s="127"/>
      <c r="AL38" s="127"/>
      <c r="AM38" s="128"/>
      <c r="AN38" s="128"/>
      <c r="AO38" s="128"/>
      <c r="AP38" s="128"/>
      <c r="AQ38" s="128"/>
      <c r="AR38" s="128"/>
      <c r="AS38" s="128"/>
      <c r="AT38" s="128"/>
      <c r="AU38" s="128"/>
      <c r="AV38" s="127"/>
      <c r="AW38" s="127"/>
      <c r="AX38" s="127"/>
      <c r="AY38" s="127"/>
      <c r="AZ38" s="127"/>
      <c r="BA38" s="127"/>
      <c r="BB38" s="127"/>
    </row>
    <row r="39" spans="1:56" s="33" customFormat="1" ht="25.95" customHeight="1">
      <c r="A39" s="35"/>
      <c r="B39" s="124">
        <f t="shared" si="0"/>
        <v>18</v>
      </c>
      <c r="C39" s="124"/>
      <c r="D39" s="125" t="s">
        <v>155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 t="s">
        <v>87</v>
      </c>
      <c r="P39" s="126"/>
      <c r="Q39" s="126"/>
      <c r="R39" s="126"/>
      <c r="S39" s="126"/>
      <c r="T39" s="126"/>
      <c r="U39" s="126"/>
      <c r="V39" s="126"/>
      <c r="W39" s="127" t="s">
        <v>82</v>
      </c>
      <c r="X39" s="127"/>
      <c r="Y39" s="127"/>
      <c r="Z39" s="127"/>
      <c r="AA39" s="127"/>
      <c r="AB39" s="127"/>
      <c r="AC39" s="127"/>
      <c r="AD39" s="127"/>
      <c r="AE39" s="127" t="s">
        <v>83</v>
      </c>
      <c r="AF39" s="127"/>
      <c r="AG39" s="127"/>
      <c r="AH39" s="127"/>
      <c r="AI39" s="127"/>
      <c r="AJ39" s="127"/>
      <c r="AK39" s="127"/>
      <c r="AL39" s="127"/>
      <c r="AM39" s="128"/>
      <c r="AN39" s="128"/>
      <c r="AO39" s="128"/>
      <c r="AP39" s="128"/>
      <c r="AQ39" s="128"/>
      <c r="AR39" s="128"/>
      <c r="AS39" s="128"/>
      <c r="AT39" s="128"/>
      <c r="AU39" s="128"/>
      <c r="AV39" s="127"/>
      <c r="AW39" s="127"/>
      <c r="AX39" s="127"/>
      <c r="AY39" s="127"/>
      <c r="AZ39" s="127"/>
      <c r="BA39" s="127"/>
      <c r="BB39" s="127"/>
    </row>
    <row r="40" spans="1:56" s="33" customFormat="1" ht="25.8" customHeight="1">
      <c r="A40" s="35"/>
      <c r="B40" s="124">
        <f t="shared" si="0"/>
        <v>19</v>
      </c>
      <c r="C40" s="124"/>
      <c r="D40" s="125" t="s">
        <v>125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6" t="s">
        <v>122</v>
      </c>
      <c r="P40" s="126"/>
      <c r="Q40" s="126"/>
      <c r="R40" s="126"/>
      <c r="S40" s="126"/>
      <c r="T40" s="126"/>
      <c r="U40" s="126"/>
      <c r="V40" s="126"/>
      <c r="W40" s="127" t="s">
        <v>88</v>
      </c>
      <c r="X40" s="127"/>
      <c r="Y40" s="127"/>
      <c r="Z40" s="127"/>
      <c r="AA40" s="127"/>
      <c r="AB40" s="127"/>
      <c r="AC40" s="127"/>
      <c r="AD40" s="127"/>
      <c r="AE40" s="127" t="s">
        <v>89</v>
      </c>
      <c r="AF40" s="127"/>
      <c r="AG40" s="127"/>
      <c r="AH40" s="127"/>
      <c r="AI40" s="127"/>
      <c r="AJ40" s="127"/>
      <c r="AK40" s="127"/>
      <c r="AL40" s="127"/>
      <c r="AM40" s="128" t="s">
        <v>47</v>
      </c>
      <c r="AN40" s="128"/>
      <c r="AO40" s="128"/>
      <c r="AP40" s="128"/>
      <c r="AQ40" s="128"/>
      <c r="AR40" s="128"/>
      <c r="AS40" s="128"/>
      <c r="AT40" s="128"/>
      <c r="AU40" s="128"/>
      <c r="AV40" s="127" t="s">
        <v>47</v>
      </c>
      <c r="AW40" s="127"/>
      <c r="AX40" s="127"/>
      <c r="AY40" s="127"/>
      <c r="AZ40" s="127"/>
      <c r="BA40" s="127"/>
      <c r="BB40" s="127"/>
    </row>
    <row r="41" spans="1:56" s="33" customFormat="1" ht="25.8" customHeight="1">
      <c r="A41" s="35"/>
      <c r="B41" s="124">
        <f t="shared" si="0"/>
        <v>20</v>
      </c>
      <c r="C41" s="124"/>
      <c r="D41" s="125" t="s">
        <v>126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6" t="s">
        <v>90</v>
      </c>
      <c r="P41" s="126"/>
      <c r="Q41" s="126"/>
      <c r="R41" s="126"/>
      <c r="S41" s="126"/>
      <c r="T41" s="126"/>
      <c r="U41" s="126"/>
      <c r="V41" s="126"/>
      <c r="W41" s="127" t="s">
        <v>88</v>
      </c>
      <c r="X41" s="127"/>
      <c r="Y41" s="127"/>
      <c r="Z41" s="127"/>
      <c r="AA41" s="127"/>
      <c r="AB41" s="127"/>
      <c r="AC41" s="127"/>
      <c r="AD41" s="127"/>
      <c r="AE41" s="127" t="s">
        <v>89</v>
      </c>
      <c r="AF41" s="127"/>
      <c r="AG41" s="127"/>
      <c r="AH41" s="127"/>
      <c r="AI41" s="127"/>
      <c r="AJ41" s="127"/>
      <c r="AK41" s="127"/>
      <c r="AL41" s="127"/>
      <c r="AM41" s="128" t="s">
        <v>47</v>
      </c>
      <c r="AN41" s="128"/>
      <c r="AO41" s="128"/>
      <c r="AP41" s="128"/>
      <c r="AQ41" s="128"/>
      <c r="AR41" s="128"/>
      <c r="AS41" s="128"/>
      <c r="AT41" s="128"/>
      <c r="AU41" s="128"/>
      <c r="AV41" s="127" t="s">
        <v>47</v>
      </c>
      <c r="AW41" s="127"/>
      <c r="AX41" s="127"/>
      <c r="AY41" s="127"/>
      <c r="AZ41" s="127"/>
      <c r="BA41" s="127"/>
      <c r="BB41" s="127"/>
    </row>
    <row r="42" spans="1:56" s="33" customFormat="1" ht="25.8" customHeight="1">
      <c r="A42" s="35"/>
      <c r="B42" s="124">
        <f t="shared" si="0"/>
        <v>21</v>
      </c>
      <c r="C42" s="124"/>
      <c r="D42" s="125" t="s">
        <v>127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6" t="s">
        <v>132</v>
      </c>
      <c r="P42" s="126"/>
      <c r="Q42" s="126"/>
      <c r="R42" s="126"/>
      <c r="S42" s="126"/>
      <c r="T42" s="126"/>
      <c r="U42" s="126"/>
      <c r="V42" s="126"/>
      <c r="W42" s="127" t="s">
        <v>91</v>
      </c>
      <c r="X42" s="127"/>
      <c r="Y42" s="127"/>
      <c r="Z42" s="127"/>
      <c r="AA42" s="127"/>
      <c r="AB42" s="127"/>
      <c r="AC42" s="127"/>
      <c r="AD42" s="127"/>
      <c r="AE42" s="127" t="s">
        <v>92</v>
      </c>
      <c r="AF42" s="127"/>
      <c r="AG42" s="127"/>
      <c r="AH42" s="127"/>
      <c r="AI42" s="127"/>
      <c r="AJ42" s="127"/>
      <c r="AK42" s="127"/>
      <c r="AL42" s="127"/>
      <c r="AM42" s="128" t="s">
        <v>47</v>
      </c>
      <c r="AN42" s="128"/>
      <c r="AO42" s="128"/>
      <c r="AP42" s="128"/>
      <c r="AQ42" s="128"/>
      <c r="AR42" s="128"/>
      <c r="AS42" s="128"/>
      <c r="AT42" s="128"/>
      <c r="AU42" s="128"/>
      <c r="AV42" s="127" t="s">
        <v>47</v>
      </c>
      <c r="AW42" s="127"/>
      <c r="AX42" s="127"/>
      <c r="AY42" s="127"/>
      <c r="AZ42" s="127"/>
      <c r="BA42" s="127"/>
      <c r="BB42" s="127"/>
    </row>
    <row r="43" spans="1:56" s="33" customFormat="1" ht="25.8" customHeight="1">
      <c r="A43" s="35"/>
      <c r="B43" s="124">
        <f t="shared" si="0"/>
        <v>22</v>
      </c>
      <c r="C43" s="124"/>
      <c r="D43" s="125" t="s">
        <v>128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6" t="s">
        <v>93</v>
      </c>
      <c r="P43" s="126"/>
      <c r="Q43" s="126"/>
      <c r="R43" s="126"/>
      <c r="S43" s="126"/>
      <c r="T43" s="126"/>
      <c r="U43" s="126"/>
      <c r="V43" s="126"/>
      <c r="W43" s="127" t="s">
        <v>91</v>
      </c>
      <c r="X43" s="127"/>
      <c r="Y43" s="127"/>
      <c r="Z43" s="127"/>
      <c r="AA43" s="127"/>
      <c r="AB43" s="127"/>
      <c r="AC43" s="127"/>
      <c r="AD43" s="127"/>
      <c r="AE43" s="127" t="s">
        <v>92</v>
      </c>
      <c r="AF43" s="127"/>
      <c r="AG43" s="127"/>
      <c r="AH43" s="127"/>
      <c r="AI43" s="127"/>
      <c r="AJ43" s="127"/>
      <c r="AK43" s="127"/>
      <c r="AL43" s="127"/>
      <c r="AM43" s="128" t="s">
        <v>47</v>
      </c>
      <c r="AN43" s="128"/>
      <c r="AO43" s="128"/>
      <c r="AP43" s="128"/>
      <c r="AQ43" s="128"/>
      <c r="AR43" s="128"/>
      <c r="AS43" s="128"/>
      <c r="AT43" s="128"/>
      <c r="AU43" s="128"/>
      <c r="AV43" s="127" t="s">
        <v>47</v>
      </c>
      <c r="AW43" s="127"/>
      <c r="AX43" s="127"/>
      <c r="AY43" s="127"/>
      <c r="AZ43" s="127"/>
      <c r="BA43" s="127"/>
      <c r="BB43" s="127"/>
    </row>
    <row r="44" spans="1:56" s="33" customFormat="1" ht="12">
      <c r="A44" s="35"/>
      <c r="B44" s="38"/>
      <c r="C44" s="38"/>
      <c r="D44" s="40"/>
      <c r="E44" s="40"/>
      <c r="F44" s="40"/>
      <c r="G44" s="40"/>
      <c r="H44" s="40"/>
      <c r="I44" s="40"/>
      <c r="J44" s="40"/>
      <c r="K44" s="40"/>
      <c r="L44" s="40"/>
      <c r="M44" s="35"/>
      <c r="N44" s="35"/>
      <c r="O44" s="35"/>
      <c r="P44" s="35"/>
      <c r="Q44" s="35"/>
      <c r="R44" s="35"/>
      <c r="S44" s="35"/>
      <c r="T44" s="35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6" s="33" customFormat="1" ht="12">
      <c r="A45" s="35"/>
      <c r="B45" s="105" t="s">
        <v>28</v>
      </c>
      <c r="C45" s="105"/>
      <c r="D45" s="105" t="s">
        <v>94</v>
      </c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 t="s">
        <v>95</v>
      </c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</row>
    <row r="46" spans="1:56" s="33" customFormat="1" ht="12">
      <c r="A46" s="35"/>
      <c r="B46" s="100">
        <v>1</v>
      </c>
      <c r="C46" s="100"/>
      <c r="D46" s="101" t="s">
        <v>58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37" t="s">
        <v>47</v>
      </c>
      <c r="T46" s="137"/>
      <c r="U46" s="137"/>
      <c r="V46" s="137"/>
      <c r="W46" s="137"/>
      <c r="X46" s="137"/>
      <c r="Y46" s="137"/>
      <c r="Z46" s="137"/>
      <c r="AA46" s="121" t="s">
        <v>47</v>
      </c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</row>
    <row r="47" spans="1:56" s="33" customFormat="1" ht="12">
      <c r="A47" s="35"/>
      <c r="B47" s="100">
        <v>2</v>
      </c>
      <c r="C47" s="100"/>
      <c r="D47" s="101" t="s">
        <v>96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37" t="s">
        <v>97</v>
      </c>
      <c r="T47" s="137"/>
      <c r="U47" s="137"/>
      <c r="V47" s="137"/>
      <c r="W47" s="137"/>
      <c r="X47" s="137"/>
      <c r="Y47" s="137"/>
      <c r="Z47" s="137"/>
      <c r="AA47" s="141" t="s">
        <v>98</v>
      </c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</row>
    <row r="48" spans="1:56" s="33" customFormat="1" ht="12">
      <c r="A48" s="35"/>
      <c r="B48" s="100">
        <v>3</v>
      </c>
      <c r="C48" s="100"/>
      <c r="D48" s="101" t="s">
        <v>68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37" t="s">
        <v>97</v>
      </c>
      <c r="T48" s="137"/>
      <c r="U48" s="137"/>
      <c r="V48" s="137"/>
      <c r="W48" s="137"/>
      <c r="X48" s="137"/>
      <c r="Y48" s="137"/>
      <c r="Z48" s="137"/>
      <c r="AA48" s="141" t="s">
        <v>99</v>
      </c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</row>
    <row r="49" spans="1:57" s="33" customFormat="1" ht="26.4" customHeight="1">
      <c r="A49" s="35"/>
      <c r="B49" s="100">
        <v>4</v>
      </c>
      <c r="C49" s="100"/>
      <c r="D49" s="101" t="s">
        <v>73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37" t="s">
        <v>97</v>
      </c>
      <c r="T49" s="137"/>
      <c r="U49" s="137"/>
      <c r="V49" s="137"/>
      <c r="W49" s="137"/>
      <c r="X49" s="137"/>
      <c r="Y49" s="137"/>
      <c r="Z49" s="137"/>
      <c r="AA49" s="141" t="s">
        <v>140</v>
      </c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</row>
    <row r="50" spans="1:57" s="33" customFormat="1" ht="26.4" customHeight="1">
      <c r="A50" s="35"/>
      <c r="B50" s="100">
        <v>5</v>
      </c>
      <c r="C50" s="100"/>
      <c r="D50" s="101" t="s">
        <v>76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37" t="s">
        <v>97</v>
      </c>
      <c r="T50" s="137"/>
      <c r="U50" s="137"/>
      <c r="V50" s="137"/>
      <c r="W50" s="137"/>
      <c r="X50" s="137"/>
      <c r="Y50" s="137"/>
      <c r="Z50" s="137"/>
      <c r="AA50" s="141" t="s">
        <v>143</v>
      </c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</row>
    <row r="51" spans="1:57" s="33" customFormat="1" ht="12">
      <c r="A51" s="35"/>
      <c r="B51" s="100">
        <v>6</v>
      </c>
      <c r="C51" s="100"/>
      <c r="D51" s="101" t="s">
        <v>100</v>
      </c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37" t="s">
        <v>97</v>
      </c>
      <c r="T51" s="137"/>
      <c r="U51" s="137"/>
      <c r="V51" s="137"/>
      <c r="W51" s="137"/>
      <c r="X51" s="137"/>
      <c r="Y51" s="137"/>
      <c r="Z51" s="137"/>
      <c r="AA51" s="141" t="s">
        <v>101</v>
      </c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</row>
    <row r="52" spans="1:57" s="33" customFormat="1" ht="12">
      <c r="A52" s="35"/>
      <c r="B52" s="100">
        <v>7</v>
      </c>
      <c r="C52" s="100"/>
      <c r="D52" s="101" t="s">
        <v>82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37" t="s">
        <v>97</v>
      </c>
      <c r="T52" s="137"/>
      <c r="U52" s="137"/>
      <c r="V52" s="137"/>
      <c r="W52" s="137"/>
      <c r="X52" s="137"/>
      <c r="Y52" s="137"/>
      <c r="Z52" s="137"/>
      <c r="AA52" s="142" t="s">
        <v>123</v>
      </c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</row>
    <row r="53" spans="1:57" s="33" customFormat="1" ht="52.2" customHeight="1">
      <c r="A53" s="35"/>
      <c r="B53" s="100">
        <v>8</v>
      </c>
      <c r="C53" s="100"/>
      <c r="D53" s="101" t="s">
        <v>85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37" t="s">
        <v>97</v>
      </c>
      <c r="T53" s="137"/>
      <c r="U53" s="137"/>
      <c r="V53" s="137"/>
      <c r="W53" s="137"/>
      <c r="X53" s="137"/>
      <c r="Y53" s="137"/>
      <c r="Z53" s="137"/>
      <c r="AA53" s="141" t="s">
        <v>141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</row>
    <row r="54" spans="1:57" s="33" customFormat="1" ht="26.4" customHeight="1">
      <c r="A54" s="35"/>
      <c r="B54" s="100">
        <v>9</v>
      </c>
      <c r="C54" s="100"/>
      <c r="D54" s="101" t="s">
        <v>88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37" t="s">
        <v>97</v>
      </c>
      <c r="T54" s="137"/>
      <c r="U54" s="137"/>
      <c r="V54" s="137"/>
      <c r="W54" s="137"/>
      <c r="X54" s="137"/>
      <c r="Y54" s="137"/>
      <c r="Z54" s="137"/>
      <c r="AA54" s="141" t="s">
        <v>102</v>
      </c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</row>
    <row r="55" spans="1:57" s="33" customFormat="1" ht="26.4" customHeight="1">
      <c r="A55" s="35"/>
      <c r="B55" s="100">
        <v>10</v>
      </c>
      <c r="C55" s="100"/>
      <c r="D55" s="101" t="s">
        <v>91</v>
      </c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37" t="s">
        <v>97</v>
      </c>
      <c r="T55" s="137"/>
      <c r="U55" s="137"/>
      <c r="V55" s="137"/>
      <c r="W55" s="137"/>
      <c r="X55" s="137"/>
      <c r="Y55" s="137"/>
      <c r="Z55" s="137"/>
      <c r="AA55" s="142" t="s">
        <v>142</v>
      </c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</row>
    <row r="56" spans="1:57" s="33" customFormat="1" ht="22.8" customHeight="1">
      <c r="A56" s="35"/>
      <c r="B56" s="143">
        <v>11</v>
      </c>
      <c r="C56" s="143"/>
      <c r="D56" s="42" t="s">
        <v>138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144" t="s">
        <v>97</v>
      </c>
      <c r="T56" s="144"/>
      <c r="U56" s="144"/>
      <c r="V56" s="144"/>
      <c r="W56" s="144"/>
      <c r="X56" s="144"/>
      <c r="Y56" s="144"/>
      <c r="Z56" s="144"/>
      <c r="AA56" s="145" t="s">
        <v>139</v>
      </c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7"/>
      <c r="BD56" s="46" t="s">
        <v>134</v>
      </c>
    </row>
    <row r="57" spans="1: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3"/>
    </row>
    <row r="58" spans="1:57">
      <c r="A58" s="35"/>
      <c r="B58" s="105" t="s">
        <v>28</v>
      </c>
      <c r="C58" s="105"/>
      <c r="D58" s="105" t="s">
        <v>103</v>
      </c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 t="s">
        <v>44</v>
      </c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33"/>
    </row>
    <row r="59" spans="1:57">
      <c r="A59" s="35"/>
      <c r="B59" s="100">
        <v>1</v>
      </c>
      <c r="C59" s="100"/>
      <c r="D59" s="122" t="s">
        <v>104</v>
      </c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01" t="s">
        <v>47</v>
      </c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33"/>
      <c r="BD59" s="33"/>
      <c r="BE59" s="33"/>
    </row>
    <row r="60" spans="1:57">
      <c r="A60" s="35"/>
      <c r="B60" s="100">
        <v>2</v>
      </c>
      <c r="C60" s="100"/>
      <c r="D60" s="123" t="s">
        <v>105</v>
      </c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01" t="s">
        <v>47</v>
      </c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33"/>
      <c r="BD60" s="33"/>
      <c r="BE60" s="33"/>
    </row>
    <row r="61" spans="1:57">
      <c r="A61" s="35"/>
      <c r="B61" s="100">
        <v>3</v>
      </c>
      <c r="C61" s="100"/>
      <c r="D61" s="122" t="s">
        <v>106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01" t="s">
        <v>47</v>
      </c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33"/>
      <c r="BD61" s="33"/>
      <c r="BE61" s="33"/>
    </row>
    <row r="62" spans="1:57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3"/>
      <c r="BD62" s="33"/>
      <c r="BE62" s="33"/>
    </row>
    <row r="63" spans="1:57">
      <c r="A63" s="35"/>
      <c r="B63" s="105" t="s">
        <v>28</v>
      </c>
      <c r="C63" s="105"/>
      <c r="D63" s="105" t="s">
        <v>107</v>
      </c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 t="s">
        <v>44</v>
      </c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33"/>
      <c r="BD63" s="33"/>
      <c r="BE63" s="33"/>
    </row>
    <row r="64" spans="1:57">
      <c r="A64" s="35"/>
      <c r="B64" s="100" t="s">
        <v>47</v>
      </c>
      <c r="C64" s="100"/>
      <c r="D64" s="101" t="s">
        <v>47</v>
      </c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 t="s">
        <v>47</v>
      </c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33"/>
      <c r="BD64" s="46"/>
      <c r="BE64" s="33"/>
    </row>
    <row r="65" spans="1:58">
      <c r="A65" s="35"/>
      <c r="B65" s="38"/>
      <c r="C65" s="38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3"/>
      <c r="BD65" s="33"/>
      <c r="BE65" s="33"/>
      <c r="BF65" s="33"/>
    </row>
    <row r="66" spans="1:58">
      <c r="A66" s="35"/>
      <c r="B66" s="105" t="s">
        <v>28</v>
      </c>
      <c r="C66" s="105"/>
      <c r="D66" s="105" t="s">
        <v>137</v>
      </c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 t="s">
        <v>44</v>
      </c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33"/>
      <c r="BD66" s="33"/>
      <c r="BE66" s="33"/>
      <c r="BF66" s="33"/>
    </row>
    <row r="67" spans="1:58" ht="77.400000000000006" customHeight="1">
      <c r="A67" s="35"/>
      <c r="B67" s="153">
        <v>1</v>
      </c>
      <c r="C67" s="153"/>
      <c r="D67" s="154" t="s">
        <v>136</v>
      </c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 t="s">
        <v>47</v>
      </c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46"/>
      <c r="BD67" s="46" t="s">
        <v>134</v>
      </c>
      <c r="BE67" s="46"/>
      <c r="BF67" s="46"/>
    </row>
    <row r="68" spans="1:5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</row>
    <row r="69" spans="1:58">
      <c r="A69" s="35"/>
      <c r="B69" s="105" t="s">
        <v>28</v>
      </c>
      <c r="C69" s="105"/>
      <c r="D69" s="105" t="s">
        <v>109</v>
      </c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 t="s">
        <v>110</v>
      </c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 t="s">
        <v>44</v>
      </c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</row>
    <row r="70" spans="1:58">
      <c r="A70" s="35"/>
      <c r="B70" s="100" t="s">
        <v>47</v>
      </c>
      <c r="C70" s="100"/>
      <c r="D70" s="101" t="s">
        <v>47</v>
      </c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 t="s">
        <v>47</v>
      </c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 t="s">
        <v>47</v>
      </c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</row>
  </sheetData>
  <mergeCells count="285">
    <mergeCell ref="B55:C55"/>
    <mergeCell ref="D55:R55"/>
    <mergeCell ref="S55:Z55"/>
    <mergeCell ref="AA55:BB55"/>
    <mergeCell ref="B56:C56"/>
    <mergeCell ref="S56:Z56"/>
    <mergeCell ref="B52:C52"/>
    <mergeCell ref="D52:R52"/>
    <mergeCell ref="S52:Z52"/>
    <mergeCell ref="AA52:BB52"/>
    <mergeCell ref="B53:C53"/>
    <mergeCell ref="D53:R53"/>
    <mergeCell ref="S53:Z53"/>
    <mergeCell ref="AA53:BB53"/>
    <mergeCell ref="B54:C54"/>
    <mergeCell ref="D54:R54"/>
    <mergeCell ref="S54:Z54"/>
    <mergeCell ref="AA54:BB54"/>
    <mergeCell ref="AA56:BB56"/>
    <mergeCell ref="B49:C49"/>
    <mergeCell ref="D49:R49"/>
    <mergeCell ref="S49:Z49"/>
    <mergeCell ref="AA49:BB49"/>
    <mergeCell ref="B50:C50"/>
    <mergeCell ref="D50:R50"/>
    <mergeCell ref="S50:Z50"/>
    <mergeCell ref="AA50:BB50"/>
    <mergeCell ref="B51:C51"/>
    <mergeCell ref="D51:R51"/>
    <mergeCell ref="S51:Z51"/>
    <mergeCell ref="AA51:BB51"/>
    <mergeCell ref="B46:C46"/>
    <mergeCell ref="D46:R46"/>
    <mergeCell ref="S46:Z46"/>
    <mergeCell ref="AA46:BB46"/>
    <mergeCell ref="B47:C47"/>
    <mergeCell ref="D47:R47"/>
    <mergeCell ref="S47:Z47"/>
    <mergeCell ref="AA47:BB47"/>
    <mergeCell ref="B48:C48"/>
    <mergeCell ref="D48:R48"/>
    <mergeCell ref="S48:Z48"/>
    <mergeCell ref="AA48:BB48"/>
    <mergeCell ref="B43:C43"/>
    <mergeCell ref="D43:N43"/>
    <mergeCell ref="O43:V43"/>
    <mergeCell ref="W43:AD43"/>
    <mergeCell ref="AE43:AL43"/>
    <mergeCell ref="AM43:AU43"/>
    <mergeCell ref="AV43:BB43"/>
    <mergeCell ref="B45:C45"/>
    <mergeCell ref="D45:R45"/>
    <mergeCell ref="S45:BB45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6:C16"/>
    <mergeCell ref="D16:M16"/>
    <mergeCell ref="N16:W16"/>
    <mergeCell ref="X16:AK16"/>
    <mergeCell ref="AL16:BB16"/>
    <mergeCell ref="B19:G19"/>
    <mergeCell ref="H19:AM19"/>
    <mergeCell ref="B20:C21"/>
    <mergeCell ref="D20:V20"/>
    <mergeCell ref="W20:AL20"/>
    <mergeCell ref="AM20:AU21"/>
    <mergeCell ref="AV20:BB21"/>
    <mergeCell ref="D21:N21"/>
    <mergeCell ref="O21:V21"/>
    <mergeCell ref="W21:AD21"/>
    <mergeCell ref="AE21:AL21"/>
    <mergeCell ref="B22:C22"/>
    <mergeCell ref="D22:N22"/>
    <mergeCell ref="O22:V22"/>
    <mergeCell ref="W22:AD22"/>
    <mergeCell ref="AE22:AL22"/>
    <mergeCell ref="AM22:AU22"/>
    <mergeCell ref="AV22:BB22"/>
    <mergeCell ref="B23:C23"/>
    <mergeCell ref="D23:N23"/>
    <mergeCell ref="O23:V23"/>
    <mergeCell ref="W23:AD23"/>
    <mergeCell ref="AE23:AL23"/>
    <mergeCell ref="AM23:AU23"/>
    <mergeCell ref="AV23:BB23"/>
    <mergeCell ref="B24:C24"/>
    <mergeCell ref="D24:N24"/>
    <mergeCell ref="O24:V24"/>
    <mergeCell ref="W24:AD24"/>
    <mergeCell ref="AE24:AL24"/>
    <mergeCell ref="AM24:AU24"/>
    <mergeCell ref="AV24:BB24"/>
    <mergeCell ref="B25:C25"/>
    <mergeCell ref="D25:N25"/>
    <mergeCell ref="O25:V25"/>
    <mergeCell ref="W25:AD25"/>
    <mergeCell ref="AE25:AL25"/>
    <mergeCell ref="AM25:AU25"/>
    <mergeCell ref="AV25:BB25"/>
    <mergeCell ref="B26:C26"/>
    <mergeCell ref="D26:N26"/>
    <mergeCell ref="O26:V26"/>
    <mergeCell ref="W26:AD26"/>
    <mergeCell ref="AE26:AL26"/>
    <mergeCell ref="AM26:AU26"/>
    <mergeCell ref="AV26:BB26"/>
    <mergeCell ref="B27:C27"/>
    <mergeCell ref="D27:N27"/>
    <mergeCell ref="O27:V27"/>
    <mergeCell ref="W27:AD27"/>
    <mergeCell ref="AE27:AL27"/>
    <mergeCell ref="AM27:AU27"/>
    <mergeCell ref="AV27:BB27"/>
    <mergeCell ref="B28:C28"/>
    <mergeCell ref="D28:N28"/>
    <mergeCell ref="O28:V28"/>
    <mergeCell ref="W28:AD28"/>
    <mergeCell ref="AE28:AL28"/>
    <mergeCell ref="AM28:AU28"/>
    <mergeCell ref="AV28:BB28"/>
    <mergeCell ref="B29:C29"/>
    <mergeCell ref="D29:N29"/>
    <mergeCell ref="O29:V29"/>
    <mergeCell ref="W29:AD29"/>
    <mergeCell ref="AE29:AL29"/>
    <mergeCell ref="AM29:AU29"/>
    <mergeCell ref="AV29:BB29"/>
    <mergeCell ref="B30:C30"/>
    <mergeCell ref="D30:N30"/>
    <mergeCell ref="O30:V30"/>
    <mergeCell ref="W30:AD30"/>
    <mergeCell ref="AE30:AL30"/>
    <mergeCell ref="AM30:AU30"/>
    <mergeCell ref="AV30:BB30"/>
    <mergeCell ref="B31:C31"/>
    <mergeCell ref="D31:N31"/>
    <mergeCell ref="O31:V31"/>
    <mergeCell ref="W31:AD31"/>
    <mergeCell ref="AE31:AL31"/>
    <mergeCell ref="AM31:AU31"/>
    <mergeCell ref="AV31:BB31"/>
    <mergeCell ref="B32:C32"/>
    <mergeCell ref="D32:N32"/>
    <mergeCell ref="O32:V32"/>
    <mergeCell ref="W32:AD32"/>
    <mergeCell ref="AE32:AL32"/>
    <mergeCell ref="AM32:AU32"/>
    <mergeCell ref="AV32:BB32"/>
    <mergeCell ref="B33:C33"/>
    <mergeCell ref="D33:N33"/>
    <mergeCell ref="O33:V33"/>
    <mergeCell ref="W33:AD33"/>
    <mergeCell ref="AE33:AL33"/>
    <mergeCell ref="AM33:AU33"/>
    <mergeCell ref="AV33:BB33"/>
    <mergeCell ref="B36:C36"/>
    <mergeCell ref="D36:N36"/>
    <mergeCell ref="O36:V36"/>
    <mergeCell ref="W36:AD36"/>
    <mergeCell ref="AE36:AL36"/>
    <mergeCell ref="AM36:AU36"/>
    <mergeCell ref="AV36:BB36"/>
    <mergeCell ref="B34:C34"/>
    <mergeCell ref="D34:N34"/>
    <mergeCell ref="O34:V34"/>
    <mergeCell ref="W34:AD34"/>
    <mergeCell ref="AE34:AL34"/>
    <mergeCell ref="AM34:AU34"/>
    <mergeCell ref="AV34:BB34"/>
    <mergeCell ref="B35:C35"/>
    <mergeCell ref="D35:N35"/>
    <mergeCell ref="O35:V35"/>
    <mergeCell ref="W35:AD35"/>
    <mergeCell ref="AE35:AL35"/>
    <mergeCell ref="AM35:AU35"/>
    <mergeCell ref="AV35:BB35"/>
    <mergeCell ref="B37:C37"/>
    <mergeCell ref="D37:N37"/>
    <mergeCell ref="O37:V37"/>
    <mergeCell ref="W37:AD37"/>
    <mergeCell ref="AE37:AL37"/>
    <mergeCell ref="AM37:AU37"/>
    <mergeCell ref="AV37:BB37"/>
    <mergeCell ref="B38:C38"/>
    <mergeCell ref="D38:N38"/>
    <mergeCell ref="O38:V38"/>
    <mergeCell ref="W38:AD38"/>
    <mergeCell ref="AE38:AL38"/>
    <mergeCell ref="AM38:AU38"/>
    <mergeCell ref="AV38:BB38"/>
    <mergeCell ref="B39:C39"/>
    <mergeCell ref="D39:N39"/>
    <mergeCell ref="O39:V39"/>
    <mergeCell ref="W39:AD39"/>
    <mergeCell ref="AE39:AL39"/>
    <mergeCell ref="AM39:AU39"/>
    <mergeCell ref="AV39:BB39"/>
    <mergeCell ref="B40:C40"/>
    <mergeCell ref="D40:N40"/>
    <mergeCell ref="O40:V40"/>
    <mergeCell ref="W40:AD40"/>
    <mergeCell ref="AE40:AL40"/>
    <mergeCell ref="AM40:AU40"/>
    <mergeCell ref="AV40:BB40"/>
    <mergeCell ref="B41:C41"/>
    <mergeCell ref="D41:N41"/>
    <mergeCell ref="O41:V41"/>
    <mergeCell ref="W41:AD41"/>
    <mergeCell ref="AE41:AL41"/>
    <mergeCell ref="AM41:AU41"/>
    <mergeCell ref="AV41:BB41"/>
    <mergeCell ref="B42:C42"/>
    <mergeCell ref="D42:N42"/>
    <mergeCell ref="O42:V42"/>
    <mergeCell ref="W42:AD42"/>
    <mergeCell ref="AE42:AL42"/>
    <mergeCell ref="AM42:AU42"/>
    <mergeCell ref="AV42:BB42"/>
    <mergeCell ref="B63:C63"/>
    <mergeCell ref="D63:AK63"/>
    <mergeCell ref="AL63:BB63"/>
    <mergeCell ref="B64:C64"/>
    <mergeCell ref="D64:AK64"/>
    <mergeCell ref="AL64:BB64"/>
    <mergeCell ref="B58:C58"/>
    <mergeCell ref="D58:AK58"/>
    <mergeCell ref="AL58:BB58"/>
    <mergeCell ref="B59:C59"/>
    <mergeCell ref="D59:AK59"/>
    <mergeCell ref="AL59:BB59"/>
    <mergeCell ref="B60:C60"/>
    <mergeCell ref="D60:AK60"/>
    <mergeCell ref="AL60:BB60"/>
    <mergeCell ref="B61:C61"/>
    <mergeCell ref="D61:AK61"/>
    <mergeCell ref="AL61:BB61"/>
    <mergeCell ref="B70:C70"/>
    <mergeCell ref="D70:N70"/>
    <mergeCell ref="O70:AK70"/>
    <mergeCell ref="AL70:BB70"/>
    <mergeCell ref="B66:C66"/>
    <mergeCell ref="D66:AK66"/>
    <mergeCell ref="AL66:BB66"/>
    <mergeCell ref="B67:C67"/>
    <mergeCell ref="D67:AK67"/>
    <mergeCell ref="AL67:BB67"/>
    <mergeCell ref="B69:C69"/>
    <mergeCell ref="D69:N69"/>
    <mergeCell ref="O69:AK69"/>
    <mergeCell ref="AL69:BB69"/>
  </mergeCells>
  <phoneticPr fontId="66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8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43" max="5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96" t="s">
        <v>7</v>
      </c>
      <c r="B1" s="96"/>
      <c r="C1" s="96"/>
      <c r="D1" s="96"/>
      <c r="E1" s="96"/>
      <c r="F1" s="96"/>
      <c r="G1" s="96"/>
      <c r="H1" s="96"/>
      <c r="I1" s="96"/>
      <c r="J1" s="97" t="s">
        <v>8</v>
      </c>
      <c r="K1" s="97"/>
      <c r="L1" s="97"/>
      <c r="M1" s="97"/>
      <c r="N1" s="97"/>
      <c r="O1" s="97"/>
      <c r="P1" s="97"/>
      <c r="Q1" s="97"/>
      <c r="R1" s="98" t="str">
        <f>更新履歴!R1</f>
        <v>API設計書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9" t="s">
        <v>3</v>
      </c>
      <c r="AK1" s="99"/>
      <c r="AL1" s="99"/>
      <c r="AM1" s="99"/>
      <c r="AN1" s="99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6" customFormat="1" ht="13.5" customHeight="1">
      <c r="A2" s="108" t="str">
        <f>表紙!O10</f>
        <v>体験型Java研修</v>
      </c>
      <c r="B2" s="108"/>
      <c r="C2" s="108"/>
      <c r="D2" s="108"/>
      <c r="E2" s="108"/>
      <c r="F2" s="108"/>
      <c r="G2" s="108"/>
      <c r="H2" s="108"/>
      <c r="I2" s="108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セクション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63">
        <v>44258</v>
      </c>
      <c r="AP2" s="63"/>
      <c r="AQ2" s="63"/>
      <c r="AR2" s="63"/>
      <c r="AS2" s="63"/>
      <c r="AT2" s="94"/>
      <c r="AU2" s="94"/>
      <c r="AV2" s="94"/>
      <c r="AW2" s="94"/>
      <c r="AX2" s="94"/>
      <c r="AY2" s="95"/>
      <c r="AZ2" s="95"/>
      <c r="BA2" s="95"/>
      <c r="BB2" s="95"/>
      <c r="BC2" s="95"/>
    </row>
    <row r="3" spans="1:55" s="26" customFormat="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63"/>
      <c r="AP3" s="63"/>
      <c r="AQ3" s="63"/>
      <c r="AR3" s="63"/>
      <c r="AS3" s="63"/>
      <c r="AT3" s="94"/>
      <c r="AU3" s="94"/>
      <c r="AV3" s="94"/>
      <c r="AW3" s="94"/>
      <c r="AX3" s="94"/>
      <c r="AY3" s="95"/>
      <c r="AZ3" s="95"/>
      <c r="BA3" s="95"/>
      <c r="BB3" s="95"/>
      <c r="BC3" s="95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7" t="s">
        <v>37</v>
      </c>
    </row>
    <row r="6" spans="1:55" s="33" customFormat="1" ht="13.2" customHeight="1">
      <c r="B6" s="35"/>
      <c r="C6" s="35" t="s">
        <v>111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39" t="s">
        <v>39</v>
      </c>
      <c r="C8" s="139"/>
      <c r="D8" s="139"/>
      <c r="E8" s="139"/>
      <c r="F8" s="139"/>
      <c r="G8" s="140" t="s">
        <v>40</v>
      </c>
      <c r="H8" s="140"/>
      <c r="I8" s="140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5" t="s">
        <v>28</v>
      </c>
      <c r="C11" s="105"/>
      <c r="D11" s="105" t="s">
        <v>42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 t="s">
        <v>43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 t="s">
        <v>44</v>
      </c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35"/>
    </row>
    <row r="12" spans="1:55" s="33" customFormat="1" ht="13.2" customHeight="1">
      <c r="B12" s="105"/>
      <c r="C12" s="105"/>
      <c r="D12" s="105" t="s">
        <v>30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31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35"/>
    </row>
    <row r="13" spans="1:55" s="33" customFormat="1" ht="13.2" customHeight="1">
      <c r="B13" s="100">
        <v>1</v>
      </c>
      <c r="C13" s="100"/>
      <c r="D13" s="137" t="s">
        <v>45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 t="s">
        <v>46</v>
      </c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s="33" customFormat="1" ht="13.2" customHeight="1">
      <c r="B15" s="33" t="s">
        <v>54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</row>
    <row r="16" spans="1:55" s="33" customFormat="1" ht="13.2" customHeight="1">
      <c r="B16" s="152" t="s">
        <v>55</v>
      </c>
      <c r="C16" s="152"/>
      <c r="D16" s="152"/>
      <c r="E16" s="152"/>
      <c r="F16" s="152"/>
      <c r="G16" s="152"/>
      <c r="H16" s="104" t="s">
        <v>112</v>
      </c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35"/>
      <c r="AO16" s="35"/>
      <c r="AP16" s="35"/>
      <c r="AQ16" s="35"/>
      <c r="AR16" s="35"/>
      <c r="AS16" s="35"/>
      <c r="AT16" s="35"/>
      <c r="AU16" s="35"/>
    </row>
    <row r="17" spans="2:55" s="33" customFormat="1" ht="13.2" customHeight="1">
      <c r="B17" s="149" t="s">
        <v>28</v>
      </c>
      <c r="C17" s="149"/>
      <c r="D17" s="105" t="s">
        <v>42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 t="s">
        <v>57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 t="s">
        <v>43</v>
      </c>
      <c r="AO17" s="105"/>
      <c r="AP17" s="105"/>
      <c r="AQ17" s="105"/>
      <c r="AR17" s="105"/>
      <c r="AS17" s="105"/>
      <c r="AT17" s="105"/>
      <c r="AU17" s="105"/>
      <c r="AV17" s="149" t="s">
        <v>44</v>
      </c>
      <c r="AW17" s="149"/>
      <c r="AX17" s="149"/>
      <c r="AY17" s="149"/>
      <c r="AZ17" s="149"/>
      <c r="BA17" s="149"/>
      <c r="BB17" s="149"/>
    </row>
    <row r="18" spans="2:55" s="33" customFormat="1" ht="13.2" customHeight="1">
      <c r="B18" s="149"/>
      <c r="C18" s="149"/>
      <c r="D18" s="105" t="s">
        <v>30</v>
      </c>
      <c r="E18" s="105"/>
      <c r="F18" s="105"/>
      <c r="G18" s="105"/>
      <c r="H18" s="105"/>
      <c r="I18" s="105"/>
      <c r="J18" s="105"/>
      <c r="K18" s="105"/>
      <c r="L18" s="105"/>
      <c r="M18" s="105" t="s">
        <v>31</v>
      </c>
      <c r="N18" s="105"/>
      <c r="O18" s="105"/>
      <c r="P18" s="105"/>
      <c r="Q18" s="105"/>
      <c r="R18" s="105"/>
      <c r="S18" s="105"/>
      <c r="T18" s="105"/>
      <c r="U18" s="105" t="s">
        <v>30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 t="s">
        <v>31</v>
      </c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49"/>
      <c r="AW18" s="149"/>
      <c r="AX18" s="149"/>
      <c r="AY18" s="149"/>
      <c r="AZ18" s="149"/>
      <c r="BA18" s="149"/>
      <c r="BB18" s="149"/>
    </row>
    <row r="19" spans="2:55" s="33" customFormat="1" ht="13.2" customHeight="1">
      <c r="B19" s="148">
        <v>1</v>
      </c>
      <c r="C19" s="148"/>
      <c r="D19" s="101" t="s">
        <v>113</v>
      </c>
      <c r="E19" s="101"/>
      <c r="F19" s="101"/>
      <c r="G19" s="101"/>
      <c r="H19" s="101"/>
      <c r="I19" s="101"/>
      <c r="J19" s="101"/>
      <c r="K19" s="101"/>
      <c r="L19" s="101"/>
      <c r="M19" s="137" t="s">
        <v>47</v>
      </c>
      <c r="N19" s="137"/>
      <c r="O19" s="137"/>
      <c r="P19" s="137"/>
      <c r="Q19" s="137"/>
      <c r="R19" s="137"/>
      <c r="S19" s="137"/>
      <c r="T19" s="137"/>
      <c r="U19" s="101" t="s">
        <v>58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4" t="s">
        <v>59</v>
      </c>
      <c r="AF19" s="104"/>
      <c r="AG19" s="104"/>
      <c r="AH19" s="104"/>
      <c r="AI19" s="104"/>
      <c r="AJ19" s="104"/>
      <c r="AK19" s="104"/>
      <c r="AL19" s="104"/>
      <c r="AM19" s="104"/>
      <c r="AN19" s="151" t="s">
        <v>157</v>
      </c>
      <c r="AO19" s="151"/>
      <c r="AP19" s="151"/>
      <c r="AQ19" s="151"/>
      <c r="AR19" s="151"/>
      <c r="AS19" s="151"/>
      <c r="AT19" s="151"/>
      <c r="AU19" s="151"/>
      <c r="AV19" s="103"/>
      <c r="AW19" s="103"/>
      <c r="AX19" s="103"/>
      <c r="AY19" s="103"/>
      <c r="AZ19" s="103"/>
      <c r="BA19" s="103"/>
      <c r="BB19" s="103"/>
    </row>
    <row r="20" spans="2:55" ht="13.2" customHeight="1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</row>
    <row r="21" spans="2:55" ht="13.2" customHeight="1">
      <c r="B21" s="149" t="s">
        <v>28</v>
      </c>
      <c r="C21" s="149"/>
      <c r="D21" s="149" t="s">
        <v>94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 t="s">
        <v>95</v>
      </c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33"/>
    </row>
    <row r="22" spans="2:55" ht="13.2" customHeight="1">
      <c r="B22" s="148">
        <v>1</v>
      </c>
      <c r="C22" s="148"/>
      <c r="D22" s="103" t="s">
        <v>58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50" t="s">
        <v>47</v>
      </c>
      <c r="T22" s="150"/>
      <c r="U22" s="150"/>
      <c r="V22" s="150"/>
      <c r="W22" s="150"/>
      <c r="X22" s="150"/>
      <c r="Y22" s="150"/>
      <c r="Z22" s="150"/>
      <c r="AA22" s="103" t="s">
        <v>47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2:55" ht="13.2" customHeight="1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</row>
    <row r="24" spans="2:55" ht="13.2" customHeight="1">
      <c r="B24" s="149" t="s">
        <v>28</v>
      </c>
      <c r="C24" s="149"/>
      <c r="D24" s="149" t="s">
        <v>103</v>
      </c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05" t="s">
        <v>44</v>
      </c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33"/>
    </row>
    <row r="25" spans="2:55" ht="13.2" customHeight="1">
      <c r="B25" s="148">
        <v>1</v>
      </c>
      <c r="C25" s="148"/>
      <c r="D25" s="126" t="s">
        <v>114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01" t="s">
        <v>47</v>
      </c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33"/>
    </row>
    <row r="26" spans="2:55" ht="13.2" customHeight="1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spans="2:55" ht="13.2" customHeight="1">
      <c r="B27" s="149" t="s">
        <v>28</v>
      </c>
      <c r="C27" s="149"/>
      <c r="D27" s="149" t="s">
        <v>107</v>
      </c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05" t="s">
        <v>44</v>
      </c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33"/>
    </row>
    <row r="28" spans="2:55" ht="13.2" customHeight="1">
      <c r="B28" s="148" t="s">
        <v>47</v>
      </c>
      <c r="C28" s="148"/>
      <c r="D28" s="103" t="s">
        <v>47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1" t="s">
        <v>47</v>
      </c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33"/>
    </row>
    <row r="29" spans="2:55" ht="13.2" customHeight="1">
      <c r="B29" s="39"/>
      <c r="C29" s="39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spans="2:55" ht="13.2" customHeight="1">
      <c r="B30" s="149" t="s">
        <v>28</v>
      </c>
      <c r="C30" s="149"/>
      <c r="D30" s="149" t="s">
        <v>108</v>
      </c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05" t="s">
        <v>44</v>
      </c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33"/>
    </row>
    <row r="31" spans="2:55" ht="13.2" customHeight="1">
      <c r="B31" s="148" t="s">
        <v>47</v>
      </c>
      <c r="C31" s="148"/>
      <c r="D31" s="103" t="s">
        <v>47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1" t="s">
        <v>47</v>
      </c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33"/>
    </row>
    <row r="33" spans="2:54">
      <c r="B33" s="105" t="s">
        <v>28</v>
      </c>
      <c r="C33" s="105"/>
      <c r="D33" s="105" t="s">
        <v>109</v>
      </c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 t="s">
        <v>110</v>
      </c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 t="s">
        <v>44</v>
      </c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</row>
    <row r="34" spans="2:54">
      <c r="B34" s="100" t="s">
        <v>47</v>
      </c>
      <c r="C34" s="100"/>
      <c r="D34" s="104" t="s">
        <v>47</v>
      </c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1" t="s">
        <v>47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 t="s">
        <v>47</v>
      </c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</row>
  </sheetData>
  <mergeCells count="78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</mergeCells>
  <phoneticPr fontId="66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96" t="s">
        <v>7</v>
      </c>
      <c r="B1" s="96"/>
      <c r="C1" s="96"/>
      <c r="D1" s="96"/>
      <c r="E1" s="96"/>
      <c r="F1" s="96"/>
      <c r="G1" s="96"/>
      <c r="H1" s="96"/>
      <c r="I1" s="96"/>
      <c r="J1" s="97" t="s">
        <v>8</v>
      </c>
      <c r="K1" s="97"/>
      <c r="L1" s="97"/>
      <c r="M1" s="97"/>
      <c r="N1" s="97"/>
      <c r="O1" s="97"/>
      <c r="P1" s="97"/>
      <c r="Q1" s="97"/>
      <c r="R1" s="98" t="str">
        <f>更新履歴!R1</f>
        <v>API設計書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9" t="s">
        <v>3</v>
      </c>
      <c r="AK1" s="99"/>
      <c r="AL1" s="99"/>
      <c r="AM1" s="99"/>
      <c r="AN1" s="99"/>
      <c r="AO1" s="88" t="s">
        <v>9</v>
      </c>
      <c r="AP1" s="88"/>
      <c r="AQ1" s="88"/>
      <c r="AR1" s="88"/>
      <c r="AS1" s="88"/>
      <c r="AT1" s="88" t="s">
        <v>10</v>
      </c>
      <c r="AU1" s="88"/>
      <c r="AV1" s="88"/>
      <c r="AW1" s="88"/>
      <c r="AX1" s="88"/>
      <c r="AY1" s="89" t="s">
        <v>11</v>
      </c>
      <c r="AZ1" s="89"/>
      <c r="BA1" s="89"/>
      <c r="BB1" s="89"/>
      <c r="BC1" s="89"/>
    </row>
    <row r="2" spans="1:55" s="26" customFormat="1" ht="13.5" customHeight="1">
      <c r="A2" s="108" t="str">
        <f>表紙!O10</f>
        <v>体験型Java研修</v>
      </c>
      <c r="B2" s="108"/>
      <c r="C2" s="108"/>
      <c r="D2" s="108"/>
      <c r="E2" s="108"/>
      <c r="F2" s="108"/>
      <c r="G2" s="108"/>
      <c r="H2" s="108"/>
      <c r="I2" s="108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セクション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6</v>
      </c>
      <c r="AK2" s="93"/>
      <c r="AL2" s="93"/>
      <c r="AM2" s="93"/>
      <c r="AN2" s="93"/>
      <c r="AO2" s="63">
        <v>44258</v>
      </c>
      <c r="AP2" s="63"/>
      <c r="AQ2" s="63"/>
      <c r="AR2" s="63"/>
      <c r="AS2" s="63"/>
      <c r="AT2" s="94"/>
      <c r="AU2" s="94"/>
      <c r="AV2" s="94"/>
      <c r="AW2" s="94"/>
      <c r="AX2" s="94"/>
      <c r="AY2" s="95"/>
      <c r="AZ2" s="95"/>
      <c r="BA2" s="95"/>
      <c r="BB2" s="95"/>
      <c r="BC2" s="95"/>
    </row>
    <row r="3" spans="1:55" s="26" customFormat="1" ht="13.5" customHeight="1">
      <c r="A3" s="108"/>
      <c r="B3" s="108"/>
      <c r="C3" s="108"/>
      <c r="D3" s="108"/>
      <c r="E3" s="108"/>
      <c r="F3" s="108"/>
      <c r="G3" s="108"/>
      <c r="H3" s="108"/>
      <c r="I3" s="108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63"/>
      <c r="AP3" s="63"/>
      <c r="AQ3" s="63"/>
      <c r="AR3" s="63"/>
      <c r="AS3" s="63"/>
      <c r="AT3" s="94"/>
      <c r="AU3" s="94"/>
      <c r="AV3" s="94"/>
      <c r="AW3" s="94"/>
      <c r="AX3" s="94"/>
      <c r="AY3" s="95"/>
      <c r="AZ3" s="95"/>
      <c r="BA3" s="95"/>
      <c r="BB3" s="95"/>
      <c r="BC3" s="95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7" t="s">
        <v>37</v>
      </c>
    </row>
    <row r="6" spans="1:55" s="33" customFormat="1" ht="13.2" customHeight="1">
      <c r="B6" s="35"/>
      <c r="C6" s="35" t="s">
        <v>115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39" t="s">
        <v>39</v>
      </c>
      <c r="C8" s="139"/>
      <c r="D8" s="139"/>
      <c r="E8" s="139"/>
      <c r="F8" s="139"/>
      <c r="G8" s="140" t="s">
        <v>40</v>
      </c>
      <c r="H8" s="140"/>
      <c r="I8" s="140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41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5" t="s">
        <v>28</v>
      </c>
      <c r="C11" s="105"/>
      <c r="D11" s="105" t="s">
        <v>42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 t="s">
        <v>43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 t="s">
        <v>44</v>
      </c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35"/>
    </row>
    <row r="12" spans="1:55" s="33" customFormat="1" ht="13.2" customHeight="1">
      <c r="B12" s="105"/>
      <c r="C12" s="105"/>
      <c r="D12" s="105" t="s">
        <v>30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31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35"/>
    </row>
    <row r="13" spans="1:55" s="33" customFormat="1" ht="13.2" customHeight="1">
      <c r="B13" s="100">
        <v>1</v>
      </c>
      <c r="C13" s="100"/>
      <c r="D13" s="137" t="s">
        <v>64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 t="s">
        <v>65</v>
      </c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35"/>
    </row>
    <row r="14" spans="1:55" s="33" customFormat="1" ht="13.2" customHeight="1">
      <c r="B14" s="100">
        <v>2</v>
      </c>
      <c r="C14" s="100"/>
      <c r="D14" s="137" t="s">
        <v>15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 t="s">
        <v>66</v>
      </c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35"/>
    </row>
    <row r="15" spans="1:55" s="33" customFormat="1" ht="13.2" customHeight="1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s="33" customFormat="1" ht="13.2" customHeight="1">
      <c r="B16" s="33" t="s">
        <v>54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</row>
    <row r="17" spans="2:55" s="33" customFormat="1" ht="13.2" customHeight="1">
      <c r="B17" s="152" t="s">
        <v>55</v>
      </c>
      <c r="C17" s="152"/>
      <c r="D17" s="152"/>
      <c r="E17" s="152"/>
      <c r="F17" s="152"/>
      <c r="G17" s="152"/>
      <c r="H17" s="104" t="s">
        <v>112</v>
      </c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35"/>
      <c r="AO17" s="35"/>
      <c r="AP17" s="35"/>
      <c r="AQ17" s="35"/>
      <c r="AR17" s="35"/>
      <c r="AS17" s="35"/>
      <c r="AT17" s="35"/>
      <c r="AU17" s="35"/>
    </row>
    <row r="18" spans="2:55" s="33" customFormat="1" ht="13.2" customHeight="1">
      <c r="B18" s="149" t="s">
        <v>28</v>
      </c>
      <c r="C18" s="149"/>
      <c r="D18" s="105" t="s">
        <v>42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 t="s">
        <v>57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 t="s">
        <v>43</v>
      </c>
      <c r="AO18" s="105"/>
      <c r="AP18" s="105"/>
      <c r="AQ18" s="105"/>
      <c r="AR18" s="105"/>
      <c r="AS18" s="105"/>
      <c r="AT18" s="105"/>
      <c r="AU18" s="105"/>
      <c r="AV18" s="149" t="s">
        <v>44</v>
      </c>
      <c r="AW18" s="149"/>
      <c r="AX18" s="149"/>
      <c r="AY18" s="149"/>
      <c r="AZ18" s="149"/>
      <c r="BA18" s="149"/>
      <c r="BB18" s="149"/>
    </row>
    <row r="19" spans="2:55" s="33" customFormat="1" ht="13.2" customHeight="1">
      <c r="B19" s="149"/>
      <c r="C19" s="149"/>
      <c r="D19" s="105" t="s">
        <v>30</v>
      </c>
      <c r="E19" s="105"/>
      <c r="F19" s="105"/>
      <c r="G19" s="105"/>
      <c r="H19" s="105"/>
      <c r="I19" s="105"/>
      <c r="J19" s="105"/>
      <c r="K19" s="105"/>
      <c r="L19" s="105"/>
      <c r="M19" s="105" t="s">
        <v>31</v>
      </c>
      <c r="N19" s="105"/>
      <c r="O19" s="105"/>
      <c r="P19" s="105"/>
      <c r="Q19" s="105"/>
      <c r="R19" s="105"/>
      <c r="S19" s="105"/>
      <c r="T19" s="105"/>
      <c r="U19" s="105" t="s">
        <v>30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 t="s">
        <v>31</v>
      </c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49"/>
      <c r="AW19" s="149"/>
      <c r="AX19" s="149"/>
      <c r="AY19" s="149"/>
      <c r="AZ19" s="149"/>
      <c r="BA19" s="149"/>
      <c r="BB19" s="149"/>
    </row>
    <row r="20" spans="2:55" s="33" customFormat="1" ht="13.2" customHeight="1">
      <c r="B20" s="148">
        <v>1</v>
      </c>
      <c r="C20" s="148"/>
      <c r="D20" s="101" t="s">
        <v>113</v>
      </c>
      <c r="E20" s="101"/>
      <c r="F20" s="101"/>
      <c r="G20" s="101"/>
      <c r="H20" s="101"/>
      <c r="I20" s="101"/>
      <c r="J20" s="101"/>
      <c r="K20" s="101"/>
      <c r="L20" s="101"/>
      <c r="M20" s="137" t="s">
        <v>47</v>
      </c>
      <c r="N20" s="137"/>
      <c r="O20" s="137"/>
      <c r="P20" s="137"/>
      <c r="Q20" s="137"/>
      <c r="R20" s="137"/>
      <c r="S20" s="137"/>
      <c r="T20" s="137"/>
      <c r="U20" s="101" t="s">
        <v>58</v>
      </c>
      <c r="V20" s="101"/>
      <c r="W20" s="101"/>
      <c r="X20" s="101"/>
      <c r="Y20" s="101"/>
      <c r="Z20" s="101"/>
      <c r="AA20" s="101"/>
      <c r="AB20" s="101"/>
      <c r="AC20" s="101"/>
      <c r="AD20" s="101"/>
      <c r="AE20" s="104" t="s">
        <v>59</v>
      </c>
      <c r="AF20" s="104"/>
      <c r="AG20" s="104"/>
      <c r="AH20" s="104"/>
      <c r="AI20" s="104"/>
      <c r="AJ20" s="104"/>
      <c r="AK20" s="104"/>
      <c r="AL20" s="104"/>
      <c r="AM20" s="104"/>
      <c r="AN20" s="151" t="s">
        <v>157</v>
      </c>
      <c r="AO20" s="151"/>
      <c r="AP20" s="151"/>
      <c r="AQ20" s="151"/>
      <c r="AR20" s="151"/>
      <c r="AS20" s="151"/>
      <c r="AT20" s="151"/>
      <c r="AU20" s="151"/>
      <c r="AV20" s="103"/>
      <c r="AW20" s="103"/>
      <c r="AX20" s="103"/>
      <c r="AY20" s="103"/>
      <c r="AZ20" s="103"/>
      <c r="BA20" s="103"/>
      <c r="BB20" s="103"/>
    </row>
    <row r="21" spans="2:55" ht="13.2" customHeight="1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</row>
    <row r="22" spans="2:55" ht="13.2" customHeight="1">
      <c r="B22" s="149" t="s">
        <v>28</v>
      </c>
      <c r="C22" s="149"/>
      <c r="D22" s="149" t="s">
        <v>94</v>
      </c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 t="s">
        <v>95</v>
      </c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33"/>
    </row>
    <row r="23" spans="2:55" ht="13.2" customHeight="1">
      <c r="B23" s="148">
        <v>1</v>
      </c>
      <c r="C23" s="148"/>
      <c r="D23" s="103" t="s">
        <v>58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50" t="s">
        <v>47</v>
      </c>
      <c r="T23" s="150"/>
      <c r="U23" s="150"/>
      <c r="V23" s="150"/>
      <c r="W23" s="150"/>
      <c r="X23" s="150"/>
      <c r="Y23" s="150"/>
      <c r="Z23" s="150"/>
      <c r="AA23" s="103" t="s">
        <v>47</v>
      </c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33"/>
    </row>
    <row r="24" spans="2:55" ht="13.2" customHeight="1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</row>
    <row r="25" spans="2:55" ht="13.2" customHeight="1">
      <c r="B25" s="149" t="s">
        <v>28</v>
      </c>
      <c r="C25" s="149"/>
      <c r="D25" s="149" t="s">
        <v>103</v>
      </c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05" t="s">
        <v>44</v>
      </c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33"/>
    </row>
    <row r="26" spans="2:55" ht="13.2" customHeight="1">
      <c r="B26" s="148">
        <v>1</v>
      </c>
      <c r="C26" s="148"/>
      <c r="D26" s="126" t="s">
        <v>114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01" t="s">
        <v>47</v>
      </c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33"/>
    </row>
    <row r="27" spans="2:55" ht="13.2" customHeight="1">
      <c r="B27" s="148">
        <v>2</v>
      </c>
      <c r="C27" s="148"/>
      <c r="D27" s="122" t="s">
        <v>116</v>
      </c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01" t="s">
        <v>47</v>
      </c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33"/>
    </row>
    <row r="28" spans="2:55" ht="13.2" customHeight="1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spans="2:55" ht="13.2" customHeight="1">
      <c r="B29" s="149" t="s">
        <v>28</v>
      </c>
      <c r="C29" s="149"/>
      <c r="D29" s="149" t="s">
        <v>107</v>
      </c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05" t="s">
        <v>44</v>
      </c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33"/>
    </row>
    <row r="30" spans="2:55" ht="13.2" customHeight="1">
      <c r="B30" s="148" t="s">
        <v>47</v>
      </c>
      <c r="C30" s="148"/>
      <c r="D30" s="103" t="s">
        <v>47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1" t="s">
        <v>47</v>
      </c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33"/>
    </row>
    <row r="31" spans="2:55" ht="13.2" customHeight="1">
      <c r="B31" s="39"/>
      <c r="C31" s="39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spans="2:55" ht="13.2" customHeight="1">
      <c r="B32" s="149" t="s">
        <v>28</v>
      </c>
      <c r="C32" s="149"/>
      <c r="D32" s="149" t="s">
        <v>108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05" t="s">
        <v>44</v>
      </c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33"/>
    </row>
    <row r="33" spans="2:55" ht="13.2" customHeight="1">
      <c r="B33" s="148" t="s">
        <v>47</v>
      </c>
      <c r="C33" s="148"/>
      <c r="D33" s="103" t="s">
        <v>47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1" t="s">
        <v>47</v>
      </c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33"/>
    </row>
    <row r="35" spans="2:55">
      <c r="B35" s="105" t="s">
        <v>28</v>
      </c>
      <c r="C35" s="105"/>
      <c r="D35" s="105" t="s">
        <v>109</v>
      </c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 t="s">
        <v>110</v>
      </c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 t="s">
        <v>44</v>
      </c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</row>
    <row r="36" spans="2:55">
      <c r="B36" s="100" t="s">
        <v>47</v>
      </c>
      <c r="C36" s="100"/>
      <c r="D36" s="104" t="s">
        <v>47</v>
      </c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1" t="s">
        <v>47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 t="s">
        <v>47</v>
      </c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</row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6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表紙</vt:lpstr>
      <vt:lpstr>更新履歴</vt:lpstr>
      <vt:lpstr>API一覧</vt:lpstr>
      <vt:lpstr>セクションサービスDTO取得</vt:lpstr>
      <vt:lpstr>セクション件数取得</vt:lpstr>
      <vt:lpstr>セクション件数取得（コースID）</vt:lpstr>
      <vt:lpstr>セクションサービスDTO取得!Print_Area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184</cp:revision>
  <cp:lastPrinted>2018-02-01T12:44:26Z</cp:lastPrinted>
  <dcterms:created xsi:type="dcterms:W3CDTF">2017-09-13T04:58:44Z</dcterms:created>
  <dcterms:modified xsi:type="dcterms:W3CDTF">2024-09-25T23:36:11Z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