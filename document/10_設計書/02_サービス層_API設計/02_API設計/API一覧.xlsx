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教材フォルダ_RP1-フレームワーク実践(public)\受講生資料一覧\02_個人開発演習\01_設計書類\10_設計書\02_サービス・API設計\"/>
    </mc:Choice>
  </mc:AlternateContent>
  <xr:revisionPtr revIDLastSave="0" documentId="13_ncr:1_{7D643BC2-77C4-414D-9FD9-DC8B4EE126C4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表紙" sheetId="1" r:id="rId1"/>
    <sheet name="更新履歴" sheetId="2" r:id="rId2"/>
    <sheet name="API一覧" sheetId="3" r:id="rId3"/>
  </sheets>
  <definedNames>
    <definedName name="_xlnm.Print_Area" localSheetId="2">API一覧!$A$1:$BC$66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3" l="1"/>
  <c r="J2" i="3"/>
  <c r="A2" i="3"/>
  <c r="R1" i="3"/>
  <c r="J2" i="2"/>
  <c r="A2" i="2"/>
  <c r="R1" i="2"/>
  <c r="AA15" i="1"/>
  <c r="X15" i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 s="1"/>
</calcChain>
</file>

<file path=xl/sharedStrings.xml><?xml version="1.0" encoding="utf-8"?>
<sst xmlns="http://schemas.openxmlformats.org/spreadsheetml/2006/main" count="182" uniqueCount="156">
  <si>
    <t>LMS学習管理システム</t>
  </si>
  <si>
    <t>体験型Java研修</t>
  </si>
  <si>
    <t>API一覧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</si>
  <si>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</si>
  <si>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</si>
  <si>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</si>
  <si>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</si>
  <si>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</si>
  <si>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</si>
  <si>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</si>
  <si>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</si>
  <si>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</si>
  <si>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</si>
  <si>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</si>
  <si>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堀井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</si>
  <si>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</si>
  <si>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</si>
  <si>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</si>
  <si>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</si>
  <si>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</si>
  <si>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</si>
  <si>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</si>
  <si>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以下API追加
・面談詳細
・会場
・評価レポート
・面談
・面談ファイル</t>
  </si>
  <si>
    <t>全API追加</t>
  </si>
  <si>
    <t>岡野</t>
  </si>
  <si>
    <t>契約内容API、契約同意API追加</t>
  </si>
  <si>
    <t>助成金カテゴリAPI、会場アサインAPI追加</t>
  </si>
  <si>
    <t>面談スケジュール詳細API追加</t>
  </si>
  <si>
    <t>カテゴリAPI追加</t>
  </si>
  <si>
    <t>試験・セクション紐付けAPI追加</t>
  </si>
  <si>
    <t>面談対象企業API、面談対象会場API追加</t>
  </si>
  <si>
    <t>No.</t>
  </si>
  <si>
    <t>API名</t>
  </si>
  <si>
    <t>備考</t>
  </si>
  <si>
    <t>論理名</t>
  </si>
  <si>
    <t>物理名</t>
  </si>
  <si>
    <t>ログイン</t>
  </si>
  <si>
    <t>LoginMapper</t>
  </si>
  <si>
    <t>契約内容</t>
  </si>
  <si>
    <t>MAgreementMapper</t>
  </si>
  <si>
    <t>カテゴリ</t>
  </si>
  <si>
    <t>MCategoryMapper</t>
  </si>
  <si>
    <t>企業</t>
  </si>
  <si>
    <t>MCompanyMapper</t>
  </si>
  <si>
    <t>コース</t>
  </si>
  <si>
    <t>MCourseMapper</t>
  </si>
  <si>
    <t>日報マスタマッパー</t>
  </si>
  <si>
    <t>MDailyReportMapper</t>
  </si>
  <si>
    <t>評価レポート詳細</t>
  </si>
  <si>
    <t>MEvReportDetailMapper</t>
  </si>
  <si>
    <t>評価レポート</t>
  </si>
  <si>
    <t>MEvReportMapper</t>
  </si>
  <si>
    <t>試験</t>
  </si>
  <si>
    <t>MExamMapper</t>
  </si>
  <si>
    <t>質問カテゴリ</t>
  </si>
  <si>
    <t>MFrequentlyAskedQuestionCategoryMapper</t>
  </si>
  <si>
    <t>質問</t>
  </si>
  <si>
    <t>MFrequentlyAskedQuestionMapper</t>
  </si>
  <si>
    <t>共有グループ</t>
  </si>
  <si>
    <t>MFssGroupMapper</t>
  </si>
  <si>
    <t>ジャンル詳細</t>
  </si>
  <si>
    <t>MGenreDetailMapper</t>
  </si>
  <si>
    <t>ジャンル</t>
  </si>
  <si>
    <t>MGenreMapper</t>
  </si>
  <si>
    <t>休日</t>
  </si>
  <si>
    <t>MHolidayMapper</t>
  </si>
  <si>
    <t>LMSユーザー</t>
  </si>
  <si>
    <t>MLmsUserMapper</t>
  </si>
  <si>
    <t>メールテンプレート</t>
  </si>
  <si>
    <t>MMailTemplateMapper</t>
  </si>
  <si>
    <t>面談ファイル</t>
  </si>
  <si>
    <t>MMeetingFileMapper</t>
  </si>
  <si>
    <t>面談スケジュール詳細</t>
  </si>
  <si>
    <t>MMeetingScheduleDetailMapper</t>
  </si>
  <si>
    <t>面談スケジュール</t>
  </si>
  <si>
    <t>MMeetingScheduleMapper</t>
  </si>
  <si>
    <t>動画カテゴリ</t>
  </si>
  <si>
    <t>MMovieCategoryMapper</t>
  </si>
  <si>
    <t>動画</t>
  </si>
  <si>
    <t>MMovieMapper</t>
  </si>
  <si>
    <t>オペレータ</t>
  </si>
  <si>
    <t>MOperatorMapper</t>
  </si>
  <si>
    <t>会場</t>
  </si>
  <si>
    <t>MPlaceMapper</t>
  </si>
  <si>
    <t>成果報告会スケジュールマスター</t>
  </si>
  <si>
    <t>MPresentationScheduleMapper</t>
  </si>
  <si>
    <t>試験問題</t>
  </si>
  <si>
    <t>MQuestionMapper</t>
  </si>
  <si>
    <t>セクション</t>
  </si>
  <si>
    <t>MSectionMapper</t>
  </si>
  <si>
    <t>助成金カテゴリ</t>
  </si>
  <si>
    <t>MSubsidyCategoryMapper</t>
  </si>
  <si>
    <t>ユーザー</t>
  </si>
  <si>
    <t>MUserMapper</t>
  </si>
  <si>
    <t>契約同意</t>
  </si>
  <si>
    <t>TAgreementConsentMapper</t>
  </si>
  <si>
    <t>勤怠情報（企業入力）</t>
  </si>
  <si>
    <t>TCompanyAttendanceMapper</t>
  </si>
  <si>
    <t>企業・共有グループ紐付け</t>
  </si>
  <si>
    <t>TCompanyFssGroupMapper</t>
  </si>
  <si>
    <t>コース・日報紐付け</t>
  </si>
  <si>
    <t>TCourseDailyReportMapper</t>
  </si>
  <si>
    <t>コース・面談ファイル付け</t>
  </si>
  <si>
    <t>TCourseMeetingMapper</t>
  </si>
  <si>
    <t>コース・教材紐付け</t>
  </si>
  <si>
    <t>TCourseTeachingMaterialMapper</t>
  </si>
  <si>
    <t>コース・ユーザー紐付け</t>
  </si>
  <si>
    <t>TCourseUserMapper</t>
  </si>
  <si>
    <t>日報フィードバックコメント</t>
  </si>
  <si>
    <t>TDailyReportFbMapper</t>
  </si>
  <si>
    <t>日報提出詳細</t>
  </si>
  <si>
    <t>TDailyReportSubmitDetailMapper</t>
  </si>
  <si>
    <t>日報提出</t>
  </si>
  <si>
    <t>TDailyReportSubmitMapper</t>
  </si>
  <si>
    <t>評価レポート・コース紐付け</t>
  </si>
  <si>
    <t>TEvCourseMapper</t>
  </si>
  <si>
    <t>試験結果詳細</t>
  </si>
  <si>
    <t>TExamResultDetailMapper</t>
  </si>
  <si>
    <t>試験結果</t>
  </si>
  <si>
    <t>TExamResultMapper</t>
  </si>
  <si>
    <t>試験・セクション紐付け</t>
  </si>
  <si>
    <t>TExamSectionMapper</t>
  </si>
  <si>
    <t>お知らせ</t>
  </si>
  <si>
    <t>TInfoMapper</t>
  </si>
  <si>
    <t>理解度</t>
  </si>
  <si>
    <t>TIntelligibilityMapper</t>
  </si>
  <si>
    <t>メール送信キュー・ファイル紐付け</t>
  </si>
  <si>
    <t>TMailQueFileMapper</t>
  </si>
  <si>
    <t>メール送信キュー</t>
  </si>
  <si>
    <t>TMailQueMapper</t>
  </si>
  <si>
    <t>面談対象企業</t>
  </si>
  <si>
    <t>TMeetingCompanyMapper</t>
  </si>
  <si>
    <t>面談詳細</t>
  </si>
  <si>
    <t>TMeetingDetailMapper</t>
  </si>
  <si>
    <t>面談</t>
  </si>
  <si>
    <t>TMeetingMapper</t>
  </si>
  <si>
    <t>面談対象会場</t>
  </si>
  <si>
    <t>TMeetingPlaceMapper</t>
  </si>
  <si>
    <t>会場アサイン</t>
  </si>
  <si>
    <t>TPlaceAssignMapper</t>
  </si>
  <si>
    <t>成果報告会対象企業</t>
  </si>
  <si>
    <t>TPresentationCompanyMapper</t>
  </si>
  <si>
    <t>改修履歴</t>
  </si>
  <si>
    <t>TRepairHistoryMapper</t>
  </si>
  <si>
    <t>セクション・日報紐付け</t>
  </si>
  <si>
    <t>TSectionDailyReportMapper</t>
  </si>
  <si>
    <t>勤怠情報（受講生入力）</t>
  </si>
  <si>
    <t>TStudentAttendanceMapper</t>
  </si>
  <si>
    <t>パスワード変更</t>
  </si>
  <si>
    <t>TTemporaryPassStorageMapper</t>
  </si>
  <si>
    <t>ユーザー・企業紐付け</t>
  </si>
  <si>
    <t>TUserCompanyMapper</t>
  </si>
  <si>
    <t>ユーザー・共有ユーザー紐付け</t>
  </si>
  <si>
    <t>TUserFssUserMapper</t>
  </si>
  <si>
    <t>ユーザー・会場紐付け</t>
  </si>
  <si>
    <t>TUserPlaceMapper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</si>
</sst>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ＭＳ Ｐ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メイリオ"/>
      <family val="2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0.5"/>
      <name val="ＭＳ Ｐゴシック"/>
      <family val="3"/>
      <charset val="1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"/>
    </font>
    <font>
      <sz val="11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9"/>
      <name val="ＭＳ Ｐゴシック"/>
      <family val="3"/>
      <charset val="1"/>
    </font>
    <font>
      <sz val="11"/>
      <color rgb="FF0000FF"/>
      <name val="ＭＳ Ｐゴシック"/>
      <family val="3"/>
      <charset val="128"/>
    </font>
    <font>
      <sz val="9"/>
      <color rgb="FF0000FF"/>
      <name val="ＭＳ Ｐゴシック"/>
      <family val="3"/>
      <charset val="1"/>
    </font>
    <font>
      <sz val="11"/>
      <color rgb="FF000000"/>
      <name val="ＭＳ Ｐゴシック"/>
      <family val="2"/>
      <charset val="128"/>
    </font>
    <font>
      <sz val="6"/>
      <name val="ＭＳ Ｐゴシック"/>
      <family val="2"/>
      <charset val="128"/>
    </font>
  </fonts>
  <fills count="28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</fills>
  <borders count="4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43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9" fillId="0" borderId="0"/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36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80">
    <xf numFmtId="0" fontId="0" fillId="0" borderId="0" xfId="0">
      <alignment vertical="center"/>
    </xf>
    <xf numFmtId="0" fontId="19" fillId="6" borderId="34" xfId="130" applyFill="1" applyBorder="1" applyAlignment="1">
      <alignment horizontal="center" vertical="center"/>
    </xf>
    <xf numFmtId="0" fontId="33" fillId="6" borderId="33" xfId="130" applyFont="1" applyFill="1" applyBorder="1" applyAlignment="1">
      <alignment horizontal="center" vertical="center" wrapText="1"/>
    </xf>
    <xf numFmtId="0" fontId="19" fillId="6" borderId="32" xfId="130" applyFill="1" applyBorder="1" applyAlignment="1">
      <alignment horizontal="center" vertical="center"/>
    </xf>
    <xf numFmtId="0" fontId="19" fillId="6" borderId="31" xfId="130" applyFill="1" applyBorder="1" applyAlignment="1">
      <alignment horizontal="center" vertical="center"/>
    </xf>
    <xf numFmtId="0" fontId="19" fillId="8" borderId="0" xfId="129" applyFill="1" applyAlignment="1">
      <alignment horizontal="center" vertical="center"/>
    </xf>
    <xf numFmtId="0" fontId="19" fillId="8" borderId="22" xfId="129" applyFill="1" applyBorder="1" applyAlignment="1">
      <alignment horizontal="center" vertical="center"/>
    </xf>
    <xf numFmtId="182" fontId="50" fillId="8" borderId="22" xfId="129" applyNumberFormat="1" applyFont="1" applyFill="1" applyBorder="1" applyAlignment="1">
      <alignment horizontal="center"/>
    </xf>
    <xf numFmtId="0" fontId="19" fillId="8" borderId="22" xfId="129" applyFill="1" applyBorder="1" applyAlignment="1">
      <alignment horizontal="center"/>
    </xf>
    <xf numFmtId="182" fontId="47" fillId="8" borderId="0" xfId="129" applyNumberFormat="1" applyFont="1" applyFill="1" applyAlignment="1">
      <alignment horizontal="center"/>
    </xf>
    <xf numFmtId="182" fontId="48" fillId="8" borderId="0" xfId="129" applyNumberFormat="1" applyFont="1" applyFill="1" applyAlignment="1">
      <alignment horizontal="center"/>
    </xf>
    <xf numFmtId="180" fontId="47" fillId="8" borderId="0" xfId="129" applyNumberFormat="1" applyFont="1" applyFill="1" applyAlignment="1">
      <alignment horizontal="center"/>
    </xf>
    <xf numFmtId="0" fontId="46" fillId="8" borderId="0" xfId="129" applyFont="1" applyFill="1" applyAlignment="1">
      <alignment horizontal="center"/>
    </xf>
    <xf numFmtId="0" fontId="46" fillId="8" borderId="0" xfId="129" applyFont="1" applyFill="1" applyAlignment="1">
      <alignment horizontal="center" vertical="center"/>
    </xf>
    <xf numFmtId="0" fontId="46" fillId="8" borderId="0" xfId="129" applyFont="1" applyFill="1" applyAlignment="1">
      <alignment horizontal="center" shrinkToFit="1"/>
    </xf>
    <xf numFmtId="0" fontId="19" fillId="8" borderId="0" xfId="129" applyFill="1"/>
    <xf numFmtId="0" fontId="19" fillId="8" borderId="14" xfId="129" applyFill="1" applyBorder="1"/>
    <xf numFmtId="0" fontId="19" fillId="8" borderId="15" xfId="129" applyFill="1" applyBorder="1"/>
    <xf numFmtId="0" fontId="19" fillId="8" borderId="16" xfId="129" applyFill="1" applyBorder="1"/>
    <xf numFmtId="0" fontId="19" fillId="8" borderId="17" xfId="129" applyFill="1" applyBorder="1"/>
    <xf numFmtId="0" fontId="19" fillId="8" borderId="18" xfId="129" applyFill="1" applyBorder="1"/>
    <xf numFmtId="0" fontId="19" fillId="8" borderId="19" xfId="129" applyFill="1" applyBorder="1"/>
    <xf numFmtId="0" fontId="19" fillId="8" borderId="20" xfId="129" applyFill="1" applyBorder="1"/>
    <xf numFmtId="0" fontId="19" fillId="8" borderId="21" xfId="129" applyFill="1" applyBorder="1"/>
    <xf numFmtId="0" fontId="47" fillId="8" borderId="0" xfId="129" applyFont="1" applyFill="1"/>
    <xf numFmtId="180" fontId="47" fillId="8" borderId="0" xfId="129" applyNumberFormat="1" applyFont="1" applyFill="1" applyAlignment="1">
      <alignment horizontal="center"/>
    </xf>
    <xf numFmtId="181" fontId="47" fillId="8" borderId="0" xfId="129" applyNumberFormat="1" applyFont="1" applyFill="1" applyAlignment="1">
      <alignment horizontal="left"/>
    </xf>
    <xf numFmtId="182" fontId="47" fillId="8" borderId="0" xfId="129" applyNumberFormat="1" applyFont="1" applyFill="1" applyAlignment="1">
      <alignment horizontal="center"/>
    </xf>
    <xf numFmtId="0" fontId="49" fillId="8" borderId="0" xfId="129" applyFont="1" applyFill="1"/>
    <xf numFmtId="182" fontId="19" fillId="8" borderId="23" xfId="129" applyNumberFormat="1" applyFill="1" applyBorder="1"/>
    <xf numFmtId="0" fontId="19" fillId="8" borderId="24" xfId="129" applyFill="1" applyBorder="1"/>
    <xf numFmtId="0" fontId="19" fillId="8" borderId="25" xfId="129" applyFill="1" applyBorder="1"/>
    <xf numFmtId="0" fontId="19" fillId="8" borderId="26" xfId="129" applyFill="1" applyBorder="1"/>
    <xf numFmtId="0" fontId="19" fillId="8" borderId="27" xfId="129" applyFill="1" applyBorder="1"/>
    <xf numFmtId="0" fontId="19" fillId="8" borderId="28" xfId="129" applyFill="1" applyBorder="1"/>
    <xf numFmtId="0" fontId="19" fillId="8" borderId="29" xfId="129" applyFill="1" applyBorder="1"/>
    <xf numFmtId="0" fontId="19" fillId="8" borderId="30" xfId="129" applyFill="1" applyBorder="1"/>
    <xf numFmtId="0" fontId="51" fillId="8" borderId="0" xfId="129" applyFont="1" applyFill="1"/>
    <xf numFmtId="0" fontId="19" fillId="8" borderId="0" xfId="129" applyFill="1" applyAlignment="1">
      <alignment horizontal="right"/>
    </xf>
    <xf numFmtId="0" fontId="36" fillId="8" borderId="0" xfId="129" applyFont="1" applyFill="1"/>
    <xf numFmtId="0" fontId="52" fillId="0" borderId="0" xfId="130" applyFont="1" applyAlignment="1">
      <alignment horizontal="left" vertical="center"/>
    </xf>
    <xf numFmtId="0" fontId="36" fillId="8" borderId="0" xfId="129" applyFont="1" applyFill="1" applyAlignment="1">
      <alignment horizontal="center" vertical="center"/>
    </xf>
    <xf numFmtId="0" fontId="36" fillId="8" borderId="0" xfId="129" applyFont="1" applyFill="1" applyAlignment="1">
      <alignment horizontal="center"/>
    </xf>
    <xf numFmtId="0" fontId="36" fillId="8" borderId="0" xfId="129" applyFont="1" applyFill="1" applyAlignment="1">
      <alignment vertical="center"/>
    </xf>
    <xf numFmtId="0" fontId="52" fillId="0" borderId="0" xfId="130" applyFont="1"/>
    <xf numFmtId="0" fontId="19" fillId="0" borderId="0" xfId="130"/>
    <xf numFmtId="0" fontId="59" fillId="0" borderId="0" xfId="130" applyFont="1"/>
    <xf numFmtId="0" fontId="19" fillId="6" borderId="35" xfId="130" applyFill="1" applyBorder="1" applyAlignment="1">
      <alignment horizontal="center" vertical="center"/>
    </xf>
    <xf numFmtId="0" fontId="19" fillId="6" borderId="36" xfId="130" applyFill="1" applyBorder="1" applyAlignment="1">
      <alignment horizontal="center" vertical="center"/>
    </xf>
    <xf numFmtId="0" fontId="53" fillId="0" borderId="37" xfId="130" applyFont="1" applyBorder="1" applyAlignment="1">
      <alignment horizontal="center" vertical="center" wrapText="1"/>
    </xf>
    <xf numFmtId="0" fontId="54" fillId="0" borderId="38" xfId="130" applyFont="1" applyBorder="1" applyAlignment="1">
      <alignment horizontal="center" vertical="center" wrapText="1"/>
    </xf>
    <xf numFmtId="0" fontId="33" fillId="0" borderId="39" xfId="130" applyFont="1" applyBorder="1" applyAlignment="1">
      <alignment horizontal="center" vertical="center"/>
    </xf>
    <xf numFmtId="0" fontId="0" fillId="0" borderId="40" xfId="130" applyFont="1" applyBorder="1" applyAlignment="1">
      <alignment horizontal="center" vertical="center"/>
    </xf>
    <xf numFmtId="183" fontId="19" fillId="0" borderId="41" xfId="130" applyNumberFormat="1" applyBorder="1" applyAlignment="1">
      <alignment horizontal="center" vertical="center"/>
    </xf>
    <xf numFmtId="0" fontId="19" fillId="0" borderId="40" xfId="130" applyBorder="1" applyAlignment="1">
      <alignment horizontal="center" vertical="center"/>
    </xf>
    <xf numFmtId="183" fontId="19" fillId="0" borderId="42" xfId="130" applyNumberFormat="1" applyBorder="1" applyAlignment="1">
      <alignment horizontal="center" vertical="center"/>
    </xf>
    <xf numFmtId="0" fontId="52" fillId="6" borderId="43" xfId="130" applyFont="1" applyFill="1" applyBorder="1" applyAlignment="1">
      <alignment horizontal="center" vertical="center"/>
    </xf>
    <xf numFmtId="0" fontId="52" fillId="6" borderId="44" xfId="130" applyFont="1" applyFill="1" applyBorder="1" applyAlignment="1">
      <alignment horizontal="center" vertical="center"/>
    </xf>
    <xf numFmtId="0" fontId="52" fillId="6" borderId="45" xfId="130" applyFont="1" applyFill="1" applyBorder="1" applyAlignment="1">
      <alignment horizontal="center" vertical="center"/>
    </xf>
    <xf numFmtId="184" fontId="52" fillId="0" borderId="46" xfId="130" applyNumberFormat="1" applyFont="1" applyBorder="1" applyAlignment="1">
      <alignment horizontal="center" vertical="center"/>
    </xf>
    <xf numFmtId="183" fontId="52" fillId="0" borderId="47" xfId="130" applyNumberFormat="1" applyFont="1" applyBorder="1" applyAlignment="1">
      <alignment horizontal="center" vertical="center"/>
    </xf>
    <xf numFmtId="0" fontId="52" fillId="0" borderId="47" xfId="130" applyFont="1" applyBorder="1" applyAlignment="1">
      <alignment horizontal="center" vertical="center"/>
    </xf>
    <xf numFmtId="0" fontId="52" fillId="0" borderId="47" xfId="130" applyFont="1" applyBorder="1" applyAlignment="1">
      <alignment vertical="center" wrapText="1"/>
    </xf>
    <xf numFmtId="0" fontId="52" fillId="0" borderId="48" xfId="130" applyFont="1" applyBorder="1" applyAlignment="1">
      <alignment horizontal="center" vertical="center"/>
    </xf>
    <xf numFmtId="183" fontId="52" fillId="0" borderId="22" xfId="130" applyNumberFormat="1" applyFont="1" applyBorder="1" applyAlignment="1">
      <alignment horizontal="center" vertical="center"/>
    </xf>
    <xf numFmtId="0" fontId="52" fillId="0" borderId="22" xfId="130" applyFont="1" applyBorder="1" applyAlignment="1">
      <alignment horizontal="center" vertical="center"/>
    </xf>
    <xf numFmtId="0" fontId="52" fillId="0" borderId="22" xfId="130" applyFont="1" applyBorder="1" applyAlignment="1">
      <alignment vertical="center" wrapText="1"/>
    </xf>
    <xf numFmtId="184" fontId="52" fillId="0" borderId="3" xfId="130" applyNumberFormat="1" applyFont="1" applyBorder="1" applyAlignment="1">
      <alignment horizontal="center" vertical="center"/>
    </xf>
    <xf numFmtId="184" fontId="52" fillId="0" borderId="37" xfId="130" applyNumberFormat="1" applyFont="1" applyBorder="1" applyAlignment="1">
      <alignment horizontal="center" vertical="center"/>
    </xf>
    <xf numFmtId="183" fontId="52" fillId="0" borderId="41" xfId="130" applyNumberFormat="1" applyFont="1" applyBorder="1" applyAlignment="1">
      <alignment horizontal="center" vertical="center"/>
    </xf>
    <xf numFmtId="0" fontId="52" fillId="0" borderId="41" xfId="130" applyFont="1" applyBorder="1" applyAlignment="1">
      <alignment vertical="center" wrapText="1"/>
    </xf>
    <xf numFmtId="0" fontId="55" fillId="6" borderId="22" xfId="130" applyFont="1" applyFill="1" applyBorder="1" applyAlignment="1">
      <alignment horizontal="center" vertical="center"/>
    </xf>
    <xf numFmtId="0" fontId="55" fillId="6" borderId="22" xfId="108" applyFont="1" applyFill="1" applyBorder="1" applyAlignment="1">
      <alignment horizontal="center" vertical="center"/>
    </xf>
    <xf numFmtId="0" fontId="56" fillId="6" borderId="22" xfId="0" applyFont="1" applyFill="1" applyBorder="1" applyAlignment="1">
      <alignment horizontal="center" vertical="center"/>
    </xf>
    <xf numFmtId="0" fontId="57" fillId="0" borderId="22" xfId="108" applyFont="1" applyBorder="1" applyAlignment="1">
      <alignment horizontal="center" vertical="center"/>
    </xf>
    <xf numFmtId="0" fontId="57" fillId="0" borderId="22" xfId="108" applyFont="1" applyBorder="1" applyAlignment="1">
      <alignment horizontal="left" vertical="center"/>
    </xf>
    <xf numFmtId="0" fontId="57" fillId="0" borderId="0" xfId="130" applyFont="1" applyAlignment="1">
      <alignment horizontal="left" vertical="center"/>
    </xf>
    <xf numFmtId="0" fontId="58" fillId="0" borderId="22" xfId="108" applyFont="1" applyBorder="1" applyAlignment="1">
      <alignment horizontal="left" vertical="center"/>
    </xf>
    <xf numFmtId="0" fontId="57" fillId="0" borderId="22" xfId="130" applyFont="1" applyBorder="1" applyAlignment="1">
      <alignment horizontal="left" vertical="center"/>
    </xf>
    <xf numFmtId="0" fontId="60" fillId="0" borderId="22" xfId="108" applyFont="1" applyBorder="1" applyAlignment="1">
      <alignment horizontal="left" vertical="center"/>
    </xf>
  </cellXfs>
  <cellStyles count="143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heck Cell" xfId="47" xr:uid="{00000000-0005-0000-0000-000034000000}"/>
    <cellStyle name="Comma [0]_FON95-03" xfId="48" xr:uid="{00000000-0005-0000-0000-000035000000}"/>
    <cellStyle name="Comma_FON95-03" xfId="49" xr:uid="{00000000-0005-0000-0000-000036000000}"/>
    <cellStyle name="Currency [0]_FON95-03" xfId="50" xr:uid="{00000000-0005-0000-0000-000037000000}"/>
    <cellStyle name="Currency_FON95-03" xfId="51" xr:uid="{00000000-0005-0000-0000-000038000000}"/>
    <cellStyle name="date" xfId="52" xr:uid="{00000000-0005-0000-0000-000039000000}"/>
    <cellStyle name="Explanatory Text" xfId="53" xr:uid="{00000000-0005-0000-0000-00003A000000}"/>
    <cellStyle name="Good 2" xfId="54" xr:uid="{00000000-0005-0000-0000-00003B000000}"/>
    <cellStyle name="Heading 1 3" xfId="55" xr:uid="{00000000-0005-0000-0000-00003C000000}"/>
    <cellStyle name="Heading 2 4" xfId="56" xr:uid="{00000000-0005-0000-0000-00003D000000}"/>
    <cellStyle name="Heading 3" xfId="57" xr:uid="{00000000-0005-0000-0000-00003E000000}"/>
    <cellStyle name="Heading 4" xfId="58" xr:uid="{00000000-0005-0000-0000-00003F000000}"/>
    <cellStyle name="IBM(401K)" xfId="59" xr:uid="{00000000-0005-0000-0000-000040000000}"/>
    <cellStyle name="Input" xfId="60" xr:uid="{00000000-0005-0000-0000-000041000000}"/>
    <cellStyle name="Input 2" xfId="61" xr:uid="{00000000-0005-0000-0000-000042000000}"/>
    <cellStyle name="J401K" xfId="62" xr:uid="{00000000-0005-0000-0000-000043000000}"/>
    <cellStyle name="Linked Cell" xfId="63" xr:uid="{00000000-0005-0000-0000-000044000000}"/>
    <cellStyle name="Milliers [0]_AR1194" xfId="64" xr:uid="{00000000-0005-0000-0000-000045000000}"/>
    <cellStyle name="Milliers_AR1194" xfId="65" xr:uid="{00000000-0005-0000-0000-000046000000}"/>
    <cellStyle name="Mon騁aire [0]_AR1194" xfId="66" xr:uid="{00000000-0005-0000-0000-000047000000}"/>
    <cellStyle name="Mon騁aire_AR1194" xfId="67" xr:uid="{00000000-0005-0000-0000-000048000000}"/>
    <cellStyle name="Neutral 5" xfId="68" xr:uid="{00000000-0005-0000-0000-000049000000}"/>
    <cellStyle name="Normal_AR1194" xfId="69" xr:uid="{00000000-0005-0000-0000-00004A000000}"/>
    <cellStyle name="Note 2" xfId="70" xr:uid="{00000000-0005-0000-0000-00004B000000}"/>
    <cellStyle name="Note 6" xfId="71" xr:uid="{00000000-0005-0000-0000-00004C000000}"/>
    <cellStyle name="Output" xfId="72" xr:uid="{00000000-0005-0000-0000-00004D000000}"/>
    <cellStyle name="Output 2" xfId="73" xr:uid="{00000000-0005-0000-0000-00004E000000}"/>
    <cellStyle name="Title" xfId="74" xr:uid="{00000000-0005-0000-0000-00004F000000}"/>
    <cellStyle name="Total" xfId="75" xr:uid="{00000000-0005-0000-0000-000050000000}"/>
    <cellStyle name="Total 2" xfId="76" xr:uid="{00000000-0005-0000-0000-000051000000}"/>
    <cellStyle name="Warning Text" xfId="77" xr:uid="{00000000-0005-0000-0000-000052000000}"/>
    <cellStyle name="アクセント 1 2" xfId="79" xr:uid="{00000000-0005-0000-0000-000054000000}"/>
    <cellStyle name="アクセント 2 2" xfId="80" xr:uid="{00000000-0005-0000-0000-000055000000}"/>
    <cellStyle name="アクセント 3 2" xfId="81" xr:uid="{00000000-0005-0000-0000-000056000000}"/>
    <cellStyle name="アクセント 4 2" xfId="82" xr:uid="{00000000-0005-0000-0000-000057000000}"/>
    <cellStyle name="アクセント 5 2" xfId="83" xr:uid="{00000000-0005-0000-0000-000058000000}"/>
    <cellStyle name="アクセント 6 2" xfId="84" xr:uid="{00000000-0005-0000-0000-000059000000}"/>
    <cellStyle name="タイトル 2" xfId="85" xr:uid="{00000000-0005-0000-0000-00005A000000}"/>
    <cellStyle name="チェック セル 2" xfId="86" xr:uid="{00000000-0005-0000-0000-00005B000000}"/>
    <cellStyle name="データパイロットの数値" xfId="88" xr:uid="{00000000-0005-0000-0000-00005D000000}"/>
    <cellStyle name="データパイロットの分類項目" xfId="87" xr:uid="{00000000-0005-0000-0000-00005C000000}"/>
    <cellStyle name="どちらでもない 2" xfId="78" xr:uid="{00000000-0005-0000-0000-000053000000}"/>
    <cellStyle name="ハイパーリンク 2" xfId="89" xr:uid="{00000000-0005-0000-0000-00005E000000}"/>
    <cellStyle name="ハイパーリンク 3" xfId="90" xr:uid="{00000000-0005-0000-0000-00005F000000}"/>
    <cellStyle name="フェンスチャート" xfId="91" xr:uid="{00000000-0005-0000-0000-000060000000}"/>
    <cellStyle name="メモ 2" xfId="92" xr:uid="{00000000-0005-0000-0000-000061000000}"/>
    <cellStyle name="メモ 2 2" xfId="93" xr:uid="{00000000-0005-0000-0000-000062000000}"/>
    <cellStyle name="リンク セル 2" xfId="94" xr:uid="{00000000-0005-0000-0000-000063000000}"/>
    <cellStyle name="悪い 2" xfId="99" xr:uid="{00000000-0005-0000-0000-000068000000}"/>
    <cellStyle name="計算 2" xfId="137" xr:uid="{00000000-0005-0000-0000-00008E000000}"/>
    <cellStyle name="計算 2 2" xfId="138" xr:uid="{00000000-0005-0000-0000-00008F000000}"/>
    <cellStyle name="警告文 2" xfId="140" xr:uid="{00000000-0005-0000-0000-000091000000}"/>
    <cellStyle name="桁区切り 2" xfId="101" xr:uid="{00000000-0005-0000-0000-00006A000000}"/>
    <cellStyle name="桁区切り 2 2" xfId="102" xr:uid="{00000000-0005-0000-0000-00006B000000}"/>
    <cellStyle name="桁区切り 3" xfId="103" xr:uid="{00000000-0005-0000-0000-00006C000000}"/>
    <cellStyle name="桁区切り 4" xfId="104" xr:uid="{00000000-0005-0000-0000-00006D000000}"/>
    <cellStyle name="見出し 1 2" xfId="133" xr:uid="{00000000-0005-0000-0000-00008A000000}"/>
    <cellStyle name="見出し 2 2" xfId="134" xr:uid="{00000000-0005-0000-0000-00008B000000}"/>
    <cellStyle name="見出し 3 2" xfId="135" xr:uid="{00000000-0005-0000-0000-00008C000000}"/>
    <cellStyle name="見出し 4 2" xfId="136" xr:uid="{00000000-0005-0000-0000-00008D000000}"/>
    <cellStyle name="集計 2" xfId="141" xr:uid="{00000000-0005-0000-0000-000092000000}"/>
    <cellStyle name="集計 2 2" xfId="142" xr:uid="{00000000-0005-0000-0000-000093000000}"/>
    <cellStyle name="出力 2" xfId="97" xr:uid="{00000000-0005-0000-0000-000066000000}"/>
    <cellStyle name="出力 2 2" xfId="98" xr:uid="{00000000-0005-0000-0000-000067000000}"/>
    <cellStyle name="状態遷移図" xfId="131" xr:uid="{00000000-0005-0000-0000-000088000000}"/>
    <cellStyle name="説明文 2" xfId="139" xr:uid="{00000000-0005-0000-0000-000090000000}"/>
    <cellStyle name="入力 2" xfId="95" xr:uid="{00000000-0005-0000-0000-000064000000}"/>
    <cellStyle name="入力 2 2" xfId="96" xr:uid="{00000000-0005-0000-0000-000065000000}"/>
    <cellStyle name="標準" xfId="0" builtinId="0"/>
    <cellStyle name="標準 10" xfId="105" xr:uid="{00000000-0005-0000-0000-00006E000000}"/>
    <cellStyle name="標準 11" xfId="106" xr:uid="{00000000-0005-0000-0000-00006F000000}"/>
    <cellStyle name="標準 11 2" xfId="107" xr:uid="{00000000-0005-0000-0000-000070000000}"/>
    <cellStyle name="標準 2" xfId="108" xr:uid="{00000000-0005-0000-0000-000071000000}"/>
    <cellStyle name="標準 2 2" xfId="109" xr:uid="{00000000-0005-0000-0000-000072000000}"/>
    <cellStyle name="標準 2 2 2" xfId="110" xr:uid="{00000000-0005-0000-0000-000073000000}"/>
    <cellStyle name="標準 2 2 3" xfId="111" xr:uid="{00000000-0005-0000-0000-000074000000}"/>
    <cellStyle name="標準 2 2 4" xfId="112" xr:uid="{00000000-0005-0000-0000-000075000000}"/>
    <cellStyle name="標準 2 3" xfId="113" xr:uid="{00000000-0005-0000-0000-000076000000}"/>
    <cellStyle name="標準 2 4" xfId="114" xr:uid="{00000000-0005-0000-0000-000077000000}"/>
    <cellStyle name="標準 2 5" xfId="115" xr:uid="{00000000-0005-0000-0000-000078000000}"/>
    <cellStyle name="標準 2 6" xfId="116" xr:uid="{00000000-0005-0000-0000-000079000000}"/>
    <cellStyle name="標準 2_デモ／空メールエントリーシステム＿メモ" xfId="117" xr:uid="{00000000-0005-0000-0000-00007A000000}"/>
    <cellStyle name="標準 3" xfId="118" xr:uid="{00000000-0005-0000-0000-00007B000000}"/>
    <cellStyle name="標準 3 2" xfId="119" xr:uid="{00000000-0005-0000-0000-00007C000000}"/>
    <cellStyle name="標準 4" xfId="120" xr:uid="{00000000-0005-0000-0000-00007D000000}"/>
    <cellStyle name="標準 4 2" xfId="121" xr:uid="{00000000-0005-0000-0000-00007E000000}"/>
    <cellStyle name="標準 4 3" xfId="122" xr:uid="{00000000-0005-0000-0000-00007F000000}"/>
    <cellStyle name="標準 5" xfId="123" xr:uid="{00000000-0005-0000-0000-000080000000}"/>
    <cellStyle name="標準 5 2" xfId="124" xr:uid="{00000000-0005-0000-0000-000081000000}"/>
    <cellStyle name="標準 6" xfId="125" xr:uid="{00000000-0005-0000-0000-000082000000}"/>
    <cellStyle name="標準 7" xfId="126" xr:uid="{00000000-0005-0000-0000-000083000000}"/>
    <cellStyle name="標準 8" xfId="127" xr:uid="{00000000-0005-0000-0000-000084000000}"/>
    <cellStyle name="標準 9" xfId="128" xr:uid="{00000000-0005-0000-0000-000085000000}"/>
    <cellStyle name="標準_開発計画_110720_v11" xfId="130" xr:uid="{00000000-0005-0000-0000-000087000000}"/>
    <cellStyle name="標準_朝日生命_バースデーキャンペーン_DB設計書_080415_社内_情報活用セミナー_Createテキストデータ設計書_081107-2" xfId="129" xr:uid="{00000000-0005-0000-0000-000086000000}"/>
    <cellStyle name="未定義" xfId="100" xr:uid="{00000000-0005-0000-0000-000069000000}"/>
    <cellStyle name="良い 2" xfId="132" xr:uid="{00000000-0005-0000-0000-00008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36</xdr:row>
      <xdr:rowOff>15840</xdr:rowOff>
    </xdr:from>
    <xdr:to>
      <xdr:col>52</xdr:col>
      <xdr:colOff>144720</xdr:colOff>
      <xdr:row>36</xdr:row>
      <xdr:rowOff>15840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149880"/>
          <a:ext cx="97912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144000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97905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AMJ38"/>
  <sheetViews>
    <sheetView view="pageBreakPreview" zoomScaleNormal="100" workbookViewId="0"/>
  </sheetViews>
  <sheetFormatPr defaultColWidth="2.625" defaultRowHeight="13.5"/>
  <cols>
    <col min="1" max="1024" width="2.625" style="15"/>
  </cols>
  <sheetData>
    <row r="7" spans="14:41">
      <c r="N7" s="16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8"/>
    </row>
    <row r="8" spans="14:41" ht="18.75">
      <c r="N8" s="19"/>
      <c r="O8" s="14" t="s">
        <v>0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20"/>
    </row>
    <row r="9" spans="14:41" ht="18.75">
      <c r="N9" s="19"/>
      <c r="O9" s="14" t="s">
        <v>1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20"/>
    </row>
    <row r="10" spans="14:41" ht="18.75">
      <c r="N10" s="19"/>
      <c r="S10" s="13" t="s">
        <v>2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O10" s="20"/>
    </row>
    <row r="11" spans="14:41" ht="18.75">
      <c r="N11" s="19"/>
      <c r="S11" s="12" t="s">
        <v>3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O11" s="20"/>
    </row>
    <row r="12" spans="14:41">
      <c r="N12" s="21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3"/>
    </row>
    <row r="13" spans="14:41">
      <c r="X13" s="24"/>
      <c r="AA13" s="11"/>
      <c r="AB13" s="11"/>
      <c r="AC13" s="11"/>
      <c r="AD13" s="11"/>
      <c r="AE13" s="11"/>
      <c r="AF13" s="11"/>
    </row>
    <row r="14" spans="14:41">
      <c r="X14" s="24"/>
      <c r="AA14" s="25"/>
      <c r="AB14" s="25"/>
      <c r="AC14" s="25"/>
      <c r="AD14" s="25"/>
      <c r="AE14" s="25"/>
      <c r="AF14" s="25"/>
    </row>
    <row r="15" spans="14:41">
      <c r="X15" s="15" t="str">
        <f>"第"&amp;TEXT(MAX(更新履歴!A8:I36),"#0.0")&amp;"版"</f>
        <v>第1.8版</v>
      </c>
      <c r="Y15" s="26"/>
      <c r="Z15" s="26"/>
      <c r="AA15" s="10">
        <f>MAX(更新履歴!J8:Q36)</f>
        <v>45258</v>
      </c>
      <c r="AB15" s="10"/>
      <c r="AC15" s="10"/>
      <c r="AD15" s="10"/>
      <c r="AE15" s="10"/>
      <c r="AF15" s="10"/>
    </row>
    <row r="16" spans="14:41">
      <c r="X16" s="24"/>
      <c r="AA16" s="27"/>
      <c r="AB16" s="27"/>
      <c r="AC16" s="27"/>
      <c r="AD16" s="27"/>
      <c r="AE16" s="27"/>
      <c r="AF16" s="27"/>
    </row>
    <row r="17" spans="21:35">
      <c r="X17" s="24"/>
      <c r="AA17" s="9"/>
      <c r="AB17" s="9"/>
      <c r="AC17" s="9"/>
      <c r="AD17" s="9"/>
      <c r="AE17" s="9"/>
      <c r="AF17" s="9"/>
      <c r="AG17" s="28"/>
    </row>
    <row r="18" spans="21:35">
      <c r="U18" s="8" t="s">
        <v>4</v>
      </c>
      <c r="V18" s="8"/>
      <c r="W18" s="8"/>
      <c r="X18" s="8"/>
      <c r="Y18" s="8"/>
      <c r="Z18" s="7" t="s">
        <v>5</v>
      </c>
      <c r="AA18" s="7"/>
      <c r="AB18" s="7"/>
      <c r="AC18" s="7"/>
      <c r="AD18" s="7"/>
      <c r="AE18" s="8" t="s">
        <v>6</v>
      </c>
      <c r="AF18" s="8"/>
      <c r="AG18" s="8"/>
      <c r="AH18" s="8"/>
      <c r="AI18" s="8"/>
    </row>
    <row r="19" spans="21:35">
      <c r="U19" s="6" t="s">
        <v>7</v>
      </c>
      <c r="V19" s="6"/>
      <c r="W19" s="6"/>
      <c r="X19" s="6"/>
      <c r="Y19" s="6"/>
      <c r="Z19" s="29"/>
      <c r="AA19" s="30"/>
      <c r="AB19" s="30"/>
      <c r="AC19" s="30"/>
      <c r="AD19" s="31"/>
      <c r="AI19" s="32"/>
    </row>
    <row r="20" spans="21:35">
      <c r="U20" s="6"/>
      <c r="V20" s="6"/>
      <c r="W20" s="6"/>
      <c r="X20" s="6"/>
      <c r="Y20" s="6"/>
      <c r="Z20" s="33"/>
      <c r="AD20" s="32"/>
      <c r="AI20" s="32"/>
    </row>
    <row r="21" spans="21:35">
      <c r="U21" s="6"/>
      <c r="V21" s="6"/>
      <c r="W21" s="6"/>
      <c r="X21" s="6"/>
      <c r="Y21" s="6"/>
      <c r="Z21" s="33"/>
      <c r="AD21" s="32"/>
      <c r="AI21" s="32"/>
    </row>
    <row r="22" spans="21:35">
      <c r="U22" s="6"/>
      <c r="V22" s="6"/>
      <c r="W22" s="6"/>
      <c r="X22" s="6"/>
      <c r="Y22" s="6"/>
      <c r="Z22" s="34"/>
      <c r="AA22" s="35"/>
      <c r="AB22" s="35"/>
      <c r="AC22" s="35"/>
      <c r="AD22" s="36"/>
      <c r="AE22" s="35"/>
      <c r="AF22" s="35"/>
      <c r="AG22" s="35"/>
      <c r="AH22" s="35"/>
      <c r="AI22" s="36"/>
    </row>
    <row r="32" spans="21:35" s="15" customFormat="1"/>
    <row r="33" spans="1:54"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54"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54"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7" spans="1:54">
      <c r="A37" s="37"/>
      <c r="BA37" s="38"/>
    </row>
    <row r="38" spans="1:54">
      <c r="BB38" s="38"/>
    </row>
  </sheetData>
  <mergeCells count="13">
    <mergeCell ref="U19:Y22"/>
    <mergeCell ref="S33:AJ33"/>
    <mergeCell ref="S34:AJ35"/>
    <mergeCell ref="AA15:AF15"/>
    <mergeCell ref="AA17:AF17"/>
    <mergeCell ref="U18:Y18"/>
    <mergeCell ref="Z18:AD18"/>
    <mergeCell ref="AE18:AI18"/>
    <mergeCell ref="O8:AN8"/>
    <mergeCell ref="O9:AN9"/>
    <mergeCell ref="S10:AJ10"/>
    <mergeCell ref="S11:AJ11"/>
    <mergeCell ref="AA13:AF13"/>
  </mergeCells>
  <phoneticPr fontId="62"/>
  <printOptions horizontalCentered="1"/>
  <pageMargins left="0.39374999999999999" right="0.39374999999999999" top="0.39374999999999999" bottom="0.59027777777777801" header="0.511811023622047" footer="0.51180555555555596"/>
  <pageSetup paperSize="9" fitToHeight="0" orientation="landscape" horizontalDpi="300" verticalDpi="300" r:id="rId1"/>
  <headerFooter>
    <oddFooter>&amp;C&amp;9&amp;P/&amp;N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6"/>
  <sheetViews>
    <sheetView showGridLines="0" view="pageBreakPreview" zoomScaleNormal="85" workbookViewId="0">
      <selection sqref="A1:I1"/>
    </sheetView>
  </sheetViews>
  <sheetFormatPr defaultColWidth="2.75" defaultRowHeight="13.5"/>
  <cols>
    <col min="1" max="55" width="2.625" style="39" customWidth="1"/>
    <col min="56" max="63" width="11.625" customWidth="1"/>
  </cols>
  <sheetData>
    <row r="1" spans="1:55" s="40" customFormat="1" ht="15" customHeight="1">
      <c r="A1" s="4" t="s">
        <v>8</v>
      </c>
      <c r="B1" s="4"/>
      <c r="C1" s="4"/>
      <c r="D1" s="4"/>
      <c r="E1" s="4"/>
      <c r="F1" s="4"/>
      <c r="G1" s="4"/>
      <c r="H1" s="4"/>
      <c r="I1" s="4"/>
      <c r="J1" s="3" t="s">
        <v>9</v>
      </c>
      <c r="K1" s="3"/>
      <c r="L1" s="3"/>
      <c r="M1" s="3"/>
      <c r="N1" s="3"/>
      <c r="O1" s="3"/>
      <c r="P1" s="3"/>
      <c r="Q1" s="3"/>
      <c r="R1" s="2" t="str">
        <f>表紙!S11</f>
        <v>API設計書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 t="s">
        <v>4</v>
      </c>
      <c r="AK1" s="1"/>
      <c r="AL1" s="1"/>
      <c r="AM1" s="1"/>
      <c r="AN1" s="1"/>
      <c r="AO1" s="47" t="s">
        <v>10</v>
      </c>
      <c r="AP1" s="47"/>
      <c r="AQ1" s="47"/>
      <c r="AR1" s="47"/>
      <c r="AS1" s="47"/>
      <c r="AT1" s="47" t="s">
        <v>11</v>
      </c>
      <c r="AU1" s="47"/>
      <c r="AV1" s="47"/>
      <c r="AW1" s="47"/>
      <c r="AX1" s="47"/>
      <c r="AY1" s="48" t="s">
        <v>12</v>
      </c>
      <c r="AZ1" s="48"/>
      <c r="BA1" s="48"/>
      <c r="BB1" s="48"/>
      <c r="BC1" s="48"/>
    </row>
    <row r="2" spans="1:55" s="40" customFormat="1" ht="15" customHeight="1">
      <c r="A2" s="49" t="str">
        <f>表紙!O9</f>
        <v>体験型Java研修</v>
      </c>
      <c r="B2" s="49"/>
      <c r="C2" s="49"/>
      <c r="D2" s="49"/>
      <c r="E2" s="49"/>
      <c r="F2" s="49"/>
      <c r="G2" s="49"/>
      <c r="H2" s="49"/>
      <c r="I2" s="49"/>
      <c r="J2" s="50" t="str">
        <f>表紙!O8</f>
        <v>LMS学習管理システム</v>
      </c>
      <c r="K2" s="50"/>
      <c r="L2" s="50"/>
      <c r="M2" s="50"/>
      <c r="N2" s="50"/>
      <c r="O2" s="50"/>
      <c r="P2" s="50"/>
      <c r="Q2" s="50"/>
      <c r="R2" s="51" t="s">
        <v>13</v>
      </c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2" t="s">
        <v>7</v>
      </c>
      <c r="AK2" s="52"/>
      <c r="AL2" s="52"/>
      <c r="AM2" s="52"/>
      <c r="AN2" s="52"/>
      <c r="AO2" s="53">
        <v>44260</v>
      </c>
      <c r="AP2" s="53"/>
      <c r="AQ2" s="53"/>
      <c r="AR2" s="53"/>
      <c r="AS2" s="53"/>
      <c r="AT2" s="54" t="s">
        <v>14</v>
      </c>
      <c r="AU2" s="54"/>
      <c r="AV2" s="54"/>
      <c r="AW2" s="54"/>
      <c r="AX2" s="54"/>
      <c r="AY2" s="55">
        <v>45258</v>
      </c>
      <c r="AZ2" s="55"/>
      <c r="BA2" s="55"/>
      <c r="BB2" s="55"/>
      <c r="BC2" s="55"/>
    </row>
    <row r="3" spans="1:55" s="40" customFormat="1" ht="15" customHeight="1">
      <c r="A3" s="49"/>
      <c r="B3" s="49"/>
      <c r="C3" s="49"/>
      <c r="D3" s="49"/>
      <c r="E3" s="49"/>
      <c r="F3" s="49"/>
      <c r="G3" s="49"/>
      <c r="H3" s="49"/>
      <c r="I3" s="49"/>
      <c r="J3" s="50"/>
      <c r="K3" s="50"/>
      <c r="L3" s="50"/>
      <c r="M3" s="50"/>
      <c r="N3" s="50"/>
      <c r="O3" s="50"/>
      <c r="P3" s="50"/>
      <c r="Q3" s="50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2"/>
      <c r="AK3" s="52"/>
      <c r="AL3" s="52"/>
      <c r="AM3" s="52"/>
      <c r="AN3" s="52"/>
      <c r="AO3" s="53"/>
      <c r="AP3" s="53"/>
      <c r="AQ3" s="53"/>
      <c r="AR3" s="53"/>
      <c r="AS3" s="53"/>
      <c r="AT3" s="54"/>
      <c r="AU3" s="54"/>
      <c r="AV3" s="54"/>
      <c r="AW3" s="54"/>
      <c r="AX3" s="54"/>
      <c r="AY3" s="55"/>
      <c r="AZ3" s="55"/>
      <c r="BA3" s="55"/>
      <c r="BB3" s="55"/>
      <c r="BC3" s="55"/>
    </row>
    <row r="4" spans="1:55" ht="13.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2"/>
      <c r="M4" s="42"/>
      <c r="N4" s="42"/>
      <c r="O4" s="42"/>
      <c r="Q4" s="43"/>
      <c r="R4" s="43"/>
      <c r="S4" s="43"/>
      <c r="AP4" s="42"/>
      <c r="AQ4" s="42"/>
      <c r="AR4" s="42"/>
      <c r="AS4" s="42"/>
      <c r="AT4" s="42"/>
      <c r="BC4" s="41"/>
    </row>
    <row r="5" spans="1:55" s="44" customFormat="1" ht="14.25" customHeight="1">
      <c r="A5" s="56" t="s">
        <v>15</v>
      </c>
      <c r="B5" s="56"/>
      <c r="C5" s="56"/>
      <c r="D5" s="56"/>
      <c r="E5" s="56"/>
      <c r="F5" s="56"/>
      <c r="G5" s="56"/>
      <c r="H5" s="56"/>
      <c r="I5" s="56"/>
      <c r="J5" s="57" t="s">
        <v>16</v>
      </c>
      <c r="K5" s="57"/>
      <c r="L5" s="57"/>
      <c r="M5" s="57"/>
      <c r="N5" s="57"/>
      <c r="O5" s="57"/>
      <c r="P5" s="57"/>
      <c r="Q5" s="57"/>
      <c r="R5" s="57" t="s">
        <v>17</v>
      </c>
      <c r="S5" s="57"/>
      <c r="T5" s="57"/>
      <c r="U5" s="57"/>
      <c r="V5" s="57" t="s">
        <v>18</v>
      </c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8" t="s">
        <v>19</v>
      </c>
      <c r="AU5" s="58"/>
      <c r="AV5" s="58"/>
      <c r="AW5" s="58"/>
      <c r="AX5" s="58"/>
      <c r="AY5" s="58"/>
      <c r="AZ5" s="58"/>
      <c r="BA5" s="58"/>
      <c r="BB5" s="58"/>
      <c r="BC5" s="58"/>
    </row>
    <row r="6" spans="1:55" s="45" customFormat="1" ht="14.25" customHeight="1">
      <c r="A6" s="56"/>
      <c r="B6" s="56"/>
      <c r="C6" s="56"/>
      <c r="D6" s="56"/>
      <c r="E6" s="56"/>
      <c r="F6" s="56"/>
      <c r="G6" s="56"/>
      <c r="H6" s="56"/>
      <c r="I6" s="56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8"/>
      <c r="AU6" s="58"/>
      <c r="AV6" s="58"/>
      <c r="AW6" s="58"/>
      <c r="AX6" s="58"/>
      <c r="AY6" s="58"/>
      <c r="AZ6" s="58"/>
      <c r="BA6" s="58"/>
      <c r="BB6" s="58"/>
      <c r="BC6" s="58"/>
    </row>
    <row r="7" spans="1:55" s="45" customFormat="1" ht="14.25" customHeight="1">
      <c r="A7" s="56"/>
      <c r="B7" s="56"/>
      <c r="C7" s="56"/>
      <c r="D7" s="56"/>
      <c r="E7" s="56"/>
      <c r="F7" s="56"/>
      <c r="G7" s="56"/>
      <c r="H7" s="56"/>
      <c r="I7" s="56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8"/>
      <c r="AU7" s="58"/>
      <c r="AV7" s="58"/>
      <c r="AW7" s="58"/>
      <c r="AX7" s="58"/>
      <c r="AY7" s="58"/>
      <c r="AZ7" s="58"/>
      <c r="BA7" s="58"/>
      <c r="BB7" s="58"/>
      <c r="BC7" s="58"/>
    </row>
    <row r="8" spans="1:55" s="45" customFormat="1" ht="14.25" customHeight="1">
      <c r="A8" s="59">
        <v>1</v>
      </c>
      <c r="B8" s="59"/>
      <c r="C8" s="59"/>
      <c r="D8" s="59"/>
      <c r="E8" s="59"/>
      <c r="F8" s="59"/>
      <c r="G8" s="59"/>
      <c r="H8" s="59"/>
      <c r="I8" s="59"/>
      <c r="J8" s="60">
        <v>44260</v>
      </c>
      <c r="K8" s="60"/>
      <c r="L8" s="60"/>
      <c r="M8" s="60"/>
      <c r="N8" s="60"/>
      <c r="O8" s="60"/>
      <c r="P8" s="60"/>
      <c r="Q8" s="60"/>
      <c r="R8" s="61" t="s">
        <v>20</v>
      </c>
      <c r="S8" s="61"/>
      <c r="T8" s="61"/>
      <c r="U8" s="61"/>
      <c r="V8" s="62" t="s">
        <v>21</v>
      </c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3" t="s">
        <v>7</v>
      </c>
      <c r="AU8" s="63"/>
      <c r="AV8" s="63"/>
      <c r="AW8" s="63"/>
      <c r="AX8" s="63"/>
      <c r="AY8" s="63"/>
      <c r="AZ8" s="63"/>
      <c r="BA8" s="63"/>
      <c r="BB8" s="63"/>
      <c r="BC8" s="63"/>
    </row>
    <row r="9" spans="1:55" s="45" customFormat="1" ht="14.25" customHeight="1">
      <c r="A9" s="59"/>
      <c r="B9" s="59"/>
      <c r="C9" s="59"/>
      <c r="D9" s="59"/>
      <c r="E9" s="59"/>
      <c r="F9" s="59"/>
      <c r="G9" s="59"/>
      <c r="H9" s="59"/>
      <c r="I9" s="59"/>
      <c r="J9" s="60"/>
      <c r="K9" s="60"/>
      <c r="L9" s="60"/>
      <c r="M9" s="60"/>
      <c r="N9" s="60"/>
      <c r="O9" s="60"/>
      <c r="P9" s="60"/>
      <c r="Q9" s="60"/>
      <c r="R9" s="61"/>
      <c r="S9" s="61"/>
      <c r="T9" s="61"/>
      <c r="U9" s="61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3"/>
      <c r="AU9" s="63"/>
      <c r="AV9" s="63"/>
      <c r="AW9" s="63"/>
      <c r="AX9" s="63"/>
      <c r="AY9" s="63"/>
      <c r="AZ9" s="63"/>
      <c r="BA9" s="63"/>
      <c r="BB9" s="63"/>
      <c r="BC9" s="63"/>
    </row>
    <row r="10" spans="1:55" s="45" customFormat="1" ht="14.25" customHeight="1">
      <c r="A10" s="59"/>
      <c r="B10" s="59"/>
      <c r="C10" s="59"/>
      <c r="D10" s="59"/>
      <c r="E10" s="59"/>
      <c r="F10" s="59"/>
      <c r="G10" s="59"/>
      <c r="H10" s="59"/>
      <c r="I10" s="59"/>
      <c r="J10" s="60"/>
      <c r="K10" s="60"/>
      <c r="L10" s="60"/>
      <c r="M10" s="60"/>
      <c r="N10" s="60"/>
      <c r="O10" s="60"/>
      <c r="P10" s="60"/>
      <c r="Q10" s="60"/>
      <c r="R10" s="61"/>
      <c r="S10" s="61"/>
      <c r="T10" s="61"/>
      <c r="U10" s="61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3"/>
      <c r="AU10" s="63"/>
      <c r="AV10" s="63"/>
      <c r="AW10" s="63"/>
      <c r="AX10" s="63"/>
      <c r="AY10" s="63"/>
      <c r="AZ10" s="63"/>
      <c r="BA10" s="63"/>
      <c r="BB10" s="63"/>
      <c r="BC10" s="63"/>
    </row>
    <row r="11" spans="1:55" s="45" customFormat="1" ht="14.25" customHeight="1">
      <c r="A11" s="59">
        <v>1.1000000000000001</v>
      </c>
      <c r="B11" s="59"/>
      <c r="C11" s="59"/>
      <c r="D11" s="59"/>
      <c r="E11" s="59"/>
      <c r="F11" s="59"/>
      <c r="G11" s="59"/>
      <c r="H11" s="59"/>
      <c r="I11" s="59"/>
      <c r="J11" s="60">
        <v>44299</v>
      </c>
      <c r="K11" s="60"/>
      <c r="L11" s="60"/>
      <c r="M11" s="60"/>
      <c r="N11" s="60"/>
      <c r="O11" s="60"/>
      <c r="P11" s="60"/>
      <c r="Q11" s="60"/>
      <c r="R11" s="61" t="s">
        <v>2</v>
      </c>
      <c r="S11" s="61"/>
      <c r="T11" s="61"/>
      <c r="U11" s="61"/>
      <c r="V11" s="62" t="s">
        <v>22</v>
      </c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3" t="s">
        <v>7</v>
      </c>
      <c r="AU11" s="63"/>
      <c r="AV11" s="63"/>
      <c r="AW11" s="63"/>
      <c r="AX11" s="63"/>
      <c r="AY11" s="63"/>
      <c r="AZ11" s="63"/>
      <c r="BA11" s="63"/>
      <c r="BB11" s="63"/>
      <c r="BC11" s="63"/>
    </row>
    <row r="12" spans="1:55" s="45" customFormat="1" ht="14.25" customHeight="1">
      <c r="A12" s="59"/>
      <c r="B12" s="59"/>
      <c r="C12" s="59"/>
      <c r="D12" s="59"/>
      <c r="E12" s="59"/>
      <c r="F12" s="59"/>
      <c r="G12" s="59"/>
      <c r="H12" s="59"/>
      <c r="I12" s="59"/>
      <c r="J12" s="60"/>
      <c r="K12" s="60"/>
      <c r="L12" s="60"/>
      <c r="M12" s="60"/>
      <c r="N12" s="60"/>
      <c r="O12" s="60"/>
      <c r="P12" s="60"/>
      <c r="Q12" s="60"/>
      <c r="R12" s="61"/>
      <c r="S12" s="61"/>
      <c r="T12" s="61"/>
      <c r="U12" s="61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3"/>
      <c r="AU12" s="63"/>
      <c r="AV12" s="63"/>
      <c r="AW12" s="63"/>
      <c r="AX12" s="63"/>
      <c r="AY12" s="63"/>
      <c r="AZ12" s="63"/>
      <c r="BA12" s="63"/>
      <c r="BB12" s="63"/>
      <c r="BC12" s="63"/>
    </row>
    <row r="13" spans="1:55" s="45" customFormat="1" ht="14.25" customHeight="1">
      <c r="A13" s="59"/>
      <c r="B13" s="59"/>
      <c r="C13" s="59"/>
      <c r="D13" s="59"/>
      <c r="E13" s="59"/>
      <c r="F13" s="59"/>
      <c r="G13" s="59"/>
      <c r="H13" s="59"/>
      <c r="I13" s="59"/>
      <c r="J13" s="60"/>
      <c r="K13" s="60"/>
      <c r="L13" s="60"/>
      <c r="M13" s="60"/>
      <c r="N13" s="60"/>
      <c r="O13" s="60"/>
      <c r="P13" s="60"/>
      <c r="Q13" s="60"/>
      <c r="R13" s="61"/>
      <c r="S13" s="61"/>
      <c r="T13" s="61"/>
      <c r="U13" s="61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3"/>
      <c r="AU13" s="63"/>
      <c r="AV13" s="63"/>
      <c r="AW13" s="63"/>
      <c r="AX13" s="63"/>
      <c r="AY13" s="63"/>
      <c r="AZ13" s="63"/>
      <c r="BA13" s="63"/>
      <c r="BB13" s="63"/>
      <c r="BC13" s="63"/>
    </row>
    <row r="14" spans="1:55" s="45" customFormat="1" ht="14.25" customHeight="1">
      <c r="A14" s="59"/>
      <c r="B14" s="59"/>
      <c r="C14" s="59"/>
      <c r="D14" s="59"/>
      <c r="E14" s="59"/>
      <c r="F14" s="59"/>
      <c r="G14" s="59"/>
      <c r="H14" s="59"/>
      <c r="I14" s="59"/>
      <c r="J14" s="60"/>
      <c r="K14" s="60"/>
      <c r="L14" s="60"/>
      <c r="M14" s="60"/>
      <c r="N14" s="60"/>
      <c r="O14" s="60"/>
      <c r="P14" s="60"/>
      <c r="Q14" s="60"/>
      <c r="R14" s="61"/>
      <c r="S14" s="61"/>
      <c r="T14" s="61"/>
      <c r="U14" s="61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3"/>
      <c r="AU14" s="63"/>
      <c r="AV14" s="63"/>
      <c r="AW14" s="63"/>
      <c r="AX14" s="63"/>
      <c r="AY14" s="63"/>
      <c r="AZ14" s="63"/>
      <c r="BA14" s="63"/>
      <c r="BB14" s="63"/>
      <c r="BC14" s="63"/>
    </row>
    <row r="15" spans="1:55" s="45" customFormat="1" ht="14.25" customHeight="1">
      <c r="A15" s="59"/>
      <c r="B15" s="59"/>
      <c r="C15" s="59"/>
      <c r="D15" s="59"/>
      <c r="E15" s="59"/>
      <c r="F15" s="59"/>
      <c r="G15" s="59"/>
      <c r="H15" s="59"/>
      <c r="I15" s="59"/>
      <c r="J15" s="60"/>
      <c r="K15" s="60"/>
      <c r="L15" s="60"/>
      <c r="M15" s="60"/>
      <c r="N15" s="60"/>
      <c r="O15" s="60"/>
      <c r="P15" s="60"/>
      <c r="Q15" s="60"/>
      <c r="R15" s="61"/>
      <c r="S15" s="61"/>
      <c r="T15" s="61"/>
      <c r="U15" s="61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3"/>
      <c r="AU15" s="63"/>
      <c r="AV15" s="63"/>
      <c r="AW15" s="63"/>
      <c r="AX15" s="63"/>
      <c r="AY15" s="63"/>
      <c r="AZ15" s="63"/>
      <c r="BA15" s="63"/>
      <c r="BB15" s="63"/>
      <c r="BC15" s="63"/>
    </row>
    <row r="16" spans="1:55" s="45" customFormat="1" ht="14.25" customHeight="1">
      <c r="A16" s="59">
        <v>1.2</v>
      </c>
      <c r="B16" s="59"/>
      <c r="C16" s="59"/>
      <c r="D16" s="59"/>
      <c r="E16" s="59"/>
      <c r="F16" s="59"/>
      <c r="G16" s="59"/>
      <c r="H16" s="59"/>
      <c r="I16" s="59"/>
      <c r="J16" s="64">
        <v>45005</v>
      </c>
      <c r="K16" s="64"/>
      <c r="L16" s="64"/>
      <c r="M16" s="64"/>
      <c r="N16" s="64"/>
      <c r="O16" s="64"/>
      <c r="P16" s="64"/>
      <c r="Q16" s="64"/>
      <c r="R16" s="65" t="s">
        <v>2</v>
      </c>
      <c r="S16" s="65"/>
      <c r="T16" s="65"/>
      <c r="U16" s="65"/>
      <c r="V16" s="66" t="s">
        <v>23</v>
      </c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3" t="s">
        <v>24</v>
      </c>
      <c r="AU16" s="63"/>
      <c r="AV16" s="63"/>
      <c r="AW16" s="63"/>
      <c r="AX16" s="63"/>
      <c r="AY16" s="63"/>
      <c r="AZ16" s="63"/>
      <c r="BA16" s="63"/>
      <c r="BB16" s="63"/>
      <c r="BC16" s="63"/>
    </row>
    <row r="17" spans="1:55" s="45" customFormat="1" ht="14.25" customHeight="1">
      <c r="A17" s="59"/>
      <c r="B17" s="59"/>
      <c r="C17" s="59"/>
      <c r="D17" s="59"/>
      <c r="E17" s="59"/>
      <c r="F17" s="59"/>
      <c r="G17" s="59"/>
      <c r="H17" s="59"/>
      <c r="I17" s="59"/>
      <c r="J17" s="64"/>
      <c r="K17" s="64"/>
      <c r="L17" s="64"/>
      <c r="M17" s="64"/>
      <c r="N17" s="64"/>
      <c r="O17" s="64"/>
      <c r="P17" s="64"/>
      <c r="Q17" s="64"/>
      <c r="R17" s="65"/>
      <c r="S17" s="65"/>
      <c r="T17" s="65"/>
      <c r="U17" s="65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3"/>
      <c r="AU17" s="63"/>
      <c r="AV17" s="63"/>
      <c r="AW17" s="63"/>
      <c r="AX17" s="63"/>
      <c r="AY17" s="63"/>
      <c r="AZ17" s="63"/>
      <c r="BA17" s="63"/>
      <c r="BB17" s="63"/>
      <c r="BC17" s="63"/>
    </row>
    <row r="18" spans="1:55" s="45" customFormat="1" ht="12.75" customHeight="1">
      <c r="A18" s="59"/>
      <c r="B18" s="59"/>
      <c r="C18" s="59"/>
      <c r="D18" s="59"/>
      <c r="E18" s="59"/>
      <c r="F18" s="59"/>
      <c r="G18" s="59"/>
      <c r="H18" s="59"/>
      <c r="I18" s="59"/>
      <c r="J18" s="64"/>
      <c r="K18" s="64"/>
      <c r="L18" s="64"/>
      <c r="M18" s="64"/>
      <c r="N18" s="64"/>
      <c r="O18" s="64"/>
      <c r="P18" s="64"/>
      <c r="Q18" s="64"/>
      <c r="R18" s="65"/>
      <c r="S18" s="65"/>
      <c r="T18" s="65"/>
      <c r="U18" s="65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3"/>
      <c r="AU18" s="63"/>
      <c r="AV18" s="63"/>
      <c r="AW18" s="63"/>
      <c r="AX18" s="63"/>
      <c r="AY18" s="63"/>
      <c r="AZ18" s="63"/>
      <c r="BA18" s="63"/>
      <c r="BB18" s="63"/>
      <c r="BC18" s="63"/>
    </row>
    <row r="19" spans="1:55" s="45" customFormat="1" ht="14.25" customHeight="1">
      <c r="A19" s="59">
        <v>1.3</v>
      </c>
      <c r="B19" s="59"/>
      <c r="C19" s="59"/>
      <c r="D19" s="59"/>
      <c r="E19" s="59"/>
      <c r="F19" s="59"/>
      <c r="G19" s="59"/>
      <c r="H19" s="59"/>
      <c r="I19" s="59"/>
      <c r="J19" s="64">
        <v>45222</v>
      </c>
      <c r="K19" s="64"/>
      <c r="L19" s="64"/>
      <c r="M19" s="64"/>
      <c r="N19" s="64"/>
      <c r="O19" s="64"/>
      <c r="P19" s="64"/>
      <c r="Q19" s="64"/>
      <c r="R19" s="65" t="s">
        <v>2</v>
      </c>
      <c r="S19" s="65"/>
      <c r="T19" s="65"/>
      <c r="U19" s="65"/>
      <c r="V19" s="66" t="s">
        <v>25</v>
      </c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3" t="s">
        <v>14</v>
      </c>
      <c r="AU19" s="63"/>
      <c r="AV19" s="63"/>
      <c r="AW19" s="63"/>
      <c r="AX19" s="63"/>
      <c r="AY19" s="63"/>
      <c r="AZ19" s="63"/>
      <c r="BA19" s="63"/>
      <c r="BB19" s="63"/>
      <c r="BC19" s="63"/>
    </row>
    <row r="20" spans="1:55" s="45" customFormat="1" ht="14.25" customHeight="1">
      <c r="A20" s="59"/>
      <c r="B20" s="59"/>
      <c r="C20" s="59"/>
      <c r="D20" s="59"/>
      <c r="E20" s="59"/>
      <c r="F20" s="59"/>
      <c r="G20" s="59"/>
      <c r="H20" s="59"/>
      <c r="I20" s="59"/>
      <c r="J20" s="64"/>
      <c r="K20" s="64"/>
      <c r="L20" s="64"/>
      <c r="M20" s="64"/>
      <c r="N20" s="64"/>
      <c r="O20" s="64"/>
      <c r="P20" s="64"/>
      <c r="Q20" s="64"/>
      <c r="R20" s="65"/>
      <c r="S20" s="65"/>
      <c r="T20" s="65"/>
      <c r="U20" s="65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3"/>
      <c r="AU20" s="63"/>
      <c r="AV20" s="63"/>
      <c r="AW20" s="63"/>
      <c r="AX20" s="63"/>
      <c r="AY20" s="63"/>
      <c r="AZ20" s="63"/>
      <c r="BA20" s="63"/>
      <c r="BB20" s="63"/>
      <c r="BC20" s="63"/>
    </row>
    <row r="21" spans="1:55" s="45" customFormat="1" ht="14.25" customHeight="1">
      <c r="A21" s="59"/>
      <c r="B21" s="59"/>
      <c r="C21" s="59"/>
      <c r="D21" s="59"/>
      <c r="E21" s="59"/>
      <c r="F21" s="59"/>
      <c r="G21" s="59"/>
      <c r="H21" s="59"/>
      <c r="I21" s="59"/>
      <c r="J21" s="64"/>
      <c r="K21" s="64"/>
      <c r="L21" s="64"/>
      <c r="M21" s="64"/>
      <c r="N21" s="64"/>
      <c r="O21" s="64"/>
      <c r="P21" s="64"/>
      <c r="Q21" s="64"/>
      <c r="R21" s="65"/>
      <c r="S21" s="65"/>
      <c r="T21" s="65"/>
      <c r="U21" s="65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3"/>
      <c r="AU21" s="63"/>
      <c r="AV21" s="63"/>
      <c r="AW21" s="63"/>
      <c r="AX21" s="63"/>
      <c r="AY21" s="63"/>
      <c r="AZ21" s="63"/>
      <c r="BA21" s="63"/>
      <c r="BB21" s="63"/>
      <c r="BC21" s="63"/>
    </row>
    <row r="22" spans="1:55" s="45" customFormat="1" ht="14.25" customHeight="1">
      <c r="A22" s="59">
        <v>1.4</v>
      </c>
      <c r="B22" s="59"/>
      <c r="C22" s="59"/>
      <c r="D22" s="59"/>
      <c r="E22" s="59"/>
      <c r="F22" s="59"/>
      <c r="G22" s="59"/>
      <c r="H22" s="59"/>
      <c r="I22" s="59"/>
      <c r="J22" s="64">
        <v>45232</v>
      </c>
      <c r="K22" s="64"/>
      <c r="L22" s="64"/>
      <c r="M22" s="64"/>
      <c r="N22" s="64"/>
      <c r="O22" s="64"/>
      <c r="P22" s="64"/>
      <c r="Q22" s="64"/>
      <c r="R22" s="65" t="s">
        <v>2</v>
      </c>
      <c r="S22" s="65"/>
      <c r="T22" s="65"/>
      <c r="U22" s="65"/>
      <c r="V22" s="66" t="s">
        <v>26</v>
      </c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3" t="s">
        <v>14</v>
      </c>
      <c r="AU22" s="63"/>
      <c r="AV22" s="63"/>
      <c r="AW22" s="63"/>
      <c r="AX22" s="63"/>
      <c r="AY22" s="63"/>
      <c r="AZ22" s="63"/>
      <c r="BA22" s="63"/>
      <c r="BB22" s="63"/>
      <c r="BC22" s="63"/>
    </row>
    <row r="23" spans="1:55" s="45" customFormat="1" ht="14.25" customHeight="1">
      <c r="A23" s="59"/>
      <c r="B23" s="59"/>
      <c r="C23" s="59"/>
      <c r="D23" s="59"/>
      <c r="E23" s="59"/>
      <c r="F23" s="59"/>
      <c r="G23" s="59"/>
      <c r="H23" s="59"/>
      <c r="I23" s="59"/>
      <c r="J23" s="64"/>
      <c r="K23" s="64"/>
      <c r="L23" s="64"/>
      <c r="M23" s="64"/>
      <c r="N23" s="64"/>
      <c r="O23" s="64"/>
      <c r="P23" s="64"/>
      <c r="Q23" s="64"/>
      <c r="R23" s="65"/>
      <c r="S23" s="65"/>
      <c r="T23" s="65"/>
      <c r="U23" s="65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3"/>
      <c r="AU23" s="63"/>
      <c r="AV23" s="63"/>
      <c r="AW23" s="63"/>
      <c r="AX23" s="63"/>
      <c r="AY23" s="63"/>
      <c r="AZ23" s="63"/>
      <c r="BA23" s="63"/>
      <c r="BB23" s="63"/>
      <c r="BC23" s="63"/>
    </row>
    <row r="24" spans="1:55" s="45" customFormat="1" ht="14.25" customHeight="1">
      <c r="A24" s="59"/>
      <c r="B24" s="59"/>
      <c r="C24" s="59"/>
      <c r="D24" s="59"/>
      <c r="E24" s="59"/>
      <c r="F24" s="59"/>
      <c r="G24" s="59"/>
      <c r="H24" s="59"/>
      <c r="I24" s="59"/>
      <c r="J24" s="64"/>
      <c r="K24" s="64"/>
      <c r="L24" s="64"/>
      <c r="M24" s="64"/>
      <c r="N24" s="64"/>
      <c r="O24" s="64"/>
      <c r="P24" s="64"/>
      <c r="Q24" s="64"/>
      <c r="R24" s="65"/>
      <c r="S24" s="65"/>
      <c r="T24" s="65"/>
      <c r="U24" s="65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3"/>
      <c r="AU24" s="63"/>
      <c r="AV24" s="63"/>
      <c r="AW24" s="63"/>
      <c r="AX24" s="63"/>
      <c r="AY24" s="63"/>
      <c r="AZ24" s="63"/>
      <c r="BA24" s="63"/>
      <c r="BB24" s="63"/>
      <c r="BC24" s="63"/>
    </row>
    <row r="25" spans="1:55" s="45" customFormat="1" ht="14.25" customHeight="1">
      <c r="A25" s="67">
        <v>1.5</v>
      </c>
      <c r="B25" s="67"/>
      <c r="C25" s="67"/>
      <c r="D25" s="67"/>
      <c r="E25" s="67"/>
      <c r="F25" s="67"/>
      <c r="G25" s="67"/>
      <c r="H25" s="67"/>
      <c r="I25" s="67"/>
      <c r="J25" s="64">
        <v>45237</v>
      </c>
      <c r="K25" s="64"/>
      <c r="L25" s="64"/>
      <c r="M25" s="64"/>
      <c r="N25" s="64"/>
      <c r="O25" s="64"/>
      <c r="P25" s="64"/>
      <c r="Q25" s="64"/>
      <c r="R25" s="65" t="s">
        <v>2</v>
      </c>
      <c r="S25" s="65"/>
      <c r="T25" s="65"/>
      <c r="U25" s="65"/>
      <c r="V25" s="66" t="s">
        <v>27</v>
      </c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3" t="s">
        <v>14</v>
      </c>
      <c r="AU25" s="63"/>
      <c r="AV25" s="63"/>
      <c r="AW25" s="63"/>
      <c r="AX25" s="63"/>
      <c r="AY25" s="63"/>
      <c r="AZ25" s="63"/>
      <c r="BA25" s="63"/>
      <c r="BB25" s="63"/>
      <c r="BC25" s="63"/>
    </row>
    <row r="26" spans="1:55" s="45" customFormat="1" ht="14.25" customHeight="1">
      <c r="A26" s="67"/>
      <c r="B26" s="67"/>
      <c r="C26" s="67"/>
      <c r="D26" s="67"/>
      <c r="E26" s="67"/>
      <c r="F26" s="67"/>
      <c r="G26" s="67"/>
      <c r="H26" s="67"/>
      <c r="I26" s="67"/>
      <c r="J26" s="64"/>
      <c r="K26" s="64"/>
      <c r="L26" s="64"/>
      <c r="M26" s="64"/>
      <c r="N26" s="64"/>
      <c r="O26" s="64"/>
      <c r="P26" s="64"/>
      <c r="Q26" s="64"/>
      <c r="R26" s="65"/>
      <c r="S26" s="65"/>
      <c r="T26" s="65"/>
      <c r="U26" s="65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3"/>
      <c r="AU26" s="63"/>
      <c r="AV26" s="63"/>
      <c r="AW26" s="63"/>
      <c r="AX26" s="63"/>
      <c r="AY26" s="63"/>
      <c r="AZ26" s="63"/>
      <c r="BA26" s="63"/>
      <c r="BB26" s="63"/>
      <c r="BC26" s="63"/>
    </row>
    <row r="27" spans="1:55" s="45" customFormat="1" ht="14.25" customHeight="1">
      <c r="A27" s="67"/>
      <c r="B27" s="67"/>
      <c r="C27" s="67"/>
      <c r="D27" s="67"/>
      <c r="E27" s="67"/>
      <c r="F27" s="67"/>
      <c r="G27" s="67"/>
      <c r="H27" s="67"/>
      <c r="I27" s="67"/>
      <c r="J27" s="64"/>
      <c r="K27" s="64"/>
      <c r="L27" s="64"/>
      <c r="M27" s="64"/>
      <c r="N27" s="64"/>
      <c r="O27" s="64"/>
      <c r="P27" s="64"/>
      <c r="Q27" s="64"/>
      <c r="R27" s="65"/>
      <c r="S27" s="65"/>
      <c r="T27" s="65"/>
      <c r="U27" s="65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3"/>
      <c r="AU27" s="63"/>
      <c r="AV27" s="63"/>
      <c r="AW27" s="63"/>
      <c r="AX27" s="63"/>
      <c r="AY27" s="63"/>
      <c r="AZ27" s="63"/>
      <c r="BA27" s="63"/>
      <c r="BB27" s="63"/>
      <c r="BC27" s="63"/>
    </row>
    <row r="28" spans="1:55" s="45" customFormat="1" ht="14.25" customHeight="1">
      <c r="A28" s="67">
        <v>1.6</v>
      </c>
      <c r="B28" s="67"/>
      <c r="C28" s="67"/>
      <c r="D28" s="67"/>
      <c r="E28" s="67"/>
      <c r="F28" s="67"/>
      <c r="G28" s="67"/>
      <c r="H28" s="67"/>
      <c r="I28" s="67"/>
      <c r="J28" s="64">
        <v>45250</v>
      </c>
      <c r="K28" s="64"/>
      <c r="L28" s="64"/>
      <c r="M28" s="64"/>
      <c r="N28" s="64"/>
      <c r="O28" s="64"/>
      <c r="P28" s="64"/>
      <c r="Q28" s="64"/>
      <c r="R28" s="65" t="s">
        <v>2</v>
      </c>
      <c r="S28" s="65"/>
      <c r="T28" s="65"/>
      <c r="U28" s="65"/>
      <c r="V28" s="66" t="s">
        <v>28</v>
      </c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3" t="s">
        <v>14</v>
      </c>
      <c r="AU28" s="63"/>
      <c r="AV28" s="63"/>
      <c r="AW28" s="63"/>
      <c r="AX28" s="63"/>
      <c r="AY28" s="63"/>
      <c r="AZ28" s="63"/>
      <c r="BA28" s="63"/>
      <c r="BB28" s="63"/>
      <c r="BC28" s="63"/>
    </row>
    <row r="29" spans="1:55" s="45" customFormat="1" ht="14.25" customHeight="1">
      <c r="A29" s="67"/>
      <c r="B29" s="67"/>
      <c r="C29" s="67"/>
      <c r="D29" s="67"/>
      <c r="E29" s="67"/>
      <c r="F29" s="67"/>
      <c r="G29" s="67"/>
      <c r="H29" s="67"/>
      <c r="I29" s="67"/>
      <c r="J29" s="64"/>
      <c r="K29" s="64"/>
      <c r="L29" s="64"/>
      <c r="M29" s="64"/>
      <c r="N29" s="64"/>
      <c r="O29" s="64"/>
      <c r="P29" s="64"/>
      <c r="Q29" s="64"/>
      <c r="R29" s="65"/>
      <c r="S29" s="65"/>
      <c r="T29" s="65"/>
      <c r="U29" s="65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3"/>
      <c r="AU29" s="63"/>
      <c r="AV29" s="63"/>
      <c r="AW29" s="63"/>
      <c r="AX29" s="63"/>
      <c r="AY29" s="63"/>
      <c r="AZ29" s="63"/>
      <c r="BA29" s="63"/>
      <c r="BB29" s="63"/>
      <c r="BC29" s="63"/>
    </row>
    <row r="30" spans="1:55" s="45" customFormat="1" ht="14.25" customHeight="1">
      <c r="A30" s="67"/>
      <c r="B30" s="67"/>
      <c r="C30" s="67"/>
      <c r="D30" s="67"/>
      <c r="E30" s="67"/>
      <c r="F30" s="67"/>
      <c r="G30" s="67"/>
      <c r="H30" s="67"/>
      <c r="I30" s="67"/>
      <c r="J30" s="64"/>
      <c r="K30" s="64"/>
      <c r="L30" s="64"/>
      <c r="M30" s="64"/>
      <c r="N30" s="64"/>
      <c r="O30" s="64"/>
      <c r="P30" s="64"/>
      <c r="Q30" s="64"/>
      <c r="R30" s="65"/>
      <c r="S30" s="65"/>
      <c r="T30" s="65"/>
      <c r="U30" s="65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3"/>
      <c r="AU30" s="63"/>
      <c r="AV30" s="63"/>
      <c r="AW30" s="63"/>
      <c r="AX30" s="63"/>
      <c r="AY30" s="63"/>
      <c r="AZ30" s="63"/>
      <c r="BA30" s="63"/>
      <c r="BB30" s="63"/>
      <c r="BC30" s="63"/>
    </row>
    <row r="31" spans="1:55" s="45" customFormat="1" ht="14.25" customHeight="1">
      <c r="A31" s="67">
        <v>1.7</v>
      </c>
      <c r="B31" s="67"/>
      <c r="C31" s="67"/>
      <c r="D31" s="67"/>
      <c r="E31" s="67"/>
      <c r="F31" s="67"/>
      <c r="G31" s="67"/>
      <c r="H31" s="67"/>
      <c r="I31" s="67"/>
      <c r="J31" s="64">
        <v>45254</v>
      </c>
      <c r="K31" s="64"/>
      <c r="L31" s="64"/>
      <c r="M31" s="64"/>
      <c r="N31" s="64"/>
      <c r="O31" s="64"/>
      <c r="P31" s="64"/>
      <c r="Q31" s="64"/>
      <c r="R31" s="65" t="s">
        <v>2</v>
      </c>
      <c r="S31" s="65"/>
      <c r="T31" s="65"/>
      <c r="U31" s="65"/>
      <c r="V31" s="66" t="s">
        <v>29</v>
      </c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3" t="s">
        <v>14</v>
      </c>
      <c r="AU31" s="63"/>
      <c r="AV31" s="63"/>
      <c r="AW31" s="63"/>
      <c r="AX31" s="63"/>
      <c r="AY31" s="63"/>
      <c r="AZ31" s="63"/>
      <c r="BA31" s="63"/>
      <c r="BB31" s="63"/>
      <c r="BC31" s="63"/>
    </row>
    <row r="32" spans="1:55" s="45" customFormat="1" ht="14.25" customHeight="1">
      <c r="A32" s="67"/>
      <c r="B32" s="67"/>
      <c r="C32" s="67"/>
      <c r="D32" s="67"/>
      <c r="E32" s="67"/>
      <c r="F32" s="67"/>
      <c r="G32" s="67"/>
      <c r="H32" s="67"/>
      <c r="I32" s="67"/>
      <c r="J32" s="64"/>
      <c r="K32" s="64"/>
      <c r="L32" s="64"/>
      <c r="M32" s="64"/>
      <c r="N32" s="64"/>
      <c r="O32" s="64"/>
      <c r="P32" s="64"/>
      <c r="Q32" s="64"/>
      <c r="R32" s="65"/>
      <c r="S32" s="65"/>
      <c r="T32" s="65"/>
      <c r="U32" s="65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3"/>
      <c r="AU32" s="63"/>
      <c r="AV32" s="63"/>
      <c r="AW32" s="63"/>
      <c r="AX32" s="63"/>
      <c r="AY32" s="63"/>
      <c r="AZ32" s="63"/>
      <c r="BA32" s="63"/>
      <c r="BB32" s="63"/>
      <c r="BC32" s="63"/>
    </row>
    <row r="33" spans="1:55" s="45" customFormat="1" ht="14.25" customHeight="1">
      <c r="A33" s="67"/>
      <c r="B33" s="67"/>
      <c r="C33" s="67"/>
      <c r="D33" s="67"/>
      <c r="E33" s="67"/>
      <c r="F33" s="67"/>
      <c r="G33" s="67"/>
      <c r="H33" s="67"/>
      <c r="I33" s="67"/>
      <c r="J33" s="64"/>
      <c r="K33" s="64"/>
      <c r="L33" s="64"/>
      <c r="M33" s="64"/>
      <c r="N33" s="64"/>
      <c r="O33" s="64"/>
      <c r="P33" s="64"/>
      <c r="Q33" s="64"/>
      <c r="R33" s="65"/>
      <c r="S33" s="65"/>
      <c r="T33" s="65"/>
      <c r="U33" s="65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3"/>
      <c r="AU33" s="63"/>
      <c r="AV33" s="63"/>
      <c r="AW33" s="63"/>
      <c r="AX33" s="63"/>
      <c r="AY33" s="63"/>
      <c r="AZ33" s="63"/>
      <c r="BA33" s="63"/>
      <c r="BB33" s="63"/>
      <c r="BC33" s="63"/>
    </row>
    <row r="34" spans="1:55" s="45" customFormat="1" ht="14.25" customHeight="1">
      <c r="A34" s="68">
        <v>1.8</v>
      </c>
      <c r="B34" s="68"/>
      <c r="C34" s="68"/>
      <c r="D34" s="68"/>
      <c r="E34" s="68"/>
      <c r="F34" s="68"/>
      <c r="G34" s="68"/>
      <c r="H34" s="68"/>
      <c r="I34" s="68"/>
      <c r="J34" s="69">
        <v>45258</v>
      </c>
      <c r="K34" s="69"/>
      <c r="L34" s="69"/>
      <c r="M34" s="69"/>
      <c r="N34" s="69"/>
      <c r="O34" s="69"/>
      <c r="P34" s="69"/>
      <c r="Q34" s="69"/>
      <c r="R34" s="65" t="s">
        <v>2</v>
      </c>
      <c r="S34" s="65"/>
      <c r="T34" s="65"/>
      <c r="U34" s="65"/>
      <c r="V34" s="70" t="s">
        <v>30</v>
      </c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63" t="s">
        <v>14</v>
      </c>
      <c r="AU34" s="63"/>
      <c r="AV34" s="63"/>
      <c r="AW34" s="63"/>
      <c r="AX34" s="63"/>
      <c r="AY34" s="63"/>
      <c r="AZ34" s="63"/>
      <c r="BA34" s="63"/>
      <c r="BB34" s="63"/>
      <c r="BC34" s="63"/>
    </row>
    <row r="35" spans="1:55" s="45" customFormat="1" ht="14.25" customHeight="1">
      <c r="A35" s="68"/>
      <c r="B35" s="68"/>
      <c r="C35" s="68"/>
      <c r="D35" s="68"/>
      <c r="E35" s="68"/>
      <c r="F35" s="68"/>
      <c r="G35" s="68"/>
      <c r="H35" s="68"/>
      <c r="I35" s="68"/>
      <c r="J35" s="69"/>
      <c r="K35" s="69"/>
      <c r="L35" s="69"/>
      <c r="M35" s="69"/>
      <c r="N35" s="69"/>
      <c r="O35" s="69"/>
      <c r="P35" s="69"/>
      <c r="Q35" s="69"/>
      <c r="R35" s="65"/>
      <c r="S35" s="65"/>
      <c r="T35" s="65"/>
      <c r="U35" s="65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63"/>
      <c r="AU35" s="63"/>
      <c r="AV35" s="63"/>
      <c r="AW35" s="63"/>
      <c r="AX35" s="63"/>
      <c r="AY35" s="63"/>
      <c r="AZ35" s="63"/>
      <c r="BA35" s="63"/>
      <c r="BB35" s="63"/>
      <c r="BC35" s="63"/>
    </row>
    <row r="36" spans="1:55" s="45" customFormat="1" ht="12.75" customHeight="1">
      <c r="A36" s="68"/>
      <c r="B36" s="68"/>
      <c r="C36" s="68"/>
      <c r="D36" s="68"/>
      <c r="E36" s="68"/>
      <c r="F36" s="68"/>
      <c r="G36" s="68"/>
      <c r="H36" s="68"/>
      <c r="I36" s="68"/>
      <c r="J36" s="69"/>
      <c r="K36" s="69"/>
      <c r="L36" s="69"/>
      <c r="M36" s="69"/>
      <c r="N36" s="69"/>
      <c r="O36" s="69"/>
      <c r="P36" s="69"/>
      <c r="Q36" s="69"/>
      <c r="R36" s="65"/>
      <c r="S36" s="65"/>
      <c r="T36" s="65"/>
      <c r="U36" s="65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63"/>
      <c r="AU36" s="63"/>
      <c r="AV36" s="63"/>
      <c r="AW36" s="63"/>
      <c r="AX36" s="63"/>
      <c r="AY36" s="63"/>
      <c r="AZ36" s="63"/>
      <c r="BA36" s="63"/>
      <c r="BB36" s="63"/>
      <c r="BC36" s="63"/>
    </row>
  </sheetData>
  <mergeCells count="64">
    <mergeCell ref="A34:I36"/>
    <mergeCell ref="J34:Q36"/>
    <mergeCell ref="R34:U36"/>
    <mergeCell ref="V34:AS36"/>
    <mergeCell ref="AT34:BC36"/>
    <mergeCell ref="A31:I33"/>
    <mergeCell ref="J31:Q33"/>
    <mergeCell ref="R31:U33"/>
    <mergeCell ref="V31:AS33"/>
    <mergeCell ref="AT31:BC33"/>
    <mergeCell ref="A28:I30"/>
    <mergeCell ref="J28:Q30"/>
    <mergeCell ref="R28:U30"/>
    <mergeCell ref="V28:AS30"/>
    <mergeCell ref="AT28:BC30"/>
    <mergeCell ref="A25:I27"/>
    <mergeCell ref="J25:Q27"/>
    <mergeCell ref="R25:U27"/>
    <mergeCell ref="V25:AS27"/>
    <mergeCell ref="AT25:BC27"/>
    <mergeCell ref="A22:I24"/>
    <mergeCell ref="J22:Q24"/>
    <mergeCell ref="R22:U24"/>
    <mergeCell ref="V22:AS24"/>
    <mergeCell ref="AT22:BC24"/>
    <mergeCell ref="A19:I21"/>
    <mergeCell ref="J19:Q21"/>
    <mergeCell ref="R19:U21"/>
    <mergeCell ref="V19:AS21"/>
    <mergeCell ref="AT19:BC21"/>
    <mergeCell ref="A16:I18"/>
    <mergeCell ref="J16:Q18"/>
    <mergeCell ref="R16:U18"/>
    <mergeCell ref="V16:AS18"/>
    <mergeCell ref="AT16:BC18"/>
    <mergeCell ref="A11:I15"/>
    <mergeCell ref="J11:Q15"/>
    <mergeCell ref="R11:U15"/>
    <mergeCell ref="V11:AS15"/>
    <mergeCell ref="AT11:BC15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rintOptions horizontalCentered="1"/>
  <pageMargins left="0.39374999999999999" right="0.39374999999999999" top="0.39374999999999999" bottom="0.59027777777777801" header="0.511811023622047" footer="0.51180555555555596"/>
  <pageSetup paperSize="9" scale="97" orientation="landscape" horizontalDpi="300" verticalDpi="300" r:id="rId1"/>
  <headerFooter>
    <oddFooter>&amp;C&amp;9&amp;P/&amp;N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Y66"/>
  <sheetViews>
    <sheetView showGridLines="0" tabSelected="1" view="pageBreakPreview" zoomScaleNormal="85" workbookViewId="0">
      <pane ySplit="6" topLeftCell="A7" activePane="bottomLeft" state="frozen"/>
      <selection pane="bottomLeft" sqref="A1:I1"/>
    </sheetView>
  </sheetViews>
  <sheetFormatPr defaultColWidth="2.75" defaultRowHeight="13.5"/>
  <cols>
    <col min="1" max="55" width="2.625" style="39" customWidth="1"/>
    <col min="56" max="236" width="2.75" style="39"/>
    <col min="237" max="300" width="2.625" style="39" customWidth="1"/>
    <col min="301" max="492" width="2.75" style="39"/>
    <col min="493" max="556" width="2.625" style="39" customWidth="1"/>
    <col min="557" max="748" width="2.75" style="39"/>
    <col min="749" max="812" width="2.625" style="39" customWidth="1"/>
    <col min="813" max="1004" width="2.75" style="39"/>
    <col min="1005" max="1013" width="2.625" style="39" customWidth="1"/>
  </cols>
  <sheetData>
    <row r="1" spans="1:55" s="40" customFormat="1" ht="15" customHeight="1">
      <c r="A1" s="4" t="s">
        <v>8</v>
      </c>
      <c r="B1" s="4"/>
      <c r="C1" s="4"/>
      <c r="D1" s="4"/>
      <c r="E1" s="4"/>
      <c r="F1" s="4"/>
      <c r="G1" s="4"/>
      <c r="H1" s="4"/>
      <c r="I1" s="4"/>
      <c r="J1" s="3" t="s">
        <v>9</v>
      </c>
      <c r="K1" s="3"/>
      <c r="L1" s="3"/>
      <c r="M1" s="3"/>
      <c r="N1" s="3"/>
      <c r="O1" s="3"/>
      <c r="P1" s="3"/>
      <c r="Q1" s="3"/>
      <c r="R1" s="2" t="str">
        <f>表紙!S11</f>
        <v>API設計書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 t="s">
        <v>4</v>
      </c>
      <c r="AK1" s="1"/>
      <c r="AL1" s="1"/>
      <c r="AM1" s="1"/>
      <c r="AN1" s="1"/>
      <c r="AO1" s="47" t="s">
        <v>10</v>
      </c>
      <c r="AP1" s="47"/>
      <c r="AQ1" s="47"/>
      <c r="AR1" s="47"/>
      <c r="AS1" s="47"/>
      <c r="AT1" s="47" t="s">
        <v>11</v>
      </c>
      <c r="AU1" s="47"/>
      <c r="AV1" s="47"/>
      <c r="AW1" s="47"/>
      <c r="AX1" s="47"/>
      <c r="AY1" s="48" t="s">
        <v>12</v>
      </c>
      <c r="AZ1" s="48"/>
      <c r="BA1" s="48"/>
      <c r="BB1" s="48"/>
      <c r="BC1" s="48"/>
    </row>
    <row r="2" spans="1:55" s="40" customFormat="1" ht="15" customHeight="1">
      <c r="A2" s="49" t="str">
        <f>表紙!O9</f>
        <v>体験型Java研修</v>
      </c>
      <c r="B2" s="49"/>
      <c r="C2" s="49"/>
      <c r="D2" s="49"/>
      <c r="E2" s="49"/>
      <c r="F2" s="49"/>
      <c r="G2" s="49"/>
      <c r="H2" s="49"/>
      <c r="I2" s="49"/>
      <c r="J2" s="50" t="str">
        <f>表紙!O8</f>
        <v>LMS学習管理システム</v>
      </c>
      <c r="K2" s="50"/>
      <c r="L2" s="50"/>
      <c r="M2" s="50"/>
      <c r="N2" s="50"/>
      <c r="O2" s="50"/>
      <c r="P2" s="50"/>
      <c r="Q2" s="50"/>
      <c r="R2" s="51" t="str">
        <f>表紙!S10</f>
        <v>API一覧</v>
      </c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2" t="s">
        <v>7</v>
      </c>
      <c r="AK2" s="52"/>
      <c r="AL2" s="52"/>
      <c r="AM2" s="52"/>
      <c r="AN2" s="52"/>
      <c r="AO2" s="53">
        <v>44260</v>
      </c>
      <c r="AP2" s="53"/>
      <c r="AQ2" s="53"/>
      <c r="AR2" s="53"/>
      <c r="AS2" s="53"/>
      <c r="AT2" s="54" t="s">
        <v>14</v>
      </c>
      <c r="AU2" s="54"/>
      <c r="AV2" s="54"/>
      <c r="AW2" s="54"/>
      <c r="AX2" s="54"/>
      <c r="AY2" s="55">
        <v>45258</v>
      </c>
      <c r="AZ2" s="55"/>
      <c r="BA2" s="55"/>
      <c r="BB2" s="55"/>
      <c r="BC2" s="55"/>
    </row>
    <row r="3" spans="1:55" s="40" customFormat="1" ht="15" customHeight="1">
      <c r="A3" s="49"/>
      <c r="B3" s="49"/>
      <c r="C3" s="49"/>
      <c r="D3" s="49"/>
      <c r="E3" s="49"/>
      <c r="F3" s="49"/>
      <c r="G3" s="49"/>
      <c r="H3" s="49"/>
      <c r="I3" s="49"/>
      <c r="J3" s="50"/>
      <c r="K3" s="50"/>
      <c r="L3" s="50"/>
      <c r="M3" s="50"/>
      <c r="N3" s="50"/>
      <c r="O3" s="50"/>
      <c r="P3" s="50"/>
      <c r="Q3" s="50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2"/>
      <c r="AK3" s="52"/>
      <c r="AL3" s="52"/>
      <c r="AM3" s="52"/>
      <c r="AN3" s="52"/>
      <c r="AO3" s="53"/>
      <c r="AP3" s="53"/>
      <c r="AQ3" s="53"/>
      <c r="AR3" s="53"/>
      <c r="AS3" s="53"/>
      <c r="AT3" s="54"/>
      <c r="AU3" s="54"/>
      <c r="AV3" s="54"/>
      <c r="AW3" s="54"/>
      <c r="AX3" s="54"/>
      <c r="AY3" s="55"/>
      <c r="AZ3" s="55"/>
      <c r="BA3" s="55"/>
      <c r="BB3" s="55"/>
      <c r="BC3" s="55"/>
    </row>
    <row r="4" spans="1:55" s="39" customFormat="1" ht="12.7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2"/>
      <c r="M4" s="42"/>
      <c r="N4" s="42"/>
      <c r="O4" s="42"/>
      <c r="Q4" s="43"/>
      <c r="R4" s="43"/>
      <c r="S4" s="43"/>
      <c r="AP4" s="42"/>
      <c r="AQ4" s="42"/>
      <c r="AR4" s="42"/>
      <c r="AS4" s="42"/>
      <c r="AT4" s="42"/>
      <c r="BC4" s="41"/>
    </row>
    <row r="5" spans="1:55" s="44" customFormat="1" ht="14.25" customHeight="1">
      <c r="A5" s="71" t="s">
        <v>31</v>
      </c>
      <c r="B5" s="71"/>
      <c r="C5" s="72" t="s">
        <v>32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 t="s">
        <v>33</v>
      </c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</row>
    <row r="6" spans="1:55" s="45" customFormat="1" ht="14.25" customHeight="1">
      <c r="A6" s="71"/>
      <c r="B6" s="71"/>
      <c r="C6" s="72" t="s">
        <v>34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3" t="s">
        <v>35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</row>
    <row r="7" spans="1:55" s="45" customFormat="1" ht="14.25" customHeight="1">
      <c r="A7" s="74">
        <f ca="1">MAX(A$5:INDIRECT("A"&amp;ROW()-1))+1</f>
        <v>1</v>
      </c>
      <c r="B7" s="74"/>
      <c r="C7" s="75" t="s">
        <v>36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6" t="s">
        <v>37</v>
      </c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</row>
    <row r="8" spans="1:55" s="45" customFormat="1" ht="14.25" customHeight="1">
      <c r="A8" s="74">
        <f ca="1">MAX(A$5:INDIRECT("A"&amp;ROW()-1))+1</f>
        <v>2</v>
      </c>
      <c r="B8" s="74"/>
      <c r="C8" s="75" t="s">
        <v>38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8" t="s">
        <v>39</v>
      </c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</row>
    <row r="9" spans="1:55" s="45" customFormat="1" ht="14.25" customHeight="1">
      <c r="A9" s="74">
        <f ca="1">MAX(A$5:INDIRECT("A"&amp;ROW()-1))+1</f>
        <v>3</v>
      </c>
      <c r="B9" s="74"/>
      <c r="C9" s="75" t="s">
        <v>40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8" t="s">
        <v>41</v>
      </c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</row>
    <row r="10" spans="1:55" s="45" customFormat="1" ht="14.25" customHeight="1">
      <c r="A10" s="74">
        <f ca="1">MAX(A$5:INDIRECT("A"&amp;ROW()-1))+1</f>
        <v>4</v>
      </c>
      <c r="B10" s="74"/>
      <c r="C10" s="75" t="s">
        <v>42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8" t="s">
        <v>43</v>
      </c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</row>
    <row r="11" spans="1:55" s="45" customFormat="1" ht="14.25" customHeight="1">
      <c r="A11" s="74">
        <f ca="1">MAX(A$5:INDIRECT("A"&amp;ROW()-1))+1</f>
        <v>5</v>
      </c>
      <c r="B11" s="74"/>
      <c r="C11" s="75" t="s">
        <v>44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8" t="s">
        <v>45</v>
      </c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</row>
    <row r="12" spans="1:55" s="45" customFormat="1" ht="14.25" customHeight="1">
      <c r="A12" s="74">
        <f ca="1">MAX(A$5:INDIRECT("A"&amp;ROW()-1))+1</f>
        <v>6</v>
      </c>
      <c r="B12" s="74"/>
      <c r="C12" s="75" t="s">
        <v>46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8" t="s">
        <v>47</v>
      </c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</row>
    <row r="13" spans="1:55" s="45" customFormat="1" ht="14.25" customHeight="1">
      <c r="A13" s="74">
        <f ca="1">MAX(A$5:INDIRECT("A"&amp;ROW()-1))+1</f>
        <v>7</v>
      </c>
      <c r="B13" s="74"/>
      <c r="C13" s="75" t="s">
        <v>48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8" t="s">
        <v>49</v>
      </c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</row>
    <row r="14" spans="1:55" s="45" customFormat="1" ht="14.25" customHeight="1">
      <c r="A14" s="74">
        <f ca="1">MAX(A$5:INDIRECT("A"&amp;ROW()-1))+1</f>
        <v>8</v>
      </c>
      <c r="B14" s="74"/>
      <c r="C14" s="75" t="s">
        <v>50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8" t="s">
        <v>51</v>
      </c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</row>
    <row r="15" spans="1:55" s="45" customFormat="1" ht="14.25" customHeight="1">
      <c r="A15" s="74">
        <f ca="1">MAX(A$5:INDIRECT("A"&amp;ROW()-1))+1</f>
        <v>9</v>
      </c>
      <c r="B15" s="74"/>
      <c r="C15" s="75" t="s">
        <v>52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8" t="s">
        <v>53</v>
      </c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</row>
    <row r="16" spans="1:55" s="45" customFormat="1" ht="14.25" customHeight="1">
      <c r="A16" s="74">
        <f ca="1">MAX(A$5:INDIRECT("A"&amp;ROW()-1))+1</f>
        <v>10</v>
      </c>
      <c r="B16" s="74"/>
      <c r="C16" s="75" t="s">
        <v>54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8" t="s">
        <v>55</v>
      </c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</row>
    <row r="17" spans="1:58" s="45" customFormat="1" ht="14.25" customHeight="1">
      <c r="A17" s="74">
        <f ca="1">MAX(A$5:INDIRECT("A"&amp;ROW()-1))+1</f>
        <v>11</v>
      </c>
      <c r="B17" s="74"/>
      <c r="C17" s="75" t="s">
        <v>56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8" t="s">
        <v>57</v>
      </c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</row>
    <row r="18" spans="1:58" s="45" customFormat="1" ht="14.25" customHeight="1">
      <c r="A18" s="74">
        <f ca="1">MAX(A$5:INDIRECT("A"&amp;ROW()-1))+1</f>
        <v>12</v>
      </c>
      <c r="B18" s="74"/>
      <c r="C18" s="75" t="s">
        <v>58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8" t="s">
        <v>59</v>
      </c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</row>
    <row r="19" spans="1:58" s="45" customFormat="1" ht="14.25" customHeight="1">
      <c r="A19" s="74">
        <f ca="1">MAX(A$5:INDIRECT("A"&amp;ROW()-1))+1</f>
        <v>13</v>
      </c>
      <c r="B19" s="74"/>
      <c r="C19" s="75" t="s">
        <v>60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8" t="s">
        <v>61</v>
      </c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</row>
    <row r="20" spans="1:58" s="45" customFormat="1" ht="14.25" customHeight="1">
      <c r="A20" s="74">
        <f ca="1">MAX(A$5:INDIRECT("A"&amp;ROW()-1))+1</f>
        <v>14</v>
      </c>
      <c r="B20" s="74"/>
      <c r="C20" s="75" t="s">
        <v>62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8" t="s">
        <v>63</v>
      </c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</row>
    <row r="21" spans="1:58" s="45" customFormat="1" ht="14.25" customHeight="1">
      <c r="A21" s="74">
        <f ca="1">MAX(A$5:INDIRECT("A"&amp;ROW()-1))+1</f>
        <v>15</v>
      </c>
      <c r="B21" s="74"/>
      <c r="C21" s="75" t="s">
        <v>64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8" t="s">
        <v>65</v>
      </c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</row>
    <row r="22" spans="1:58" s="45" customFormat="1" ht="14.25" customHeight="1">
      <c r="A22" s="74">
        <f ca="1">MAX(A$5:INDIRECT("A"&amp;ROW()-1))+1</f>
        <v>16</v>
      </c>
      <c r="B22" s="74"/>
      <c r="C22" s="75" t="s">
        <v>66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8" t="s">
        <v>67</v>
      </c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</row>
    <row r="23" spans="1:58" s="45" customFormat="1" ht="14.25" customHeight="1">
      <c r="A23" s="74">
        <f ca="1">MAX(A$5:INDIRECT("A"&amp;ROW()-1))+1</f>
        <v>17</v>
      </c>
      <c r="B23" s="74"/>
      <c r="C23" s="75" t="s">
        <v>68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8" t="s">
        <v>69</v>
      </c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</row>
    <row r="24" spans="1:58" s="45" customFormat="1" ht="14.25" customHeight="1">
      <c r="A24" s="74">
        <f ca="1">MAX(A$5:INDIRECT("A"&amp;ROW()-1))+1</f>
        <v>18</v>
      </c>
      <c r="B24" s="74"/>
      <c r="C24" s="75" t="s">
        <v>70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8" t="s">
        <v>71</v>
      </c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</row>
    <row r="25" spans="1:58" s="45" customFormat="1" ht="14.25" customHeight="1">
      <c r="A25" s="74">
        <f ca="1">MAX(A$5:INDIRECT("A"&amp;ROW()-1))+1</f>
        <v>19</v>
      </c>
      <c r="B25" s="74"/>
      <c r="C25" s="75" t="s">
        <v>72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8" t="s">
        <v>73</v>
      </c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</row>
    <row r="26" spans="1:58" s="45" customFormat="1" ht="14.25" customHeight="1">
      <c r="A26" s="74">
        <f ca="1">MAX(A$5:INDIRECT("A"&amp;ROW()-1))+1</f>
        <v>20</v>
      </c>
      <c r="B26" s="74"/>
      <c r="C26" s="75" t="s">
        <v>74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8" t="s">
        <v>75</v>
      </c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</row>
    <row r="27" spans="1:58" s="45" customFormat="1" ht="14.25" customHeight="1">
      <c r="A27" s="74">
        <f ca="1">MAX(A$5:INDIRECT("A"&amp;ROW()-1))+1</f>
        <v>21</v>
      </c>
      <c r="B27" s="74"/>
      <c r="C27" s="75" t="s">
        <v>76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8" t="s">
        <v>77</v>
      </c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</row>
    <row r="28" spans="1:58" s="45" customFormat="1" ht="14.25" customHeight="1">
      <c r="A28" s="74">
        <f ca="1">MAX(A$5:INDIRECT("A"&amp;ROW()-1))+1</f>
        <v>22</v>
      </c>
      <c r="B28" s="74"/>
      <c r="C28" s="75" t="s">
        <v>78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8" t="s">
        <v>79</v>
      </c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</row>
    <row r="29" spans="1:58" s="45" customFormat="1" ht="14.25" customHeight="1">
      <c r="A29" s="74">
        <f ca="1">MAX(A$5:INDIRECT("A"&amp;ROW()-1))+1</f>
        <v>23</v>
      </c>
      <c r="B29" s="74"/>
      <c r="C29" s="75" t="s">
        <v>80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8" t="s">
        <v>81</v>
      </c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F29" s="46"/>
    </row>
    <row r="30" spans="1:58" s="45" customFormat="1" ht="14.25" customHeight="1">
      <c r="A30" s="74">
        <f ca="1">MAX(A$5:INDIRECT("A"&amp;ROW()-1))+1</f>
        <v>24</v>
      </c>
      <c r="B30" s="74"/>
      <c r="C30" s="75" t="s">
        <v>82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8" t="s">
        <v>83</v>
      </c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F30" s="46"/>
    </row>
    <row r="31" spans="1:58" s="45" customFormat="1" ht="14.25" customHeight="1">
      <c r="A31" s="74">
        <f ca="1">MAX(A$5:INDIRECT("A"&amp;ROW()-1))+1</f>
        <v>25</v>
      </c>
      <c r="B31" s="74"/>
      <c r="C31" s="75" t="s">
        <v>84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8" t="s">
        <v>85</v>
      </c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E31" s="46"/>
      <c r="BF31" s="46"/>
    </row>
    <row r="32" spans="1:58" s="45" customFormat="1" ht="14.25" customHeight="1">
      <c r="A32" s="74">
        <f ca="1">MAX(A$5:INDIRECT("A"&amp;ROW()-1))+1</f>
        <v>26</v>
      </c>
      <c r="B32" s="74"/>
      <c r="C32" s="75" t="s">
        <v>86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8" t="s">
        <v>87</v>
      </c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E32" s="46"/>
      <c r="BF32" s="46"/>
    </row>
    <row r="33" spans="1:58" s="45" customFormat="1" ht="14.25" customHeight="1">
      <c r="A33" s="74">
        <f ca="1">MAX(A$5:INDIRECT("A"&amp;ROW()-1))+1</f>
        <v>27</v>
      </c>
      <c r="B33" s="74"/>
      <c r="C33" s="75" t="s">
        <v>88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8" t="s">
        <v>89</v>
      </c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E33" s="46"/>
      <c r="BF33" s="46"/>
    </row>
    <row r="34" spans="1:58" s="45" customFormat="1" ht="14.25" customHeight="1">
      <c r="A34" s="74">
        <f ca="1">MAX(A$5:INDIRECT("A"&amp;ROW()-1))+1</f>
        <v>28</v>
      </c>
      <c r="B34" s="74"/>
      <c r="C34" s="75" t="s">
        <v>90</v>
      </c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8" t="s">
        <v>91</v>
      </c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E34" s="46"/>
    </row>
    <row r="35" spans="1:58" s="45" customFormat="1" ht="14.25" customHeight="1">
      <c r="A35" s="74">
        <f ca="1">MAX(A$5:INDIRECT("A"&amp;ROW()-1))+1</f>
        <v>29</v>
      </c>
      <c r="B35" s="74"/>
      <c r="C35" s="75" t="s">
        <v>92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8" t="s">
        <v>93</v>
      </c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E35" s="46"/>
    </row>
    <row r="36" spans="1:58" s="45" customFormat="1" ht="14.25" customHeight="1">
      <c r="A36" s="74">
        <f ca="1">MAX(A$5:INDIRECT("A"&amp;ROW()-1))+1</f>
        <v>30</v>
      </c>
      <c r="B36" s="74"/>
      <c r="C36" s="75" t="s">
        <v>94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8" t="s">
        <v>95</v>
      </c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</row>
    <row r="37" spans="1:58" s="45" customFormat="1" ht="14.25" customHeight="1">
      <c r="A37" s="74">
        <f ca="1">MAX(A$5:INDIRECT("A"&amp;ROW()-1))+1</f>
        <v>31</v>
      </c>
      <c r="B37" s="74"/>
      <c r="C37" s="75" t="s">
        <v>96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8" t="s">
        <v>97</v>
      </c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</row>
    <row r="38" spans="1:58" s="45" customFormat="1" ht="14.25" customHeight="1">
      <c r="A38" s="74">
        <f ca="1">MAX(A$5:INDIRECT("A"&amp;ROW()-1))+1</f>
        <v>32</v>
      </c>
      <c r="B38" s="74"/>
      <c r="C38" s="75" t="s">
        <v>98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8" t="s">
        <v>99</v>
      </c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</row>
    <row r="39" spans="1:58" s="46" customFormat="1" ht="14.25" customHeight="1">
      <c r="A39" s="74">
        <f ca="1">MAX(A$5:INDIRECT("A"&amp;ROW()-1))+1</f>
        <v>33</v>
      </c>
      <c r="B39" s="74"/>
      <c r="C39" s="75" t="s">
        <v>100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8" t="s">
        <v>101</v>
      </c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E39" s="45"/>
      <c r="BF39" s="45"/>
    </row>
    <row r="40" spans="1:58" s="46" customFormat="1" ht="14.25" customHeight="1">
      <c r="A40" s="74">
        <f ca="1">MAX(A$5:INDIRECT("A"&amp;ROW()-1))+1</f>
        <v>34</v>
      </c>
      <c r="B40" s="74"/>
      <c r="C40" s="75" t="s">
        <v>102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8" t="s">
        <v>103</v>
      </c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E40" s="45"/>
      <c r="BF40" s="45"/>
    </row>
    <row r="41" spans="1:58" s="46" customFormat="1" ht="14.25" customHeight="1">
      <c r="A41" s="74">
        <f ca="1">MAX(A$5:INDIRECT("A"&amp;ROW()-1))+1</f>
        <v>35</v>
      </c>
      <c r="B41" s="74"/>
      <c r="C41" s="75" t="s">
        <v>104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8" t="s">
        <v>105</v>
      </c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E41" s="45"/>
      <c r="BF41" s="45"/>
    </row>
    <row r="42" spans="1:58" s="46" customFormat="1" ht="14.25" customHeight="1">
      <c r="A42" s="74">
        <f ca="1">MAX(A$5:INDIRECT("A"&amp;ROW()-1))+1</f>
        <v>36</v>
      </c>
      <c r="B42" s="74"/>
      <c r="C42" s="75" t="s">
        <v>106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8" t="s">
        <v>107</v>
      </c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E42" s="45"/>
      <c r="BF42" s="45"/>
    </row>
    <row r="43" spans="1:58" s="46" customFormat="1" ht="14.25" customHeight="1">
      <c r="A43" s="74">
        <f ca="1">MAX(A$5:INDIRECT("A"&amp;ROW()-1))+1</f>
        <v>37</v>
      </c>
      <c r="B43" s="74"/>
      <c r="C43" s="75" t="s">
        <v>108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8" t="s">
        <v>109</v>
      </c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E43" s="45"/>
      <c r="BF43" s="45"/>
    </row>
    <row r="44" spans="1:58" s="45" customFormat="1" ht="14.25" customHeight="1">
      <c r="A44" s="74">
        <f ca="1">MAX(A$5:INDIRECT("A"&amp;ROW()-1))+1</f>
        <v>38</v>
      </c>
      <c r="B44" s="74"/>
      <c r="C44" s="75" t="s">
        <v>110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8" t="s">
        <v>111</v>
      </c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</row>
    <row r="45" spans="1:58" s="45" customFormat="1" ht="14.25" customHeight="1">
      <c r="A45" s="74">
        <f ca="1">MAX(A$5:INDIRECT("A"&amp;ROW()-1))+1</f>
        <v>39</v>
      </c>
      <c r="B45" s="74"/>
      <c r="C45" s="75" t="s">
        <v>112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8" t="s">
        <v>113</v>
      </c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</row>
    <row r="46" spans="1:58" s="45" customFormat="1" ht="14.25" customHeight="1">
      <c r="A46" s="74">
        <f ca="1">MAX(A$5:INDIRECT("A"&amp;ROW()-1))+1</f>
        <v>40</v>
      </c>
      <c r="B46" s="74"/>
      <c r="C46" s="75" t="s">
        <v>114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8" t="s">
        <v>115</v>
      </c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</row>
    <row r="47" spans="1:58" s="45" customFormat="1" ht="14.25" customHeight="1">
      <c r="A47" s="74">
        <f ca="1">MAX(A$5:INDIRECT("A"&amp;ROW()-1))+1</f>
        <v>41</v>
      </c>
      <c r="B47" s="74"/>
      <c r="C47" s="75" t="s">
        <v>116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8" t="s">
        <v>117</v>
      </c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</row>
    <row r="48" spans="1:58" s="45" customFormat="1" ht="14.25" customHeight="1">
      <c r="A48" s="74">
        <f ca="1">MAX(A$5:INDIRECT("A"&amp;ROW()-1))+1</f>
        <v>42</v>
      </c>
      <c r="B48" s="74"/>
      <c r="C48" s="75" t="s">
        <v>118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8" t="s">
        <v>119</v>
      </c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</row>
    <row r="49" spans="1:58" s="45" customFormat="1" ht="14.25" customHeight="1">
      <c r="A49" s="74">
        <f ca="1">MAX(A$5:INDIRECT("A"&amp;ROW()-1))+1</f>
        <v>43</v>
      </c>
      <c r="B49" s="74"/>
      <c r="C49" s="75" t="s">
        <v>120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8" t="s">
        <v>121</v>
      </c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</row>
    <row r="50" spans="1:58" s="45" customFormat="1" ht="14.25" customHeight="1">
      <c r="A50" s="74">
        <f ca="1">MAX(A$5:INDIRECT("A"&amp;ROW()-1))+1</f>
        <v>44</v>
      </c>
      <c r="B50" s="74"/>
      <c r="C50" s="75" t="s">
        <v>122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8" t="s">
        <v>123</v>
      </c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</row>
    <row r="51" spans="1:58" s="45" customFormat="1" ht="14.25" customHeight="1">
      <c r="A51" s="74">
        <f ca="1">MAX(A$5:INDIRECT("A"&amp;ROW()-1))+1</f>
        <v>45</v>
      </c>
      <c r="B51" s="74"/>
      <c r="C51" s="75" t="s">
        <v>124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8" t="s">
        <v>125</v>
      </c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</row>
    <row r="52" spans="1:58" s="45" customFormat="1" ht="14.25" customHeight="1">
      <c r="A52" s="74">
        <f ca="1">MAX(A$5:INDIRECT("A"&amp;ROW()-1))+1</f>
        <v>46</v>
      </c>
      <c r="B52" s="74"/>
      <c r="C52" s="75" t="s">
        <v>126</v>
      </c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8" t="s">
        <v>127</v>
      </c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</row>
    <row r="53" spans="1:58" s="45" customFormat="1" ht="14.25" customHeight="1">
      <c r="A53" s="74">
        <f ca="1">MAX(A$5:INDIRECT("A"&amp;ROW()-1))+1</f>
        <v>47</v>
      </c>
      <c r="B53" s="74"/>
      <c r="C53" s="75" t="s">
        <v>128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8" t="s">
        <v>129</v>
      </c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</row>
    <row r="54" spans="1:58" s="45" customFormat="1">
      <c r="A54" s="74">
        <f ca="1">MAX(A$5:INDIRECT("A"&amp;ROW()-1))+1</f>
        <v>48</v>
      </c>
      <c r="B54" s="74"/>
      <c r="C54" s="75" t="s">
        <v>130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8" t="s">
        <v>131</v>
      </c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</row>
    <row r="55" spans="1:58" s="45" customFormat="1" ht="14.25" customHeight="1">
      <c r="A55" s="74">
        <f ca="1">MAX(A$5:INDIRECT("A"&amp;ROW()-1))+1</f>
        <v>49</v>
      </c>
      <c r="B55" s="74"/>
      <c r="C55" s="75" t="s">
        <v>132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8" t="s">
        <v>133</v>
      </c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F55" s="39"/>
    </row>
    <row r="56" spans="1:58" s="45" customFormat="1">
      <c r="A56" s="74">
        <f ca="1">MAX(A$5:INDIRECT("A"&amp;ROW()-1))+1</f>
        <v>50</v>
      </c>
      <c r="B56" s="74"/>
      <c r="C56" s="75" t="s">
        <v>134</v>
      </c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8" t="s">
        <v>135</v>
      </c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F56" s="39"/>
    </row>
    <row r="57" spans="1:58" s="45" customFormat="1" ht="14.25" customHeight="1">
      <c r="A57" s="74">
        <f ca="1">MAX(A$5:INDIRECT("A"&amp;ROW()-1))+1</f>
        <v>51</v>
      </c>
      <c r="B57" s="74"/>
      <c r="C57" s="75" t="s">
        <v>136</v>
      </c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8" t="s">
        <v>137</v>
      </c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E57" s="39"/>
    </row>
    <row r="58" spans="1:58" s="45" customFormat="1" ht="14.25" customHeight="1">
      <c r="A58" s="74">
        <f ca="1">MAX(A$5:INDIRECT("A"&amp;ROW()-1))+1</f>
        <v>52</v>
      </c>
      <c r="B58" s="74"/>
      <c r="C58" s="75" t="s">
        <v>138</v>
      </c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8" t="s">
        <v>139</v>
      </c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E58" s="39"/>
    </row>
    <row r="59" spans="1:58" s="45" customFormat="1" ht="14.25" customHeight="1">
      <c r="A59" s="74">
        <f ca="1">MAX(A$5:INDIRECT("A"&amp;ROW()-1))+1</f>
        <v>53</v>
      </c>
      <c r="B59" s="74"/>
      <c r="C59" s="75" t="s">
        <v>140</v>
      </c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8" t="s">
        <v>141</v>
      </c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E59" s="39"/>
    </row>
    <row r="60" spans="1:58" s="45" customFormat="1" ht="14.25" customHeight="1">
      <c r="A60" s="74">
        <f ca="1">MAX(A$5:INDIRECT("A"&amp;ROW()-1))+1</f>
        <v>54</v>
      </c>
      <c r="B60" s="74"/>
      <c r="C60" s="75" t="s">
        <v>142</v>
      </c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8" t="s">
        <v>143</v>
      </c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E60" s="39"/>
    </row>
    <row r="61" spans="1:58" s="45" customFormat="1" ht="14.25" customHeight="1">
      <c r="A61" s="74">
        <f ca="1">MAX(A$5:INDIRECT("A"&amp;ROW()-1))+1</f>
        <v>55</v>
      </c>
      <c r="B61" s="74"/>
      <c r="C61" s="75" t="s">
        <v>144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8" t="s">
        <v>145</v>
      </c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E61" s="39"/>
    </row>
    <row r="62" spans="1:58" s="45" customFormat="1" ht="14.25" customHeight="1">
      <c r="A62" s="74">
        <f ca="1">MAX(A$5:INDIRECT("A"&amp;ROW()-1))+1</f>
        <v>56</v>
      </c>
      <c r="B62" s="74"/>
      <c r="C62" s="75" t="s">
        <v>146</v>
      </c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8" t="s">
        <v>147</v>
      </c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E62" s="39"/>
    </row>
    <row r="63" spans="1:58" s="45" customFormat="1" ht="14.25" customHeight="1">
      <c r="A63" s="74">
        <f ca="1">MAX(A$5:INDIRECT("A"&amp;ROW()-1))+1</f>
        <v>57</v>
      </c>
      <c r="B63" s="74"/>
      <c r="C63" s="75" t="s">
        <v>148</v>
      </c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8" t="s">
        <v>149</v>
      </c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E63" s="39"/>
    </row>
    <row r="64" spans="1:58" s="45" customFormat="1" ht="14.25" customHeight="1">
      <c r="A64" s="74">
        <f ca="1">MAX(A$5:INDIRECT("A"&amp;ROW()-1))+1</f>
        <v>58</v>
      </c>
      <c r="B64" s="74"/>
      <c r="C64" s="75" t="s">
        <v>150</v>
      </c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8" t="s">
        <v>151</v>
      </c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E64" s="39"/>
    </row>
    <row r="65" spans="1:58">
      <c r="A65" s="74">
        <f ca="1">MAX(A$5:INDIRECT("A"&amp;ROW()-1))+1</f>
        <v>59</v>
      </c>
      <c r="B65" s="74"/>
      <c r="C65" s="75" t="s">
        <v>152</v>
      </c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8" t="s">
        <v>153</v>
      </c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E65" s="45"/>
      <c r="BF65" s="45"/>
    </row>
    <row r="66" spans="1:58">
      <c r="A66" s="74">
        <f ca="1">MAX(A$5:INDIRECT("A"&amp;ROW()-1))+1</f>
        <v>60</v>
      </c>
      <c r="B66" s="74"/>
      <c r="C66" s="75" t="s">
        <v>154</v>
      </c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8" t="s">
        <v>155</v>
      </c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E66" s="45"/>
      <c r="BF66" s="45"/>
    </row>
  </sheetData>
  <mergeCells count="259">
    <mergeCell ref="A65:B65"/>
    <mergeCell ref="C65:Q65"/>
    <mergeCell ref="R65:AJ65"/>
    <mergeCell ref="AK65:BC65"/>
    <mergeCell ref="A66:B66"/>
    <mergeCell ref="C66:Q66"/>
    <mergeCell ref="R66:AJ66"/>
    <mergeCell ref="AK66:BC66"/>
    <mergeCell ref="A62:B62"/>
    <mergeCell ref="C62:Q62"/>
    <mergeCell ref="R62:AJ62"/>
    <mergeCell ref="AK62:BC62"/>
    <mergeCell ref="A63:B63"/>
    <mergeCell ref="C63:Q63"/>
    <mergeCell ref="R63:AJ63"/>
    <mergeCell ref="AK63:BC63"/>
    <mergeCell ref="A64:B64"/>
    <mergeCell ref="C64:Q64"/>
    <mergeCell ref="R64:AJ64"/>
    <mergeCell ref="AK64:BC64"/>
    <mergeCell ref="A59:B59"/>
    <mergeCell ref="C59:Q59"/>
    <mergeCell ref="R59:AJ59"/>
    <mergeCell ref="AK59:BC59"/>
    <mergeCell ref="A60:B60"/>
    <mergeCell ref="C60:Q60"/>
    <mergeCell ref="R60:AJ60"/>
    <mergeCell ref="AK60:BC60"/>
    <mergeCell ref="A61:B61"/>
    <mergeCell ref="C61:Q61"/>
    <mergeCell ref="R61:AJ61"/>
    <mergeCell ref="AK61:BC61"/>
    <mergeCell ref="A56:B56"/>
    <mergeCell ref="C56:Q56"/>
    <mergeCell ref="R56:AJ56"/>
    <mergeCell ref="AK56:BC56"/>
    <mergeCell ref="A57:B57"/>
    <mergeCell ref="C57:Q57"/>
    <mergeCell ref="R57:AJ57"/>
    <mergeCell ref="AK57:BC57"/>
    <mergeCell ref="A58:B58"/>
    <mergeCell ref="C58:Q58"/>
    <mergeCell ref="R58:AJ58"/>
    <mergeCell ref="AK58:BC58"/>
    <mergeCell ref="A53:B53"/>
    <mergeCell ref="C53:Q53"/>
    <mergeCell ref="R53:AJ53"/>
    <mergeCell ref="AK53:BC53"/>
    <mergeCell ref="A54:B54"/>
    <mergeCell ref="C54:Q54"/>
    <mergeCell ref="R54:AJ54"/>
    <mergeCell ref="AK54:BC54"/>
    <mergeCell ref="A55:B55"/>
    <mergeCell ref="C55:Q55"/>
    <mergeCell ref="R55:AJ55"/>
    <mergeCell ref="AK55:BC55"/>
    <mergeCell ref="A50:B50"/>
    <mergeCell ref="C50:Q50"/>
    <mergeCell ref="R50:AJ50"/>
    <mergeCell ref="AK50:BC50"/>
    <mergeCell ref="A51:B51"/>
    <mergeCell ref="C51:Q51"/>
    <mergeCell ref="R51:AJ51"/>
    <mergeCell ref="AK51:BC51"/>
    <mergeCell ref="A52:B52"/>
    <mergeCell ref="C52:Q52"/>
    <mergeCell ref="R52:AJ52"/>
    <mergeCell ref="AK52:BC52"/>
    <mergeCell ref="A47:B47"/>
    <mergeCell ref="C47:Q47"/>
    <mergeCell ref="R47:AJ47"/>
    <mergeCell ref="AK47:BC47"/>
    <mergeCell ref="A48:B48"/>
    <mergeCell ref="C48:Q48"/>
    <mergeCell ref="R48:AJ48"/>
    <mergeCell ref="AK48:BC48"/>
    <mergeCell ref="A49:B49"/>
    <mergeCell ref="C49:Q49"/>
    <mergeCell ref="R49:AJ49"/>
    <mergeCell ref="AK49:BC49"/>
    <mergeCell ref="A44:B44"/>
    <mergeCell ref="C44:Q44"/>
    <mergeCell ref="R44:AJ44"/>
    <mergeCell ref="AK44:BC44"/>
    <mergeCell ref="A45:B45"/>
    <mergeCell ref="C45:Q45"/>
    <mergeCell ref="R45:AJ45"/>
    <mergeCell ref="AK45:BC45"/>
    <mergeCell ref="A46:B46"/>
    <mergeCell ref="C46:Q46"/>
    <mergeCell ref="R46:AJ46"/>
    <mergeCell ref="AK46:BC46"/>
    <mergeCell ref="A41:B41"/>
    <mergeCell ref="C41:Q41"/>
    <mergeCell ref="R41:AJ41"/>
    <mergeCell ref="AK41:BC41"/>
    <mergeCell ref="A42:B42"/>
    <mergeCell ref="C42:Q42"/>
    <mergeCell ref="R42:AJ42"/>
    <mergeCell ref="AK42:BC42"/>
    <mergeCell ref="A43:B43"/>
    <mergeCell ref="C43:Q43"/>
    <mergeCell ref="R43:AJ43"/>
    <mergeCell ref="AK43:BC43"/>
    <mergeCell ref="A38:B38"/>
    <mergeCell ref="C38:Q38"/>
    <mergeCell ref="R38:AJ38"/>
    <mergeCell ref="AK38:BC38"/>
    <mergeCell ref="A39:B39"/>
    <mergeCell ref="C39:Q39"/>
    <mergeCell ref="R39:AJ39"/>
    <mergeCell ref="AK39:BC39"/>
    <mergeCell ref="A40:B40"/>
    <mergeCell ref="C40:Q40"/>
    <mergeCell ref="R40:AJ40"/>
    <mergeCell ref="AK40:BC40"/>
    <mergeCell ref="A35:B35"/>
    <mergeCell ref="C35:Q35"/>
    <mergeCell ref="R35:AJ35"/>
    <mergeCell ref="AK35:BC35"/>
    <mergeCell ref="A36:B36"/>
    <mergeCell ref="C36:Q36"/>
    <mergeCell ref="R36:AJ36"/>
    <mergeCell ref="AK36:BC36"/>
    <mergeCell ref="A37:B37"/>
    <mergeCell ref="C37:Q37"/>
    <mergeCell ref="R37:AJ37"/>
    <mergeCell ref="AK37:BC37"/>
    <mergeCell ref="A32:B32"/>
    <mergeCell ref="C32:Q32"/>
    <mergeCell ref="R32:AJ32"/>
    <mergeCell ref="AK32:BC32"/>
    <mergeCell ref="A33:B33"/>
    <mergeCell ref="C33:Q33"/>
    <mergeCell ref="R33:AJ33"/>
    <mergeCell ref="AK33:BC33"/>
    <mergeCell ref="A34:B34"/>
    <mergeCell ref="C34:Q34"/>
    <mergeCell ref="R34:AJ34"/>
    <mergeCell ref="AK34:BC34"/>
    <mergeCell ref="A29:B29"/>
    <mergeCell ref="C29:Q29"/>
    <mergeCell ref="R29:AJ29"/>
    <mergeCell ref="AK29:BC29"/>
    <mergeCell ref="A30:B30"/>
    <mergeCell ref="C30:Q30"/>
    <mergeCell ref="R30:AJ30"/>
    <mergeCell ref="AK30:BC30"/>
    <mergeCell ref="A31:B31"/>
    <mergeCell ref="C31:Q31"/>
    <mergeCell ref="R31:AJ31"/>
    <mergeCell ref="AK31:BC31"/>
    <mergeCell ref="A26:B26"/>
    <mergeCell ref="C26:Q26"/>
    <mergeCell ref="R26:AJ26"/>
    <mergeCell ref="AK26:BC26"/>
    <mergeCell ref="A27:B27"/>
    <mergeCell ref="C27:Q27"/>
    <mergeCell ref="R27:AJ27"/>
    <mergeCell ref="AK27:BC27"/>
    <mergeCell ref="A28:B28"/>
    <mergeCell ref="C28:Q28"/>
    <mergeCell ref="R28:AJ28"/>
    <mergeCell ref="AK28:BC28"/>
    <mergeCell ref="A23:B23"/>
    <mergeCell ref="C23:Q23"/>
    <mergeCell ref="R23:AJ23"/>
    <mergeCell ref="AK23:BC23"/>
    <mergeCell ref="A24:B24"/>
    <mergeCell ref="C24:Q24"/>
    <mergeCell ref="R24:AJ24"/>
    <mergeCell ref="AK24:BC24"/>
    <mergeCell ref="A25:B25"/>
    <mergeCell ref="C25:Q25"/>
    <mergeCell ref="R25:AJ25"/>
    <mergeCell ref="AK25:BC25"/>
    <mergeCell ref="A20:B20"/>
    <mergeCell ref="C20:Q20"/>
    <mergeCell ref="R20:AJ20"/>
    <mergeCell ref="AK20:BC20"/>
    <mergeCell ref="A21:B21"/>
    <mergeCell ref="C21:Q21"/>
    <mergeCell ref="R21:AJ21"/>
    <mergeCell ref="AK21:BC21"/>
    <mergeCell ref="A22:B22"/>
    <mergeCell ref="C22:Q22"/>
    <mergeCell ref="R22:AJ22"/>
    <mergeCell ref="AK22:BC22"/>
    <mergeCell ref="A17:B17"/>
    <mergeCell ref="C17:Q17"/>
    <mergeCell ref="R17:AJ17"/>
    <mergeCell ref="AK17:BC17"/>
    <mergeCell ref="A18:B18"/>
    <mergeCell ref="C18:Q18"/>
    <mergeCell ref="R18:AJ18"/>
    <mergeCell ref="AK18:BC18"/>
    <mergeCell ref="A19:B19"/>
    <mergeCell ref="C19:Q19"/>
    <mergeCell ref="R19:AJ19"/>
    <mergeCell ref="AK19:BC19"/>
    <mergeCell ref="A14:B14"/>
    <mergeCell ref="C14:Q14"/>
    <mergeCell ref="R14:AJ14"/>
    <mergeCell ref="AK14:BC14"/>
    <mergeCell ref="A15:B15"/>
    <mergeCell ref="C15:Q15"/>
    <mergeCell ref="R15:AJ15"/>
    <mergeCell ref="AK15:BC15"/>
    <mergeCell ref="A16:B16"/>
    <mergeCell ref="C16:Q16"/>
    <mergeCell ref="R16:AJ16"/>
    <mergeCell ref="AK16:BC16"/>
    <mergeCell ref="A11:B11"/>
    <mergeCell ref="C11:Q11"/>
    <mergeCell ref="R11:AJ11"/>
    <mergeCell ref="AK11:BC11"/>
    <mergeCell ref="A12:B12"/>
    <mergeCell ref="C12:Q12"/>
    <mergeCell ref="R12:AJ12"/>
    <mergeCell ref="AK12:BC12"/>
    <mergeCell ref="A13:B13"/>
    <mergeCell ref="C13:Q13"/>
    <mergeCell ref="R13:AJ13"/>
    <mergeCell ref="AK13:BC13"/>
    <mergeCell ref="A8:B8"/>
    <mergeCell ref="C8:Q8"/>
    <mergeCell ref="R8:AJ8"/>
    <mergeCell ref="AK8:BC8"/>
    <mergeCell ref="A9:B9"/>
    <mergeCell ref="C9:Q9"/>
    <mergeCell ref="R9:AJ9"/>
    <mergeCell ref="AK9:BC9"/>
    <mergeCell ref="A10:B10"/>
    <mergeCell ref="C10:Q10"/>
    <mergeCell ref="R10:AJ10"/>
    <mergeCell ref="AK10:BC10"/>
    <mergeCell ref="A5:B6"/>
    <mergeCell ref="C5:AJ5"/>
    <mergeCell ref="AK5:BC6"/>
    <mergeCell ref="C6:Q6"/>
    <mergeCell ref="R6:AJ6"/>
    <mergeCell ref="A7:B7"/>
    <mergeCell ref="C7:Q7"/>
    <mergeCell ref="R7:AJ7"/>
    <mergeCell ref="AK7:BC7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2"/>
  <printOptions horizontalCentered="1"/>
  <pageMargins left="0.39374999999999999" right="0.39374999999999999" top="0.39374999999999999" bottom="0.59027777777777801" header="0.511811023622047" footer="0.51180555555555596"/>
  <pageSetup paperSize="9" scale="66" orientation="portrait" horizontalDpi="300" verticalDpi="300" r:id="rId1"/>
  <headerFooter>
    <oddFooter>&amp;C&amp;9&amp;P/&amp;N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表紙</vt:lpstr>
      <vt:lpstr>更新履歴</vt:lpstr>
      <vt:lpstr>API一覧</vt:lpstr>
      <vt:lpstr>API一覧!Print_Area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村上拓真</dc:creator>
  <dc:description/>
  <cp:lastModifiedBy>奥田 恭之</cp:lastModifiedBy>
  <cp:revision>60</cp:revision>
  <cp:lastPrinted>2023-11-22T05:08:03Z</cp:lastPrinted>
  <dcterms:created xsi:type="dcterms:W3CDTF">2015-09-02T01:17:59Z</dcterms:created>
  <dcterms:modified xsi:type="dcterms:W3CDTF">2025-06-14T05:59:37Z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8c1538ae-e3dc-4a6b-8c27-66a4c35e7b8f</vt:lpwstr>
  </property>
</Properties>
</file>