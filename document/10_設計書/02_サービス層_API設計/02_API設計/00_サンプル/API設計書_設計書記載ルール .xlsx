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キャリア開発研修\01.原本\document\10_設計書\02_サービス・API設計\00_サンプル\"/>
    </mc:Choice>
  </mc:AlternateContent>
  <xr:revisionPtr revIDLastSave="0" documentId="13_ncr:1_{3F32CEE2-6958-4778-97C3-6E46E5BFB2FB}" xr6:coauthVersionLast="47" xr6:coauthVersionMax="47" xr10:uidLastSave="{00000000-0000-0000-0000-000000000000}"/>
  <bookViews>
    <workbookView xWindow="-108" yWindow="-108" windowWidth="23256" windowHeight="12576" tabRatio="810" xr2:uid="{00000000-000D-0000-FFFF-FFFF00000000}"/>
  </bookViews>
  <sheets>
    <sheet name="API設計書作成観点" sheetId="9" r:id="rId1"/>
    <sheet name="表紙" sheetId="1" r:id="rId2"/>
    <sheet name="更新履歴" sheetId="2" r:id="rId3"/>
    <sheet name="API一覧" sheetId="3" r:id="rId4"/>
    <sheet name="ログイン詳細取得（ログインID&amp;パスワード）_(SELECT例" sheetId="4" r:id="rId5"/>
    <sheet name="ログイン詳細取得（LMSユーザID）_(SELECT例2)" sheetId="5" r:id="rId6"/>
    <sheet name="パスワード変更登録_(INSERT例1)" sheetId="6" r:id="rId7"/>
    <sheet name="パスワード変更更新_(UPDATE例1)" sheetId="7" r:id="rId8"/>
    <sheet name="パスワード変更削除_(論理削除例1)" sheetId="8" r:id="rId9"/>
  </sheets>
  <definedNames>
    <definedName name="_xlnm.Print_Area" localSheetId="3">API一覧!$A$1:$BC$23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9" l="1"/>
  <c r="B39" i="9" s="1"/>
  <c r="B29" i="9"/>
  <c r="B30" i="9" s="1"/>
  <c r="B31" i="9" s="1"/>
  <c r="B32" i="9" s="1"/>
  <c r="B33" i="9" s="1"/>
  <c r="B34" i="9" s="1"/>
  <c r="B35" i="9" s="1"/>
  <c r="B26" i="9"/>
  <c r="B19" i="9"/>
  <c r="B20" i="9" s="1"/>
  <c r="B21" i="9" s="1"/>
  <c r="B22" i="9" s="1"/>
  <c r="B23" i="9" s="1"/>
  <c r="B16" i="9"/>
  <c r="B13" i="9"/>
  <c r="B12" i="9"/>
  <c r="B11" i="9"/>
  <c r="B10" i="9"/>
  <c r="B9" i="9"/>
  <c r="B8" i="9"/>
  <c r="B7" i="9"/>
  <c r="B6" i="9"/>
  <c r="B5" i="9"/>
  <c r="R2" i="8" l="1"/>
  <c r="J2" i="8"/>
  <c r="A2" i="8"/>
  <c r="R2" i="7"/>
  <c r="J2" i="7"/>
  <c r="A2" i="7"/>
  <c r="R2" i="6"/>
  <c r="J2" i="6"/>
  <c r="A2" i="6"/>
  <c r="R2" i="5"/>
  <c r="J2" i="5"/>
  <c r="A2" i="5"/>
  <c r="R1" i="5"/>
  <c r="R2" i="4"/>
  <c r="J2" i="4"/>
  <c r="A2" i="4"/>
  <c r="R2" i="3"/>
  <c r="J2" i="3"/>
  <c r="A2" i="3"/>
  <c r="R1" i="3"/>
  <c r="AO2" i="2"/>
  <c r="AJ2" i="2"/>
  <c r="J2" i="2"/>
  <c r="A2" i="2"/>
  <c r="R1" i="2"/>
  <c r="R1" i="8" s="1"/>
  <c r="AA17" i="1"/>
  <c r="X17" i="1"/>
  <c r="R1" i="4" l="1"/>
  <c r="R1" i="6"/>
  <c r="R1" i="7"/>
</calcChain>
</file>

<file path=xl/sharedStrings.xml><?xml version="1.0" encoding="utf-8"?>
<sst xmlns="http://schemas.openxmlformats.org/spreadsheetml/2006/main" count="603" uniqueCount="193">
  <si>
    <t>LMS学習管理システム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</si>
  <si>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</si>
  <si>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</si>
  <si>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</si>
  <si>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</si>
  <si>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</si>
  <si>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</si>
  <si>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</si>
  <si>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</si>
  <si>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</si>
  <si>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</si>
  <si>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</si>
  <si>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</si>
  <si>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</si>
  <si>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</si>
  <si>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</si>
  <si>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</si>
  <si>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</si>
  <si>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</si>
  <si>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</si>
  <si>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</si>
  <si>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</si>
  <si>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</si>
  <si>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</si>
  <si>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ログイン詳細取得（ログインID&amp;パスワード）</t>
  </si>
  <si>
    <t>getLoginDetailByLoginIdAndPassword</t>
  </si>
  <si>
    <r>
      <rPr>
        <sz val="10"/>
        <rFont val="ＭＳ Ｐゴシック"/>
        <family val="3"/>
        <charset val="1"/>
      </rPr>
      <t>ログイン詳細取得（</t>
    </r>
    <r>
      <rPr>
        <sz val="10"/>
        <rFont val="ＭＳ Ｐゴシック"/>
        <family val="3"/>
        <charset val="128"/>
      </rPr>
      <t>LMSユーザID</t>
    </r>
    <r>
      <rPr>
        <sz val="10"/>
        <rFont val="ＭＳ Ｐゴシック"/>
        <family val="3"/>
        <charset val="1"/>
      </rPr>
      <t>）</t>
    </r>
  </si>
  <si>
    <t>API仕様</t>
  </si>
  <si>
    <t>ログインIDとパスワードをキーにログイン情報を取得</t>
  </si>
  <si>
    <t>SQL</t>
  </si>
  <si>
    <t>SELECT</t>
  </si>
  <si>
    <t>入力パラメータ</t>
  </si>
  <si>
    <t>項目名</t>
  </si>
  <si>
    <t>編集内容</t>
  </si>
  <si>
    <t>備考</t>
  </si>
  <si>
    <t>ログインID</t>
  </si>
  <si>
    <t>loginId</t>
  </si>
  <si>
    <t>-</t>
  </si>
  <si>
    <t>パスワード</t>
  </si>
  <si>
    <t>password</t>
  </si>
  <si>
    <t>削除フラグ</t>
  </si>
  <si>
    <t>deleteFlg</t>
  </si>
  <si>
    <t>出力パラメータ</t>
  </si>
  <si>
    <t>クラス</t>
  </si>
  <si>
    <t>LoginUser</t>
  </si>
  <si>
    <t>取得テーブル</t>
  </si>
  <si>
    <t>アカウントID</t>
  </si>
  <si>
    <t>account_id</t>
  </si>
  <si>
    <t>LMSユーザマスタ</t>
  </si>
  <si>
    <t>m_lms_user</t>
  </si>
  <si>
    <t>ユーザID</t>
  </si>
  <si>
    <t>user_id</t>
  </si>
  <si>
    <t>LMSユーザID</t>
  </si>
  <si>
    <t>lms_user_id</t>
  </si>
  <si>
    <t>ユーザー名</t>
  </si>
  <si>
    <t>user_name</t>
  </si>
  <si>
    <t>ユーザマスタ</t>
  </si>
  <si>
    <t>m_user</t>
  </si>
  <si>
    <t>ロール</t>
  </si>
  <si>
    <t>role</t>
  </si>
  <si>
    <t>企業ID</t>
  </si>
  <si>
    <t>company_id</t>
  </si>
  <si>
    <t>ユーザー・企業紐付け</t>
  </si>
  <si>
    <t>t_user_company</t>
  </si>
  <si>
    <t>企業名</t>
  </si>
  <si>
    <t>company_name</t>
  </si>
  <si>
    <t>企業マスタ</t>
  </si>
  <si>
    <t>m_company</t>
  </si>
  <si>
    <t>会場ID</t>
  </si>
  <si>
    <t>place_id</t>
  </si>
  <si>
    <t>ユーザー・会場紐付け</t>
  </si>
  <si>
    <t>t_user_place</t>
  </si>
  <si>
    <t>会場名</t>
  </si>
  <si>
    <t>place_name</t>
  </si>
  <si>
    <t>会場マスタ</t>
  </si>
  <si>
    <t>m_place</t>
  </si>
  <si>
    <t>コースID</t>
  </si>
  <si>
    <t>course_id</t>
  </si>
  <si>
    <t>コース・ユーザー紐付け</t>
  </si>
  <si>
    <t>t_course_user</t>
  </si>
  <si>
    <t>セキュリティ同意フラグ</t>
  </si>
  <si>
    <t>security_agree_flg</t>
  </si>
  <si>
    <t>パスワード変更日付</t>
  </si>
  <si>
    <t>password_change_date</t>
  </si>
  <si>
    <t>サポート表示</t>
  </si>
  <si>
    <t>support_available</t>
  </si>
  <si>
    <t>メールアドレス</t>
  </si>
  <si>
    <t>mail_address</t>
  </si>
  <si>
    <t>途中退校フラグ</t>
  </si>
  <si>
    <t>leave_flg</t>
  </si>
  <si>
    <t>途中退校日</t>
  </si>
  <si>
    <t>leave_date</t>
  </si>
  <si>
    <t>ファイル共有フラグ</t>
  </si>
  <si>
    <t>file_share_flg</t>
  </si>
  <si>
    <t>抽出テーブル</t>
  </si>
  <si>
    <t>結合条件</t>
  </si>
  <si>
    <t>INNER JOIN</t>
  </si>
  <si>
    <t>LEFT OUTER JOIN</t>
  </si>
  <si>
    <t>抽出条件</t>
  </si>
  <si>
    <t>ユーザマスタ．ログインID = 入力パラメータ．ログインID</t>
  </si>
  <si>
    <t>AND ユーザマスタ．パスワード = 入力パラメータ．パスワード</t>
  </si>
  <si>
    <t>ソート</t>
  </si>
  <si>
    <t>副問い合わせ</t>
  </si>
  <si>
    <t>更新対象項目名</t>
  </si>
  <si>
    <t>取得元</t>
  </si>
  <si>
    <r>
      <rPr>
        <sz val="10"/>
        <rFont val="ＭＳ Ｐゴシック"/>
        <family val="3"/>
        <charset val="128"/>
      </rPr>
      <t>LMSユーザID</t>
    </r>
    <r>
      <rPr>
        <sz val="10"/>
        <rFont val="ＭＳ Ｐゴシック"/>
        <family val="3"/>
        <charset val="1"/>
      </rPr>
      <t>をキーにログイン情報を取得</t>
    </r>
  </si>
  <si>
    <t>lmsUserId</t>
  </si>
  <si>
    <t>「ログイン情報取得（ログインID&amp;パスワード）」シート参照</t>
  </si>
  <si>
    <t>（ログイン情報取得（ログインID&amp;パスワード）参照）</t>
  </si>
  <si>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ユーザマスタ．</t>
    </r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 xml:space="preserve">ID = </t>
    </r>
    <r>
      <rPr>
        <sz val="10"/>
        <color rgb="FF00000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>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</si>
  <si>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LMSユーザマスタ．削除フラグ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</si>
  <si>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t>なし</t>
  </si>
  <si>
    <t>パスワード変更情報を登録</t>
  </si>
  <si>
    <t>INSERT</t>
  </si>
  <si>
    <t>パスワード変更テーブルエンティティクラス</t>
  </si>
  <si>
    <t>TtemporaryPassStorage</t>
  </si>
  <si>
    <t>boolean</t>
  </si>
  <si>
    <t>反映結果</t>
  </si>
  <si>
    <t>パスワード変更</t>
  </si>
  <si>
    <t>パスワード変更情報を更新</t>
  </si>
  <si>
    <t>UPDATE</t>
  </si>
  <si>
    <t>パスワード変更ID = 入力パラメータ．パスワード変更テーブルエンティティクラス．パスワード変更ID</t>
  </si>
  <si>
    <t>AND 削除フラグ = 入力パラメータ．パスワード変更テーブルエンティティクラス．削除クラス</t>
  </si>
  <si>
    <t>入力パラメータ．パスワード変更テーブルエンティティクラス．ユーザID</t>
  </si>
  <si>
    <t>変更キー</t>
  </si>
  <si>
    <t>入力パラメータ．パスワード変更テーブルエンティティクラス．変更キー</t>
  </si>
  <si>
    <t>期限</t>
  </si>
  <si>
    <t>入力パラメータ．パスワード変更テーブルエンティティクラス．期限</t>
  </si>
  <si>
    <t>入力パラメータ．パスワード変更テーブルエンティティクラス．削除フラグ</t>
  </si>
  <si>
    <t>最終更新者</t>
  </si>
  <si>
    <t>入力パラメータ．パスワード変更テーブルエンティティクラス．最終更新者</t>
  </si>
  <si>
    <t>最終更新日時</t>
  </si>
  <si>
    <t>入力パラメータ．パスワード変更テーブルエンティティクラス．最終更新日時</t>
  </si>
  <si>
    <t>パスワード変更情報を論理削除</t>
  </si>
  <si>
    <t>AND 削除フラグ = 0</t>
  </si>
  <si>
    <t>AND LMSユーザマスタ．削除フラグ = 入力パラメータ．削除フラグ</t>
    <phoneticPr fontId="63"/>
  </si>
  <si>
    <t>LMSユーザマスタ．ユーザID = ユーザマスタ．ユーザID　
AND　ユーザマスタ．削除フラグ = 入力パラメータ．削除フラグ</t>
    <rPh sb="43" eb="45">
      <t>サクジョ</t>
    </rPh>
    <phoneticPr fontId="63"/>
  </si>
  <si>
    <t>ユーザー・企業紐付け</t>
    <phoneticPr fontId="63"/>
  </si>
  <si>
    <t>LMSユーザマスタ．LMSユーザID = ユーザー・企業紐付け．LMSユーザID
AND　ユーザー・企業紐付け．削除フラグ = 入力パラメータ．削除フラグ</t>
    <phoneticPr fontId="63"/>
  </si>
  <si>
    <t>ユーザー・企業紐付け．企業ID = 企業マスタ．企業ID
AND　企業マスタ．削除フラグ = 入力パラメータ．削除フラグ</t>
    <rPh sb="33" eb="35">
      <t>キギョウ</t>
    </rPh>
    <phoneticPr fontId="63"/>
  </si>
  <si>
    <t>LMSユーザマスタ．LMSユーザID = ユーザー・会場紐付け．LMSユーザID
AND　ユーザー・会場紐付け．削除フラグ = 入力パラメータ．削除フラグ</t>
    <rPh sb="50" eb="52">
      <t>カイジョウ</t>
    </rPh>
    <phoneticPr fontId="63"/>
  </si>
  <si>
    <t>ユーザー・会場紐付け．会場ID = 会場マスタ．会場ID
AND　会場マスタ．削除フラグ = 入力パラメータ．削除フラグ</t>
    <rPh sb="33" eb="35">
      <t>カイジョウ</t>
    </rPh>
    <phoneticPr fontId="63"/>
  </si>
  <si>
    <t>LMSユーザマスタ．LMSユーザID = コース・ユーザー紐付け．LMSユーザID
AND　コース・ユーザー紐付け．削除フラグ = 入力パラメータ．削除フラグ</t>
    <phoneticPr fontId="63"/>
  </si>
  <si>
    <t>会場マスタ</t>
    <phoneticPr fontId="63"/>
  </si>
  <si>
    <t>非表示フラグ</t>
    <rPh sb="0" eb="3">
      <t>ヒヒョウジ</t>
    </rPh>
    <phoneticPr fontId="63"/>
  </si>
  <si>
    <t>hidden_flg</t>
    <phoneticPr fontId="63"/>
  </si>
  <si>
    <t>コース名</t>
    <rPh sb="3" eb="4">
      <t>メイ</t>
    </rPh>
    <phoneticPr fontId="63"/>
  </si>
  <si>
    <t>course_name</t>
    <phoneticPr fontId="63"/>
  </si>
  <si>
    <t>m_course</t>
    <phoneticPr fontId="63"/>
  </si>
  <si>
    <t>コースマスタ</t>
    <phoneticPr fontId="63"/>
  </si>
  <si>
    <t>コースマスタ．コースID = コース・ユーザー紐付け．コースID
AND　コースマスタ．削除フラグ = 入力パラメータ．削除フラグ</t>
    <phoneticPr fontId="63"/>
  </si>
  <si>
    <t>API設計書作成観点</t>
    <rPh sb="3" eb="6">
      <t>セッケイショ</t>
    </rPh>
    <rPh sb="6" eb="8">
      <t>サクセイ</t>
    </rPh>
    <rPh sb="8" eb="10">
      <t>カンテン</t>
    </rPh>
    <phoneticPr fontId="63"/>
  </si>
  <si>
    <t>確認内容</t>
  </si>
  <si>
    <t>全シート、カーソルをA1セルに置くこと</t>
  </si>
  <si>
    <t>表紙のシートで保存をすること</t>
  </si>
  <si>
    <t>全シート、表示倍率は100%にすること</t>
  </si>
  <si>
    <t>全シート、ヘッダー部分が文字化けしていないこと（#NAME?になっていないこと）</t>
  </si>
  <si>
    <t>全シート、ヘッダー部分が外部ファイルを参照していないこと</t>
  </si>
  <si>
    <t>文字フォントが一律、MSPゴシックとなっていること</t>
  </si>
  <si>
    <t>不要な書式（塗りつぶし）や過分な行は削除すること。不要な行は削除し、印刷範囲を狭めること</t>
  </si>
  <si>
    <t>修正箇所の文字色を赤色にしていること</t>
  </si>
  <si>
    <t>分類：表紙</t>
  </si>
  <si>
    <t>表紙の作成者に、新規作成者の名前を記載すること</t>
    <phoneticPr fontId="66"/>
  </si>
  <si>
    <t>分類：更新履歴</t>
  </si>
  <si>
    <t>バージョンを記載すること　※レビュー完成時にv1.0。その後、修正するごとに0.1あげていくこと</t>
  </si>
  <si>
    <t>章番号を記載すること　※番号となっているが、修正したシート名を記載すること</t>
    <rPh sb="31" eb="33">
      <t>キサイ</t>
    </rPh>
    <phoneticPr fontId="63"/>
  </si>
  <si>
    <t>更新内容を記載すること</t>
  </si>
  <si>
    <t>作成者／更新者を記載すること</t>
  </si>
  <si>
    <t>内容欄に、修正対応を行ったTaskNoを記載していること
(例)Task.999：○○○ボタンを新規で追加</t>
  </si>
  <si>
    <t>分類：API一覧</t>
    <rPh sb="6" eb="8">
      <t>イチラン</t>
    </rPh>
    <phoneticPr fontId="66"/>
  </si>
  <si>
    <t>ＡＰＩに関するシート名全てがＡＰＩ一覧に記載されていること</t>
    <rPh sb="4" eb="5">
      <t>カン</t>
    </rPh>
    <rPh sb="10" eb="11">
      <t>メイ</t>
    </rPh>
    <rPh sb="11" eb="12">
      <t>スベ</t>
    </rPh>
    <rPh sb="17" eb="19">
      <t>イチラン</t>
    </rPh>
    <rPh sb="20" eb="22">
      <t>キサイ</t>
    </rPh>
    <phoneticPr fontId="66"/>
  </si>
  <si>
    <t>分類：API仕様</t>
    <rPh sb="6" eb="8">
      <t>シヨウ</t>
    </rPh>
    <phoneticPr fontId="66"/>
  </si>
  <si>
    <t>下記の欄を記載すること
　　API仕様（概要）
　　SQLの種類
　　入力パラメータ(メソッドへの引数)
　　出力パラメータ
　　抽出テーブル(結合を必要とする場合のみ)
　　抽出条件(WHEREを必要とする場合のみ)
　　副問合せ（サブクエリを必要とする場合のみ）
　　更新対象項目名（更新の場合のみ）</t>
    <rPh sb="112" eb="115">
      <t>フクトイアワ</t>
    </rPh>
    <rPh sb="123" eb="125">
      <t>ヒツヨウ</t>
    </rPh>
    <rPh sb="128" eb="130">
      <t>バアイ</t>
    </rPh>
    <rPh sb="144" eb="146">
      <t>コウシン</t>
    </rPh>
    <rPh sb="147" eb="149">
      <t>バアイ</t>
    </rPh>
    <phoneticPr fontId="66"/>
  </si>
  <si>
    <t>シート名は画面レイアウト設計書のイベント処理で使用されるAPI論理名と一致していること</t>
    <rPh sb="5" eb="7">
      <t>ガメン</t>
    </rPh>
    <rPh sb="12" eb="15">
      <t>セッケイショ</t>
    </rPh>
    <rPh sb="20" eb="22">
      <t>ショリ</t>
    </rPh>
    <rPh sb="23" eb="25">
      <t>シヨウ</t>
    </rPh>
    <rPh sb="31" eb="34">
      <t>ロンリメイ</t>
    </rPh>
    <rPh sb="35" eb="37">
      <t>イッチ</t>
    </rPh>
    <phoneticPr fontId="66"/>
  </si>
  <si>
    <r>
      <t xml:space="preserve">出力先がDTOの場合、DTO一覧の名称及び項目名が一致すること
</t>
    </r>
    <r>
      <rPr>
        <sz val="10"/>
        <color rgb="FF0070C0"/>
        <rFont val="ＭＳ Ｐゴシック"/>
        <family val="3"/>
        <charset val="128"/>
      </rPr>
      <t>document\10_設計書\04_共通設計\DTO設計書.xlsx</t>
    </r>
    <rPh sb="19" eb="20">
      <t>オヨ</t>
    </rPh>
    <rPh sb="21" eb="23">
      <t>コウモク</t>
    </rPh>
    <rPh sb="23" eb="24">
      <t>メイ</t>
    </rPh>
    <phoneticPr fontId="66"/>
  </si>
  <si>
    <t>テーブル名・カラム名はテーブル定義の論理名と一致していること</t>
    <rPh sb="4" eb="5">
      <t>メイ</t>
    </rPh>
    <rPh sb="9" eb="10">
      <t>メイ</t>
    </rPh>
    <rPh sb="15" eb="17">
      <t>テイギ</t>
    </rPh>
    <rPh sb="18" eb="20">
      <t>ロンリ</t>
    </rPh>
    <rPh sb="20" eb="21">
      <t>メイ</t>
    </rPh>
    <rPh sb="22" eb="24">
      <t>イッチ</t>
    </rPh>
    <phoneticPr fontId="66"/>
  </si>
  <si>
    <t>入力パラメータの論理名は画面レイアウト設計書のパラメータ名と一致していること</t>
    <phoneticPr fontId="66"/>
  </si>
  <si>
    <t>カラム名を指定する場合、「テーブル名．カラム名」のような階層構造になっていること
例：LMSユーザマスタ．ユーザID</t>
    <rPh sb="3" eb="4">
      <t>メイ</t>
    </rPh>
    <rPh sb="5" eb="7">
      <t>シテイ</t>
    </rPh>
    <rPh sb="9" eb="11">
      <t>バアイ</t>
    </rPh>
    <rPh sb="17" eb="18">
      <t>メイ</t>
    </rPh>
    <rPh sb="22" eb="23">
      <t>メイ</t>
    </rPh>
    <rPh sb="28" eb="30">
      <t>カイソウ</t>
    </rPh>
    <rPh sb="30" eb="32">
      <t>コウゾウ</t>
    </rPh>
    <rPh sb="41" eb="42">
      <t>レイ</t>
    </rPh>
    <phoneticPr fontId="66"/>
  </si>
  <si>
    <t>入力パラメータを指定する場合、「入力パラメータ．パラメータ名」のような階層構造になっていること
例：入力パラメータ．ユーザID</t>
    <rPh sb="0" eb="2">
      <t>ニュウリョク</t>
    </rPh>
    <rPh sb="8" eb="10">
      <t>シテイ</t>
    </rPh>
    <rPh sb="12" eb="14">
      <t>バアイ</t>
    </rPh>
    <rPh sb="16" eb="18">
      <t>ニュウリョク</t>
    </rPh>
    <rPh sb="29" eb="30">
      <t>メイ</t>
    </rPh>
    <rPh sb="35" eb="37">
      <t>カイソウ</t>
    </rPh>
    <rPh sb="37" eb="39">
      <t>コウゾウ</t>
    </rPh>
    <rPh sb="48" eb="49">
      <t>レイ</t>
    </rPh>
    <rPh sb="50" eb="52">
      <t>ニュウリョク</t>
    </rPh>
    <phoneticPr fontId="66"/>
  </si>
  <si>
    <t>別シート参照している場合、セル背景を黄色としていること</t>
    <rPh sb="10" eb="12">
      <t>バアイ</t>
    </rPh>
    <phoneticPr fontId="66"/>
  </si>
  <si>
    <t>分類：レビュー依頼準備</t>
  </si>
  <si>
    <t>上記ファイルのレビュー記録表（テンプレート）シート内の作成者、作成日、成果物、機能名を記入すること
※レビュー日、レビュー形式などは未記入でよい</t>
  </si>
  <si>
    <t>上記修正後、ファイルをgitへcommit&amp;pushすること</t>
  </si>
  <si>
    <t>体験型Java研修</t>
  </si>
  <si>
    <t>パスワード変更登録</t>
    <phoneticPr fontId="63"/>
  </si>
  <si>
    <t>パスワード変更更新</t>
    <phoneticPr fontId="63"/>
  </si>
  <si>
    <t>パスワード変更削除</t>
    <phoneticPr fontId="63"/>
  </si>
  <si>
    <t>サンプル</t>
    <phoneticPr fontId="63"/>
  </si>
  <si>
    <t>insert</t>
    <phoneticPr fontId="63"/>
  </si>
  <si>
    <t>update</t>
    <phoneticPr fontId="63"/>
  </si>
  <si>
    <t>deleteUpdate</t>
    <phoneticPr fontId="63"/>
  </si>
  <si>
    <t>boolean</t>
    <phoneticPr fontId="63"/>
  </si>
  <si>
    <t>getLoginDetailByLmsUserId</t>
    <phoneticPr fontId="6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</si>
</sst>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8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b/>
      <sz val="11"/>
      <color rgb="FF000000"/>
      <name val="游ゴシック"/>
      <family val="3"/>
      <charset val="128"/>
    </font>
    <font>
      <sz val="10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rgb="FF0070C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  <fill>
      <patternFill patternType="solid">
        <fgColor rgb="FFD9D9D9"/>
        <bgColor rgb="FFC0C0C0"/>
      </patternFill>
    </fill>
  </fills>
  <borders count="6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178" fontId="62" fillId="0" borderId="3"/>
    <xf numFmtId="178" fontId="62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7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58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19" fillId="8" borderId="0" xfId="603" applyFill="1" applyAlignment="1">
      <alignment horizontal="right"/>
    </xf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19" fillId="0" borderId="0" xfId="604"/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7" fillId="0" borderId="53" xfId="0" applyFont="1" applyBorder="1">
      <alignment vertical="center"/>
    </xf>
    <xf numFmtId="0" fontId="57" fillId="0" borderId="0" xfId="0" applyFont="1" applyAlignment="1">
      <alignment horizontal="center" vertical="center"/>
    </xf>
    <xf numFmtId="0" fontId="57" fillId="8" borderId="53" xfId="0" applyFont="1" applyFill="1" applyBorder="1">
      <alignment vertical="center"/>
    </xf>
    <xf numFmtId="0" fontId="57" fillId="8" borderId="0" xfId="0" applyFont="1" applyFill="1">
      <alignment vertical="center"/>
    </xf>
    <xf numFmtId="0" fontId="58" fillId="8" borderId="0" xfId="0" applyFont="1" applyFill="1">
      <alignment vertical="center"/>
    </xf>
    <xf numFmtId="0" fontId="59" fillId="8" borderId="0" xfId="0" applyFont="1" applyFill="1">
      <alignment vertical="center"/>
    </xf>
    <xf numFmtId="0" fontId="56" fillId="8" borderId="0" xfId="0" applyFont="1" applyFill="1">
      <alignment vertical="center"/>
    </xf>
    <xf numFmtId="0" fontId="57" fillId="8" borderId="0" xfId="0" applyFont="1" applyFill="1" applyAlignment="1">
      <alignment horizontal="center" vertical="center"/>
    </xf>
    <xf numFmtId="0" fontId="61" fillId="8" borderId="0" xfId="0" applyFont="1" applyFill="1">
      <alignment vertical="center"/>
    </xf>
    <xf numFmtId="0" fontId="61" fillId="0" borderId="0" xfId="0" applyFont="1">
      <alignment vertical="center"/>
    </xf>
    <xf numFmtId="0" fontId="64" fillId="0" borderId="0" xfId="0" applyFont="1">
      <alignment vertical="center"/>
    </xf>
    <xf numFmtId="0" fontId="45" fillId="29" borderId="22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59" fillId="0" borderId="22" xfId="0" applyFont="1" applyBorder="1" applyAlignment="1">
      <alignment horizontal="left" vertical="top" wrapText="1"/>
    </xf>
    <xf numFmtId="0" fontId="65" fillId="0" borderId="22" xfId="0" applyFont="1" applyBorder="1" applyAlignment="1">
      <alignment horizontal="left" vertical="top" wrapText="1"/>
    </xf>
    <xf numFmtId="0" fontId="45" fillId="29" borderId="22" xfId="0" applyFont="1" applyFill="1" applyBorder="1" applyAlignment="1">
      <alignment horizontal="left" vertical="center"/>
    </xf>
    <xf numFmtId="0" fontId="65" fillId="0" borderId="56" xfId="0" applyFont="1" applyBorder="1" applyAlignment="1">
      <alignment horizontal="left" vertical="top" wrapText="1"/>
    </xf>
    <xf numFmtId="0" fontId="65" fillId="0" borderId="57" xfId="0" applyFont="1" applyBorder="1" applyAlignment="1">
      <alignment horizontal="left" vertical="top" wrapText="1"/>
    </xf>
    <xf numFmtId="0" fontId="65" fillId="0" borderId="58" xfId="0" applyFont="1" applyBorder="1" applyAlignment="1">
      <alignment horizontal="left" vertical="top" wrapText="1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5" fillId="0" borderId="3" xfId="604" applyNumberFormat="1" applyFont="1" applyBorder="1" applyAlignment="1">
      <alignment horizontal="center" vertical="center"/>
    </xf>
    <xf numFmtId="183" fontId="55" fillId="0" borderId="22" xfId="604" applyNumberFormat="1" applyFont="1" applyBorder="1" applyAlignment="1">
      <alignment horizontal="center" vertical="center"/>
    </xf>
    <xf numFmtId="0" fontId="55" fillId="0" borderId="22" xfId="604" applyFont="1" applyBorder="1" applyAlignment="1">
      <alignment horizontal="center" vertical="center"/>
    </xf>
    <xf numFmtId="0" fontId="55" fillId="0" borderId="22" xfId="604" applyFont="1" applyBorder="1" applyAlignment="1">
      <alignment vertical="center" wrapText="1"/>
    </xf>
    <xf numFmtId="0" fontId="55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60" fillId="0" borderId="52" xfId="0" applyFont="1" applyBorder="1" applyAlignment="1">
      <alignment horizontal="left" vertical="center"/>
    </xf>
    <xf numFmtId="0" fontId="61" fillId="0" borderId="55" xfId="0" applyFont="1" applyBorder="1" applyAlignment="1">
      <alignment horizontal="left" vertical="center"/>
    </xf>
    <xf numFmtId="0" fontId="61" fillId="0" borderId="59" xfId="0" applyFont="1" applyBorder="1" applyAlignment="1">
      <alignment horizontal="left" vertical="center"/>
    </xf>
    <xf numFmtId="0" fontId="61" fillId="0" borderId="54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61" fillId="0" borderId="52" xfId="0" applyFont="1" applyBorder="1" applyAlignment="1">
      <alignment horizontal="left" vertical="center"/>
    </xf>
    <xf numFmtId="0" fontId="57" fillId="0" borderId="52" xfId="0" applyFont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57" fillId="28" borderId="52" xfId="0" applyFont="1" applyFill="1" applyBorder="1" applyAlignment="1">
      <alignment horizontal="center"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  <xf numFmtId="0" fontId="57" fillId="0" borderId="52" xfId="0" applyFont="1" applyBorder="1" applyAlignment="1">
      <alignment horizontal="left" vertical="center" wrapText="1"/>
    </xf>
    <xf numFmtId="0" fontId="57" fillId="0" borderId="55" xfId="0" applyFont="1" applyBorder="1" applyAlignment="1">
      <alignment horizontal="left" vertical="center"/>
    </xf>
    <xf numFmtId="0" fontId="60" fillId="28" borderId="52" xfId="0" applyFont="1" applyFill="1" applyBorder="1">
      <alignment vertical="center"/>
    </xf>
    <xf numFmtId="0" fontId="59" fillId="0" borderId="52" xfId="0" applyFont="1" applyBorder="1">
      <alignment vertical="center"/>
    </xf>
    <xf numFmtId="0" fontId="57" fillId="0" borderId="55" xfId="0" applyFont="1" applyBorder="1" applyAlignment="1">
      <alignment horizontal="center" vertical="center"/>
    </xf>
    <xf numFmtId="0" fontId="57" fillId="0" borderId="54" xfId="0" applyFont="1" applyBorder="1" applyAlignment="1">
      <alignment horizontal="center" vertical="center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  <xf numFmtId="0" fontId="57" fillId="4" borderId="52" xfId="0" applyFont="1" applyFill="1" applyBorder="1" applyAlignment="1">
      <alignment horizontal="left" vertical="center"/>
    </xf>
    <xf numFmtId="0" fontId="57" fillId="8" borderId="52" xfId="0" applyFont="1" applyFill="1" applyBorder="1" applyAlignment="1">
      <alignment horizontal="center" vertical="center"/>
    </xf>
    <xf numFmtId="0" fontId="61" fillId="8" borderId="52" xfId="0" applyFont="1" applyFill="1" applyBorder="1" applyAlignment="1">
      <alignment vertical="center" wrapText="1"/>
    </xf>
    <xf numFmtId="0" fontId="59" fillId="8" borderId="52" xfId="0" applyFont="1" applyFill="1" applyBorder="1" applyAlignment="1">
      <alignment horizontal="left" vertical="center"/>
    </xf>
    <xf numFmtId="0" fontId="59" fillId="8" borderId="52" xfId="0" applyFont="1" applyFill="1" applyBorder="1" applyAlignment="1">
      <alignment horizontal="center" vertical="center"/>
    </xf>
    <xf numFmtId="0" fontId="59" fillId="8" borderId="52" xfId="0" applyFont="1" applyFill="1" applyBorder="1">
      <alignment vertical="center"/>
    </xf>
    <xf numFmtId="0" fontId="57" fillId="8" borderId="52" xfId="0" applyFont="1" applyFill="1" applyBorder="1">
      <alignment vertical="center"/>
    </xf>
    <xf numFmtId="0" fontId="59" fillId="8" borderId="54" xfId="0" applyFont="1" applyFill="1" applyBorder="1">
      <alignment vertical="center"/>
    </xf>
    <xf numFmtId="0" fontId="61" fillId="8" borderId="52" xfId="0" applyFont="1" applyFill="1" applyBorder="1" applyAlignment="1">
      <alignment horizontal="left" vertical="center"/>
    </xf>
    <xf numFmtId="0" fontId="60" fillId="8" borderId="52" xfId="0" applyFont="1" applyFill="1" applyBorder="1" applyAlignment="1">
      <alignment horizontal="left" vertical="center"/>
    </xf>
    <xf numFmtId="0" fontId="61" fillId="8" borderId="52" xfId="0" applyFont="1" applyFill="1" applyBorder="1">
      <alignment vertical="center"/>
    </xf>
    <xf numFmtId="0" fontId="57" fillId="8" borderId="55" xfId="0" applyFont="1" applyFill="1" applyBorder="1" applyAlignment="1">
      <alignment horizontal="left" vertical="center"/>
    </xf>
    <xf numFmtId="0" fontId="57" fillId="8" borderId="52" xfId="0" applyFont="1" applyFill="1" applyBorder="1" applyAlignment="1">
      <alignment horizontal="left" vertical="center"/>
    </xf>
    <xf numFmtId="0" fontId="59" fillId="8" borderId="52" xfId="0" applyFont="1" applyFill="1" applyBorder="1" applyAlignment="1">
      <alignment vertical="center" wrapText="1"/>
    </xf>
    <xf numFmtId="0" fontId="61" fillId="8" borderId="55" xfId="0" applyFont="1" applyFill="1" applyBorder="1" applyAlignment="1">
      <alignment horizontal="left" vertical="center"/>
    </xf>
    <xf numFmtId="0" fontId="61" fillId="28" borderId="52" xfId="0" applyFont="1" applyFill="1" applyBorder="1" applyAlignment="1">
      <alignment horizontal="center" vertical="center"/>
    </xf>
    <xf numFmtId="0" fontId="61" fillId="0" borderId="52" xfId="0" applyFont="1" applyBorder="1" applyAlignment="1">
      <alignment vertical="center" wrapText="1"/>
    </xf>
    <xf numFmtId="0" fontId="61" fillId="0" borderId="52" xfId="0" applyFont="1" applyBorder="1">
      <alignment vertical="center"/>
    </xf>
    <xf numFmtId="0" fontId="59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11"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  <dxf>
      <fill>
        <patternFill>
          <bgColor rgb="FFFAC090"/>
        </patternFill>
      </fill>
    </dxf>
    <dxf>
      <fill>
        <patternFill>
          <bgColor rgb="FFA6A6A6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379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129960</xdr:colOff>
      <xdr:row>0</xdr:row>
      <xdr:rowOff>138600</xdr:rowOff>
    </xdr:from>
    <xdr:to>
      <xdr:col>15</xdr:col>
      <xdr:colOff>129240</xdr:colOff>
      <xdr:row>7</xdr:row>
      <xdr:rowOff>201600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1000" y="138600"/>
          <a:ext cx="2607840" cy="126288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425"/>
            <a:gd name="adj6" fmla="val -14388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コミットする際の注意点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・全シート、カーソルを</a:t>
          </a:r>
          <a:r>
            <a:rPr lang="en-US" sz="1000" b="0" strike="noStrike" spc="-1">
              <a:latin typeface="Times New Roman"/>
            </a:rPr>
            <a:t>A1</a:t>
          </a:r>
          <a:r>
            <a:rPr lang="ja-JP" sz="1000" b="0" strike="noStrike" spc="-1">
              <a:latin typeface="Times New Roman"/>
            </a:rPr>
            <a:t>セルに置く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・表紙のシートで保存をすること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・全シート、表示倍率は</a:t>
          </a:r>
          <a:r>
            <a:rPr lang="en-US" sz="1000" b="0" strike="noStrike" spc="-1">
              <a:latin typeface="Times New Roman"/>
            </a:rPr>
            <a:t>100%</a:t>
          </a:r>
          <a:r>
            <a:rPr lang="ja-JP" sz="1000" b="0" strike="noStrike" spc="-1">
              <a:latin typeface="Times New Roman"/>
            </a:rPr>
            <a:t>にする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24</xdr:col>
      <xdr:colOff>720</xdr:colOff>
      <xdr:row>23</xdr:row>
      <xdr:rowOff>123480</xdr:rowOff>
    </xdr:from>
    <xdr:to>
      <xdr:col>32</xdr:col>
      <xdr:colOff>12960</xdr:colOff>
      <xdr:row>27</xdr:row>
      <xdr:rowOff>69480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16440" y="4413240"/>
          <a:ext cx="1617480" cy="63180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-18394"/>
            <a:gd name="adj6" fmla="val -13996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新規作成の場合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作成者の名前いれ</a:t>
          </a:r>
          <a:r>
            <a:rPr lang="ja-JP" sz="1200" b="0" strike="noStrike" spc="-1">
              <a:latin typeface="Times New Roman"/>
            </a:rPr>
            <a:t>る</a:t>
          </a:r>
          <a:endParaRPr lang="en-US" sz="12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53280</xdr:colOff>
      <xdr:row>9</xdr:row>
      <xdr:rowOff>139320</xdr:rowOff>
    </xdr:from>
    <xdr:to>
      <xdr:col>18</xdr:col>
      <xdr:colOff>174600</xdr:colOff>
      <xdr:row>15</xdr:row>
      <xdr:rowOff>5760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638000" y="1682280"/>
          <a:ext cx="2102760" cy="89496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-3574"/>
            <a:gd name="adj6" fmla="val -16013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変更履歴</a:t>
          </a:r>
          <a:r>
            <a:rPr lang="en-US" sz="1000" b="0" strike="noStrike" spc="-1">
              <a:latin typeface="Times New Roman"/>
            </a:rPr>
            <a:t>1</a:t>
          </a:r>
          <a:r>
            <a:rPr lang="ja-JP" sz="1000" b="0" strike="noStrike" spc="-1">
              <a:latin typeface="Times New Roman"/>
            </a:rPr>
            <a:t>件追加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→</a:t>
          </a:r>
          <a:r>
            <a:rPr lang="ja-JP" sz="1000" b="0" strike="noStrike" spc="-1">
              <a:latin typeface="Times New Roman"/>
            </a:rPr>
            <a:t>バージョンを</a:t>
          </a:r>
          <a:r>
            <a:rPr lang="en-US" sz="1000" b="0" strike="noStrike" spc="-1">
              <a:latin typeface="Times New Roman"/>
            </a:rPr>
            <a:t>0.1</a:t>
          </a:r>
          <a:r>
            <a:rPr lang="ja-JP" sz="1000" b="0" strike="noStrike" spc="-1">
              <a:latin typeface="Times New Roman"/>
            </a:rPr>
            <a:t>上げる</a:t>
          </a:r>
          <a:endParaRPr lang="en-US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→</a:t>
          </a:r>
          <a:r>
            <a:rPr lang="ja-JP" sz="1000" b="0" strike="noStrike" spc="-1">
              <a:latin typeface="Times New Roman"/>
            </a:rPr>
            <a:t>更新者は自分の名前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24</xdr:col>
      <xdr:colOff>137160</xdr:colOff>
      <xdr:row>10</xdr:row>
      <xdr:rowOff>7620</xdr:rowOff>
    </xdr:from>
    <xdr:to>
      <xdr:col>35</xdr:col>
      <xdr:colOff>60360</xdr:colOff>
      <xdr:row>15</xdr:row>
      <xdr:rowOff>41700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4568746-E43F-47C5-957B-AADD95A8A2E5}"/>
            </a:ext>
          </a:extLst>
        </xdr:cNvPr>
        <xdr:cNvSpPr/>
      </xdr:nvSpPr>
      <xdr:spPr>
        <a:xfrm>
          <a:off x="4892040" y="1684020"/>
          <a:ext cx="2102520" cy="87228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-3574"/>
            <a:gd name="adj6" fmla="val -16013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更新する場合</a:t>
          </a:r>
          <a:endParaRPr lang="en-US" altLang="ja-JP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内容欄にタスク</a:t>
          </a:r>
          <a:r>
            <a:rPr lang="en-US" altLang="ja-JP" sz="1000" b="0" strike="noStrike" spc="-1">
              <a:latin typeface="Times New Roman"/>
            </a:rPr>
            <a:t>No</a:t>
          </a:r>
          <a:r>
            <a:rPr lang="ja-JP" altLang="en-US" sz="1000" b="0" strike="noStrike" spc="-1">
              <a:latin typeface="Times New Roman"/>
            </a:rPr>
            <a:t>と修正内容を記載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28500</xdr:colOff>
      <xdr:row>15</xdr:row>
      <xdr:rowOff>128940</xdr:rowOff>
    </xdr:from>
    <xdr:to>
      <xdr:col>36</xdr:col>
      <xdr:colOff>182880</xdr:colOff>
      <xdr:row>19</xdr:row>
      <xdr:rowOff>128220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585260" y="2643540"/>
          <a:ext cx="2729940" cy="66984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-71047"/>
            <a:gd name="adj6" fmla="val -25886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物理名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・論理名を物理名にしたものを記載すること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6</xdr:col>
      <xdr:colOff>144780</xdr:colOff>
      <xdr:row>15</xdr:row>
      <xdr:rowOff>7620</xdr:rowOff>
    </xdr:from>
    <xdr:to>
      <xdr:col>20</xdr:col>
      <xdr:colOff>53340</xdr:colOff>
      <xdr:row>22</xdr:row>
      <xdr:rowOff>22860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4E0508A3-00FF-47D8-8EF6-40A5857D94CB}"/>
            </a:ext>
          </a:extLst>
        </xdr:cNvPr>
        <xdr:cNvSpPr/>
      </xdr:nvSpPr>
      <xdr:spPr>
        <a:xfrm>
          <a:off x="1333500" y="2522220"/>
          <a:ext cx="2682240" cy="118872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-27820"/>
            <a:gd name="adj6" fmla="val -15716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論理名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・どんなデータでどのような</a:t>
          </a:r>
          <a:r>
            <a:rPr lang="en-US" altLang="ja-JP" sz="1000" b="0" strike="noStrike" spc="-1">
              <a:latin typeface="Times New Roman"/>
            </a:rPr>
            <a:t>DB</a:t>
          </a:r>
          <a:r>
            <a:rPr lang="ja-JP" altLang="en-US" sz="1000" b="0" strike="noStrike" spc="-1">
              <a:latin typeface="Times New Roman"/>
            </a:rPr>
            <a:t>疎通を行うのか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　分かる命名とすること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・画面レイアウト設計書の</a:t>
          </a:r>
          <a:r>
            <a:rPr lang="en-US" altLang="ja-JP" sz="1000" b="0" strike="noStrike" spc="-1">
              <a:latin typeface="Times New Roman"/>
            </a:rPr>
            <a:t>API</a:t>
          </a:r>
          <a:r>
            <a:rPr lang="ja-JP" altLang="en-US" sz="1000" b="0" strike="noStrike" spc="-1">
              <a:latin typeface="Times New Roman"/>
            </a:rPr>
            <a:t>呼び出し名と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一致させること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>
    <xdr:from>
      <xdr:col>55</xdr:col>
      <xdr:colOff>157212</xdr:colOff>
      <xdr:row>2</xdr:row>
      <xdr:rowOff>114300</xdr:rowOff>
    </xdr:from>
    <xdr:to>
      <xdr:col>73</xdr:col>
      <xdr:colOff>0</xdr:colOff>
      <xdr:row>16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6E57777-0BB1-4C69-908B-EAA959EA1701}"/>
            </a:ext>
          </a:extLst>
        </xdr:cNvPr>
        <xdr:cNvSpPr txBox="1"/>
      </xdr:nvSpPr>
      <xdr:spPr>
        <a:xfrm>
          <a:off x="11053812" y="449580"/>
          <a:ext cx="3408948" cy="22326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補足：</a:t>
          </a:r>
          <a:r>
            <a:rPr kumimoji="1" lang="en-US" altLang="ja-JP" sz="1100" b="1"/>
            <a:t>API</a:t>
          </a:r>
          <a:r>
            <a:rPr kumimoji="1" lang="ja-JP" altLang="en-US" sz="1100" b="1"/>
            <a:t>設計書</a:t>
          </a:r>
          <a:endParaRPr kumimoji="1" lang="en-US" altLang="ja-JP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設計書は「どのようなデータをリクエストとし、どのようなデータをレスポンスとするのか」という定義を記載する設計書となります。</a:t>
          </a:r>
          <a:endParaRPr lang="ja-JP" altLang="ja-JP">
            <a:effectLst/>
          </a:endParaRPr>
        </a:p>
        <a:p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今回のプロジェクトでは、画面レイアウト設計書のイベント処理内で、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との疎通を行う際の詳細な入出力項目を記載していく設計書です。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文を日本語で表したもの、という表現が分かりやすい。</a:t>
          </a:r>
        </a:p>
      </xdr:txBody>
    </xdr:sp>
    <xdr:clientData/>
  </xdr:twoCellAnchor>
  <xdr:twoCellAnchor editAs="absolute">
    <xdr:from>
      <xdr:col>34</xdr:col>
      <xdr:colOff>152400</xdr:colOff>
      <xdr:row>5</xdr:row>
      <xdr:rowOff>136560</xdr:rowOff>
    </xdr:from>
    <xdr:to>
      <xdr:col>53</xdr:col>
      <xdr:colOff>30480</xdr:colOff>
      <xdr:row>9</xdr:row>
      <xdr:rowOff>30480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B4B77A69-A999-4C4F-9687-B7CEBBC963FC}"/>
            </a:ext>
          </a:extLst>
        </xdr:cNvPr>
        <xdr:cNvSpPr/>
      </xdr:nvSpPr>
      <xdr:spPr>
        <a:xfrm>
          <a:off x="6888480" y="974760"/>
          <a:ext cx="3642360" cy="56448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82480"/>
            <a:gd name="adj6" fmla="val -17518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altLang="ja-JP" sz="1000" b="0" strike="noStrike" spc="-1">
              <a:latin typeface="Times New Roman"/>
            </a:rPr>
            <a:t>API</a:t>
          </a:r>
          <a:r>
            <a:rPr lang="ja-JP" altLang="en-US" sz="1000" b="0" strike="noStrike" spc="-1">
              <a:latin typeface="Times New Roman"/>
            </a:rPr>
            <a:t>に関するシート名全てが</a:t>
          </a:r>
          <a:r>
            <a:rPr lang="en-US" altLang="ja-JP" sz="1000" b="0" strike="noStrike" spc="-1">
              <a:latin typeface="Times New Roman"/>
            </a:rPr>
            <a:t>API</a:t>
          </a:r>
          <a:r>
            <a:rPr lang="ja-JP" altLang="en-US" sz="1000" b="0" strike="noStrike" spc="-1">
              <a:latin typeface="Times New Roman"/>
            </a:rPr>
            <a:t>一覧に記載されていること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93390</xdr:colOff>
      <xdr:row>3</xdr:row>
      <xdr:rowOff>54420</xdr:rowOff>
    </xdr:from>
    <xdr:to>
      <xdr:col>28</xdr:col>
      <xdr:colOff>111600</xdr:colOff>
      <xdr:row>11</xdr:row>
      <xdr:rowOff>53340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57670" y="557340"/>
          <a:ext cx="1801290" cy="134004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57181"/>
            <a:gd name="adj6" fmla="val -113554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SQL</a:t>
          </a: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</a:t>
          </a: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の種類を記載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取得の場合、</a:t>
          </a:r>
          <a:r>
            <a:rPr lang="en-US" sz="1000" b="0" strike="noStrike" spc="-1">
              <a:latin typeface="Times New Roman"/>
            </a:rPr>
            <a:t>SELECT</a:t>
          </a: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登録の場合、</a:t>
          </a:r>
          <a:r>
            <a:rPr lang="en-US" sz="1000" b="0" strike="noStrike" spc="-1">
              <a:latin typeface="Times New Roman"/>
            </a:rPr>
            <a:t>INSERT</a:t>
          </a: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更新の場合、</a:t>
          </a:r>
          <a:r>
            <a:rPr lang="en-US" sz="1000" b="0" strike="noStrike" spc="-1">
              <a:latin typeface="Times New Roman"/>
            </a:rPr>
            <a:t>UPDATE</a:t>
          </a: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削除の場合、</a:t>
          </a:r>
          <a:r>
            <a:rPr lang="en-US" sz="1000" b="0" strike="noStrike" spc="-1">
              <a:latin typeface="Times New Roman"/>
            </a:rPr>
            <a:t>DELETE</a:t>
          </a:r>
        </a:p>
      </xdr:txBody>
    </xdr:sp>
    <xdr:clientData/>
  </xdr:twoCellAnchor>
  <xdr:twoCellAnchor editAs="absolute">
    <xdr:from>
      <xdr:col>5</xdr:col>
      <xdr:colOff>130590</xdr:colOff>
      <xdr:row>2</xdr:row>
      <xdr:rowOff>17835</xdr:rowOff>
    </xdr:from>
    <xdr:to>
      <xdr:col>14</xdr:col>
      <xdr:colOff>95550</xdr:colOff>
      <xdr:row>4</xdr:row>
      <xdr:rowOff>132105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109520" y="370080"/>
          <a:ext cx="1763280" cy="45720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92053"/>
            <a:gd name="adj6" fmla="val -21718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API</a:t>
          </a:r>
          <a:r>
            <a:rPr lang="ja-JP" sz="1000" b="0" strike="noStrike" spc="-1">
              <a:latin typeface="Times New Roman"/>
            </a:rPr>
            <a:t>仕様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処理概要を記載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34</xdr:col>
      <xdr:colOff>188535</xdr:colOff>
      <xdr:row>3</xdr:row>
      <xdr:rowOff>78420</xdr:rowOff>
    </xdr:from>
    <xdr:to>
      <xdr:col>53</xdr:col>
      <xdr:colOff>182880</xdr:colOff>
      <xdr:row>19</xdr:row>
      <xdr:rowOff>106680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924615" y="581340"/>
          <a:ext cx="3758625" cy="2710500"/>
        </a:xfrm>
        <a:prstGeom prst="rect">
          <a:avLst/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・</a:t>
          </a:r>
          <a:r>
            <a:rPr lang="ja-JP" sz="1000" b="0" strike="noStrike" spc="-1">
              <a:latin typeface="Times New Roman"/>
            </a:rPr>
            <a:t>シート名は</a:t>
          </a:r>
          <a:r>
            <a:rPr lang="en-US" sz="1000" b="0" strike="noStrike" spc="-1">
              <a:latin typeface="Times New Roman"/>
            </a:rPr>
            <a:t>API</a:t>
          </a:r>
          <a:r>
            <a:rPr lang="ja-JP" sz="1000" b="0" strike="noStrike" spc="-1">
              <a:latin typeface="Times New Roman"/>
            </a:rPr>
            <a:t>名の論理名とすること</a:t>
          </a:r>
          <a:endParaRPr lang="en-US" altLang="ja-JP" sz="1000" b="0" strike="noStrike" spc="-1">
            <a:latin typeface="Times New Roman"/>
          </a:endParaRPr>
        </a:p>
        <a:p>
          <a:endParaRPr lang="en-US" altLang="ja-JP" sz="1100" b="0"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effectLst/>
              <a:latin typeface="+mn-lt"/>
              <a:ea typeface="+mn-ea"/>
              <a:cs typeface="+mn-cs"/>
            </a:rPr>
            <a:t>・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SELECT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の場合の書き方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100" b="0"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下記の欄を記載すること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仕様（概要）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の種類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入力パラメータ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メソッドへの引数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)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出力パラメータ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抽出テーブル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/</a:t>
          </a:r>
          <a:r>
            <a:rPr lang="ja-JP" altLang="en-US" sz="1100" b="0">
              <a:effectLst/>
              <a:latin typeface="+mn-lt"/>
              <a:ea typeface="+mn-ea"/>
              <a:cs typeface="+mn-cs"/>
            </a:rPr>
            <a:t>副問い合わせ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結合を必要とする場合のみ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)</a:t>
          </a:r>
          <a:endParaRPr lang="ja-JP" altLang="ja-JP" sz="1000">
            <a:effectLst/>
          </a:endParaRPr>
        </a:p>
        <a:p>
          <a:r>
            <a:rPr lang="ja-JP" altLang="ja-JP" sz="1100" b="0">
              <a:effectLst/>
              <a:latin typeface="+mn-lt"/>
              <a:ea typeface="+mn-ea"/>
              <a:cs typeface="+mn-cs"/>
            </a:rPr>
            <a:t>　　抽出条件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(WHERE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を必要とする場合のみ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effectLst/>
              <a:latin typeface="+mn-lt"/>
              <a:ea typeface="+mn-ea"/>
              <a:cs typeface="+mn-cs"/>
            </a:rPr>
            <a:t>　　ソート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必要とする場合のみ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)</a:t>
          </a:r>
          <a:endParaRPr lang="ja-JP" altLang="ja-JP" sz="1000">
            <a:effectLst/>
          </a:endParaRPr>
        </a:p>
        <a:p>
          <a:endParaRPr lang="ja-JP" altLang="ja-JP" sz="1000">
            <a:effectLst/>
          </a:endParaRPr>
        </a:p>
        <a:p>
          <a:pPr>
            <a:lnSpc>
              <a:spcPct val="100000"/>
            </a:lnSpc>
          </a:pP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55</xdr:col>
      <xdr:colOff>43814</xdr:colOff>
      <xdr:row>8</xdr:row>
      <xdr:rowOff>112391</xdr:rowOff>
    </xdr:from>
    <xdr:to>
      <xdr:col>75</xdr:col>
      <xdr:colOff>160019</xdr:colOff>
      <xdr:row>61</xdr:row>
      <xdr:rowOff>60960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E5327EA8-76B2-4CDD-A17D-2A16865E590B}"/>
            </a:ext>
          </a:extLst>
        </xdr:cNvPr>
        <xdr:cNvSpPr/>
      </xdr:nvSpPr>
      <xdr:spPr>
        <a:xfrm>
          <a:off x="10940414" y="1453511"/>
          <a:ext cx="4078605" cy="1086802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この</a:t>
          </a:r>
          <a:r>
            <a:rPr lang="en-US" altLang="ja-JP" sz="1000" b="0" strike="noStrike" spc="-1">
              <a:latin typeface="Times New Roman"/>
            </a:rPr>
            <a:t>API</a:t>
          </a:r>
          <a:r>
            <a:rPr lang="ja-JP" altLang="en-US" sz="1000" b="0" strike="noStrike" spc="-1">
              <a:latin typeface="Times New Roman"/>
            </a:rPr>
            <a:t>設計を</a:t>
          </a:r>
          <a:r>
            <a:rPr lang="en-US" altLang="ja-JP" sz="1000" b="0" strike="noStrike" spc="-1">
              <a:latin typeface="Times New Roman"/>
            </a:rPr>
            <a:t>SQL</a:t>
          </a:r>
          <a:r>
            <a:rPr lang="ja-JP" altLang="en-US" sz="1000" b="0" strike="noStrike" spc="-1">
              <a:latin typeface="Times New Roman"/>
            </a:rPr>
            <a:t>に置き換えると以下となる。</a:t>
          </a:r>
          <a:endParaRPr lang="en-US" altLang="ja-JP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　</a:t>
          </a:r>
          <a:r>
            <a:rPr lang="en-US" altLang="ja-JP" sz="1000" b="0" strike="noStrike" spc="-1">
              <a:latin typeface="Times New Roman"/>
            </a:rPr>
            <a:t>API</a:t>
          </a:r>
          <a:r>
            <a:rPr lang="ja-JP" altLang="en-US" sz="1000" b="0" strike="noStrike" spc="-1">
              <a:latin typeface="Times New Roman"/>
            </a:rPr>
            <a:t>に修正が入る場合、どの項目に何を加えるべきかを</a:t>
          </a:r>
          <a:endParaRPr lang="en-US" altLang="ja-JP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　理解すること。</a:t>
          </a:r>
          <a:endParaRPr lang="en-US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　（</a:t>
          </a:r>
          <a:r>
            <a:rPr lang="en-US" sz="1000" b="0" strike="noStrike" spc="-1">
              <a:latin typeface="Times New Roman"/>
            </a:rPr>
            <a:t>#{</a:t>
          </a:r>
          <a:r>
            <a:rPr lang="ja-JP" altLang="en-US" sz="1000" b="0" strike="noStrike" spc="-1">
              <a:latin typeface="Times New Roman"/>
            </a:rPr>
            <a:t>○○</a:t>
          </a:r>
          <a:r>
            <a:rPr lang="en-US" sz="1000" b="0" strike="noStrike" spc="-1">
              <a:latin typeface="Times New Roman"/>
            </a:rPr>
            <a:t>}</a:t>
          </a:r>
          <a:r>
            <a:rPr lang="ja-JP" altLang="en-US" sz="1000" b="0" strike="noStrike" spc="-1">
              <a:latin typeface="Times New Roman"/>
            </a:rPr>
            <a:t>は入力パラメータを表す）</a:t>
          </a:r>
          <a:endParaRPr lang="en-US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endParaRPr lang="en-US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▼</a:t>
          </a:r>
          <a:r>
            <a:rPr lang="en-US" altLang="ja-JP" sz="1000" b="0" strike="noStrike" spc="-1">
              <a:latin typeface="Times New Roman"/>
            </a:rPr>
            <a:t>Mapper</a:t>
          </a:r>
        </a:p>
        <a:p>
          <a:pPr lvl="1">
            <a:lnSpc>
              <a:spcPct val="100000"/>
            </a:lnSpc>
          </a:pPr>
          <a:r>
            <a:rPr lang="ja-JP" altLang="en-US" sz="900" b="0" strike="noStrike" spc="-1">
              <a:latin typeface="Times New Roman"/>
            </a:rPr>
            <a:t>↓出力クラス</a:t>
          </a:r>
          <a:r>
            <a:rPr lang="ja-JP" altLang="en-US" sz="900" b="0" strike="noStrike" spc="-1" baseline="0">
              <a:latin typeface="Times New Roman"/>
            </a:rPr>
            <a:t> </a:t>
          </a:r>
          <a:r>
            <a:rPr lang="en-US" altLang="ja-JP" sz="900" b="0" strike="noStrike" spc="-1" baseline="0">
              <a:latin typeface="Times New Roman"/>
            </a:rPr>
            <a:t>API</a:t>
          </a:r>
          <a:r>
            <a:rPr lang="ja-JP" altLang="en-US" sz="900" b="0" strike="noStrike" spc="-1" baseline="0">
              <a:latin typeface="Times New Roman"/>
            </a:rPr>
            <a:t>物理名</a:t>
          </a:r>
          <a:r>
            <a:rPr lang="en-US" altLang="ja-JP" sz="900" b="0" strike="noStrike" spc="-1" baseline="0">
              <a:latin typeface="Times New Roman"/>
            </a:rPr>
            <a:t>(</a:t>
          </a:r>
          <a:r>
            <a:rPr lang="ja-JP" altLang="en-US" sz="900" b="0" strike="noStrike" spc="-1" baseline="0">
              <a:latin typeface="Times New Roman"/>
            </a:rPr>
            <a:t>パラメータ</a:t>
          </a:r>
          <a:r>
            <a:rPr lang="en-US" altLang="ja-JP" sz="900" b="0" strike="noStrike" spc="-1" baseline="0">
              <a:latin typeface="Times New Roman"/>
            </a:rPr>
            <a:t>)</a:t>
          </a:r>
          <a:endParaRPr lang="en-US" altLang="ja-JP" sz="900" b="0" strike="noStrike" spc="-1">
            <a:latin typeface="Times New Roman"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LoginUser getLoginDetailByLoginIdAndPassword</a:t>
          </a:r>
          <a:endParaRPr lang="ja-JP" altLang="ja-JP">
            <a:effectLst/>
          </a:endParaRPr>
        </a:p>
        <a:p>
          <a:r>
            <a:rPr lang="ja-JP" altLang="ja-JP" sz="1100">
              <a:effectLst/>
              <a:latin typeface="+mn-lt"/>
              <a:ea typeface="+mn-ea"/>
              <a:cs typeface="+mn-cs"/>
            </a:rPr>
            <a:t>　　　　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(@Param("loginId") String loginId, @Param("password") </a:t>
          </a:r>
        </a:p>
        <a:p>
          <a:pPr lvl="2"/>
          <a:r>
            <a:rPr lang="en-US" altLang="ja-JP" sz="1100" b="0">
              <a:effectLst/>
              <a:latin typeface="+mn-lt"/>
              <a:ea typeface="+mn-ea"/>
              <a:cs typeface="+mn-cs"/>
            </a:rPr>
            <a:t>String password,@Param("deleteFlg") short deleteFlg);</a:t>
          </a:r>
          <a:br>
            <a:rPr lang="en-US" altLang="ja-JP" sz="1000" b="0">
              <a:effectLst/>
              <a:latin typeface="+mn-lt"/>
              <a:ea typeface="+mn-ea"/>
              <a:cs typeface="+mn-cs"/>
            </a:rPr>
          </a:br>
          <a:endParaRPr lang="ja-JP" altLang="ja-JP">
            <a:effectLst/>
          </a:endParaRPr>
        </a:p>
        <a:p>
          <a:pPr lvl="1">
            <a:lnSpc>
              <a:spcPct val="100000"/>
            </a:lnSpc>
          </a:pPr>
          <a:endParaRPr lang="en-US" sz="1000" b="0" strike="noStrike" spc="-1">
            <a:latin typeface="Times New Roman"/>
          </a:endParaRPr>
        </a:p>
        <a:p>
          <a:pPr lvl="1"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▼</a:t>
          </a:r>
          <a:r>
            <a:rPr lang="en-US" altLang="ja-JP" sz="1000" b="0" strike="noStrike" spc="-1">
              <a:latin typeface="Times New Roman"/>
            </a:rPr>
            <a:t>SQL</a:t>
          </a:r>
          <a:endParaRPr lang="en-US" sz="1000" b="0" strike="noStrike" spc="-1">
            <a:latin typeface="Times New Roman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SELECT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--</a:t>
          </a:r>
          <a:r>
            <a:rPr lang="ja-JP" altLang="en-US" sz="1100">
              <a:latin typeface="+mn-lt"/>
              <a:ea typeface="+mn-ea"/>
              <a:cs typeface="+mn-cs"/>
            </a:rPr>
            <a:t>↓出力パラメータ</a:t>
          </a:r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t1.account_id,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t1.user_id,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t1.lms_user_id,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t1.role,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effectLst/>
              <a:latin typeface="+mn-lt"/>
              <a:ea typeface="+mn-ea"/>
              <a:cs typeface="+mn-cs"/>
            </a:rPr>
            <a:t>t2.user_name,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t2.security_agree_flg,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t2.password_change_date,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t2.mail_address,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t2.leave_flg,</a:t>
          </a:r>
          <a:endParaRPr lang="ja-JP" altLang="ja-JP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effectLst/>
              <a:latin typeface="+mn-lt"/>
              <a:ea typeface="+mn-ea"/>
              <a:cs typeface="+mn-cs"/>
            </a:rPr>
            <a:t>t2.leave_date,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t3.company_id,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t4.company_name,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effectLst/>
              <a:latin typeface="+mn-lt"/>
              <a:ea typeface="+mn-ea"/>
              <a:cs typeface="+mn-cs"/>
            </a:rPr>
            <a:t>t4.file_share_flg</a:t>
          </a:r>
          <a:endParaRPr lang="ja-JP" altLang="ja-JP">
            <a:effectLst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t5.place_id,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t6.place_name,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t6.hidden_flg,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effectLst/>
              <a:latin typeface="+mn-lt"/>
              <a:ea typeface="+mn-ea"/>
              <a:cs typeface="+mn-cs"/>
            </a:rPr>
            <a:t>t6.support_available,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t7.course_id,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t8.course_name,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--</a:t>
          </a:r>
          <a:r>
            <a:rPr lang="ja-JP" altLang="en-US" sz="1100">
              <a:latin typeface="+mn-lt"/>
              <a:ea typeface="+mn-ea"/>
              <a:cs typeface="+mn-cs"/>
            </a:rPr>
            <a:t>↓抽出テーブル・結合条件</a:t>
          </a:r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FROM m_lms_user t1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INNER JOIN m_user t2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t1.user_id = t2.user_id AND t2.delete_flg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t_user_company t3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t1.lms_user_id = t3.lms_user_id AND t3.delete_flg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m_company t4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t3.company_id = t4.company_id  AND t4.delete_flg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t_user_place t5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t1.lms_user_id = t5.lms_user_id AND t5.delete_flg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m_place t6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t5.place_id = t6.place_id AND t6.delete_flg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t_course_user t7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t1.lms_user_id = t7.lms_user_id AND t7.delete_flg = #{deleteFlg}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LEFT OUTER JOIN m_course t8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ON t8.course_id = t7.course_id AND t8.delete_flg = #{deleteFlg}</a:t>
          </a:r>
        </a:p>
        <a:p>
          <a:pPr lvl="1"/>
          <a:endParaRPr lang="en-US" sz="1100" b="0" strike="noStrike" spc="-1">
            <a:latin typeface="+mn-lt"/>
            <a:ea typeface="+mn-ea"/>
            <a:cs typeface="+mn-cs"/>
          </a:endParaRPr>
        </a:p>
        <a:p>
          <a:pPr lvl="1"/>
          <a:r>
            <a:rPr lang="en-US" altLang="ja-JP" sz="1100" b="0" strike="noStrike" spc="-1">
              <a:latin typeface="+mn-lt"/>
              <a:ea typeface="+mn-ea"/>
              <a:cs typeface="+mn-cs"/>
            </a:rPr>
            <a:t>--</a:t>
          </a:r>
          <a:r>
            <a:rPr lang="ja-JP" altLang="en-US" sz="1100" b="0" strike="noStrike" spc="-1">
              <a:latin typeface="+mn-lt"/>
              <a:ea typeface="+mn-ea"/>
              <a:cs typeface="+mn-cs"/>
            </a:rPr>
            <a:t>↓抽出条件</a:t>
          </a:r>
          <a:endParaRPr lang="en-US" sz="1100" b="0" strike="noStrike" spc="-1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WHERE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 t2.login_id = #{loginId} 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AND t2.password = #{password} 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AND</a:t>
          </a:r>
          <a:r>
            <a:rPr lang="ja-JP" altLang="en-US" sz="1100" baseline="0"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latin typeface="+mn-lt"/>
              <a:ea typeface="+mn-ea"/>
              <a:cs typeface="+mn-cs"/>
            </a:rPr>
            <a:t>t1.delete_flg = #{deleteFlg}</a:t>
          </a:r>
        </a:p>
        <a:p>
          <a:endParaRPr lang="en-US" sz="1100" b="0" strike="noStrike" spc="-1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18</xdr:col>
      <xdr:colOff>114300</xdr:colOff>
      <xdr:row>15</xdr:row>
      <xdr:rowOff>30480</xdr:rowOff>
    </xdr:from>
    <xdr:to>
      <xdr:col>31</xdr:col>
      <xdr:colOff>91440</xdr:colOff>
      <xdr:row>19</xdr:row>
      <xdr:rowOff>121920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4152EF98-E9C0-495F-9796-7D16043EC711}"/>
            </a:ext>
          </a:extLst>
        </xdr:cNvPr>
        <xdr:cNvSpPr/>
      </xdr:nvSpPr>
      <xdr:spPr>
        <a:xfrm>
          <a:off x="3680460" y="2545080"/>
          <a:ext cx="2552700" cy="76200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39709"/>
            <a:gd name="adj6" fmla="val -75265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出力パラメータクラス</a:t>
          </a:r>
          <a:endParaRPr lang="en-US" altLang="ja-JP" sz="1000" b="0" strike="noStrike" spc="-1">
            <a:latin typeface="Times New Roman"/>
          </a:endParaRPr>
        </a:p>
        <a:p>
          <a:r>
            <a:rPr lang="en-US" altLang="ja-JP" sz="1000" b="0" strike="noStrike" spc="-1">
              <a:latin typeface="Times New Roman"/>
            </a:rPr>
            <a:t>DB</a:t>
          </a:r>
          <a:r>
            <a:rPr lang="ja-JP" altLang="en-US" sz="1000" b="0" strike="noStrike" spc="-1">
              <a:latin typeface="Times New Roman"/>
            </a:rPr>
            <a:t>から取得</a:t>
          </a:r>
          <a:r>
            <a:rPr lang="en-US" altLang="ja-JP" sz="1000" b="0" strike="noStrike" spc="-1">
              <a:latin typeface="Times New Roman"/>
            </a:rPr>
            <a:t>(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SELECT</a:t>
          </a:r>
          <a:r>
            <a:rPr lang="en-US" altLang="ja-JP" sz="1000" b="0" strike="noStrike" spc="-1">
              <a:latin typeface="Times New Roman"/>
            </a:rPr>
            <a:t>)</a:t>
          </a:r>
          <a:r>
            <a:rPr lang="ja-JP" altLang="en-US" sz="1000" b="0" strike="noStrike" spc="-1">
              <a:latin typeface="Times New Roman"/>
            </a:rPr>
            <a:t>する場合は、</a:t>
          </a:r>
          <a:endParaRPr lang="en-US" altLang="ja-JP" sz="1000" b="0" strike="noStrike" spc="-1">
            <a:latin typeface="Times New Roman"/>
          </a:endParaRPr>
        </a:p>
        <a:p>
          <a:r>
            <a:rPr lang="en-US" altLang="ja-JP" sz="1100" b="0" i="0">
              <a:effectLst/>
              <a:latin typeface="+mn-lt"/>
              <a:ea typeface="+mn-ea"/>
              <a:cs typeface="+mn-cs"/>
            </a:rPr>
            <a:t>OR</a:t>
          </a:r>
          <a:r>
            <a:rPr lang="ja-JP" altLang="en-US" sz="1100" b="0" i="0">
              <a:effectLst/>
              <a:latin typeface="+mn-lt"/>
              <a:ea typeface="+mn-ea"/>
              <a:cs typeface="+mn-cs"/>
            </a:rPr>
            <a:t>マッピング用のクラスを記載</a:t>
          </a:r>
          <a:br>
            <a:rPr lang="en-US" altLang="ja-JP" sz="1000" b="0" strike="noStrike" spc="-1">
              <a:latin typeface="Times New Roman"/>
            </a:rPr>
          </a:br>
          <a:endParaRPr lang="en-US" altLang="ja-JP" sz="1000" b="0" strike="noStrike" spc="-1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79560</xdr:colOff>
      <xdr:row>17</xdr:row>
      <xdr:rowOff>108000</xdr:rowOff>
    </xdr:from>
    <xdr:to>
      <xdr:col>56</xdr:col>
      <xdr:colOff>46440</xdr:colOff>
      <xdr:row>23</xdr:row>
      <xdr:rowOff>167760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617520" y="2969280"/>
          <a:ext cx="4523400" cy="106560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24957"/>
            <a:gd name="adj6" fmla="val -14157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本シートのように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出力パラメータ、抽出テーブル、ソート、副問い合わせ、更新対象項目名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については、別シート参照の旨、省略可能。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その場合、セル背景を黄色とすること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38880</xdr:colOff>
      <xdr:row>3</xdr:row>
      <xdr:rowOff>20370</xdr:rowOff>
    </xdr:from>
    <xdr:to>
      <xdr:col>54</xdr:col>
      <xdr:colOff>155520</xdr:colOff>
      <xdr:row>13</xdr:row>
      <xdr:rowOff>142875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7839855" y="534720"/>
          <a:ext cx="3117015" cy="1941780"/>
        </a:xfrm>
        <a:prstGeom prst="rect">
          <a:avLst/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：</a:t>
          </a:r>
          <a:r>
            <a:rPr lang="en-US" sz="1000" b="0" strike="noStrike" spc="-1">
              <a:latin typeface="Times New Roman"/>
            </a:rPr>
            <a:t>INSERT</a:t>
          </a:r>
          <a:r>
            <a:rPr lang="ja-JP" sz="1000" b="0" strike="noStrike" spc="-1">
              <a:latin typeface="Times New Roman"/>
            </a:rPr>
            <a:t>の場合の書き方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下記の欄を記載すること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API</a:t>
          </a:r>
          <a:r>
            <a:rPr lang="ja-JP" sz="1000" b="0" strike="noStrike" spc="-1">
              <a:latin typeface="Times New Roman"/>
            </a:rPr>
            <a:t>仕様（概要）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の種類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入力パラメータ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出力パラメータ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抽出テーブル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55</xdr:col>
      <xdr:colOff>0</xdr:colOff>
      <xdr:row>4</xdr:row>
      <xdr:rowOff>0</xdr:rowOff>
    </xdr:from>
    <xdr:to>
      <xdr:col>76</xdr:col>
      <xdr:colOff>137160</xdr:colOff>
      <xdr:row>35</xdr:row>
      <xdr:rowOff>167640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621A783D-D07F-4964-8715-5C35043C6F05}"/>
            </a:ext>
          </a:extLst>
        </xdr:cNvPr>
        <xdr:cNvSpPr/>
      </xdr:nvSpPr>
      <xdr:spPr>
        <a:xfrm>
          <a:off x="10896600" y="670560"/>
          <a:ext cx="4297680" cy="5715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この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設計を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に置き換えると以下となる。</a:t>
          </a:r>
          <a:endParaRPr lang="ja-JP" altLang="ja-JP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　（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#{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○○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}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は入力パラメータを表す）</a:t>
          </a:r>
          <a:endParaRPr lang="ja-JP" altLang="ja-JP">
            <a:effectLst/>
          </a:endParaRPr>
        </a:p>
        <a:p>
          <a:pPr lvl="1"/>
          <a:r>
            <a:rPr lang="ja-JP" altLang="ja-JP" sz="110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Mapper</a:t>
          </a:r>
          <a:endParaRPr lang="ja-JP" altLang="ja-JP">
            <a:effectLst/>
          </a:endParaRPr>
        </a:p>
        <a:p>
          <a:pPr lvl="1"/>
          <a:r>
            <a:rPr lang="ja-JP" altLang="ja-JP" sz="900" b="0">
              <a:effectLst/>
              <a:latin typeface="+mn-lt"/>
              <a:ea typeface="+mn-ea"/>
              <a:cs typeface="+mn-cs"/>
            </a:rPr>
            <a:t>↓出力クラス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物理名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900" b="0">
              <a:effectLst/>
              <a:latin typeface="+mn-lt"/>
              <a:ea typeface="+mn-ea"/>
              <a:cs typeface="+mn-cs"/>
            </a:rPr>
            <a:t>入力パラメータ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)</a:t>
          </a:r>
          <a:endParaRPr lang="ja-JP" altLang="ja-JP" sz="900">
            <a:effectLst/>
          </a:endParaRPr>
        </a:p>
        <a:p>
          <a:pPr lvl="1"/>
          <a:r>
            <a:rPr lang="en-US" altLang="ja-JP" sz="1100" b="0">
              <a:latin typeface="+mn-lt"/>
              <a:ea typeface="+mn-ea"/>
              <a:cs typeface="+mn-cs"/>
            </a:rPr>
            <a:t>boolean insert(TTemporaryPassStorage tTemporaryPassStorage);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0">
            <a:effectLst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INSERT INTO</a:t>
          </a:r>
          <a:endParaRPr lang="ja-JP" altLang="ja-JP">
            <a:effectLst/>
          </a:endParaRP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 b="0">
              <a:effectLst/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↓抽出テーブル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t_temporary_pass_storage (</a:t>
          </a:r>
          <a:endParaRPr lang="ja-JP" altLang="ja-JP">
            <a:effectLst/>
          </a:endParaRP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 b="0">
              <a:effectLst/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↓カラムを指定しデータを追加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user_id,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change_key,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time_limit,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delete_flg,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first_create_user,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first_create_date,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last_modified_user,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last_modified_date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) VALUES (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#{userId},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#{changeKey},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#{timeLimit},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#{deleteFlg},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#{firstCreateUser},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#{firstCreateDate},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#{lastModifiedUser},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#{lastModifiedDate}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)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21</xdr:col>
      <xdr:colOff>114300</xdr:colOff>
      <xdr:row>11</xdr:row>
      <xdr:rowOff>91440</xdr:rowOff>
    </xdr:from>
    <xdr:to>
      <xdr:col>35</xdr:col>
      <xdr:colOff>45720</xdr:colOff>
      <xdr:row>18</xdr:row>
      <xdr:rowOff>151320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A2CDDD9A-2DAE-44A6-A760-BE8B039052EF}"/>
            </a:ext>
          </a:extLst>
        </xdr:cNvPr>
        <xdr:cNvSpPr/>
      </xdr:nvSpPr>
      <xdr:spPr>
        <a:xfrm>
          <a:off x="4274820" y="1935480"/>
          <a:ext cx="2705100" cy="1340040"/>
        </a:xfrm>
        <a:prstGeom prst="borderCallout2">
          <a:avLst>
            <a:gd name="adj1" fmla="val 18750"/>
            <a:gd name="adj2" fmla="val -8333"/>
            <a:gd name="adj3" fmla="val 17837"/>
            <a:gd name="adj4" fmla="val -5796"/>
            <a:gd name="adj5" fmla="val 57181"/>
            <a:gd name="adj6" fmla="val -86230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出力パラメータクラス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altLang="ja-JP" sz="1000" b="0" strike="noStrike" spc="-1">
              <a:latin typeface="Times New Roman"/>
            </a:rPr>
            <a:t>DB</a:t>
          </a:r>
          <a:r>
            <a:rPr lang="ja-JP" altLang="en-US" sz="1000" b="0" strike="noStrike" spc="-1">
              <a:latin typeface="Times New Roman"/>
            </a:rPr>
            <a:t>への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登録</a:t>
          </a:r>
          <a:r>
            <a:rPr lang="en-US" altLang="ja-JP" sz="1000" b="0" strike="noStrike" spc="-1">
              <a:latin typeface="Times New Roman"/>
            </a:rPr>
            <a:t>(</a:t>
          </a:r>
          <a:r>
            <a:rPr lang="en-US" sz="1000" b="0" strike="noStrike" spc="-1">
              <a:latin typeface="Times New Roman"/>
            </a:rPr>
            <a:t>INSERT)</a:t>
          </a:r>
          <a:r>
            <a:rPr lang="ja-JP" altLang="en-US" sz="1000" b="0" strike="noStrike" spc="-1">
              <a:latin typeface="Times New Roman"/>
            </a:rPr>
            <a:t>、更新</a:t>
          </a:r>
          <a:r>
            <a:rPr lang="en-US" altLang="ja-JP" sz="1000" b="0" strike="noStrike" spc="-1">
              <a:latin typeface="Times New Roman"/>
            </a:rPr>
            <a:t>(</a:t>
          </a:r>
          <a:r>
            <a:rPr lang="en-US" sz="1000" b="0" strike="noStrike" spc="-1">
              <a:latin typeface="Times New Roman"/>
            </a:rPr>
            <a:t>UPDATE)</a:t>
          </a:r>
          <a:r>
            <a:rPr lang="ja-JP" altLang="en-US" sz="1000" b="0" strike="noStrike" spc="-1">
              <a:latin typeface="Times New Roman"/>
            </a:rPr>
            <a:t>、削除</a:t>
          </a:r>
          <a:r>
            <a:rPr lang="en-US" altLang="ja-JP" sz="1000" b="0" strike="noStrike" spc="-1">
              <a:latin typeface="Times New Roman"/>
            </a:rPr>
            <a:t>(</a:t>
          </a:r>
          <a:r>
            <a:rPr lang="en-US" sz="1000" b="0" strike="noStrike" spc="-1">
              <a:latin typeface="Times New Roman"/>
            </a:rPr>
            <a:t>DELETE)</a:t>
          </a: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の場合は</a:t>
          </a:r>
          <a:r>
            <a:rPr lang="en-US" altLang="ja-JP" sz="1000" b="0" strike="noStrike" spc="-1">
              <a:latin typeface="Times New Roman"/>
            </a:rPr>
            <a:t>DB</a:t>
          </a:r>
          <a:r>
            <a:rPr lang="ja-JP" altLang="en-US" sz="1000" b="0" strike="noStrike" spc="-1">
              <a:latin typeface="Times New Roman"/>
            </a:rPr>
            <a:t>操作出来たか出来ていないかの</a:t>
          </a:r>
          <a:endParaRPr lang="en-US" altLang="ja-JP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altLang="en-US" sz="1000" b="0" strike="noStrike" spc="-1">
              <a:latin typeface="Times New Roman"/>
            </a:rPr>
            <a:t>結果が返るので</a:t>
          </a:r>
          <a:r>
            <a:rPr lang="en-US" altLang="ja-JP" sz="1000" b="0" strike="noStrike" spc="-1">
              <a:latin typeface="Times New Roman"/>
            </a:rPr>
            <a:t>boolean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54870</xdr:colOff>
      <xdr:row>3</xdr:row>
      <xdr:rowOff>18210</xdr:rowOff>
    </xdr:from>
    <xdr:to>
      <xdr:col>54</xdr:col>
      <xdr:colOff>171510</xdr:colOff>
      <xdr:row>17</xdr:row>
      <xdr:rowOff>85725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7855845" y="532560"/>
          <a:ext cx="3117015" cy="2572590"/>
        </a:xfrm>
        <a:prstGeom prst="borderCallout2">
          <a:avLst>
            <a:gd name="adj1" fmla="val -3276"/>
            <a:gd name="adj2" fmla="val -8070"/>
            <a:gd name="adj3" fmla="val -766"/>
            <a:gd name="adj4" fmla="val -6009"/>
            <a:gd name="adj5" fmla="val -4496"/>
            <a:gd name="adj6" fmla="val -4973"/>
          </a:avLst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：</a:t>
          </a:r>
          <a:r>
            <a:rPr lang="en-US" sz="1000" b="0" strike="noStrike" spc="-1">
              <a:latin typeface="Times New Roman"/>
            </a:rPr>
            <a:t>UPDATE(</a:t>
          </a:r>
          <a:r>
            <a:rPr lang="ja-JP" sz="1000" b="0" strike="noStrike" spc="-1">
              <a:latin typeface="Times New Roman"/>
            </a:rPr>
            <a:t>更新</a:t>
          </a:r>
          <a:r>
            <a:rPr lang="en-US" sz="1000" b="0" strike="noStrike" spc="-1">
              <a:latin typeface="Times New Roman"/>
            </a:rPr>
            <a:t>)</a:t>
          </a:r>
          <a:r>
            <a:rPr lang="ja-JP" sz="1000" b="0" strike="noStrike" spc="-1">
              <a:latin typeface="Times New Roman"/>
            </a:rPr>
            <a:t>の場合の書き方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下記の欄を記載すること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API</a:t>
          </a:r>
          <a:r>
            <a:rPr lang="ja-JP" sz="1000" b="0" strike="noStrike" spc="-1">
              <a:latin typeface="Times New Roman"/>
            </a:rPr>
            <a:t>仕様（概要）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の種類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入力パラメータ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出力パラメータ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抽出テーブル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抽出条件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更新対象項目名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55</xdr:col>
      <xdr:colOff>197744</xdr:colOff>
      <xdr:row>3</xdr:row>
      <xdr:rowOff>166800</xdr:rowOff>
    </xdr:from>
    <xdr:to>
      <xdr:col>77</xdr:col>
      <xdr:colOff>167640</xdr:colOff>
      <xdr:row>32</xdr:row>
      <xdr:rowOff>91440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B1D20923-85E6-4EC8-95A4-D8D116836B4E}"/>
            </a:ext>
          </a:extLst>
        </xdr:cNvPr>
        <xdr:cNvSpPr/>
      </xdr:nvSpPr>
      <xdr:spPr>
        <a:xfrm>
          <a:off x="11094344" y="669720"/>
          <a:ext cx="4328536" cy="48928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この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設計を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に置き換えると以下となる。</a:t>
          </a:r>
          <a:endParaRPr lang="ja-JP" altLang="ja-JP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　（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#{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○○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}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は入力パラメータを表す）</a:t>
          </a:r>
          <a:endParaRPr lang="ja-JP" altLang="ja-JP">
            <a:effectLst/>
          </a:endParaRPr>
        </a:p>
        <a:p>
          <a:pPr lvl="1"/>
          <a:r>
            <a:rPr lang="ja-JP" altLang="ja-JP" sz="110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Mapper</a:t>
          </a:r>
          <a:endParaRPr lang="ja-JP" altLang="ja-JP">
            <a:effectLst/>
          </a:endParaRPr>
        </a:p>
        <a:p>
          <a:pPr lvl="1"/>
          <a:r>
            <a:rPr lang="ja-JP" altLang="ja-JP" sz="900" b="0">
              <a:effectLst/>
              <a:latin typeface="+mn-lt"/>
              <a:ea typeface="+mn-ea"/>
              <a:cs typeface="+mn-cs"/>
            </a:rPr>
            <a:t>↓出力クラス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物理名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900" b="0">
              <a:effectLst/>
              <a:latin typeface="+mn-lt"/>
              <a:ea typeface="+mn-ea"/>
              <a:cs typeface="+mn-cs"/>
            </a:rPr>
            <a:t>入力パラメータ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)</a:t>
          </a:r>
          <a:endParaRPr lang="ja-JP" altLang="ja-JP" sz="900">
            <a:effectLst/>
          </a:endParaRPr>
        </a:p>
        <a:p>
          <a:pPr lvl="1"/>
          <a:r>
            <a:rPr lang="en-US" altLang="ja-JP" sz="1100" b="0">
              <a:latin typeface="+mn-lt"/>
              <a:ea typeface="+mn-ea"/>
              <a:cs typeface="+mn-cs"/>
            </a:rPr>
            <a:t>boolean update(TTemporaryPassStorage tTemporaryPassStorage);</a:t>
          </a:r>
          <a:br>
            <a:rPr lang="en-US" altLang="ja-JP" sz="1100" b="1">
              <a:latin typeface="+mn-lt"/>
              <a:ea typeface="+mn-ea"/>
              <a:cs typeface="+mn-cs"/>
            </a:rPr>
          </a:br>
          <a:endParaRPr lang="en-US" altLang="ja-JP" sz="1100" b="1">
            <a:latin typeface="+mn-lt"/>
            <a:ea typeface="+mn-ea"/>
            <a:cs typeface="+mn-cs"/>
          </a:endParaRPr>
        </a:p>
        <a:p>
          <a:pPr lvl="1"/>
          <a:r>
            <a:rPr lang="ja-JP" altLang="ja-JP" sz="110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UPDATE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900"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↓抽出テーブル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 t_temporary_pass_storage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900">
              <a:effectLst/>
              <a:latin typeface="+mn-lt"/>
              <a:ea typeface="+mn-ea"/>
              <a:cs typeface="+mn-cs"/>
            </a:rPr>
            <a:t>--</a:t>
          </a:r>
          <a:r>
            <a:rPr lang="ja-JP" altLang="ja-JP" sz="900">
              <a:effectLst/>
              <a:latin typeface="+mn-lt"/>
              <a:ea typeface="+mn-ea"/>
              <a:cs typeface="+mn-cs"/>
            </a:rPr>
            <a:t>↓</a:t>
          </a:r>
          <a:r>
            <a:rPr lang="ja-JP" altLang="en-US" sz="900">
              <a:effectLst/>
              <a:latin typeface="+mn-lt"/>
              <a:ea typeface="+mn-ea"/>
              <a:cs typeface="+mn-cs"/>
            </a:rPr>
            <a:t>更新対象項目名・取得元</a:t>
          </a:r>
          <a:endParaRPr lang="ja-JP" altLang="ja-JP" sz="900">
            <a:effectLst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SET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user_id = #{userId},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change_key = #{changeKey},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time_limit = #{timeLimit},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delete_flg = #{deleteFlg},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last_modified_user = #{lastModifiedUser},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last_modified_date = #{lastModifiedDate}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900"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↓抽出条件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WHERE 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temporary_pass_storage_id = #{temporaryPassStorageId}</a:t>
          </a: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 AND delete_flg = #{deleteFlg}</a:t>
          </a:r>
          <a:endParaRPr lang="en-US" sz="1000" b="0" strike="noStrike" spc="-1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57510</xdr:colOff>
      <xdr:row>3</xdr:row>
      <xdr:rowOff>1079</xdr:rowOff>
    </xdr:from>
    <xdr:to>
      <xdr:col>54</xdr:col>
      <xdr:colOff>168435</xdr:colOff>
      <xdr:row>14</xdr:row>
      <xdr:rowOff>137159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7858485" y="515429"/>
          <a:ext cx="3111300" cy="2126805"/>
        </a:xfrm>
        <a:prstGeom prst="rect">
          <a:avLst/>
        </a:prstGeom>
        <a:solidFill>
          <a:srgbClr val="FFE994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：</a:t>
          </a:r>
          <a:r>
            <a:rPr lang="en-US" sz="1000" b="0" strike="noStrike" spc="-1">
              <a:latin typeface="Times New Roman"/>
            </a:rPr>
            <a:t>UPDATE(</a:t>
          </a:r>
          <a:r>
            <a:rPr lang="ja-JP" sz="1000" b="0" strike="noStrike" spc="-1">
              <a:latin typeface="Times New Roman"/>
            </a:rPr>
            <a:t>論理削除</a:t>
          </a:r>
          <a:r>
            <a:rPr lang="en-US" sz="1000" b="0" strike="noStrike" spc="-1">
              <a:latin typeface="Times New Roman"/>
            </a:rPr>
            <a:t>)</a:t>
          </a:r>
          <a:r>
            <a:rPr lang="ja-JP" sz="1000" b="0" strike="noStrike" spc="-1">
              <a:latin typeface="Times New Roman"/>
            </a:rPr>
            <a:t>の場合の書き方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下記の欄を記載すること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API</a:t>
          </a:r>
          <a:r>
            <a:rPr lang="ja-JP" sz="1000" b="0" strike="noStrike" spc="-1">
              <a:latin typeface="Times New Roman"/>
            </a:rPr>
            <a:t>仕様（概要）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</a:t>
          </a:r>
          <a:r>
            <a:rPr lang="en-US" sz="1000" b="0" strike="noStrike" spc="-1">
              <a:latin typeface="Times New Roman"/>
            </a:rPr>
            <a:t>SQL</a:t>
          </a:r>
          <a:r>
            <a:rPr lang="ja-JP" sz="1000" b="0" strike="noStrike" spc="-1">
              <a:latin typeface="Times New Roman"/>
            </a:rPr>
            <a:t>の種類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入力パラメータ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出力パラメータ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抽出テーブル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抽出条件</a:t>
          </a:r>
          <a:endParaRPr lang="en-US" sz="10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ja-JP" sz="1000" b="0" strike="noStrike" spc="-1">
              <a:latin typeface="Times New Roman"/>
            </a:rPr>
            <a:t>　　更新対象項目名</a:t>
          </a:r>
          <a:endParaRPr lang="en-US" sz="1000" b="0" strike="noStrike" spc="-1">
            <a:latin typeface="Times New Roman"/>
          </a:endParaRPr>
        </a:p>
      </xdr:txBody>
    </xdr:sp>
    <xdr:clientData/>
  </xdr:twoCellAnchor>
  <xdr:twoCellAnchor editAs="absolute">
    <xdr:from>
      <xdr:col>55</xdr:col>
      <xdr:colOff>0</xdr:colOff>
      <xdr:row>5</xdr:row>
      <xdr:rowOff>37260</xdr:rowOff>
    </xdr:from>
    <xdr:to>
      <xdr:col>74</xdr:col>
      <xdr:colOff>91440</xdr:colOff>
      <xdr:row>31</xdr:row>
      <xdr:rowOff>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7E567C53-EA55-4E66-A6E5-B801533B1B34}"/>
            </a:ext>
          </a:extLst>
        </xdr:cNvPr>
        <xdr:cNvSpPr/>
      </xdr:nvSpPr>
      <xdr:spPr>
        <a:xfrm>
          <a:off x="10896600" y="875460"/>
          <a:ext cx="3855720" cy="44280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>
          <a:noAutofit/>
        </a:bodyPr>
        <a:lstStyle/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この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設計を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SQL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に置き換えると以下となる。</a:t>
          </a:r>
          <a:endParaRPr lang="ja-JP" altLang="ja-JP">
            <a:effectLst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effectLst/>
              <a:latin typeface="+mn-lt"/>
              <a:ea typeface="+mn-ea"/>
              <a:cs typeface="+mn-cs"/>
            </a:rPr>
            <a:t>　（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#{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○○</a:t>
          </a:r>
          <a:r>
            <a:rPr lang="en-US" altLang="ja-JP" sz="1100" b="0">
              <a:effectLst/>
              <a:latin typeface="+mn-lt"/>
              <a:ea typeface="+mn-ea"/>
              <a:cs typeface="+mn-cs"/>
            </a:rPr>
            <a:t>}</a:t>
          </a:r>
          <a:r>
            <a:rPr lang="ja-JP" altLang="ja-JP" sz="1100" b="0">
              <a:effectLst/>
              <a:latin typeface="+mn-lt"/>
              <a:ea typeface="+mn-ea"/>
              <a:cs typeface="+mn-cs"/>
            </a:rPr>
            <a:t>は入力パラメータを表す）</a:t>
          </a:r>
          <a:endParaRPr lang="ja-JP" altLang="ja-JP">
            <a:effectLst/>
          </a:endParaRPr>
        </a:p>
        <a:p>
          <a:pPr lvl="1"/>
          <a:r>
            <a:rPr lang="ja-JP" altLang="ja-JP" sz="105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050" b="0">
              <a:effectLst/>
              <a:latin typeface="+mn-lt"/>
              <a:ea typeface="+mn-ea"/>
              <a:cs typeface="+mn-cs"/>
            </a:rPr>
            <a:t>Mapper</a:t>
          </a:r>
          <a:endParaRPr lang="ja-JP" altLang="ja-JP" sz="1050">
            <a:effectLst/>
          </a:endParaRPr>
        </a:p>
        <a:p>
          <a:pPr lvl="1"/>
          <a:r>
            <a:rPr lang="ja-JP" altLang="ja-JP" sz="900" b="0">
              <a:effectLst/>
              <a:latin typeface="+mn-lt"/>
              <a:ea typeface="+mn-ea"/>
              <a:cs typeface="+mn-cs"/>
            </a:rPr>
            <a:t>↓出力クラス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API</a:t>
          </a:r>
          <a:r>
            <a:rPr lang="ja-JP" altLang="ja-JP" sz="900" b="0" baseline="0">
              <a:effectLst/>
              <a:latin typeface="+mn-lt"/>
              <a:ea typeface="+mn-ea"/>
              <a:cs typeface="+mn-cs"/>
            </a:rPr>
            <a:t>物理名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(</a:t>
          </a:r>
          <a:r>
            <a:rPr lang="ja-JP" altLang="ja-JP" sz="900" b="0">
              <a:effectLst/>
              <a:latin typeface="+mn-lt"/>
              <a:ea typeface="+mn-ea"/>
              <a:cs typeface="+mn-cs"/>
            </a:rPr>
            <a:t>入力パラメータ</a:t>
          </a:r>
          <a:r>
            <a:rPr lang="en-US" altLang="ja-JP" sz="900" b="0" baseline="0">
              <a:effectLst/>
              <a:latin typeface="+mn-lt"/>
              <a:ea typeface="+mn-ea"/>
              <a:cs typeface="+mn-cs"/>
            </a:rPr>
            <a:t>)</a:t>
          </a:r>
          <a:endParaRPr lang="ja-JP" altLang="ja-JP" sz="900">
            <a:effectLst/>
          </a:endParaRPr>
        </a:p>
        <a:p>
          <a:pPr lvl="1"/>
          <a:r>
            <a:rPr lang="en-US" altLang="ja-JP" sz="1050" b="0">
              <a:effectLst/>
              <a:latin typeface="+mn-lt"/>
              <a:ea typeface="+mn-ea"/>
              <a:cs typeface="+mn-cs"/>
            </a:rPr>
            <a:t>boolean update(TTemporaryPassStorage tTemporaryPassStorage);</a:t>
          </a:r>
          <a:br>
            <a:rPr lang="en-US" altLang="ja-JP" sz="1050" b="1">
              <a:effectLst/>
              <a:latin typeface="+mn-lt"/>
              <a:ea typeface="+mn-ea"/>
              <a:cs typeface="+mn-cs"/>
            </a:rPr>
          </a:br>
          <a:endParaRPr lang="ja-JP" altLang="ja-JP" sz="1050">
            <a:effectLst/>
          </a:endParaRPr>
        </a:p>
        <a:p>
          <a:pPr lvl="1"/>
          <a:r>
            <a:rPr lang="ja-JP" altLang="ja-JP" sz="1050" b="0">
              <a:effectLst/>
              <a:latin typeface="+mn-lt"/>
              <a:ea typeface="+mn-ea"/>
              <a:cs typeface="+mn-cs"/>
            </a:rPr>
            <a:t>▼</a:t>
          </a:r>
          <a:r>
            <a:rPr lang="en-US" altLang="ja-JP" sz="1050" b="0">
              <a:effectLst/>
              <a:latin typeface="+mn-lt"/>
              <a:ea typeface="+mn-ea"/>
              <a:cs typeface="+mn-cs"/>
            </a:rPr>
            <a:t>SQL</a:t>
          </a:r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UPDATE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900"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↓抽出テーブル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latin typeface="+mn-lt"/>
              <a:ea typeface="+mn-ea"/>
              <a:cs typeface="+mn-cs"/>
            </a:rPr>
            <a:t> UPDATE t_temporary_pass_storage</a:t>
          </a:r>
        </a:p>
        <a:p>
          <a:pPr lvl="1"/>
          <a:endParaRPr lang="en-US" altLang="ja-JP" sz="1100">
            <a:latin typeface="+mn-lt"/>
            <a:ea typeface="+mn-ea"/>
            <a:cs typeface="+mn-cs"/>
          </a:endParaRPr>
        </a:p>
        <a:p>
          <a:pPr lvl="1"/>
          <a:r>
            <a:rPr lang="en-US" altLang="ja-JP" sz="900">
              <a:effectLst/>
              <a:latin typeface="+mn-lt"/>
              <a:ea typeface="+mn-ea"/>
              <a:cs typeface="+mn-cs"/>
            </a:rPr>
            <a:t>--</a:t>
          </a:r>
          <a:r>
            <a:rPr lang="ja-JP" altLang="ja-JP" sz="900">
              <a:effectLst/>
              <a:latin typeface="+mn-lt"/>
              <a:ea typeface="+mn-ea"/>
              <a:cs typeface="+mn-cs"/>
            </a:rPr>
            <a:t>↓</a:t>
          </a:r>
          <a:r>
            <a:rPr lang="ja-JP" altLang="en-US" sz="900">
              <a:effectLst/>
              <a:latin typeface="+mn-lt"/>
              <a:ea typeface="+mn-ea"/>
              <a:cs typeface="+mn-cs"/>
            </a:rPr>
            <a:t>更新対象項目名・取得元</a:t>
          </a:r>
          <a:endParaRPr lang="ja-JP" altLang="ja-JP" sz="900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SET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delete_flg = #{deleteFlg},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last_modified_user = #{lastModifiedUser},</a:t>
          </a:r>
          <a:endParaRPr lang="ja-JP" altLang="ja-JP">
            <a:effectLst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last_modified_date = #{lastModifiedDate}</a:t>
          </a:r>
          <a:endParaRPr lang="ja-JP" altLang="ja-JP">
            <a:effectLst/>
          </a:endParaRPr>
        </a:p>
        <a:p>
          <a:pPr lvl="1"/>
          <a:r>
            <a:rPr lang="en-US" altLang="ja-JP" sz="900">
              <a:latin typeface="+mn-lt"/>
              <a:ea typeface="+mn-ea"/>
              <a:cs typeface="+mn-cs"/>
            </a:rPr>
            <a:t>--</a:t>
          </a:r>
          <a:r>
            <a:rPr lang="ja-JP" altLang="en-US" sz="900">
              <a:latin typeface="+mn-lt"/>
              <a:ea typeface="+mn-ea"/>
              <a:cs typeface="+mn-cs"/>
            </a:rPr>
            <a:t>↓抽出条件</a:t>
          </a:r>
          <a:endParaRPr lang="en-US" altLang="ja-JP" sz="900">
            <a:latin typeface="+mn-lt"/>
            <a:ea typeface="+mn-ea"/>
            <a:cs typeface="+mn-cs"/>
          </a:endParaRP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WHERE</a:t>
          </a: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 temporary_pass_storage_id =</a:t>
          </a:r>
          <a:r>
            <a:rPr lang="ja-JP" alt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#{temporaryPassStorageId}</a:t>
          </a:r>
        </a:p>
        <a:p>
          <a:pPr lvl="1"/>
          <a:r>
            <a:rPr lang="en-US" altLang="ja-JP" sz="1100">
              <a:effectLst/>
              <a:latin typeface="+mn-lt"/>
              <a:ea typeface="+mn-ea"/>
              <a:cs typeface="+mn-cs"/>
            </a:rPr>
            <a:t> AND delete_flg = 0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F373-AA26-4891-AD0D-D31CAF6FE91F}">
  <sheetPr codeName="Sheet1"/>
  <dimension ref="B2:AJ39"/>
  <sheetViews>
    <sheetView showGridLines="0" tabSelected="1" view="pageBreakPreview" zoomScaleNormal="100" zoomScaleSheetLayoutView="100" workbookViewId="0"/>
  </sheetViews>
  <sheetFormatPr defaultColWidth="3.296875" defaultRowHeight="18"/>
  <sheetData>
    <row r="2" spans="2:36">
      <c r="B2" s="49" t="s">
        <v>151</v>
      </c>
    </row>
    <row r="4" spans="2:36">
      <c r="B4" s="50" t="s">
        <v>20</v>
      </c>
      <c r="C4" s="50"/>
      <c r="D4" s="50" t="s">
        <v>152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</row>
    <row r="5" spans="2:36">
      <c r="B5" s="51">
        <f>ROW()-4</f>
        <v>1</v>
      </c>
      <c r="C5" s="51"/>
      <c r="D5" s="52" t="s">
        <v>153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spans="2:36">
      <c r="B6" s="51">
        <f t="shared" ref="B6:B13" si="0">ROW()-4</f>
        <v>2</v>
      </c>
      <c r="C6" s="51"/>
      <c r="D6" s="53" t="s">
        <v>154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2:36">
      <c r="B7" s="51">
        <f t="shared" si="0"/>
        <v>3</v>
      </c>
      <c r="C7" s="51"/>
      <c r="D7" s="53" t="s">
        <v>155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2:36">
      <c r="B8" s="51">
        <f t="shared" si="0"/>
        <v>4</v>
      </c>
      <c r="C8" s="51"/>
      <c r="D8" s="53" t="s">
        <v>156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</row>
    <row r="9" spans="2:36">
      <c r="B9" s="51">
        <f t="shared" si="0"/>
        <v>5</v>
      </c>
      <c r="C9" s="51"/>
      <c r="D9" s="53" t="s">
        <v>157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</row>
    <row r="10" spans="2:36">
      <c r="B10" s="51">
        <f t="shared" si="0"/>
        <v>6</v>
      </c>
      <c r="C10" s="51"/>
      <c r="D10" s="53" t="s">
        <v>158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</row>
    <row r="11" spans="2:36">
      <c r="B11" s="51">
        <f t="shared" si="0"/>
        <v>7</v>
      </c>
      <c r="C11" s="51"/>
      <c r="D11" s="53" t="s">
        <v>159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</row>
    <row r="12" spans="2:36">
      <c r="B12" s="51">
        <f t="shared" si="0"/>
        <v>8</v>
      </c>
      <c r="C12" s="51"/>
      <c r="D12" s="53" t="s">
        <v>160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</row>
    <row r="13" spans="2:36">
      <c r="B13" s="51">
        <f t="shared" si="0"/>
        <v>9</v>
      </c>
      <c r="C13" s="51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</row>
    <row r="14" spans="2:36">
      <c r="B14" s="54" t="s">
        <v>161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</row>
    <row r="15" spans="2:36">
      <c r="B15" s="51">
        <v>1</v>
      </c>
      <c r="C15" s="51"/>
      <c r="D15" s="53" t="s">
        <v>162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</row>
    <row r="16" spans="2:36">
      <c r="B16" s="51">
        <f>B15+1</f>
        <v>2</v>
      </c>
      <c r="C16" s="51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</row>
    <row r="17" spans="2:36">
      <c r="B17" s="54" t="s">
        <v>163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</row>
    <row r="18" spans="2:36">
      <c r="B18" s="51">
        <v>1</v>
      </c>
      <c r="C18" s="51"/>
      <c r="D18" s="53" t="s">
        <v>164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</row>
    <row r="19" spans="2:36">
      <c r="B19" s="51">
        <f>B18+1</f>
        <v>2</v>
      </c>
      <c r="C19" s="51"/>
      <c r="D19" s="53" t="s">
        <v>165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</row>
    <row r="20" spans="2:36">
      <c r="B20" s="51">
        <f>B19+1</f>
        <v>3</v>
      </c>
      <c r="C20" s="51"/>
      <c r="D20" s="53" t="s">
        <v>166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</row>
    <row r="21" spans="2:36">
      <c r="B21" s="51">
        <f>B20+1</f>
        <v>4</v>
      </c>
      <c r="C21" s="51"/>
      <c r="D21" s="53" t="s">
        <v>167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</row>
    <row r="22" spans="2:36" ht="27" customHeight="1">
      <c r="B22" s="51">
        <f>B21+1</f>
        <v>5</v>
      </c>
      <c r="C22" s="51"/>
      <c r="D22" s="53" t="s">
        <v>168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</row>
    <row r="23" spans="2:36">
      <c r="B23" s="51">
        <f>B22+1</f>
        <v>6</v>
      </c>
      <c r="C23" s="51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</row>
    <row r="24" spans="2:36">
      <c r="B24" s="54" t="s">
        <v>169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</row>
    <row r="25" spans="2:36">
      <c r="B25" s="51">
        <v>1</v>
      </c>
      <c r="C25" s="51"/>
      <c r="D25" s="53" t="s">
        <v>170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</row>
    <row r="26" spans="2:36">
      <c r="B26" s="51">
        <f>B25+1</f>
        <v>2</v>
      </c>
      <c r="C26" s="51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</row>
    <row r="27" spans="2:36">
      <c r="B27" s="54" t="s">
        <v>171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</row>
    <row r="28" spans="2:36" ht="125.4" customHeight="1">
      <c r="B28" s="51">
        <v>1</v>
      </c>
      <c r="C28" s="51"/>
      <c r="D28" s="53" t="s">
        <v>172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</row>
    <row r="29" spans="2:36" ht="23.4" customHeight="1">
      <c r="B29" s="51">
        <f>B28+1</f>
        <v>2</v>
      </c>
      <c r="C29" s="51"/>
      <c r="D29" s="52" t="s">
        <v>173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</row>
    <row r="30" spans="2:36" ht="38.4" customHeight="1">
      <c r="B30" s="51">
        <f t="shared" ref="B30:B35" si="1">B29+1</f>
        <v>3</v>
      </c>
      <c r="C30" s="51"/>
      <c r="D30" s="53" t="s">
        <v>174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</row>
    <row r="31" spans="2:36" ht="23.4" customHeight="1">
      <c r="B31" s="51">
        <f t="shared" si="1"/>
        <v>4</v>
      </c>
      <c r="C31" s="51"/>
      <c r="D31" s="53" t="s">
        <v>175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2:36" ht="23.4" customHeight="1">
      <c r="B32" s="51">
        <f t="shared" si="1"/>
        <v>5</v>
      </c>
      <c r="C32" s="51"/>
      <c r="D32" s="55" t="s">
        <v>176</v>
      </c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7"/>
    </row>
    <row r="33" spans="2:36" ht="39" customHeight="1">
      <c r="B33" s="51">
        <f t="shared" si="1"/>
        <v>6</v>
      </c>
      <c r="C33" s="51"/>
      <c r="D33" s="55" t="s">
        <v>177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7"/>
    </row>
    <row r="34" spans="2:36" ht="32.4" customHeight="1">
      <c r="B34" s="51">
        <f t="shared" si="1"/>
        <v>7</v>
      </c>
      <c r="C34" s="51"/>
      <c r="D34" s="55" t="s">
        <v>178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7"/>
    </row>
    <row r="35" spans="2:36" ht="23.4" customHeight="1">
      <c r="B35" s="51">
        <f t="shared" si="1"/>
        <v>8</v>
      </c>
      <c r="C35" s="51"/>
      <c r="D35" s="53" t="s">
        <v>179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</row>
    <row r="36" spans="2:36">
      <c r="B36" s="54" t="s">
        <v>180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</row>
    <row r="37" spans="2:36" ht="35.4" customHeight="1">
      <c r="B37" s="51">
        <v>1</v>
      </c>
      <c r="C37" s="51"/>
      <c r="D37" s="53" t="s">
        <v>181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</row>
    <row r="38" spans="2:36">
      <c r="B38" s="51">
        <f>B37+1</f>
        <v>2</v>
      </c>
      <c r="C38" s="51"/>
      <c r="D38" s="53" t="s">
        <v>182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</row>
    <row r="39" spans="2:36">
      <c r="B39" s="51">
        <f>B38+1</f>
        <v>3</v>
      </c>
      <c r="C39" s="51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</row>
  </sheetData>
  <mergeCells count="67">
    <mergeCell ref="B38:C38"/>
    <mergeCell ref="D38:AJ38"/>
    <mergeCell ref="B39:C39"/>
    <mergeCell ref="D39:AJ39"/>
    <mergeCell ref="B34:C34"/>
    <mergeCell ref="D34:AJ34"/>
    <mergeCell ref="B35:C35"/>
    <mergeCell ref="D35:AJ35"/>
    <mergeCell ref="B36:AJ36"/>
    <mergeCell ref="B37:C37"/>
    <mergeCell ref="D37:AJ37"/>
    <mergeCell ref="B31:C31"/>
    <mergeCell ref="D31:AJ31"/>
    <mergeCell ref="B32:C32"/>
    <mergeCell ref="D32:AJ32"/>
    <mergeCell ref="B33:C33"/>
    <mergeCell ref="D33:AJ33"/>
    <mergeCell ref="B28:C28"/>
    <mergeCell ref="D28:AJ28"/>
    <mergeCell ref="B29:C29"/>
    <mergeCell ref="D29:AJ29"/>
    <mergeCell ref="B30:C30"/>
    <mergeCell ref="D30:AJ30"/>
    <mergeCell ref="B27:AJ27"/>
    <mergeCell ref="B21:C21"/>
    <mergeCell ref="D21:AJ21"/>
    <mergeCell ref="B22:C22"/>
    <mergeCell ref="D22:AJ22"/>
    <mergeCell ref="B23:C23"/>
    <mergeCell ref="D23:AJ23"/>
    <mergeCell ref="B24:AJ24"/>
    <mergeCell ref="B25:C25"/>
    <mergeCell ref="D25:AJ25"/>
    <mergeCell ref="B26:C26"/>
    <mergeCell ref="D26:AJ26"/>
    <mergeCell ref="B20:C20"/>
    <mergeCell ref="D20:AJ20"/>
    <mergeCell ref="B13:C13"/>
    <mergeCell ref="D13:AJ13"/>
    <mergeCell ref="B14:AJ14"/>
    <mergeCell ref="B15:C15"/>
    <mergeCell ref="D15:AJ15"/>
    <mergeCell ref="B16:C16"/>
    <mergeCell ref="D16:AJ16"/>
    <mergeCell ref="B17:AJ17"/>
    <mergeCell ref="B18:C18"/>
    <mergeCell ref="D18:AJ18"/>
    <mergeCell ref="B19:C19"/>
    <mergeCell ref="D19:AJ19"/>
    <mergeCell ref="B10:C10"/>
    <mergeCell ref="D10:AJ10"/>
    <mergeCell ref="B11:C11"/>
    <mergeCell ref="D11:AJ11"/>
    <mergeCell ref="B12:C12"/>
    <mergeCell ref="D12:AJ12"/>
    <mergeCell ref="B7:C7"/>
    <mergeCell ref="D7:AJ7"/>
    <mergeCell ref="B8:C8"/>
    <mergeCell ref="D8:AJ8"/>
    <mergeCell ref="B9:C9"/>
    <mergeCell ref="D9:AJ9"/>
    <mergeCell ref="B4:C4"/>
    <mergeCell ref="D4:AJ4"/>
    <mergeCell ref="B5:C5"/>
    <mergeCell ref="D5:AJ5"/>
    <mergeCell ref="B6:C6"/>
    <mergeCell ref="D6:AJ6"/>
  </mergeCells>
  <phoneticPr fontId="63"/>
  <conditionalFormatting sqref="B5:AJ13 B15:AJ16 B18:AJ23 B28:AJ35 B37:AJ39">
    <cfRule type="expression" dxfId="10" priority="10">
      <formula>#REF!="NG"</formula>
    </cfRule>
    <cfRule type="expression" dxfId="9" priority="11">
      <formula>AND(#REF!="対応不要",#REF!="OK")</formula>
    </cfRule>
    <cfRule type="expression" dxfId="8" priority="12">
      <formula>AND(#REF!="完了",#REF!="OK")</formula>
    </cfRule>
    <cfRule type="expression" dxfId="7" priority="13">
      <formula>#REF!="NG"</formula>
    </cfRule>
    <cfRule type="expression" dxfId="6" priority="14">
      <formula>AND(#REF!="対応不要",#REF!="OK")</formula>
    </cfRule>
    <cfRule type="expression" dxfId="5" priority="15">
      <formula>AND(#REF!="完了",#REF!="OK")</formula>
    </cfRule>
  </conditionalFormatting>
  <conditionalFormatting sqref="B15:AJ16 B18:AJ23 B37:AJ39">
    <cfRule type="expression" dxfId="4" priority="16">
      <formula>#REF!="NG"</formula>
    </cfRule>
    <cfRule type="expression" dxfId="3" priority="17">
      <formula>AND(#REF!="対応不要",#REF!="OK")</formula>
    </cfRule>
  </conditionalFormatting>
  <conditionalFormatting sqref="B25:AJ26">
    <cfRule type="expression" dxfId="2" priority="1">
      <formula>#REF!="NG"</formula>
    </cfRule>
    <cfRule type="expression" dxfId="1" priority="2">
      <formula>AND(#REF!="対応不要",#REF!="OK")</formula>
    </cfRule>
    <cfRule type="expression" dxfId="0" priority="3">
      <formula>AND(#REF!="完了",#REF!="OK")</formula>
    </cfRule>
  </conditionalFormatting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MJ38"/>
  <sheetViews>
    <sheetView showGridLines="0" view="pageBreakPreview" zoomScaleNormal="100" workbookViewId="0"/>
  </sheetViews>
  <sheetFormatPr defaultColWidth="2.59765625" defaultRowHeight="18"/>
  <cols>
    <col min="1" max="1024" width="2.59765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67" t="s">
        <v>0</v>
      </c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67" t="s">
        <v>183</v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60" t="s">
        <v>187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68" t="s">
        <v>1</v>
      </c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61"/>
      <c r="AB15" s="61"/>
      <c r="AC15" s="61"/>
      <c r="AD15" s="61"/>
      <c r="AE15" s="61"/>
      <c r="AF15" s="61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3"/>
      <c r="AB16" s="13"/>
      <c r="AC16" s="13"/>
      <c r="AD16" s="13"/>
      <c r="AE16" s="13"/>
      <c r="AF16" s="13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5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"第"&amp;TEXT(MAX(更新履歴!A8:I167),"#0.0")&amp;"版"</f>
        <v>第1.0版</v>
      </c>
      <c r="Y17" s="14"/>
      <c r="Z17" s="14"/>
      <c r="AA17" s="62">
        <f>MAX(更新履歴!J8:Q85)</f>
        <v>44258</v>
      </c>
      <c r="AB17" s="62"/>
      <c r="AC17" s="62"/>
      <c r="AD17" s="62"/>
      <c r="AE17" s="62"/>
      <c r="AF17" s="6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spans="1:55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  <c r="Y18" s="2"/>
      <c r="Z18" s="2"/>
      <c r="AA18" s="15"/>
      <c r="AB18" s="15"/>
      <c r="AC18" s="15"/>
      <c r="AD18" s="15"/>
      <c r="AE18" s="15"/>
      <c r="AF18" s="15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spans="1:55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6"/>
      <c r="Y19" s="2"/>
      <c r="Z19" s="2"/>
      <c r="AA19" s="63"/>
      <c r="AB19" s="63"/>
      <c r="AC19" s="63"/>
      <c r="AD19" s="63"/>
      <c r="AE19" s="63"/>
      <c r="AF19" s="63"/>
      <c r="AG19" s="17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5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64" t="s">
        <v>2</v>
      </c>
      <c r="V20" s="64"/>
      <c r="W20" s="64"/>
      <c r="X20" s="64"/>
      <c r="Y20" s="64"/>
      <c r="Z20" s="65" t="s">
        <v>3</v>
      </c>
      <c r="AA20" s="65"/>
      <c r="AB20" s="65"/>
      <c r="AC20" s="65"/>
      <c r="AD20" s="65"/>
      <c r="AE20" s="64" t="s">
        <v>4</v>
      </c>
      <c r="AF20" s="64"/>
      <c r="AG20" s="64"/>
      <c r="AH20" s="64"/>
      <c r="AI20" s="64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5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8" t="s">
        <v>5</v>
      </c>
      <c r="V21" s="58"/>
      <c r="W21" s="58"/>
      <c r="X21" s="58"/>
      <c r="Y21" s="58"/>
      <c r="Z21" s="18"/>
      <c r="AA21" s="19"/>
      <c r="AB21" s="19"/>
      <c r="AC21" s="19"/>
      <c r="AD21" s="20"/>
      <c r="AE21" s="2"/>
      <c r="AF21" s="2"/>
      <c r="AG21" s="2"/>
      <c r="AH21" s="2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5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8"/>
      <c r="V22" s="58"/>
      <c r="W22" s="58"/>
      <c r="X22" s="58"/>
      <c r="Y22" s="58"/>
      <c r="Z22" s="22"/>
      <c r="AA22" s="2"/>
      <c r="AB22" s="2"/>
      <c r="AC22" s="2"/>
      <c r="AD22" s="21"/>
      <c r="AE22" s="2"/>
      <c r="AF22" s="2"/>
      <c r="AG22" s="2"/>
      <c r="AH22" s="2"/>
      <c r="AI22" s="2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5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58"/>
      <c r="V23" s="58"/>
      <c r="W23" s="58"/>
      <c r="X23" s="58"/>
      <c r="Y23" s="58"/>
      <c r="Z23" s="22"/>
      <c r="AA23" s="2"/>
      <c r="AB23" s="2"/>
      <c r="AC23" s="2"/>
      <c r="AD23" s="21"/>
      <c r="AE23" s="2"/>
      <c r="AF23" s="2"/>
      <c r="AG23" s="2"/>
      <c r="AH23" s="2"/>
      <c r="AI23" s="2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5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8"/>
      <c r="V24" s="58"/>
      <c r="W24" s="58"/>
      <c r="X24" s="58"/>
      <c r="Y24" s="58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5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5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5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5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5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5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7"/>
    </row>
    <row r="38" spans="1:53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3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MJ3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28"/>
  </cols>
  <sheetData>
    <row r="1" spans="1:55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表紙!S12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</row>
    <row r="2" spans="1:55" s="29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">
        <v>11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tr">
        <f>AT8</f>
        <v>臼井</v>
      </c>
      <c r="AK2" s="109"/>
      <c r="AL2" s="109"/>
      <c r="AM2" s="109"/>
      <c r="AN2" s="109"/>
      <c r="AO2" s="74">
        <f>J8</f>
        <v>44258</v>
      </c>
      <c r="AP2" s="74"/>
      <c r="AQ2" s="74"/>
      <c r="AR2" s="74"/>
      <c r="AS2" s="74"/>
      <c r="AT2" s="109"/>
      <c r="AU2" s="109"/>
      <c r="AV2" s="109"/>
      <c r="AW2" s="109"/>
      <c r="AX2" s="109"/>
      <c r="AY2" s="110"/>
      <c r="AZ2" s="110"/>
      <c r="BA2" s="110"/>
      <c r="BB2" s="110"/>
      <c r="BC2" s="110"/>
    </row>
    <row r="3" spans="1:55" s="29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09"/>
      <c r="AU3" s="109"/>
      <c r="AV3" s="109"/>
      <c r="AW3" s="109"/>
      <c r="AX3" s="109"/>
      <c r="AY3" s="110"/>
      <c r="AZ3" s="110"/>
      <c r="BA3" s="110"/>
      <c r="BB3" s="110"/>
      <c r="BC3" s="110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101" t="s">
        <v>12</v>
      </c>
      <c r="B5" s="101"/>
      <c r="C5" s="101"/>
      <c r="D5" s="101"/>
      <c r="E5" s="101"/>
      <c r="F5" s="101"/>
      <c r="G5" s="101"/>
      <c r="H5" s="101"/>
      <c r="I5" s="101"/>
      <c r="J5" s="102" t="s">
        <v>13</v>
      </c>
      <c r="K5" s="102"/>
      <c r="L5" s="102"/>
      <c r="M5" s="102"/>
      <c r="N5" s="102"/>
      <c r="O5" s="102"/>
      <c r="P5" s="102"/>
      <c r="Q5" s="102"/>
      <c r="R5" s="102" t="s">
        <v>14</v>
      </c>
      <c r="S5" s="102"/>
      <c r="T5" s="102"/>
      <c r="U5" s="102"/>
      <c r="V5" s="102" t="s">
        <v>15</v>
      </c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3" t="s">
        <v>16</v>
      </c>
      <c r="AU5" s="103"/>
      <c r="AV5" s="103"/>
      <c r="AW5" s="103"/>
      <c r="AX5" s="103"/>
      <c r="AY5" s="103"/>
      <c r="AZ5" s="103"/>
      <c r="BA5" s="103"/>
      <c r="BB5" s="103"/>
      <c r="BC5" s="103"/>
    </row>
    <row r="6" spans="1:55" s="34" customFormat="1" ht="13.5" customHeight="1">
      <c r="A6" s="101"/>
      <c r="B6" s="101"/>
      <c r="C6" s="101"/>
      <c r="D6" s="101"/>
      <c r="E6" s="101"/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3"/>
      <c r="AU6" s="103"/>
      <c r="AV6" s="103"/>
      <c r="AW6" s="103"/>
      <c r="AX6" s="103"/>
      <c r="AY6" s="103"/>
      <c r="AZ6" s="103"/>
      <c r="BA6" s="103"/>
      <c r="BB6" s="103"/>
      <c r="BC6" s="103"/>
    </row>
    <row r="7" spans="1:55" s="34" customFormat="1" ht="13.5" customHeight="1">
      <c r="A7" s="101"/>
      <c r="B7" s="101"/>
      <c r="C7" s="101"/>
      <c r="D7" s="101"/>
      <c r="E7" s="101"/>
      <c r="F7" s="101"/>
      <c r="G7" s="101"/>
      <c r="H7" s="101"/>
      <c r="I7" s="101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5" s="34" customFormat="1" ht="13.5" customHeight="1">
      <c r="A8" s="96">
        <v>1</v>
      </c>
      <c r="B8" s="96"/>
      <c r="C8" s="96"/>
      <c r="D8" s="96"/>
      <c r="E8" s="96"/>
      <c r="F8" s="96"/>
      <c r="G8" s="96"/>
      <c r="H8" s="96"/>
      <c r="I8" s="96"/>
      <c r="J8" s="97">
        <v>44258</v>
      </c>
      <c r="K8" s="97"/>
      <c r="L8" s="97"/>
      <c r="M8" s="97"/>
      <c r="N8" s="97"/>
      <c r="O8" s="97"/>
      <c r="P8" s="97"/>
      <c r="Q8" s="97"/>
      <c r="R8" s="98" t="s">
        <v>17</v>
      </c>
      <c r="S8" s="98"/>
      <c r="T8" s="98"/>
      <c r="U8" s="98"/>
      <c r="V8" s="99" t="s">
        <v>18</v>
      </c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100" t="s">
        <v>5</v>
      </c>
      <c r="AU8" s="100"/>
      <c r="AV8" s="100"/>
      <c r="AW8" s="100"/>
      <c r="AX8" s="100"/>
      <c r="AY8" s="100"/>
      <c r="AZ8" s="100"/>
      <c r="BA8" s="100"/>
      <c r="BB8" s="100"/>
      <c r="BC8" s="100"/>
    </row>
    <row r="9" spans="1:55" s="34" customFormat="1" ht="13.5" customHeight="1">
      <c r="A9" s="96"/>
      <c r="B9" s="96"/>
      <c r="C9" s="96"/>
      <c r="D9" s="96"/>
      <c r="E9" s="96"/>
      <c r="F9" s="96"/>
      <c r="G9" s="96"/>
      <c r="H9" s="96"/>
      <c r="I9" s="96"/>
      <c r="J9" s="97"/>
      <c r="K9" s="97"/>
      <c r="L9" s="97"/>
      <c r="M9" s="97"/>
      <c r="N9" s="97"/>
      <c r="O9" s="97"/>
      <c r="P9" s="97"/>
      <c r="Q9" s="97"/>
      <c r="R9" s="98"/>
      <c r="S9" s="98"/>
      <c r="T9" s="98"/>
      <c r="U9" s="98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100"/>
      <c r="AU9" s="100"/>
      <c r="AV9" s="100"/>
      <c r="AW9" s="100"/>
      <c r="AX9" s="100"/>
      <c r="AY9" s="100"/>
      <c r="AZ9" s="100"/>
      <c r="BA9" s="100"/>
      <c r="BB9" s="100"/>
      <c r="BC9" s="100"/>
    </row>
    <row r="10" spans="1:55" s="34" customFormat="1" ht="13.5" customHeight="1">
      <c r="A10" s="96"/>
      <c r="B10" s="96"/>
      <c r="C10" s="96"/>
      <c r="D10" s="96"/>
      <c r="E10" s="96"/>
      <c r="F10" s="96"/>
      <c r="G10" s="96"/>
      <c r="H10" s="96"/>
      <c r="I10" s="96"/>
      <c r="J10" s="97"/>
      <c r="K10" s="97"/>
      <c r="L10" s="97"/>
      <c r="M10" s="97"/>
      <c r="N10" s="97"/>
      <c r="O10" s="97"/>
      <c r="P10" s="97"/>
      <c r="Q10" s="97"/>
      <c r="R10" s="98"/>
      <c r="S10" s="98"/>
      <c r="T10" s="98"/>
      <c r="U10" s="98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</row>
    <row r="11" spans="1:55" s="34" customFormat="1" ht="13.5" customHeight="1">
      <c r="A11" s="88"/>
      <c r="B11" s="88"/>
      <c r="C11" s="88"/>
      <c r="D11" s="88"/>
      <c r="E11" s="88"/>
      <c r="F11" s="88"/>
      <c r="G11" s="88"/>
      <c r="H11" s="88"/>
      <c r="I11" s="88"/>
      <c r="J11" s="89"/>
      <c r="K11" s="89"/>
      <c r="L11" s="89"/>
      <c r="M11" s="89"/>
      <c r="N11" s="89"/>
      <c r="O11" s="89"/>
      <c r="P11" s="89"/>
      <c r="Q11" s="89"/>
      <c r="R11" s="93"/>
      <c r="S11" s="93"/>
      <c r="T11" s="93"/>
      <c r="U11" s="93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2"/>
      <c r="AU11" s="92"/>
      <c r="AV11" s="92"/>
      <c r="AW11" s="92"/>
      <c r="AX11" s="92"/>
      <c r="AY11" s="92"/>
      <c r="AZ11" s="92"/>
      <c r="BA11" s="92"/>
      <c r="BB11" s="92"/>
      <c r="BC11" s="92"/>
    </row>
    <row r="12" spans="1:55" s="34" customFormat="1" ht="13.5" customHeight="1">
      <c r="A12" s="88"/>
      <c r="B12" s="88"/>
      <c r="C12" s="88"/>
      <c r="D12" s="88"/>
      <c r="E12" s="88"/>
      <c r="F12" s="88"/>
      <c r="G12" s="88"/>
      <c r="H12" s="88"/>
      <c r="I12" s="88"/>
      <c r="J12" s="89"/>
      <c r="K12" s="89"/>
      <c r="L12" s="89"/>
      <c r="M12" s="89"/>
      <c r="N12" s="89"/>
      <c r="O12" s="89"/>
      <c r="P12" s="89"/>
      <c r="Q12" s="89"/>
      <c r="R12" s="93"/>
      <c r="S12" s="93"/>
      <c r="T12" s="93"/>
      <c r="U12" s="93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2"/>
      <c r="AU12" s="92"/>
      <c r="AV12" s="92"/>
      <c r="AW12" s="92"/>
      <c r="AX12" s="92"/>
      <c r="AY12" s="92"/>
      <c r="AZ12" s="92"/>
      <c r="BA12" s="92"/>
      <c r="BB12" s="92"/>
      <c r="BC12" s="92"/>
    </row>
    <row r="13" spans="1:55" s="34" customFormat="1" ht="13.5" customHeight="1">
      <c r="A13" s="88"/>
      <c r="B13" s="88"/>
      <c r="C13" s="88"/>
      <c r="D13" s="88"/>
      <c r="E13" s="88"/>
      <c r="F13" s="88"/>
      <c r="G13" s="88"/>
      <c r="H13" s="88"/>
      <c r="I13" s="88"/>
      <c r="J13" s="89"/>
      <c r="K13" s="89"/>
      <c r="L13" s="89"/>
      <c r="M13" s="89"/>
      <c r="N13" s="89"/>
      <c r="O13" s="89"/>
      <c r="P13" s="89"/>
      <c r="Q13" s="89"/>
      <c r="R13" s="93"/>
      <c r="S13" s="93"/>
      <c r="T13" s="93"/>
      <c r="U13" s="93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2"/>
      <c r="AU13" s="92"/>
      <c r="AV13" s="92"/>
      <c r="AW13" s="92"/>
      <c r="AX13" s="92"/>
      <c r="AY13" s="92"/>
      <c r="AZ13" s="92"/>
      <c r="BA13" s="92"/>
      <c r="BB13" s="92"/>
      <c r="BC13" s="92"/>
    </row>
    <row r="14" spans="1:55" s="34" customFormat="1" ht="13.5" customHeight="1">
      <c r="A14" s="88"/>
      <c r="B14" s="88"/>
      <c r="C14" s="88"/>
      <c r="D14" s="88"/>
      <c r="E14" s="88"/>
      <c r="F14" s="88"/>
      <c r="G14" s="88"/>
      <c r="H14" s="88"/>
      <c r="I14" s="88"/>
      <c r="J14" s="89"/>
      <c r="K14" s="89"/>
      <c r="L14" s="89"/>
      <c r="M14" s="89"/>
      <c r="N14" s="89"/>
      <c r="O14" s="89"/>
      <c r="P14" s="89"/>
      <c r="Q14" s="89"/>
      <c r="R14" s="90"/>
      <c r="S14" s="90"/>
      <c r="T14" s="90"/>
      <c r="U14" s="90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2"/>
      <c r="AU14" s="92"/>
      <c r="AV14" s="92"/>
      <c r="AW14" s="92"/>
      <c r="AX14" s="92"/>
      <c r="AY14" s="92"/>
      <c r="AZ14" s="92"/>
      <c r="BA14" s="92"/>
      <c r="BB14" s="92"/>
      <c r="BC14" s="92"/>
    </row>
    <row r="15" spans="1:55" s="34" customFormat="1" ht="13.5" customHeight="1">
      <c r="A15" s="88"/>
      <c r="B15" s="88"/>
      <c r="C15" s="88"/>
      <c r="D15" s="88"/>
      <c r="E15" s="88"/>
      <c r="F15" s="88"/>
      <c r="G15" s="88"/>
      <c r="H15" s="88"/>
      <c r="I15" s="88"/>
      <c r="J15" s="89"/>
      <c r="K15" s="89"/>
      <c r="L15" s="89"/>
      <c r="M15" s="89"/>
      <c r="N15" s="89"/>
      <c r="O15" s="89"/>
      <c r="P15" s="89"/>
      <c r="Q15" s="89"/>
      <c r="R15" s="90"/>
      <c r="S15" s="90"/>
      <c r="T15" s="90"/>
      <c r="U15" s="90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2"/>
      <c r="AU15" s="92"/>
      <c r="AV15" s="92"/>
      <c r="AW15" s="92"/>
      <c r="AX15" s="92"/>
      <c r="AY15" s="92"/>
      <c r="AZ15" s="92"/>
      <c r="BA15" s="92"/>
      <c r="BB15" s="92"/>
      <c r="BC15" s="92"/>
    </row>
    <row r="16" spans="1:55" s="34" customFormat="1" ht="13.5" customHeight="1">
      <c r="A16" s="88"/>
      <c r="B16" s="88"/>
      <c r="C16" s="88"/>
      <c r="D16" s="88"/>
      <c r="E16" s="88"/>
      <c r="F16" s="88"/>
      <c r="G16" s="88"/>
      <c r="H16" s="88"/>
      <c r="I16" s="88"/>
      <c r="J16" s="89"/>
      <c r="K16" s="89"/>
      <c r="L16" s="89"/>
      <c r="M16" s="89"/>
      <c r="N16" s="89"/>
      <c r="O16" s="89"/>
      <c r="P16" s="89"/>
      <c r="Q16" s="89"/>
      <c r="R16" s="90"/>
      <c r="S16" s="90"/>
      <c r="T16" s="90"/>
      <c r="U16" s="90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2"/>
      <c r="AU16" s="92"/>
      <c r="AV16" s="92"/>
      <c r="AW16" s="92"/>
      <c r="AX16" s="92"/>
      <c r="AY16" s="92"/>
      <c r="AZ16" s="92"/>
      <c r="BA16" s="92"/>
      <c r="BB16" s="92"/>
      <c r="BC16" s="92"/>
    </row>
    <row r="17" spans="1:55" s="34" customFormat="1" ht="13.5" customHeight="1">
      <c r="A17" s="88"/>
      <c r="B17" s="88"/>
      <c r="C17" s="88"/>
      <c r="D17" s="88"/>
      <c r="E17" s="88"/>
      <c r="F17" s="88"/>
      <c r="G17" s="88"/>
      <c r="H17" s="88"/>
      <c r="I17" s="88"/>
      <c r="J17" s="89"/>
      <c r="K17" s="89"/>
      <c r="L17" s="89"/>
      <c r="M17" s="89"/>
      <c r="N17" s="89"/>
      <c r="O17" s="89"/>
      <c r="P17" s="89"/>
      <c r="Q17" s="89"/>
      <c r="R17" s="93"/>
      <c r="S17" s="93"/>
      <c r="T17" s="93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2"/>
      <c r="AU17" s="92"/>
      <c r="AV17" s="92"/>
      <c r="AW17" s="92"/>
      <c r="AX17" s="92"/>
      <c r="AY17" s="92"/>
      <c r="AZ17" s="92"/>
      <c r="BA17" s="92"/>
      <c r="BB17" s="92"/>
      <c r="BC17" s="92"/>
    </row>
    <row r="18" spans="1:55" s="34" customFormat="1" ht="13.5" customHeight="1">
      <c r="A18" s="88"/>
      <c r="B18" s="88"/>
      <c r="C18" s="88"/>
      <c r="D18" s="88"/>
      <c r="E18" s="88"/>
      <c r="F18" s="88"/>
      <c r="G18" s="88"/>
      <c r="H18" s="88"/>
      <c r="I18" s="88"/>
      <c r="J18" s="89"/>
      <c r="K18" s="89"/>
      <c r="L18" s="89"/>
      <c r="M18" s="89"/>
      <c r="N18" s="89"/>
      <c r="O18" s="89"/>
      <c r="P18" s="89"/>
      <c r="Q18" s="89"/>
      <c r="R18" s="93"/>
      <c r="S18" s="93"/>
      <c r="T18" s="93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2"/>
      <c r="AU18" s="92"/>
      <c r="AV18" s="92"/>
      <c r="AW18" s="92"/>
      <c r="AX18" s="92"/>
      <c r="AY18" s="92"/>
      <c r="AZ18" s="92"/>
      <c r="BA18" s="92"/>
      <c r="BB18" s="92"/>
      <c r="BC18" s="92"/>
    </row>
    <row r="19" spans="1:55" s="34" customFormat="1" ht="13.5" customHeight="1">
      <c r="A19" s="88"/>
      <c r="B19" s="88"/>
      <c r="C19" s="88"/>
      <c r="D19" s="88"/>
      <c r="E19" s="88"/>
      <c r="F19" s="88"/>
      <c r="G19" s="88"/>
      <c r="H19" s="88"/>
      <c r="I19" s="88"/>
      <c r="J19" s="89"/>
      <c r="K19" s="89"/>
      <c r="L19" s="89"/>
      <c r="M19" s="89"/>
      <c r="N19" s="89"/>
      <c r="O19" s="89"/>
      <c r="P19" s="89"/>
      <c r="Q19" s="89"/>
      <c r="R19" s="93"/>
      <c r="S19" s="93"/>
      <c r="T19" s="93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2"/>
      <c r="AU19" s="92"/>
      <c r="AV19" s="92"/>
      <c r="AW19" s="92"/>
      <c r="AX19" s="92"/>
      <c r="AY19" s="92"/>
      <c r="AZ19" s="92"/>
      <c r="BA19" s="92"/>
      <c r="BB19" s="92"/>
      <c r="BC19" s="92"/>
    </row>
    <row r="20" spans="1:55" s="34" customFormat="1" ht="13.5" customHeight="1">
      <c r="A20" s="88"/>
      <c r="B20" s="88"/>
      <c r="C20" s="88"/>
      <c r="D20" s="88"/>
      <c r="E20" s="88"/>
      <c r="F20" s="88"/>
      <c r="G20" s="88"/>
      <c r="H20" s="88"/>
      <c r="I20" s="88"/>
      <c r="J20" s="89"/>
      <c r="K20" s="89"/>
      <c r="L20" s="89"/>
      <c r="M20" s="89"/>
      <c r="N20" s="89"/>
      <c r="O20" s="89"/>
      <c r="P20" s="89"/>
      <c r="Q20" s="89"/>
      <c r="R20" s="90"/>
      <c r="S20" s="90"/>
      <c r="T20" s="90"/>
      <c r="U20" s="90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2"/>
      <c r="AU20" s="92"/>
      <c r="AV20" s="92"/>
      <c r="AW20" s="92"/>
      <c r="AX20" s="92"/>
      <c r="AY20" s="92"/>
      <c r="AZ20" s="92"/>
      <c r="BA20" s="92"/>
      <c r="BB20" s="92"/>
      <c r="BC20" s="92"/>
    </row>
    <row r="21" spans="1:55" s="34" customFormat="1" ht="13.5" customHeight="1">
      <c r="A21" s="88"/>
      <c r="B21" s="88"/>
      <c r="C21" s="88"/>
      <c r="D21" s="88"/>
      <c r="E21" s="88"/>
      <c r="F21" s="88"/>
      <c r="G21" s="88"/>
      <c r="H21" s="88"/>
      <c r="I21" s="88"/>
      <c r="J21" s="89"/>
      <c r="K21" s="89"/>
      <c r="L21" s="89"/>
      <c r="M21" s="89"/>
      <c r="N21" s="89"/>
      <c r="O21" s="89"/>
      <c r="P21" s="89"/>
      <c r="Q21" s="89"/>
      <c r="R21" s="90"/>
      <c r="S21" s="90"/>
      <c r="T21" s="90"/>
      <c r="U21" s="90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2"/>
      <c r="AU21" s="92"/>
      <c r="AV21" s="92"/>
      <c r="AW21" s="92"/>
      <c r="AX21" s="92"/>
      <c r="AY21" s="92"/>
      <c r="AZ21" s="92"/>
      <c r="BA21" s="92"/>
      <c r="BB21" s="92"/>
      <c r="BC21" s="92"/>
    </row>
    <row r="22" spans="1:55" s="34" customFormat="1" ht="13.5" customHeight="1">
      <c r="A22" s="88"/>
      <c r="B22" s="88"/>
      <c r="C22" s="88"/>
      <c r="D22" s="88"/>
      <c r="E22" s="88"/>
      <c r="F22" s="88"/>
      <c r="G22" s="88"/>
      <c r="H22" s="88"/>
      <c r="I22" s="88"/>
      <c r="J22" s="89"/>
      <c r="K22" s="89"/>
      <c r="L22" s="89"/>
      <c r="M22" s="89"/>
      <c r="N22" s="89"/>
      <c r="O22" s="89"/>
      <c r="P22" s="89"/>
      <c r="Q22" s="89"/>
      <c r="R22" s="90"/>
      <c r="S22" s="90"/>
      <c r="T22" s="90"/>
      <c r="U22" s="90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2"/>
      <c r="AU22" s="92"/>
      <c r="AV22" s="92"/>
      <c r="AW22" s="92"/>
      <c r="AX22" s="92"/>
      <c r="AY22" s="92"/>
      <c r="AZ22" s="92"/>
      <c r="BA22" s="92"/>
      <c r="BB22" s="92"/>
      <c r="BC22" s="92"/>
    </row>
    <row r="23" spans="1:55" s="34" customFormat="1" ht="13.5" customHeight="1">
      <c r="A23" s="83"/>
      <c r="B23" s="83"/>
      <c r="C23" s="83"/>
      <c r="D23" s="83"/>
      <c r="E23" s="83"/>
      <c r="F23" s="83"/>
      <c r="G23" s="83"/>
      <c r="H23" s="83"/>
      <c r="I23" s="83"/>
      <c r="J23" s="84"/>
      <c r="K23" s="84"/>
      <c r="L23" s="84"/>
      <c r="M23" s="84"/>
      <c r="N23" s="84"/>
      <c r="O23" s="84"/>
      <c r="P23" s="84"/>
      <c r="Q23" s="84"/>
      <c r="R23" s="85"/>
      <c r="S23" s="85"/>
      <c r="T23" s="85"/>
      <c r="U23" s="85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7"/>
      <c r="AU23" s="87"/>
      <c r="AV23" s="87"/>
      <c r="AW23" s="87"/>
      <c r="AX23" s="87"/>
      <c r="AY23" s="87"/>
      <c r="AZ23" s="87"/>
      <c r="BA23" s="87"/>
      <c r="BB23" s="87"/>
      <c r="BC23" s="87"/>
    </row>
    <row r="24" spans="1:55" s="34" customFormat="1" ht="13.5" customHeight="1">
      <c r="A24" s="83"/>
      <c r="B24" s="83"/>
      <c r="C24" s="83"/>
      <c r="D24" s="83"/>
      <c r="E24" s="83"/>
      <c r="F24" s="83"/>
      <c r="G24" s="83"/>
      <c r="H24" s="83"/>
      <c r="I24" s="83"/>
      <c r="J24" s="84"/>
      <c r="K24" s="84"/>
      <c r="L24" s="84"/>
      <c r="M24" s="84"/>
      <c r="N24" s="84"/>
      <c r="O24" s="84"/>
      <c r="P24" s="84"/>
      <c r="Q24" s="84"/>
      <c r="R24" s="85"/>
      <c r="S24" s="85"/>
      <c r="T24" s="85"/>
      <c r="U24" s="85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7"/>
      <c r="AU24" s="87"/>
      <c r="AV24" s="87"/>
      <c r="AW24" s="87"/>
      <c r="AX24" s="87"/>
      <c r="AY24" s="87"/>
      <c r="AZ24" s="87"/>
      <c r="BA24" s="87"/>
      <c r="BB24" s="87"/>
      <c r="BC24" s="87"/>
    </row>
    <row r="25" spans="1:55" s="34" customFormat="1" ht="13.5" customHeight="1">
      <c r="A25" s="83"/>
      <c r="B25" s="83"/>
      <c r="C25" s="83"/>
      <c r="D25" s="83"/>
      <c r="E25" s="83"/>
      <c r="F25" s="83"/>
      <c r="G25" s="83"/>
      <c r="H25" s="83"/>
      <c r="I25" s="83"/>
      <c r="J25" s="84"/>
      <c r="K25" s="84"/>
      <c r="L25" s="84"/>
      <c r="M25" s="84"/>
      <c r="N25" s="84"/>
      <c r="O25" s="84"/>
      <c r="P25" s="84"/>
      <c r="Q25" s="84"/>
      <c r="R25" s="85"/>
      <c r="S25" s="85"/>
      <c r="T25" s="85"/>
      <c r="U25" s="85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7"/>
      <c r="AU25" s="87"/>
      <c r="AV25" s="87"/>
      <c r="AW25" s="87"/>
      <c r="AX25" s="87"/>
      <c r="AY25" s="87"/>
      <c r="AZ25" s="87"/>
      <c r="BA25" s="87"/>
      <c r="BB25" s="87"/>
      <c r="BC25" s="87"/>
    </row>
    <row r="26" spans="1:55" s="34" customFormat="1" ht="13.5" customHeight="1">
      <c r="A26" s="78"/>
      <c r="B26" s="78"/>
      <c r="C26" s="78"/>
      <c r="D26" s="78"/>
      <c r="E26" s="78"/>
      <c r="F26" s="78"/>
      <c r="G26" s="78"/>
      <c r="H26" s="78"/>
      <c r="I26" s="78"/>
      <c r="J26" s="79"/>
      <c r="K26" s="79"/>
      <c r="L26" s="79"/>
      <c r="M26" s="79"/>
      <c r="N26" s="79"/>
      <c r="O26" s="79"/>
      <c r="P26" s="79"/>
      <c r="Q26" s="79"/>
      <c r="R26" s="80"/>
      <c r="S26" s="80"/>
      <c r="T26" s="80"/>
      <c r="U26" s="80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2"/>
      <c r="AU26" s="82"/>
      <c r="AV26" s="82"/>
      <c r="AW26" s="82"/>
      <c r="AX26" s="82"/>
      <c r="AY26" s="82"/>
      <c r="AZ26" s="82"/>
      <c r="BA26" s="82"/>
      <c r="BB26" s="82"/>
      <c r="BC26" s="82"/>
    </row>
    <row r="27" spans="1:55" s="34" customFormat="1" ht="13.5" customHeight="1">
      <c r="A27" s="78"/>
      <c r="B27" s="78"/>
      <c r="C27" s="78"/>
      <c r="D27" s="78"/>
      <c r="E27" s="78"/>
      <c r="F27" s="78"/>
      <c r="G27" s="78"/>
      <c r="H27" s="78"/>
      <c r="I27" s="78"/>
      <c r="J27" s="79"/>
      <c r="K27" s="79"/>
      <c r="L27" s="79"/>
      <c r="M27" s="79"/>
      <c r="N27" s="79"/>
      <c r="O27" s="79"/>
      <c r="P27" s="79"/>
      <c r="Q27" s="79"/>
      <c r="R27" s="80"/>
      <c r="S27" s="80"/>
      <c r="T27" s="80"/>
      <c r="U27" s="80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2"/>
      <c r="AU27" s="82"/>
      <c r="AV27" s="82"/>
      <c r="AW27" s="82"/>
      <c r="AX27" s="82"/>
      <c r="AY27" s="82"/>
      <c r="AZ27" s="82"/>
      <c r="BA27" s="82"/>
      <c r="BB27" s="82"/>
      <c r="BC27" s="82"/>
    </row>
    <row r="28" spans="1:55" s="34" customFormat="1" ht="13.5" customHeight="1">
      <c r="A28" s="78"/>
      <c r="B28" s="78"/>
      <c r="C28" s="78"/>
      <c r="D28" s="78"/>
      <c r="E28" s="78"/>
      <c r="F28" s="78"/>
      <c r="G28" s="78"/>
      <c r="H28" s="78"/>
      <c r="I28" s="78"/>
      <c r="J28" s="79"/>
      <c r="K28" s="79"/>
      <c r="L28" s="79"/>
      <c r="M28" s="79"/>
      <c r="N28" s="79"/>
      <c r="O28" s="79"/>
      <c r="P28" s="79"/>
      <c r="Q28" s="79"/>
      <c r="R28" s="80"/>
      <c r="S28" s="80"/>
      <c r="T28" s="80"/>
      <c r="U28" s="80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2"/>
      <c r="AU28" s="82"/>
      <c r="AV28" s="82"/>
      <c r="AW28" s="82"/>
      <c r="AX28" s="82"/>
      <c r="AY28" s="82"/>
      <c r="AZ28" s="82"/>
      <c r="BA28" s="82"/>
      <c r="BB28" s="82"/>
      <c r="BC28" s="82"/>
    </row>
    <row r="29" spans="1:55" s="34" customFormat="1" ht="13.5" customHeight="1">
      <c r="A29" s="73"/>
      <c r="B29" s="73"/>
      <c r="C29" s="73"/>
      <c r="D29" s="73"/>
      <c r="E29" s="73"/>
      <c r="F29" s="73"/>
      <c r="G29" s="73"/>
      <c r="H29" s="73"/>
      <c r="I29" s="73"/>
      <c r="J29" s="74"/>
      <c r="K29" s="74"/>
      <c r="L29" s="74"/>
      <c r="M29" s="74"/>
      <c r="N29" s="74"/>
      <c r="O29" s="74"/>
      <c r="P29" s="74"/>
      <c r="Q29" s="74"/>
      <c r="R29" s="75"/>
      <c r="S29" s="75"/>
      <c r="T29" s="75"/>
      <c r="U29" s="75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7"/>
      <c r="AU29" s="77"/>
      <c r="AV29" s="77"/>
      <c r="AW29" s="77"/>
      <c r="AX29" s="77"/>
      <c r="AY29" s="77"/>
      <c r="AZ29" s="77"/>
      <c r="BA29" s="77"/>
      <c r="BB29" s="77"/>
      <c r="BC29" s="77"/>
    </row>
    <row r="30" spans="1:55" s="34" customFormat="1" ht="13.5" customHeight="1">
      <c r="A30" s="73"/>
      <c r="B30" s="73"/>
      <c r="C30" s="73"/>
      <c r="D30" s="73"/>
      <c r="E30" s="73"/>
      <c r="F30" s="73"/>
      <c r="G30" s="73"/>
      <c r="H30" s="73"/>
      <c r="I30" s="73"/>
      <c r="J30" s="74"/>
      <c r="K30" s="74"/>
      <c r="L30" s="74"/>
      <c r="M30" s="74"/>
      <c r="N30" s="74"/>
      <c r="O30" s="74"/>
      <c r="P30" s="74"/>
      <c r="Q30" s="74"/>
      <c r="R30" s="75"/>
      <c r="S30" s="75"/>
      <c r="T30" s="75"/>
      <c r="U30" s="75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7"/>
      <c r="AU30" s="77"/>
      <c r="AV30" s="77"/>
      <c r="AW30" s="77"/>
      <c r="AX30" s="77"/>
      <c r="AY30" s="77"/>
      <c r="AZ30" s="77"/>
      <c r="BA30" s="77"/>
      <c r="BB30" s="77"/>
      <c r="BC30" s="77"/>
    </row>
    <row r="31" spans="1:55" s="34" customFormat="1" ht="13.5" customHeight="1">
      <c r="A31" s="73"/>
      <c r="B31" s="73"/>
      <c r="C31" s="73"/>
      <c r="D31" s="73"/>
      <c r="E31" s="73"/>
      <c r="F31" s="73"/>
      <c r="G31" s="73"/>
      <c r="H31" s="73"/>
      <c r="I31" s="73"/>
      <c r="J31" s="74"/>
      <c r="K31" s="74"/>
      <c r="L31" s="74"/>
      <c r="M31" s="74"/>
      <c r="N31" s="74"/>
      <c r="O31" s="74"/>
      <c r="P31" s="74"/>
      <c r="Q31" s="74"/>
      <c r="R31" s="75"/>
      <c r="S31" s="75"/>
      <c r="T31" s="75"/>
      <c r="U31" s="75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7"/>
      <c r="AU31" s="77"/>
      <c r="AV31" s="77"/>
      <c r="AW31" s="77"/>
      <c r="AX31" s="77"/>
      <c r="AY31" s="77"/>
      <c r="AZ31" s="77"/>
      <c r="BA31" s="77"/>
      <c r="BB31" s="77"/>
      <c r="BC31" s="77"/>
    </row>
    <row r="32" spans="1:55" s="34" customFormat="1" ht="13.5" customHeight="1">
      <c r="A32" s="69"/>
      <c r="B32" s="69"/>
      <c r="C32" s="69"/>
      <c r="D32" s="69"/>
      <c r="E32" s="69"/>
      <c r="F32" s="69"/>
      <c r="G32" s="69"/>
      <c r="H32" s="69"/>
      <c r="I32" s="69"/>
      <c r="J32" s="70"/>
      <c r="K32" s="70"/>
      <c r="L32" s="70"/>
      <c r="M32" s="70"/>
      <c r="N32" s="70"/>
      <c r="O32" s="70"/>
      <c r="P32" s="70"/>
      <c r="Q32" s="70"/>
      <c r="R32" s="71"/>
      <c r="S32" s="71"/>
      <c r="T32" s="71"/>
      <c r="U32" s="71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1"/>
      <c r="AU32" s="71"/>
      <c r="AV32" s="71"/>
      <c r="AW32" s="71"/>
      <c r="AX32" s="71"/>
      <c r="AY32" s="71"/>
      <c r="AZ32" s="71"/>
      <c r="BA32" s="71"/>
      <c r="BB32" s="71"/>
      <c r="BC32" s="71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MJ39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35"/>
  </cols>
  <sheetData>
    <row r="1" spans="1:55" s="1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22" t="s">
        <v>10</v>
      </c>
      <c r="AZ1" s="122"/>
      <c r="BA1" s="122"/>
      <c r="BB1" s="122"/>
      <c r="BC1" s="122"/>
    </row>
    <row r="2" spans="1:55" s="1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44258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</row>
    <row r="3" spans="1:55" s="1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</row>
    <row r="4" spans="1:55" s="36" customFormat="1" ht="13.5" customHeight="1"/>
    <row r="5" spans="1:55" s="36" customFormat="1" ht="13.5" customHeight="1">
      <c r="B5" s="37" t="s">
        <v>19</v>
      </c>
    </row>
    <row r="6" spans="1:55" s="36" customFormat="1" ht="13.5" customHeight="1"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</row>
    <row r="7" spans="1:55" s="36" customFormat="1" ht="13.5" customHeight="1">
      <c r="C7" s="121" t="s">
        <v>20</v>
      </c>
      <c r="D7" s="121"/>
      <c r="E7" s="121" t="s">
        <v>21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</row>
    <row r="8" spans="1:55" s="36" customFormat="1" ht="13.5" customHeight="1">
      <c r="C8" s="121"/>
      <c r="D8" s="121"/>
      <c r="E8" s="121" t="s">
        <v>22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 t="s">
        <v>23</v>
      </c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</row>
    <row r="9" spans="1:55" s="36" customFormat="1" ht="13.5" customHeight="1">
      <c r="C9" s="115">
        <v>1</v>
      </c>
      <c r="D9" s="115"/>
      <c r="E9" s="120" t="s">
        <v>24</v>
      </c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 t="s">
        <v>25</v>
      </c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</row>
    <row r="10" spans="1:55" s="36" customFormat="1" ht="13.5" customHeight="1">
      <c r="C10" s="115">
        <v>2</v>
      </c>
      <c r="D10" s="115"/>
      <c r="E10" s="120" t="s">
        <v>26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 t="s">
        <v>192</v>
      </c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</row>
    <row r="11" spans="1:55" s="36" customFormat="1" ht="13.5" customHeight="1">
      <c r="C11" s="115">
        <v>3</v>
      </c>
      <c r="D11" s="115"/>
      <c r="E11" s="116" t="s">
        <v>184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7" t="s">
        <v>188</v>
      </c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9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 spans="1:55" s="36" customFormat="1" ht="13.5" customHeight="1">
      <c r="C12" s="115">
        <v>4</v>
      </c>
      <c r="D12" s="115"/>
      <c r="E12" s="116" t="s">
        <v>185</v>
      </c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7" t="s">
        <v>189</v>
      </c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9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</row>
    <row r="13" spans="1:55" s="36" customFormat="1" ht="13.5" customHeight="1">
      <c r="C13" s="115">
        <v>5</v>
      </c>
      <c r="D13" s="115"/>
      <c r="E13" s="116" t="s">
        <v>186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7" t="s">
        <v>190</v>
      </c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9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</row>
    <row r="14" spans="1:55" s="36" customFormat="1" ht="13.5" customHeight="1"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5" s="36" customFormat="1" ht="13.5" customHeight="1"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</row>
    <row r="16" spans="1:55" s="36" customFormat="1" ht="13.5" customHeight="1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</row>
    <row r="17" spans="3:50" s="36" customFormat="1" ht="13.5" customHeight="1"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</row>
    <row r="18" spans="3:50" s="36" customFormat="1" ht="13.5" customHeight="1"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</row>
    <row r="19" spans="3:50" s="36" customFormat="1" ht="13.5" customHeight="1"/>
    <row r="20" spans="3:50" s="36" customFormat="1" ht="13.5" customHeight="1"/>
    <row r="21" spans="3:50" s="36" customFormat="1" ht="13.5" customHeight="1"/>
    <row r="22" spans="3:50" s="36" customFormat="1" ht="13.5" customHeight="1"/>
    <row r="23" spans="3:50" s="36" customFormat="1" ht="13.5" customHeight="1"/>
    <row r="24" spans="3:50" s="36" customFormat="1" ht="13.5" customHeight="1"/>
    <row r="25" spans="3:50" s="36" customFormat="1" ht="13.5" customHeight="1"/>
    <row r="26" spans="3:50" s="36" customFormat="1" ht="13.5" customHeight="1"/>
    <row r="27" spans="3:50" s="36" customFormat="1" ht="13.5" customHeight="1"/>
    <row r="28" spans="3:50" s="36" customFormat="1" ht="13.5" customHeight="1"/>
    <row r="29" spans="3:50" s="36" customFormat="1" ht="13.5" customHeight="1"/>
    <row r="30" spans="3:50" s="36" customFormat="1" ht="13.5" customHeight="1"/>
    <row r="31" spans="3:50" s="36" customFormat="1" ht="13.5" customHeight="1"/>
    <row r="32" spans="3:50" s="36" customFormat="1" ht="13.5" customHeight="1"/>
    <row r="33" s="36" customFormat="1" ht="13.5" customHeight="1"/>
    <row r="34" s="36" customFormat="1" ht="13.5" customHeight="1"/>
    <row r="35" s="36" customFormat="1" ht="13.5" customHeight="1"/>
    <row r="36" s="36" customFormat="1" ht="13.5" customHeight="1"/>
    <row r="37" s="36" customFormat="1" ht="13.5" customHeight="1"/>
    <row r="38" s="36" customFormat="1" ht="13.5" customHeight="1"/>
    <row r="39" s="36" customFormat="1" ht="13.5" customHeight="1"/>
  </sheetData>
  <mergeCells count="33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3:D13"/>
    <mergeCell ref="E13:S13"/>
    <mergeCell ref="T13:AF13"/>
    <mergeCell ref="C12:D12"/>
    <mergeCell ref="E12:S12"/>
    <mergeCell ref="T12:AF12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MJ6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5"/>
  </cols>
  <sheetData>
    <row r="1" spans="1:1024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  <c r="AMI1"/>
      <c r="AMJ1"/>
    </row>
    <row r="2" spans="1:1024" s="29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44258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  <c r="AMI2"/>
      <c r="AMJ2"/>
    </row>
    <row r="3" spans="1:1024" s="29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  <c r="AMI3"/>
      <c r="AMJ3"/>
    </row>
    <row r="4" spans="1:1024" ht="13.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6"/>
      <c r="AZ4" s="36"/>
      <c r="BA4" s="36"/>
      <c r="BB4" s="36"/>
      <c r="BC4" s="36"/>
    </row>
    <row r="5" spans="1:1024" s="36" customFormat="1" ht="13.2" customHeight="1">
      <c r="B5" s="37" t="s">
        <v>27</v>
      </c>
      <c r="AMI5"/>
      <c r="AMJ5"/>
    </row>
    <row r="6" spans="1:1024" s="36" customFormat="1" ht="13.2" customHeight="1">
      <c r="B6" s="38"/>
      <c r="C6" s="38" t="s">
        <v>28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AMI6"/>
      <c r="AMJ6"/>
    </row>
    <row r="7" spans="1:1024" s="36" customFormat="1" ht="13.2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AMI7"/>
      <c r="AMJ7"/>
    </row>
    <row r="8" spans="1:1024" s="36" customFormat="1" ht="13.2" customHeight="1">
      <c r="B8" s="137" t="s">
        <v>29</v>
      </c>
      <c r="C8" s="137"/>
      <c r="D8" s="137"/>
      <c r="E8" s="137"/>
      <c r="F8" s="137"/>
      <c r="G8" s="138" t="s">
        <v>30</v>
      </c>
      <c r="H8" s="138"/>
      <c r="I8" s="1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AMI8"/>
      <c r="AMJ8"/>
    </row>
    <row r="9" spans="1:1024" s="36" customFormat="1" ht="13.2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AMI9"/>
      <c r="AMJ9"/>
    </row>
    <row r="10" spans="1:1024" s="36" customFormat="1" ht="13.2" customHeight="1">
      <c r="B10" s="38" t="s">
        <v>31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AMI10"/>
      <c r="AMJ10"/>
    </row>
    <row r="11" spans="1:1024" s="36" customFormat="1" ht="13.2" customHeight="1">
      <c r="B11" s="121" t="s">
        <v>20</v>
      </c>
      <c r="C11" s="121"/>
      <c r="D11" s="121" t="s">
        <v>32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 t="s">
        <v>33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 t="s">
        <v>34</v>
      </c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38"/>
      <c r="AMI11"/>
      <c r="AMJ11"/>
    </row>
    <row r="12" spans="1:1024" s="36" customFormat="1" ht="13.2" customHeight="1">
      <c r="B12" s="121"/>
      <c r="C12" s="121"/>
      <c r="D12" s="121" t="s">
        <v>22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 t="s">
        <v>23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38"/>
      <c r="AMI12"/>
      <c r="AMJ12"/>
    </row>
    <row r="13" spans="1:1024" s="36" customFormat="1" ht="13.2" customHeight="1">
      <c r="B13" s="115">
        <v>1</v>
      </c>
      <c r="C13" s="115"/>
      <c r="D13" s="134" t="s">
        <v>35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34" t="s">
        <v>36</v>
      </c>
      <c r="O13" s="134"/>
      <c r="P13" s="134"/>
      <c r="Q13" s="134"/>
      <c r="R13" s="134"/>
      <c r="S13" s="134"/>
      <c r="T13" s="134"/>
      <c r="U13" s="134"/>
      <c r="V13" s="134"/>
      <c r="W13" s="134"/>
      <c r="X13" s="134" t="s">
        <v>37</v>
      </c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 t="s">
        <v>37</v>
      </c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38"/>
      <c r="AMI13"/>
      <c r="AMJ13"/>
    </row>
    <row r="14" spans="1:1024" s="36" customFormat="1" ht="13.2" customHeight="1">
      <c r="B14" s="115">
        <v>2</v>
      </c>
      <c r="C14" s="115"/>
      <c r="D14" s="134" t="s">
        <v>38</v>
      </c>
      <c r="E14" s="134"/>
      <c r="F14" s="134"/>
      <c r="G14" s="134"/>
      <c r="H14" s="134"/>
      <c r="I14" s="134"/>
      <c r="J14" s="134"/>
      <c r="K14" s="134"/>
      <c r="L14" s="134"/>
      <c r="M14" s="134"/>
      <c r="N14" s="134" t="s">
        <v>39</v>
      </c>
      <c r="O14" s="134"/>
      <c r="P14" s="134"/>
      <c r="Q14" s="134"/>
      <c r="R14" s="134"/>
      <c r="S14" s="134"/>
      <c r="T14" s="134"/>
      <c r="U14" s="134"/>
      <c r="V14" s="134"/>
      <c r="W14" s="134"/>
      <c r="X14" s="134" t="s">
        <v>37</v>
      </c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 t="s">
        <v>37</v>
      </c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38"/>
      <c r="AMI14"/>
      <c r="AMJ14"/>
    </row>
    <row r="15" spans="1:1024" s="36" customFormat="1" ht="13.2" customHeight="1">
      <c r="B15" s="115">
        <v>3</v>
      </c>
      <c r="C15" s="115"/>
      <c r="D15" s="134" t="s">
        <v>40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 t="s">
        <v>41</v>
      </c>
      <c r="O15" s="134"/>
      <c r="P15" s="134"/>
      <c r="Q15" s="134"/>
      <c r="R15" s="134"/>
      <c r="S15" s="134"/>
      <c r="T15" s="134"/>
      <c r="U15" s="134"/>
      <c r="V15" s="134"/>
      <c r="W15" s="134"/>
      <c r="X15" s="134" t="s">
        <v>37</v>
      </c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 t="s">
        <v>37</v>
      </c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38"/>
      <c r="AMI15"/>
      <c r="AMJ15"/>
    </row>
    <row r="16" spans="1:1024" s="36" customFormat="1" ht="13.2" customHeight="1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AMI16"/>
      <c r="AMJ16"/>
    </row>
    <row r="17" spans="2:1024" s="36" customFormat="1" ht="13.2" customHeight="1">
      <c r="B17" s="36" t="s">
        <v>42</v>
      </c>
      <c r="AMI17"/>
      <c r="AMJ17"/>
    </row>
    <row r="18" spans="2:1024" s="36" customFormat="1" ht="13.2" customHeight="1">
      <c r="B18" s="133" t="s">
        <v>43</v>
      </c>
      <c r="C18" s="133"/>
      <c r="D18" s="133"/>
      <c r="E18" s="133"/>
      <c r="F18" s="133"/>
      <c r="G18" s="133"/>
      <c r="H18" s="125" t="s">
        <v>44</v>
      </c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MI18"/>
      <c r="AMJ18"/>
    </row>
    <row r="19" spans="2:1024" s="36" customFormat="1" ht="13.2" customHeight="1">
      <c r="B19" s="128" t="s">
        <v>20</v>
      </c>
      <c r="C19" s="128"/>
      <c r="D19" s="128" t="s">
        <v>32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 t="s">
        <v>45</v>
      </c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 t="s">
        <v>33</v>
      </c>
      <c r="AO19" s="128"/>
      <c r="AP19" s="128"/>
      <c r="AQ19" s="128"/>
      <c r="AR19" s="128"/>
      <c r="AS19" s="128"/>
      <c r="AT19" s="128"/>
      <c r="AU19" s="128"/>
      <c r="AV19" s="128" t="s">
        <v>34</v>
      </c>
      <c r="AW19" s="128"/>
      <c r="AX19" s="128"/>
      <c r="AY19" s="128"/>
      <c r="AZ19" s="128"/>
      <c r="BA19" s="128"/>
      <c r="BB19" s="128"/>
      <c r="AMI19"/>
      <c r="AMJ19"/>
    </row>
    <row r="20" spans="2:1024" s="36" customFormat="1" ht="13.2" customHeight="1">
      <c r="B20" s="128"/>
      <c r="C20" s="128"/>
      <c r="D20" s="128" t="s">
        <v>22</v>
      </c>
      <c r="E20" s="128"/>
      <c r="F20" s="128"/>
      <c r="G20" s="128"/>
      <c r="H20" s="128"/>
      <c r="I20" s="128"/>
      <c r="J20" s="128"/>
      <c r="K20" s="128"/>
      <c r="L20" s="128"/>
      <c r="M20" s="128" t="s">
        <v>23</v>
      </c>
      <c r="N20" s="128"/>
      <c r="O20" s="128"/>
      <c r="P20" s="128"/>
      <c r="Q20" s="128"/>
      <c r="R20" s="128"/>
      <c r="S20" s="128"/>
      <c r="T20" s="128"/>
      <c r="U20" s="128" t="s">
        <v>22</v>
      </c>
      <c r="V20" s="128"/>
      <c r="W20" s="128"/>
      <c r="X20" s="128"/>
      <c r="Y20" s="128"/>
      <c r="Z20" s="128"/>
      <c r="AA20" s="128"/>
      <c r="AB20" s="128"/>
      <c r="AC20" s="128"/>
      <c r="AD20" s="128"/>
      <c r="AE20" s="128" t="s">
        <v>23</v>
      </c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AMI20"/>
      <c r="AMJ20"/>
    </row>
    <row r="21" spans="2:1024" s="36" customFormat="1" ht="13.2" customHeight="1">
      <c r="B21" s="126">
        <v>1</v>
      </c>
      <c r="C21" s="126"/>
      <c r="D21" s="127" t="s">
        <v>46</v>
      </c>
      <c r="E21" s="127"/>
      <c r="F21" s="127"/>
      <c r="G21" s="127"/>
      <c r="H21" s="127"/>
      <c r="I21" s="127"/>
      <c r="J21" s="127"/>
      <c r="K21" s="127"/>
      <c r="L21" s="127"/>
      <c r="M21" s="130" t="s">
        <v>47</v>
      </c>
      <c r="N21" s="130"/>
      <c r="O21" s="130"/>
      <c r="P21" s="130"/>
      <c r="Q21" s="130"/>
      <c r="R21" s="130"/>
      <c r="S21" s="130"/>
      <c r="T21" s="130"/>
      <c r="U21" s="127" t="s">
        <v>48</v>
      </c>
      <c r="V21" s="127"/>
      <c r="W21" s="127"/>
      <c r="X21" s="127"/>
      <c r="Y21" s="127"/>
      <c r="Z21" s="127"/>
      <c r="AA21" s="127"/>
      <c r="AB21" s="127"/>
      <c r="AC21" s="127"/>
      <c r="AD21" s="127"/>
      <c r="AE21" s="127" t="s">
        <v>49</v>
      </c>
      <c r="AF21" s="127"/>
      <c r="AG21" s="127"/>
      <c r="AH21" s="127"/>
      <c r="AI21" s="127"/>
      <c r="AJ21" s="127"/>
      <c r="AK21" s="127"/>
      <c r="AL21" s="127"/>
      <c r="AM21" s="127"/>
      <c r="AN21" s="132" t="s">
        <v>37</v>
      </c>
      <c r="AO21" s="132"/>
      <c r="AP21" s="132"/>
      <c r="AQ21" s="132"/>
      <c r="AR21" s="132"/>
      <c r="AS21" s="132"/>
      <c r="AT21" s="132"/>
      <c r="AU21" s="132"/>
      <c r="AV21" s="127" t="s">
        <v>37</v>
      </c>
      <c r="AW21" s="127"/>
      <c r="AX21" s="127"/>
      <c r="AY21" s="127"/>
      <c r="AZ21" s="127"/>
      <c r="BA21" s="127"/>
      <c r="BB21" s="127"/>
      <c r="AMI21"/>
      <c r="AMJ21"/>
    </row>
    <row r="22" spans="2:1024" s="36" customFormat="1" ht="13.2" customHeight="1">
      <c r="B22" s="126">
        <v>2</v>
      </c>
      <c r="C22" s="126"/>
      <c r="D22" s="127" t="s">
        <v>50</v>
      </c>
      <c r="E22" s="127"/>
      <c r="F22" s="127"/>
      <c r="G22" s="127"/>
      <c r="H22" s="127"/>
      <c r="I22" s="127"/>
      <c r="J22" s="127"/>
      <c r="K22" s="127"/>
      <c r="L22" s="127"/>
      <c r="M22" s="130" t="s">
        <v>51</v>
      </c>
      <c r="N22" s="130"/>
      <c r="O22" s="130"/>
      <c r="P22" s="130"/>
      <c r="Q22" s="130"/>
      <c r="R22" s="130"/>
      <c r="S22" s="130"/>
      <c r="T22" s="130"/>
      <c r="U22" s="127" t="s">
        <v>48</v>
      </c>
      <c r="V22" s="127"/>
      <c r="W22" s="127"/>
      <c r="X22" s="127"/>
      <c r="Y22" s="127"/>
      <c r="Z22" s="127"/>
      <c r="AA22" s="127"/>
      <c r="AB22" s="127"/>
      <c r="AC22" s="127"/>
      <c r="AD22" s="127"/>
      <c r="AE22" s="130" t="s">
        <v>49</v>
      </c>
      <c r="AF22" s="130"/>
      <c r="AG22" s="130"/>
      <c r="AH22" s="130"/>
      <c r="AI22" s="130"/>
      <c r="AJ22" s="130"/>
      <c r="AK22" s="130"/>
      <c r="AL22" s="130"/>
      <c r="AM22" s="130"/>
      <c r="AN22" s="132" t="s">
        <v>37</v>
      </c>
      <c r="AO22" s="132"/>
      <c r="AP22" s="132"/>
      <c r="AQ22" s="132"/>
      <c r="AR22" s="132"/>
      <c r="AS22" s="132"/>
      <c r="AT22" s="132"/>
      <c r="AU22" s="132"/>
      <c r="AV22" s="127" t="s">
        <v>37</v>
      </c>
      <c r="AW22" s="127"/>
      <c r="AX22" s="127"/>
      <c r="AY22" s="127"/>
      <c r="AZ22" s="127"/>
      <c r="BA22" s="127"/>
      <c r="BB22" s="127"/>
      <c r="AMI22"/>
      <c r="AMJ22"/>
    </row>
    <row r="23" spans="2:1024" s="36" customFormat="1" ht="13.2" customHeight="1">
      <c r="B23" s="126">
        <v>3</v>
      </c>
      <c r="C23" s="126"/>
      <c r="D23" s="127" t="s">
        <v>52</v>
      </c>
      <c r="E23" s="127"/>
      <c r="F23" s="127"/>
      <c r="G23" s="127"/>
      <c r="H23" s="127"/>
      <c r="I23" s="127"/>
      <c r="J23" s="127"/>
      <c r="K23" s="127"/>
      <c r="L23" s="127"/>
      <c r="M23" s="130" t="s">
        <v>53</v>
      </c>
      <c r="N23" s="130"/>
      <c r="O23" s="130"/>
      <c r="P23" s="130"/>
      <c r="Q23" s="130"/>
      <c r="R23" s="130"/>
      <c r="S23" s="130"/>
      <c r="T23" s="130"/>
      <c r="U23" s="127" t="s">
        <v>48</v>
      </c>
      <c r="V23" s="127"/>
      <c r="W23" s="127"/>
      <c r="X23" s="127"/>
      <c r="Y23" s="127"/>
      <c r="Z23" s="127"/>
      <c r="AA23" s="127"/>
      <c r="AB23" s="127"/>
      <c r="AC23" s="127"/>
      <c r="AD23" s="127"/>
      <c r="AE23" s="130" t="s">
        <v>49</v>
      </c>
      <c r="AF23" s="130"/>
      <c r="AG23" s="130"/>
      <c r="AH23" s="130"/>
      <c r="AI23" s="130"/>
      <c r="AJ23" s="130"/>
      <c r="AK23" s="130"/>
      <c r="AL23" s="130"/>
      <c r="AM23" s="130"/>
      <c r="AN23" s="132" t="s">
        <v>37</v>
      </c>
      <c r="AO23" s="132"/>
      <c r="AP23" s="132"/>
      <c r="AQ23" s="132"/>
      <c r="AR23" s="132"/>
      <c r="AS23" s="132"/>
      <c r="AT23" s="132"/>
      <c r="AU23" s="132"/>
      <c r="AV23" s="127" t="s">
        <v>37</v>
      </c>
      <c r="AW23" s="127"/>
      <c r="AX23" s="127"/>
      <c r="AY23" s="127"/>
      <c r="AZ23" s="127"/>
      <c r="BA23" s="127"/>
      <c r="BB23" s="127"/>
      <c r="AMI23"/>
      <c r="AMJ23"/>
    </row>
    <row r="24" spans="2:1024" s="36" customFormat="1" ht="13.2" customHeight="1">
      <c r="B24" s="126">
        <v>4</v>
      </c>
      <c r="C24" s="126"/>
      <c r="D24" s="127" t="s">
        <v>58</v>
      </c>
      <c r="E24" s="127"/>
      <c r="F24" s="127"/>
      <c r="G24" s="127"/>
      <c r="H24" s="127"/>
      <c r="I24" s="127"/>
      <c r="J24" s="127"/>
      <c r="K24" s="127"/>
      <c r="L24" s="127"/>
      <c r="M24" s="130" t="s">
        <v>59</v>
      </c>
      <c r="N24" s="130"/>
      <c r="O24" s="130"/>
      <c r="P24" s="130"/>
      <c r="Q24" s="130"/>
      <c r="R24" s="130"/>
      <c r="S24" s="130"/>
      <c r="T24" s="130"/>
      <c r="U24" s="127" t="s">
        <v>48</v>
      </c>
      <c r="V24" s="127"/>
      <c r="W24" s="127"/>
      <c r="X24" s="127"/>
      <c r="Y24" s="127"/>
      <c r="Z24" s="127"/>
      <c r="AA24" s="127"/>
      <c r="AB24" s="127"/>
      <c r="AC24" s="127"/>
      <c r="AD24" s="127"/>
      <c r="AE24" s="127" t="s">
        <v>49</v>
      </c>
      <c r="AF24" s="127"/>
      <c r="AG24" s="127"/>
      <c r="AH24" s="127"/>
      <c r="AI24" s="127"/>
      <c r="AJ24" s="127"/>
      <c r="AK24" s="127"/>
      <c r="AL24" s="127"/>
      <c r="AM24" s="127"/>
      <c r="AN24" s="132" t="s">
        <v>37</v>
      </c>
      <c r="AO24" s="132"/>
      <c r="AP24" s="132"/>
      <c r="AQ24" s="132"/>
      <c r="AR24" s="132"/>
      <c r="AS24" s="132"/>
      <c r="AT24" s="132"/>
      <c r="AU24" s="132"/>
      <c r="AV24" s="127" t="s">
        <v>37</v>
      </c>
      <c r="AW24" s="127"/>
      <c r="AX24" s="127"/>
      <c r="AY24" s="127"/>
      <c r="AZ24" s="127"/>
      <c r="BA24" s="127"/>
      <c r="BB24" s="127"/>
      <c r="AMI24"/>
      <c r="AMJ24"/>
    </row>
    <row r="25" spans="2:1024" s="36" customFormat="1" ht="13.2" customHeight="1">
      <c r="B25" s="126">
        <v>5</v>
      </c>
      <c r="C25" s="126"/>
      <c r="D25" s="127" t="s">
        <v>54</v>
      </c>
      <c r="E25" s="127"/>
      <c r="F25" s="127"/>
      <c r="G25" s="127"/>
      <c r="H25" s="127"/>
      <c r="I25" s="127"/>
      <c r="J25" s="127"/>
      <c r="K25" s="127"/>
      <c r="L25" s="127"/>
      <c r="M25" s="130" t="s">
        <v>55</v>
      </c>
      <c r="N25" s="130"/>
      <c r="O25" s="130"/>
      <c r="P25" s="130"/>
      <c r="Q25" s="130"/>
      <c r="R25" s="130"/>
      <c r="S25" s="130"/>
      <c r="T25" s="130"/>
      <c r="U25" s="127" t="s">
        <v>56</v>
      </c>
      <c r="V25" s="127"/>
      <c r="W25" s="127"/>
      <c r="X25" s="127"/>
      <c r="Y25" s="127"/>
      <c r="Z25" s="127"/>
      <c r="AA25" s="127"/>
      <c r="AB25" s="127"/>
      <c r="AC25" s="127"/>
      <c r="AD25" s="127"/>
      <c r="AE25" s="130" t="s">
        <v>57</v>
      </c>
      <c r="AF25" s="130"/>
      <c r="AG25" s="130"/>
      <c r="AH25" s="130"/>
      <c r="AI25" s="130"/>
      <c r="AJ25" s="130"/>
      <c r="AK25" s="130"/>
      <c r="AL25" s="130"/>
      <c r="AM25" s="130"/>
      <c r="AN25" s="132" t="s">
        <v>37</v>
      </c>
      <c r="AO25" s="132"/>
      <c r="AP25" s="132"/>
      <c r="AQ25" s="132"/>
      <c r="AR25" s="132"/>
      <c r="AS25" s="132"/>
      <c r="AT25" s="132"/>
      <c r="AU25" s="132"/>
      <c r="AV25" s="127" t="s">
        <v>37</v>
      </c>
      <c r="AW25" s="127"/>
      <c r="AX25" s="127"/>
      <c r="AY25" s="127"/>
      <c r="AZ25" s="127"/>
      <c r="BA25" s="127"/>
      <c r="BB25" s="127"/>
      <c r="AMI25"/>
      <c r="AMJ25"/>
    </row>
    <row r="26" spans="2:1024" s="36" customFormat="1" ht="13.2" customHeight="1">
      <c r="B26" s="126">
        <v>6</v>
      </c>
      <c r="C26" s="126"/>
      <c r="D26" s="127" t="s">
        <v>80</v>
      </c>
      <c r="E26" s="127"/>
      <c r="F26" s="127"/>
      <c r="G26" s="127"/>
      <c r="H26" s="127"/>
      <c r="I26" s="127"/>
      <c r="J26" s="127"/>
      <c r="K26" s="127"/>
      <c r="L26" s="127"/>
      <c r="M26" s="130" t="s">
        <v>81</v>
      </c>
      <c r="N26" s="130"/>
      <c r="O26" s="130"/>
      <c r="P26" s="130"/>
      <c r="Q26" s="130"/>
      <c r="R26" s="130"/>
      <c r="S26" s="130"/>
      <c r="T26" s="130"/>
      <c r="U26" s="127" t="s">
        <v>56</v>
      </c>
      <c r="V26" s="127"/>
      <c r="W26" s="127"/>
      <c r="X26" s="127"/>
      <c r="Y26" s="127"/>
      <c r="Z26" s="127"/>
      <c r="AA26" s="127"/>
      <c r="AB26" s="127"/>
      <c r="AC26" s="127"/>
      <c r="AD26" s="127"/>
      <c r="AE26" s="127" t="s">
        <v>57</v>
      </c>
      <c r="AF26" s="127"/>
      <c r="AG26" s="127"/>
      <c r="AH26" s="127"/>
      <c r="AI26" s="127"/>
      <c r="AJ26" s="127"/>
      <c r="AK26" s="127"/>
      <c r="AL26" s="127"/>
      <c r="AM26" s="127"/>
      <c r="AN26" s="132" t="s">
        <v>37</v>
      </c>
      <c r="AO26" s="132"/>
      <c r="AP26" s="132"/>
      <c r="AQ26" s="132"/>
      <c r="AR26" s="132"/>
      <c r="AS26" s="132"/>
      <c r="AT26" s="132"/>
      <c r="AU26" s="132"/>
      <c r="AV26" s="127" t="s">
        <v>37</v>
      </c>
      <c r="AW26" s="127"/>
      <c r="AX26" s="127"/>
      <c r="AY26" s="127"/>
      <c r="AZ26" s="127"/>
      <c r="BA26" s="127"/>
      <c r="BB26" s="127"/>
      <c r="AMI26"/>
      <c r="AMJ26"/>
    </row>
    <row r="27" spans="2:1024" s="36" customFormat="1" ht="13.2" customHeight="1">
      <c r="B27" s="126">
        <v>7</v>
      </c>
      <c r="C27" s="126"/>
      <c r="D27" s="127" t="s">
        <v>82</v>
      </c>
      <c r="E27" s="127"/>
      <c r="F27" s="127"/>
      <c r="G27" s="127"/>
      <c r="H27" s="127"/>
      <c r="I27" s="127"/>
      <c r="J27" s="127"/>
      <c r="K27" s="127"/>
      <c r="L27" s="127"/>
      <c r="M27" s="130" t="s">
        <v>83</v>
      </c>
      <c r="N27" s="130"/>
      <c r="O27" s="130"/>
      <c r="P27" s="130"/>
      <c r="Q27" s="130"/>
      <c r="R27" s="130"/>
      <c r="S27" s="130"/>
      <c r="T27" s="130"/>
      <c r="U27" s="127" t="s">
        <v>56</v>
      </c>
      <c r="V27" s="127"/>
      <c r="W27" s="127"/>
      <c r="X27" s="127"/>
      <c r="Y27" s="127"/>
      <c r="Z27" s="127"/>
      <c r="AA27" s="127"/>
      <c r="AB27" s="127"/>
      <c r="AC27" s="127"/>
      <c r="AD27" s="127"/>
      <c r="AE27" s="127" t="s">
        <v>57</v>
      </c>
      <c r="AF27" s="127"/>
      <c r="AG27" s="127"/>
      <c r="AH27" s="127"/>
      <c r="AI27" s="127"/>
      <c r="AJ27" s="127"/>
      <c r="AK27" s="127"/>
      <c r="AL27" s="127"/>
      <c r="AM27" s="127"/>
      <c r="AN27" s="132" t="s">
        <v>37</v>
      </c>
      <c r="AO27" s="132"/>
      <c r="AP27" s="132"/>
      <c r="AQ27" s="132"/>
      <c r="AR27" s="132"/>
      <c r="AS27" s="132"/>
      <c r="AT27" s="132"/>
      <c r="AU27" s="132"/>
      <c r="AV27" s="127" t="s">
        <v>37</v>
      </c>
      <c r="AW27" s="127"/>
      <c r="AX27" s="127"/>
      <c r="AY27" s="127"/>
      <c r="AZ27" s="127"/>
      <c r="BA27" s="127"/>
      <c r="BB27" s="127"/>
      <c r="AMI27"/>
      <c r="AMJ27"/>
    </row>
    <row r="28" spans="2:1024" s="36" customFormat="1" ht="13.2" customHeight="1">
      <c r="B28" s="126">
        <v>8</v>
      </c>
      <c r="C28" s="126"/>
      <c r="D28" s="127" t="s">
        <v>86</v>
      </c>
      <c r="E28" s="127"/>
      <c r="F28" s="127"/>
      <c r="G28" s="127"/>
      <c r="H28" s="127"/>
      <c r="I28" s="127"/>
      <c r="J28" s="127"/>
      <c r="K28" s="127"/>
      <c r="L28" s="127"/>
      <c r="M28" s="130" t="s">
        <v>87</v>
      </c>
      <c r="N28" s="130"/>
      <c r="O28" s="130"/>
      <c r="P28" s="130"/>
      <c r="Q28" s="130"/>
      <c r="R28" s="130"/>
      <c r="S28" s="130"/>
      <c r="T28" s="130"/>
      <c r="U28" s="127" t="s">
        <v>56</v>
      </c>
      <c r="V28" s="127"/>
      <c r="W28" s="127"/>
      <c r="X28" s="127"/>
      <c r="Y28" s="127"/>
      <c r="Z28" s="127"/>
      <c r="AA28" s="127"/>
      <c r="AB28" s="127"/>
      <c r="AC28" s="127"/>
      <c r="AD28" s="127"/>
      <c r="AE28" s="127" t="s">
        <v>57</v>
      </c>
      <c r="AF28" s="127"/>
      <c r="AG28" s="127"/>
      <c r="AH28" s="127"/>
      <c r="AI28" s="127"/>
      <c r="AJ28" s="127"/>
      <c r="AK28" s="127"/>
      <c r="AL28" s="127"/>
      <c r="AM28" s="127"/>
      <c r="AN28" s="132" t="s">
        <v>37</v>
      </c>
      <c r="AO28" s="132"/>
      <c r="AP28" s="132"/>
      <c r="AQ28" s="132"/>
      <c r="AR28" s="132"/>
      <c r="AS28" s="132"/>
      <c r="AT28" s="132"/>
      <c r="AU28" s="132"/>
      <c r="AV28" s="127" t="s">
        <v>37</v>
      </c>
      <c r="AW28" s="127"/>
      <c r="AX28" s="127"/>
      <c r="AY28" s="127"/>
      <c r="AZ28" s="127"/>
      <c r="BA28" s="127"/>
      <c r="BB28" s="127"/>
      <c r="AMI28"/>
      <c r="AMJ28"/>
    </row>
    <row r="29" spans="2:1024" ht="13.2" customHeight="1">
      <c r="B29" s="126">
        <v>9</v>
      </c>
      <c r="C29" s="126"/>
      <c r="D29" s="127" t="s">
        <v>88</v>
      </c>
      <c r="E29" s="127"/>
      <c r="F29" s="127"/>
      <c r="G29" s="127"/>
      <c r="H29" s="127"/>
      <c r="I29" s="127"/>
      <c r="J29" s="127"/>
      <c r="K29" s="127"/>
      <c r="L29" s="127"/>
      <c r="M29" s="130" t="s">
        <v>89</v>
      </c>
      <c r="N29" s="130"/>
      <c r="O29" s="130"/>
      <c r="P29" s="130"/>
      <c r="Q29" s="130"/>
      <c r="R29" s="130"/>
      <c r="S29" s="130"/>
      <c r="T29" s="130"/>
      <c r="U29" s="127" t="s">
        <v>56</v>
      </c>
      <c r="V29" s="127"/>
      <c r="W29" s="127"/>
      <c r="X29" s="127"/>
      <c r="Y29" s="127"/>
      <c r="Z29" s="127"/>
      <c r="AA29" s="127"/>
      <c r="AB29" s="127"/>
      <c r="AC29" s="127"/>
      <c r="AD29" s="127"/>
      <c r="AE29" s="127" t="s">
        <v>57</v>
      </c>
      <c r="AF29" s="127"/>
      <c r="AG29" s="127"/>
      <c r="AH29" s="127"/>
      <c r="AI29" s="127"/>
      <c r="AJ29" s="127"/>
      <c r="AK29" s="127"/>
      <c r="AL29" s="127"/>
      <c r="AM29" s="127"/>
      <c r="AN29" s="132" t="s">
        <v>37</v>
      </c>
      <c r="AO29" s="132"/>
      <c r="AP29" s="132"/>
      <c r="AQ29" s="132"/>
      <c r="AR29" s="132"/>
      <c r="AS29" s="132"/>
      <c r="AT29" s="132"/>
      <c r="AU29" s="132"/>
      <c r="AV29" s="127" t="s">
        <v>37</v>
      </c>
      <c r="AW29" s="127"/>
      <c r="AX29" s="127"/>
      <c r="AY29" s="127"/>
      <c r="AZ29" s="127"/>
      <c r="BA29" s="127"/>
      <c r="BB29" s="127"/>
      <c r="BC29" s="36"/>
      <c r="BD29" s="36"/>
      <c r="BE29" s="36"/>
      <c r="BF29" s="36"/>
      <c r="BG29" s="36"/>
    </row>
    <row r="30" spans="2:1024" ht="13.2" customHeight="1">
      <c r="B30" s="126">
        <v>10</v>
      </c>
      <c r="C30" s="126"/>
      <c r="D30" s="127" t="s">
        <v>90</v>
      </c>
      <c r="E30" s="127"/>
      <c r="F30" s="127"/>
      <c r="G30" s="127"/>
      <c r="H30" s="127"/>
      <c r="I30" s="127"/>
      <c r="J30" s="127"/>
      <c r="K30" s="127"/>
      <c r="L30" s="127"/>
      <c r="M30" s="130" t="s">
        <v>91</v>
      </c>
      <c r="N30" s="130"/>
      <c r="O30" s="130"/>
      <c r="P30" s="130"/>
      <c r="Q30" s="130"/>
      <c r="R30" s="130"/>
      <c r="S30" s="130"/>
      <c r="T30" s="130"/>
      <c r="U30" s="127" t="s">
        <v>56</v>
      </c>
      <c r="V30" s="127"/>
      <c r="W30" s="127"/>
      <c r="X30" s="127"/>
      <c r="Y30" s="127"/>
      <c r="Z30" s="127"/>
      <c r="AA30" s="127"/>
      <c r="AB30" s="127"/>
      <c r="AC30" s="127"/>
      <c r="AD30" s="127"/>
      <c r="AE30" s="127" t="s">
        <v>57</v>
      </c>
      <c r="AF30" s="127"/>
      <c r="AG30" s="127"/>
      <c r="AH30" s="127"/>
      <c r="AI30" s="127"/>
      <c r="AJ30" s="127"/>
      <c r="AK30" s="127"/>
      <c r="AL30" s="127"/>
      <c r="AM30" s="127"/>
      <c r="AN30" s="132" t="s">
        <v>37</v>
      </c>
      <c r="AO30" s="132"/>
      <c r="AP30" s="132"/>
      <c r="AQ30" s="132"/>
      <c r="AR30" s="132"/>
      <c r="AS30" s="132"/>
      <c r="AT30" s="132"/>
      <c r="AU30" s="132"/>
      <c r="AV30" s="127" t="s">
        <v>37</v>
      </c>
      <c r="AW30" s="127"/>
      <c r="AX30" s="127"/>
      <c r="AY30" s="127"/>
      <c r="AZ30" s="127"/>
      <c r="BA30" s="127"/>
      <c r="BB30" s="127"/>
      <c r="BC30" s="36"/>
      <c r="BD30" s="36"/>
      <c r="BE30" s="36"/>
      <c r="BF30" s="36"/>
      <c r="BG30" s="36"/>
    </row>
    <row r="31" spans="2:1024" s="36" customFormat="1" ht="13.2" customHeight="1">
      <c r="B31" s="126">
        <v>11</v>
      </c>
      <c r="C31" s="126"/>
      <c r="D31" s="127" t="s">
        <v>60</v>
      </c>
      <c r="E31" s="127"/>
      <c r="F31" s="127"/>
      <c r="G31" s="127"/>
      <c r="H31" s="127"/>
      <c r="I31" s="127"/>
      <c r="J31" s="127"/>
      <c r="K31" s="127"/>
      <c r="L31" s="127"/>
      <c r="M31" s="130" t="s">
        <v>61</v>
      </c>
      <c r="N31" s="130"/>
      <c r="O31" s="130"/>
      <c r="P31" s="130"/>
      <c r="Q31" s="130"/>
      <c r="R31" s="130"/>
      <c r="S31" s="130"/>
      <c r="T31" s="130"/>
      <c r="U31" s="127" t="s">
        <v>62</v>
      </c>
      <c r="V31" s="127"/>
      <c r="W31" s="127"/>
      <c r="X31" s="127"/>
      <c r="Y31" s="127"/>
      <c r="Z31" s="127"/>
      <c r="AA31" s="127"/>
      <c r="AB31" s="127"/>
      <c r="AC31" s="127"/>
      <c r="AD31" s="127"/>
      <c r="AE31" s="130" t="s">
        <v>63</v>
      </c>
      <c r="AF31" s="130"/>
      <c r="AG31" s="130"/>
      <c r="AH31" s="130"/>
      <c r="AI31" s="130"/>
      <c r="AJ31" s="130"/>
      <c r="AK31" s="130"/>
      <c r="AL31" s="130"/>
      <c r="AM31" s="130"/>
      <c r="AN31" s="132" t="s">
        <v>37</v>
      </c>
      <c r="AO31" s="132"/>
      <c r="AP31" s="132"/>
      <c r="AQ31" s="132"/>
      <c r="AR31" s="132"/>
      <c r="AS31" s="132"/>
      <c r="AT31" s="132"/>
      <c r="AU31" s="132"/>
      <c r="AV31" s="127" t="s">
        <v>37</v>
      </c>
      <c r="AW31" s="127"/>
      <c r="AX31" s="127"/>
      <c r="AY31" s="127"/>
      <c r="AZ31" s="127"/>
      <c r="BA31" s="127"/>
      <c r="BB31" s="127"/>
      <c r="AMI31"/>
      <c r="AMJ31"/>
    </row>
    <row r="32" spans="2:1024" s="36" customFormat="1" ht="13.2" customHeight="1">
      <c r="B32" s="126">
        <v>12</v>
      </c>
      <c r="C32" s="126"/>
      <c r="D32" s="127" t="s">
        <v>68</v>
      </c>
      <c r="E32" s="127"/>
      <c r="F32" s="127"/>
      <c r="G32" s="127"/>
      <c r="H32" s="127"/>
      <c r="I32" s="127"/>
      <c r="J32" s="127"/>
      <c r="K32" s="127"/>
      <c r="L32" s="127"/>
      <c r="M32" s="130" t="s">
        <v>69</v>
      </c>
      <c r="N32" s="130"/>
      <c r="O32" s="130"/>
      <c r="P32" s="130"/>
      <c r="Q32" s="130"/>
      <c r="R32" s="130"/>
      <c r="S32" s="130"/>
      <c r="T32" s="130"/>
      <c r="U32" s="127" t="s">
        <v>70</v>
      </c>
      <c r="V32" s="127"/>
      <c r="W32" s="127"/>
      <c r="X32" s="127"/>
      <c r="Y32" s="127"/>
      <c r="Z32" s="127"/>
      <c r="AA32" s="127"/>
      <c r="AB32" s="127"/>
      <c r="AC32" s="127"/>
      <c r="AD32" s="127"/>
      <c r="AE32" s="127" t="s">
        <v>71</v>
      </c>
      <c r="AF32" s="127"/>
      <c r="AG32" s="127"/>
      <c r="AH32" s="127"/>
      <c r="AI32" s="127"/>
      <c r="AJ32" s="127"/>
      <c r="AK32" s="127"/>
      <c r="AL32" s="127"/>
      <c r="AM32" s="127"/>
      <c r="AN32" s="132" t="s">
        <v>37</v>
      </c>
      <c r="AO32" s="132"/>
      <c r="AP32" s="132"/>
      <c r="AQ32" s="132"/>
      <c r="AR32" s="132"/>
      <c r="AS32" s="132"/>
      <c r="AT32" s="132"/>
      <c r="AU32" s="132"/>
      <c r="AV32" s="127" t="s">
        <v>37</v>
      </c>
      <c r="AW32" s="127"/>
      <c r="AX32" s="127"/>
      <c r="AY32" s="127"/>
      <c r="AZ32" s="127"/>
      <c r="BA32" s="127"/>
      <c r="BB32" s="127"/>
      <c r="AMI32"/>
      <c r="AMJ32"/>
    </row>
    <row r="33" spans="2:1024" s="36" customFormat="1" ht="13.2" customHeight="1">
      <c r="B33" s="126">
        <v>13</v>
      </c>
      <c r="C33" s="126"/>
      <c r="D33" s="127" t="s">
        <v>72</v>
      </c>
      <c r="E33" s="127"/>
      <c r="F33" s="127"/>
      <c r="G33" s="127"/>
      <c r="H33" s="127"/>
      <c r="I33" s="127"/>
      <c r="J33" s="127"/>
      <c r="K33" s="127"/>
      <c r="L33" s="127"/>
      <c r="M33" s="130" t="s">
        <v>73</v>
      </c>
      <c r="N33" s="130"/>
      <c r="O33" s="130"/>
      <c r="P33" s="130"/>
      <c r="Q33" s="130"/>
      <c r="R33" s="130"/>
      <c r="S33" s="130"/>
      <c r="T33" s="130"/>
      <c r="U33" s="127" t="s">
        <v>74</v>
      </c>
      <c r="V33" s="127"/>
      <c r="W33" s="127"/>
      <c r="X33" s="127"/>
      <c r="Y33" s="127"/>
      <c r="Z33" s="127"/>
      <c r="AA33" s="127"/>
      <c r="AB33" s="127"/>
      <c r="AC33" s="127"/>
      <c r="AD33" s="127"/>
      <c r="AE33" s="127" t="s">
        <v>75</v>
      </c>
      <c r="AF33" s="127"/>
      <c r="AG33" s="127"/>
      <c r="AH33" s="127"/>
      <c r="AI33" s="127"/>
      <c r="AJ33" s="127"/>
      <c r="AK33" s="127"/>
      <c r="AL33" s="127"/>
      <c r="AM33" s="127"/>
      <c r="AN33" s="132" t="s">
        <v>37</v>
      </c>
      <c r="AO33" s="132"/>
      <c r="AP33" s="132"/>
      <c r="AQ33" s="132"/>
      <c r="AR33" s="132"/>
      <c r="AS33" s="132"/>
      <c r="AT33" s="132"/>
      <c r="AU33" s="132"/>
      <c r="AV33" s="127" t="s">
        <v>37</v>
      </c>
      <c r="AW33" s="127"/>
      <c r="AX33" s="127"/>
      <c r="AY33" s="127"/>
      <c r="AZ33" s="127"/>
      <c r="BA33" s="127"/>
      <c r="BB33" s="127"/>
      <c r="AMI33"/>
      <c r="AMJ33"/>
    </row>
    <row r="34" spans="2:1024" s="36" customFormat="1" ht="13.2" customHeight="1">
      <c r="B34" s="126">
        <v>14</v>
      </c>
      <c r="C34" s="126"/>
      <c r="D34" s="127" t="s">
        <v>84</v>
      </c>
      <c r="E34" s="127"/>
      <c r="F34" s="127"/>
      <c r="G34" s="127"/>
      <c r="H34" s="127"/>
      <c r="I34" s="127"/>
      <c r="J34" s="127"/>
      <c r="K34" s="127"/>
      <c r="L34" s="127"/>
      <c r="M34" s="130" t="s">
        <v>85</v>
      </c>
      <c r="N34" s="130"/>
      <c r="O34" s="130"/>
      <c r="P34" s="130"/>
      <c r="Q34" s="130"/>
      <c r="R34" s="130"/>
      <c r="S34" s="130"/>
      <c r="T34" s="130"/>
      <c r="U34" s="127" t="s">
        <v>143</v>
      </c>
      <c r="V34" s="127"/>
      <c r="W34" s="127"/>
      <c r="X34" s="127"/>
      <c r="Y34" s="127"/>
      <c r="Z34" s="127"/>
      <c r="AA34" s="127"/>
      <c r="AB34" s="127"/>
      <c r="AC34" s="127"/>
      <c r="AD34" s="127"/>
      <c r="AE34" s="127" t="s">
        <v>75</v>
      </c>
      <c r="AF34" s="127"/>
      <c r="AG34" s="127"/>
      <c r="AH34" s="127"/>
      <c r="AI34" s="127"/>
      <c r="AJ34" s="127"/>
      <c r="AK34" s="127"/>
      <c r="AL34" s="127"/>
      <c r="AM34" s="127"/>
      <c r="AN34" s="132" t="s">
        <v>37</v>
      </c>
      <c r="AO34" s="132"/>
      <c r="AP34" s="132"/>
      <c r="AQ34" s="132"/>
      <c r="AR34" s="132"/>
      <c r="AS34" s="132"/>
      <c r="AT34" s="132"/>
      <c r="AU34" s="132"/>
      <c r="AV34" s="127" t="s">
        <v>37</v>
      </c>
      <c r="AW34" s="127"/>
      <c r="AX34" s="127"/>
      <c r="AY34" s="127"/>
      <c r="AZ34" s="127"/>
      <c r="BA34" s="127"/>
      <c r="BB34" s="127"/>
      <c r="AMI34"/>
      <c r="AMJ34"/>
    </row>
    <row r="35" spans="2:1024" s="36" customFormat="1" ht="13.2" customHeight="1">
      <c r="B35" s="126">
        <v>15</v>
      </c>
      <c r="C35" s="126"/>
      <c r="D35" s="127" t="s">
        <v>144</v>
      </c>
      <c r="E35" s="127"/>
      <c r="F35" s="127"/>
      <c r="G35" s="127"/>
      <c r="H35" s="127"/>
      <c r="I35" s="127"/>
      <c r="J35" s="127"/>
      <c r="K35" s="127"/>
      <c r="L35" s="127"/>
      <c r="M35" s="130" t="s">
        <v>145</v>
      </c>
      <c r="N35" s="130"/>
      <c r="O35" s="130"/>
      <c r="P35" s="130"/>
      <c r="Q35" s="130"/>
      <c r="R35" s="130"/>
      <c r="S35" s="130"/>
      <c r="T35" s="130"/>
      <c r="U35" s="127" t="s">
        <v>143</v>
      </c>
      <c r="V35" s="127"/>
      <c r="W35" s="127"/>
      <c r="X35" s="127"/>
      <c r="Y35" s="127"/>
      <c r="Z35" s="127"/>
      <c r="AA35" s="127"/>
      <c r="AB35" s="127"/>
      <c r="AC35" s="127"/>
      <c r="AD35" s="127"/>
      <c r="AE35" s="127" t="s">
        <v>75</v>
      </c>
      <c r="AF35" s="127"/>
      <c r="AG35" s="127"/>
      <c r="AH35" s="127"/>
      <c r="AI35" s="127"/>
      <c r="AJ35" s="127"/>
      <c r="AK35" s="127"/>
      <c r="AL35" s="127"/>
      <c r="AM35" s="127"/>
      <c r="AN35" s="132" t="s">
        <v>37</v>
      </c>
      <c r="AO35" s="132"/>
      <c r="AP35" s="132"/>
      <c r="AQ35" s="132"/>
      <c r="AR35" s="132"/>
      <c r="AS35" s="132"/>
      <c r="AT35" s="132"/>
      <c r="AU35" s="132"/>
      <c r="AV35" s="127" t="s">
        <v>37</v>
      </c>
      <c r="AW35" s="127"/>
      <c r="AX35" s="127"/>
      <c r="AY35" s="127"/>
      <c r="AZ35" s="127"/>
      <c r="BA35" s="127"/>
      <c r="BB35" s="127"/>
      <c r="AMI35"/>
      <c r="AMJ35"/>
    </row>
    <row r="36" spans="2:1024" s="36" customFormat="1" ht="13.2" customHeight="1">
      <c r="B36" s="126">
        <v>16</v>
      </c>
      <c r="C36" s="126"/>
      <c r="D36" s="127" t="s">
        <v>64</v>
      </c>
      <c r="E36" s="127"/>
      <c r="F36" s="127"/>
      <c r="G36" s="127"/>
      <c r="H36" s="127"/>
      <c r="I36" s="127"/>
      <c r="J36" s="127"/>
      <c r="K36" s="127"/>
      <c r="L36" s="127"/>
      <c r="M36" s="130" t="s">
        <v>65</v>
      </c>
      <c r="N36" s="130"/>
      <c r="O36" s="130"/>
      <c r="P36" s="130"/>
      <c r="Q36" s="130"/>
      <c r="R36" s="130"/>
      <c r="S36" s="130"/>
      <c r="T36" s="130"/>
      <c r="U36" s="127" t="s">
        <v>66</v>
      </c>
      <c r="V36" s="127"/>
      <c r="W36" s="127"/>
      <c r="X36" s="127"/>
      <c r="Y36" s="127"/>
      <c r="Z36" s="127"/>
      <c r="AA36" s="127"/>
      <c r="AB36" s="127"/>
      <c r="AC36" s="127"/>
      <c r="AD36" s="127"/>
      <c r="AE36" s="127" t="s">
        <v>67</v>
      </c>
      <c r="AF36" s="127"/>
      <c r="AG36" s="127"/>
      <c r="AH36" s="127"/>
      <c r="AI36" s="127"/>
      <c r="AJ36" s="127"/>
      <c r="AK36" s="127"/>
      <c r="AL36" s="127"/>
      <c r="AM36" s="127"/>
      <c r="AN36" s="132" t="s">
        <v>37</v>
      </c>
      <c r="AO36" s="132"/>
      <c r="AP36" s="132"/>
      <c r="AQ36" s="132"/>
      <c r="AR36" s="132"/>
      <c r="AS36" s="132"/>
      <c r="AT36" s="132"/>
      <c r="AU36" s="132"/>
      <c r="AV36" s="127" t="s">
        <v>37</v>
      </c>
      <c r="AW36" s="127"/>
      <c r="AX36" s="127"/>
      <c r="AY36" s="127"/>
      <c r="AZ36" s="127"/>
      <c r="BA36" s="127"/>
      <c r="BB36" s="127"/>
      <c r="AMI36"/>
      <c r="AMJ36"/>
    </row>
    <row r="37" spans="2:1024" ht="13.2" customHeight="1">
      <c r="B37" s="126">
        <v>17</v>
      </c>
      <c r="C37" s="126"/>
      <c r="D37" s="127" t="s">
        <v>92</v>
      </c>
      <c r="E37" s="127"/>
      <c r="F37" s="127"/>
      <c r="G37" s="127"/>
      <c r="H37" s="127"/>
      <c r="I37" s="127"/>
      <c r="J37" s="127"/>
      <c r="K37" s="127"/>
      <c r="L37" s="127"/>
      <c r="M37" s="130" t="s">
        <v>93</v>
      </c>
      <c r="N37" s="130"/>
      <c r="O37" s="130"/>
      <c r="P37" s="130"/>
      <c r="Q37" s="130"/>
      <c r="R37" s="130"/>
      <c r="S37" s="130"/>
      <c r="T37" s="130"/>
      <c r="U37" s="127" t="s">
        <v>66</v>
      </c>
      <c r="V37" s="127"/>
      <c r="W37" s="127"/>
      <c r="X37" s="127"/>
      <c r="Y37" s="127"/>
      <c r="Z37" s="127"/>
      <c r="AA37" s="127"/>
      <c r="AB37" s="127"/>
      <c r="AC37" s="127"/>
      <c r="AD37" s="127"/>
      <c r="AE37" s="127" t="s">
        <v>67</v>
      </c>
      <c r="AF37" s="127"/>
      <c r="AG37" s="127"/>
      <c r="AH37" s="127"/>
      <c r="AI37" s="127"/>
      <c r="AJ37" s="127"/>
      <c r="AK37" s="127"/>
      <c r="AL37" s="127"/>
      <c r="AM37" s="127"/>
      <c r="AN37" s="132" t="s">
        <v>37</v>
      </c>
      <c r="AO37" s="132"/>
      <c r="AP37" s="132"/>
      <c r="AQ37" s="132"/>
      <c r="AR37" s="132"/>
      <c r="AS37" s="132"/>
      <c r="AT37" s="132"/>
      <c r="AU37" s="132"/>
      <c r="AV37" s="127" t="s">
        <v>37</v>
      </c>
      <c r="AW37" s="127"/>
      <c r="AX37" s="127"/>
      <c r="AY37" s="127"/>
      <c r="AZ37" s="127"/>
      <c r="BA37" s="127"/>
      <c r="BB37" s="127"/>
      <c r="BC37" s="36"/>
      <c r="BD37" s="36"/>
      <c r="BE37" s="36"/>
      <c r="BF37" s="36"/>
      <c r="BG37" s="36"/>
    </row>
    <row r="38" spans="2:1024" s="36" customFormat="1" ht="13.2" customHeight="1">
      <c r="B38" s="126">
        <v>18</v>
      </c>
      <c r="C38" s="126"/>
      <c r="D38" s="127" t="s">
        <v>76</v>
      </c>
      <c r="E38" s="127"/>
      <c r="F38" s="127"/>
      <c r="G38" s="127"/>
      <c r="H38" s="127"/>
      <c r="I38" s="127"/>
      <c r="J38" s="127"/>
      <c r="K38" s="127"/>
      <c r="L38" s="127"/>
      <c r="M38" s="130" t="s">
        <v>77</v>
      </c>
      <c r="N38" s="130"/>
      <c r="O38" s="130"/>
      <c r="P38" s="130"/>
      <c r="Q38" s="130"/>
      <c r="R38" s="130"/>
      <c r="S38" s="130"/>
      <c r="T38" s="130"/>
      <c r="U38" s="127" t="s">
        <v>78</v>
      </c>
      <c r="V38" s="127"/>
      <c r="W38" s="127"/>
      <c r="X38" s="127"/>
      <c r="Y38" s="127"/>
      <c r="Z38" s="127"/>
      <c r="AA38" s="127"/>
      <c r="AB38" s="127"/>
      <c r="AC38" s="127"/>
      <c r="AD38" s="127"/>
      <c r="AE38" s="127" t="s">
        <v>79</v>
      </c>
      <c r="AF38" s="127"/>
      <c r="AG38" s="127"/>
      <c r="AH38" s="127"/>
      <c r="AI38" s="127"/>
      <c r="AJ38" s="127"/>
      <c r="AK38" s="127"/>
      <c r="AL38" s="127"/>
      <c r="AM38" s="127"/>
      <c r="AN38" s="132" t="s">
        <v>37</v>
      </c>
      <c r="AO38" s="132"/>
      <c r="AP38" s="132"/>
      <c r="AQ38" s="132"/>
      <c r="AR38" s="132"/>
      <c r="AS38" s="132"/>
      <c r="AT38" s="132"/>
      <c r="AU38" s="132"/>
      <c r="AV38" s="127" t="s">
        <v>37</v>
      </c>
      <c r="AW38" s="127"/>
      <c r="AX38" s="127"/>
      <c r="AY38" s="127"/>
      <c r="AZ38" s="127"/>
      <c r="BA38" s="127"/>
      <c r="BB38" s="127"/>
      <c r="AMI38"/>
      <c r="AMJ38"/>
    </row>
    <row r="39" spans="2:1024" s="36" customFormat="1" ht="13.2" customHeight="1">
      <c r="B39" s="135">
        <v>19</v>
      </c>
      <c r="C39" s="136"/>
      <c r="D39" s="127" t="s">
        <v>146</v>
      </c>
      <c r="E39" s="127"/>
      <c r="F39" s="127"/>
      <c r="G39" s="127"/>
      <c r="H39" s="127"/>
      <c r="I39" s="127"/>
      <c r="J39" s="127"/>
      <c r="K39" s="127"/>
      <c r="L39" s="127"/>
      <c r="M39" s="130" t="s">
        <v>147</v>
      </c>
      <c r="N39" s="130"/>
      <c r="O39" s="130"/>
      <c r="P39" s="130"/>
      <c r="Q39" s="130"/>
      <c r="R39" s="130"/>
      <c r="S39" s="130"/>
      <c r="T39" s="130"/>
      <c r="U39" s="127" t="s">
        <v>149</v>
      </c>
      <c r="V39" s="127"/>
      <c r="W39" s="127"/>
      <c r="X39" s="127"/>
      <c r="Y39" s="127"/>
      <c r="Z39" s="127"/>
      <c r="AA39" s="127"/>
      <c r="AB39" s="127"/>
      <c r="AC39" s="127"/>
      <c r="AD39" s="127"/>
      <c r="AE39" s="127" t="s">
        <v>148</v>
      </c>
      <c r="AF39" s="127"/>
      <c r="AG39" s="127"/>
      <c r="AH39" s="127"/>
      <c r="AI39" s="127"/>
      <c r="AJ39" s="127"/>
      <c r="AK39" s="127"/>
      <c r="AL39" s="127"/>
      <c r="AM39" s="127"/>
      <c r="AN39" s="132" t="s">
        <v>37</v>
      </c>
      <c r="AO39" s="132"/>
      <c r="AP39" s="132"/>
      <c r="AQ39" s="132"/>
      <c r="AR39" s="132"/>
      <c r="AS39" s="132"/>
      <c r="AT39" s="132"/>
      <c r="AU39" s="132"/>
      <c r="AV39" s="127" t="s">
        <v>37</v>
      </c>
      <c r="AW39" s="127"/>
      <c r="AX39" s="127"/>
      <c r="AY39" s="127"/>
      <c r="AZ39" s="127"/>
      <c r="BA39" s="127"/>
      <c r="BB39" s="127"/>
      <c r="AMI39"/>
      <c r="AMJ39"/>
    </row>
    <row r="40" spans="2:1024" ht="13.2" customHeight="1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</row>
    <row r="41" spans="2:1024" ht="13.2" customHeight="1">
      <c r="B41" s="128" t="s">
        <v>20</v>
      </c>
      <c r="C41" s="128"/>
      <c r="D41" s="128" t="s">
        <v>94</v>
      </c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 t="s">
        <v>95</v>
      </c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36"/>
      <c r="BD41" s="36"/>
      <c r="BE41" s="36"/>
      <c r="BF41" s="36"/>
      <c r="BG41" s="36"/>
    </row>
    <row r="42" spans="2:1024" ht="13.2" customHeight="1">
      <c r="B42" s="126">
        <v>1</v>
      </c>
      <c r="C42" s="126"/>
      <c r="D42" s="127" t="s">
        <v>48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30" t="s">
        <v>37</v>
      </c>
      <c r="T42" s="130"/>
      <c r="U42" s="130"/>
      <c r="V42" s="130"/>
      <c r="W42" s="130"/>
      <c r="X42" s="130"/>
      <c r="Y42" s="130"/>
      <c r="Z42" s="130"/>
      <c r="AA42" s="127" t="s">
        <v>37</v>
      </c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36"/>
      <c r="BD42" s="36"/>
      <c r="BE42" s="36"/>
      <c r="BF42" s="36"/>
      <c r="BG42" s="36"/>
    </row>
    <row r="43" spans="2:1024" ht="35.4" customHeight="1">
      <c r="B43" s="126">
        <v>2</v>
      </c>
      <c r="C43" s="126"/>
      <c r="D43" s="127" t="s">
        <v>56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30" t="s">
        <v>96</v>
      </c>
      <c r="T43" s="130"/>
      <c r="U43" s="130"/>
      <c r="V43" s="130"/>
      <c r="W43" s="130"/>
      <c r="X43" s="130"/>
      <c r="Y43" s="130"/>
      <c r="Z43" s="130"/>
      <c r="AA43" s="131" t="s">
        <v>136</v>
      </c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36"/>
    </row>
    <row r="44" spans="2:1024" ht="35.4" customHeight="1">
      <c r="B44" s="126">
        <v>3</v>
      </c>
      <c r="C44" s="126"/>
      <c r="D44" s="127" t="s">
        <v>137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30" t="s">
        <v>97</v>
      </c>
      <c r="T44" s="130"/>
      <c r="U44" s="130"/>
      <c r="V44" s="130"/>
      <c r="W44" s="130"/>
      <c r="X44" s="130"/>
      <c r="Y44" s="130"/>
      <c r="Z44" s="130"/>
      <c r="AA44" s="131" t="s">
        <v>138</v>
      </c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36"/>
    </row>
    <row r="45" spans="2:1024" ht="35.4" customHeight="1">
      <c r="B45" s="126">
        <v>4</v>
      </c>
      <c r="C45" s="126"/>
      <c r="D45" s="127" t="s">
        <v>66</v>
      </c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30" t="s">
        <v>97</v>
      </c>
      <c r="T45" s="130"/>
      <c r="U45" s="130"/>
      <c r="V45" s="130"/>
      <c r="W45" s="130"/>
      <c r="X45" s="130"/>
      <c r="Y45" s="130"/>
      <c r="Z45" s="130"/>
      <c r="AA45" s="131" t="s">
        <v>139</v>
      </c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36"/>
    </row>
    <row r="46" spans="2:1024" ht="35.4" customHeight="1">
      <c r="B46" s="126">
        <v>5</v>
      </c>
      <c r="C46" s="126"/>
      <c r="D46" s="127" t="s">
        <v>70</v>
      </c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30" t="s">
        <v>97</v>
      </c>
      <c r="T46" s="130"/>
      <c r="U46" s="130"/>
      <c r="V46" s="130"/>
      <c r="W46" s="130"/>
      <c r="X46" s="130"/>
      <c r="Y46" s="130"/>
      <c r="Z46" s="130"/>
      <c r="AA46" s="131" t="s">
        <v>140</v>
      </c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36"/>
    </row>
    <row r="47" spans="2:1024" ht="35.4" customHeight="1">
      <c r="B47" s="126">
        <v>6</v>
      </c>
      <c r="C47" s="126"/>
      <c r="D47" s="127" t="s">
        <v>74</v>
      </c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30" t="s">
        <v>97</v>
      </c>
      <c r="T47" s="130"/>
      <c r="U47" s="130"/>
      <c r="V47" s="130"/>
      <c r="W47" s="130"/>
      <c r="X47" s="130"/>
      <c r="Y47" s="130"/>
      <c r="Z47" s="130"/>
      <c r="AA47" s="131" t="s">
        <v>141</v>
      </c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36"/>
    </row>
    <row r="48" spans="2:1024" ht="35.4" customHeight="1">
      <c r="B48" s="126">
        <v>7</v>
      </c>
      <c r="C48" s="126"/>
      <c r="D48" s="127" t="s">
        <v>78</v>
      </c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30" t="s">
        <v>97</v>
      </c>
      <c r="T48" s="130"/>
      <c r="U48" s="130"/>
      <c r="V48" s="130"/>
      <c r="W48" s="130"/>
      <c r="X48" s="130"/>
      <c r="Y48" s="130"/>
      <c r="Z48" s="130"/>
      <c r="AA48" s="131" t="s">
        <v>142</v>
      </c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36"/>
    </row>
    <row r="49" spans="2:1022" ht="35.4" customHeight="1">
      <c r="B49" s="126">
        <v>8</v>
      </c>
      <c r="C49" s="126"/>
      <c r="D49" s="127" t="s">
        <v>149</v>
      </c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30" t="s">
        <v>97</v>
      </c>
      <c r="T49" s="130"/>
      <c r="U49" s="130"/>
      <c r="V49" s="130"/>
      <c r="W49" s="130"/>
      <c r="X49" s="130"/>
      <c r="Y49" s="130"/>
      <c r="Z49" s="130"/>
      <c r="AA49" s="131" t="s">
        <v>150</v>
      </c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36"/>
    </row>
    <row r="50" spans="2:1022" ht="13.2" customHeight="1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</row>
    <row r="51" spans="2:1022" ht="13.2" customHeight="1">
      <c r="B51" s="128" t="s">
        <v>20</v>
      </c>
      <c r="C51" s="128"/>
      <c r="D51" s="128" t="s">
        <v>98</v>
      </c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1" t="s">
        <v>34</v>
      </c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36"/>
      <c r="AMH51" s="1"/>
    </row>
    <row r="52" spans="2:1022" ht="13.2" customHeight="1">
      <c r="B52" s="126">
        <v>1</v>
      </c>
      <c r="C52" s="126"/>
      <c r="D52" s="129" t="s">
        <v>99</v>
      </c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0" t="s">
        <v>37</v>
      </c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36"/>
      <c r="BD52" s="36"/>
      <c r="BE52" s="36"/>
      <c r="AMH52" s="1"/>
    </row>
    <row r="53" spans="2:1022" ht="13.2" customHeight="1">
      <c r="B53" s="126">
        <v>2</v>
      </c>
      <c r="C53" s="126"/>
      <c r="D53" s="129" t="s">
        <v>100</v>
      </c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0" t="s">
        <v>37</v>
      </c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36"/>
      <c r="BD53" s="36"/>
      <c r="BE53" s="36"/>
      <c r="AMH53" s="1"/>
    </row>
    <row r="54" spans="2:1022" ht="13.2" customHeight="1">
      <c r="B54" s="126">
        <v>3</v>
      </c>
      <c r="C54" s="126"/>
      <c r="D54" s="129" t="s">
        <v>135</v>
      </c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0" t="s">
        <v>37</v>
      </c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36"/>
      <c r="BD54" s="36"/>
      <c r="BE54" s="36"/>
      <c r="AMH54" s="1"/>
    </row>
    <row r="55" spans="2:1022" ht="13.2" customHeight="1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AMH55" s="1"/>
    </row>
    <row r="56" spans="2:1022" ht="13.2" customHeight="1">
      <c r="B56" s="128" t="s">
        <v>20</v>
      </c>
      <c r="C56" s="128"/>
      <c r="D56" s="128" t="s">
        <v>101</v>
      </c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1" t="s">
        <v>34</v>
      </c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36"/>
      <c r="BD56" s="36"/>
      <c r="BE56" s="36"/>
      <c r="AMH56" s="1"/>
    </row>
    <row r="57" spans="2:1022" ht="13.2" customHeight="1">
      <c r="B57" s="126" t="s">
        <v>37</v>
      </c>
      <c r="C57" s="126"/>
      <c r="D57" s="127" t="s">
        <v>37</v>
      </c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0" t="s">
        <v>37</v>
      </c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36"/>
      <c r="BD57" s="36"/>
      <c r="BE57" s="36"/>
      <c r="AMH57" s="1"/>
    </row>
    <row r="58" spans="2:1022" ht="13.2" customHeight="1">
      <c r="B58" s="40"/>
      <c r="C58" s="40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</row>
    <row r="59" spans="2:1022" ht="13.2" customHeight="1">
      <c r="B59" s="128" t="s">
        <v>20</v>
      </c>
      <c r="C59" s="128"/>
      <c r="D59" s="128" t="s">
        <v>102</v>
      </c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1" t="s">
        <v>34</v>
      </c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36"/>
      <c r="BD59" s="36"/>
      <c r="BE59" s="36"/>
      <c r="BF59" s="36"/>
      <c r="BG59" s="36"/>
    </row>
    <row r="60" spans="2:1022" ht="13.2" customHeight="1">
      <c r="B60" s="126" t="s">
        <v>37</v>
      </c>
      <c r="C60" s="126"/>
      <c r="D60" s="127" t="s">
        <v>37</v>
      </c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0" t="s">
        <v>37</v>
      </c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36"/>
      <c r="BD60" s="36"/>
      <c r="BE60" s="36"/>
      <c r="BF60" s="36"/>
      <c r="BG60" s="36"/>
    </row>
    <row r="62" spans="2:1022">
      <c r="B62" s="121" t="s">
        <v>20</v>
      </c>
      <c r="C62" s="121"/>
      <c r="D62" s="121" t="s">
        <v>103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 t="s">
        <v>104</v>
      </c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 t="s">
        <v>34</v>
      </c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</row>
    <row r="63" spans="2:1022">
      <c r="B63" s="115" t="s">
        <v>37</v>
      </c>
      <c r="C63" s="115"/>
      <c r="D63" s="125" t="s">
        <v>37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0" t="s">
        <v>37</v>
      </c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 t="s">
        <v>37</v>
      </c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</row>
  </sheetData>
  <mergeCells count="248">
    <mergeCell ref="AN29:AU29"/>
    <mergeCell ref="AV29:BB29"/>
    <mergeCell ref="B30:C30"/>
    <mergeCell ref="D30:L30"/>
    <mergeCell ref="B35:C35"/>
    <mergeCell ref="D35:L35"/>
    <mergeCell ref="M35:T35"/>
    <mergeCell ref="U35:AD35"/>
    <mergeCell ref="AE35:AM35"/>
    <mergeCell ref="AN35:AU35"/>
    <mergeCell ref="AV35:BB35"/>
    <mergeCell ref="B31:C31"/>
    <mergeCell ref="D31:L31"/>
    <mergeCell ref="M31:T31"/>
    <mergeCell ref="U31:AD31"/>
    <mergeCell ref="AE31:AM31"/>
    <mergeCell ref="AN31:AU31"/>
    <mergeCell ref="AV31:BB31"/>
    <mergeCell ref="AN32:AU32"/>
    <mergeCell ref="AV32:BB32"/>
    <mergeCell ref="B33:C33"/>
    <mergeCell ref="D33:L33"/>
    <mergeCell ref="B39:C39"/>
    <mergeCell ref="D39:L39"/>
    <mergeCell ref="M39:T39"/>
    <mergeCell ref="U39:AD39"/>
    <mergeCell ref="AE39:AM39"/>
    <mergeCell ref="AN39:AU39"/>
    <mergeCell ref="AV39:BB39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5:C25"/>
    <mergeCell ref="D25:L25"/>
    <mergeCell ref="M25:T25"/>
    <mergeCell ref="U25:AD25"/>
    <mergeCell ref="AE25:AM25"/>
    <mergeCell ref="AN25:AU25"/>
    <mergeCell ref="AV25:BB25"/>
    <mergeCell ref="B24:C24"/>
    <mergeCell ref="D24:L24"/>
    <mergeCell ref="M24:T24"/>
    <mergeCell ref="U24:AD24"/>
    <mergeCell ref="AE24:AM24"/>
    <mergeCell ref="AN24:AU24"/>
    <mergeCell ref="AV24:BB24"/>
    <mergeCell ref="AE37:AM37"/>
    <mergeCell ref="AN37:AU37"/>
    <mergeCell ref="AV37:BB37"/>
    <mergeCell ref="B36:C36"/>
    <mergeCell ref="D36:L36"/>
    <mergeCell ref="M36:T36"/>
    <mergeCell ref="U36:AD36"/>
    <mergeCell ref="AE36:AM36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U29:AD29"/>
    <mergeCell ref="AE29:AM29"/>
    <mergeCell ref="B28:C28"/>
    <mergeCell ref="B29:C29"/>
    <mergeCell ref="B34:C34"/>
    <mergeCell ref="D34:L34"/>
    <mergeCell ref="M34:T34"/>
    <mergeCell ref="U34:AD34"/>
    <mergeCell ref="AE34:AM34"/>
    <mergeCell ref="AN34:AU34"/>
    <mergeCell ref="AV34:BB34"/>
    <mergeCell ref="D28:L28"/>
    <mergeCell ref="M28:T28"/>
    <mergeCell ref="U28:AD28"/>
    <mergeCell ref="AE28:AM28"/>
    <mergeCell ref="AN28:AU28"/>
    <mergeCell ref="AV28:BB28"/>
    <mergeCell ref="D29:L29"/>
    <mergeCell ref="M29:T29"/>
    <mergeCell ref="M30:T30"/>
    <mergeCell ref="U30:AD30"/>
    <mergeCell ref="AE30:AM30"/>
    <mergeCell ref="AN30:AU30"/>
    <mergeCell ref="AV30:BB30"/>
    <mergeCell ref="M33:T33"/>
    <mergeCell ref="U33:AD33"/>
    <mergeCell ref="AN36:AU36"/>
    <mergeCell ref="AV36:BB36"/>
    <mergeCell ref="B32:C32"/>
    <mergeCell ref="D32:L32"/>
    <mergeCell ref="M32:T32"/>
    <mergeCell ref="U32:AD32"/>
    <mergeCell ref="AE32:AM32"/>
    <mergeCell ref="B41:C41"/>
    <mergeCell ref="D41:R41"/>
    <mergeCell ref="S41:BB41"/>
    <mergeCell ref="AE33:AM33"/>
    <mergeCell ref="AN33:AU33"/>
    <mergeCell ref="AV33:BB33"/>
    <mergeCell ref="B38:C38"/>
    <mergeCell ref="D38:L38"/>
    <mergeCell ref="M38:T38"/>
    <mergeCell ref="U38:AD38"/>
    <mergeCell ref="AE38:AM38"/>
    <mergeCell ref="AN38:AU38"/>
    <mergeCell ref="AV38:BB38"/>
    <mergeCell ref="B37:C37"/>
    <mergeCell ref="D37:L37"/>
    <mergeCell ref="M37:T37"/>
    <mergeCell ref="U37:AD37"/>
    <mergeCell ref="B42:C42"/>
    <mergeCell ref="D42:R42"/>
    <mergeCell ref="S42:Z42"/>
    <mergeCell ref="AA42:BB42"/>
    <mergeCell ref="B43:C43"/>
    <mergeCell ref="D43:R43"/>
    <mergeCell ref="S43:Z43"/>
    <mergeCell ref="AA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6:C46"/>
    <mergeCell ref="D46:R46"/>
    <mergeCell ref="S46:Z46"/>
    <mergeCell ref="AA46:BB46"/>
    <mergeCell ref="B47:C47"/>
    <mergeCell ref="D47:R47"/>
    <mergeCell ref="S47:Z47"/>
    <mergeCell ref="AA47:BB47"/>
    <mergeCell ref="B48:C48"/>
    <mergeCell ref="D48:R48"/>
    <mergeCell ref="S48:Z48"/>
    <mergeCell ref="AA48:BB48"/>
    <mergeCell ref="B51:C51"/>
    <mergeCell ref="D51:AK51"/>
    <mergeCell ref="AL51:BB51"/>
    <mergeCell ref="B52:C52"/>
    <mergeCell ref="D52:AK52"/>
    <mergeCell ref="AL52:BB52"/>
    <mergeCell ref="B49:C49"/>
    <mergeCell ref="D49:R49"/>
    <mergeCell ref="S49:Z49"/>
    <mergeCell ref="AA49:BB49"/>
    <mergeCell ref="B53:C53"/>
    <mergeCell ref="D53:AK53"/>
    <mergeCell ref="AL53:BB53"/>
    <mergeCell ref="B54:C54"/>
    <mergeCell ref="D54:AK54"/>
    <mergeCell ref="AL54:BB54"/>
    <mergeCell ref="B56:C56"/>
    <mergeCell ref="D56:AK56"/>
    <mergeCell ref="AL56:BB56"/>
    <mergeCell ref="B62:C62"/>
    <mergeCell ref="D62:N62"/>
    <mergeCell ref="O62:AK62"/>
    <mergeCell ref="AL62:BB62"/>
    <mergeCell ref="B63:C63"/>
    <mergeCell ref="D63:N63"/>
    <mergeCell ref="O63:AK63"/>
    <mergeCell ref="AL63:BB63"/>
    <mergeCell ref="B57:C57"/>
    <mergeCell ref="D57:AK57"/>
    <mergeCell ref="AL57:BB57"/>
    <mergeCell ref="B59:C59"/>
    <mergeCell ref="D59:AK59"/>
    <mergeCell ref="AL59:BB59"/>
    <mergeCell ref="B60:C60"/>
    <mergeCell ref="D60:AK60"/>
    <mergeCell ref="AL60:BB60"/>
  </mergeCells>
  <phoneticPr fontId="63"/>
  <dataValidations disablePrompts="1"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7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2" width="2.59765625" style="35"/>
  </cols>
  <sheetData>
    <row r="1" spans="1:1024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  <c r="AMI1"/>
      <c r="AMJ1"/>
    </row>
    <row r="2" spans="1:1024" s="29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44258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  <c r="AMI2"/>
      <c r="AMJ2"/>
    </row>
    <row r="3" spans="1:1024" s="29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  <c r="AMI3"/>
      <c r="AMJ3"/>
    </row>
    <row r="4" spans="1:1024" ht="13.2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2"/>
      <c r="AZ4" s="42"/>
      <c r="BA4" s="42"/>
      <c r="BB4" s="42"/>
      <c r="BC4" s="42"/>
    </row>
    <row r="5" spans="1:1024" s="36" customFormat="1" ht="13.2" customHeight="1">
      <c r="A5" s="42"/>
      <c r="B5" s="43" t="s">
        <v>27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AMI5"/>
      <c r="AMJ5"/>
    </row>
    <row r="6" spans="1:1024" s="36" customFormat="1" ht="13.2" customHeight="1">
      <c r="A6" s="42"/>
      <c r="B6" s="44"/>
      <c r="C6" s="42" t="s">
        <v>105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4"/>
      <c r="AZ6" s="44"/>
      <c r="BA6" s="44"/>
      <c r="BB6" s="44"/>
      <c r="BC6" s="44"/>
      <c r="AMI6"/>
      <c r="AMJ6"/>
    </row>
    <row r="7" spans="1:1024" s="36" customFormat="1" ht="13.2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4"/>
      <c r="AZ7" s="44"/>
      <c r="BA7" s="44"/>
      <c r="BB7" s="44"/>
      <c r="BC7" s="44"/>
      <c r="AMI7"/>
      <c r="AMJ7"/>
    </row>
    <row r="8" spans="1:1024" s="36" customFormat="1" ht="13.2" customHeight="1">
      <c r="A8" s="42"/>
      <c r="B8" s="137" t="s">
        <v>29</v>
      </c>
      <c r="C8" s="137"/>
      <c r="D8" s="137"/>
      <c r="E8" s="137"/>
      <c r="F8" s="137"/>
      <c r="G8" s="146" t="s">
        <v>30</v>
      </c>
      <c r="H8" s="146"/>
      <c r="I8" s="146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4"/>
      <c r="AZ8" s="44"/>
      <c r="BA8" s="44"/>
      <c r="BB8" s="44"/>
      <c r="BC8" s="44"/>
      <c r="AMI8"/>
      <c r="AMJ8"/>
    </row>
    <row r="9" spans="1:1024" s="36" customFormat="1" ht="13.2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4"/>
      <c r="AZ9" s="44"/>
      <c r="BA9" s="44"/>
      <c r="BB9" s="44"/>
      <c r="BC9" s="44"/>
      <c r="AMI9"/>
      <c r="AMJ9"/>
    </row>
    <row r="10" spans="1:1024" s="36" customFormat="1" ht="13.2" customHeight="1">
      <c r="A10" s="42"/>
      <c r="B10" s="44" t="s">
        <v>31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4"/>
      <c r="AZ10" s="44"/>
      <c r="BA10" s="44"/>
      <c r="BB10" s="44"/>
      <c r="BC10" s="44"/>
      <c r="AMI10"/>
      <c r="AMJ10"/>
    </row>
    <row r="11" spans="1:1024" s="36" customFormat="1" ht="13.2" customHeight="1">
      <c r="A11" s="42"/>
      <c r="B11" s="121" t="s">
        <v>20</v>
      </c>
      <c r="C11" s="121"/>
      <c r="D11" s="121" t="s">
        <v>32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 t="s">
        <v>33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 t="s">
        <v>34</v>
      </c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44"/>
      <c r="AMI11"/>
      <c r="AMJ11"/>
    </row>
    <row r="12" spans="1:1024" s="36" customFormat="1" ht="13.2" customHeight="1">
      <c r="A12" s="42"/>
      <c r="B12" s="121"/>
      <c r="C12" s="121"/>
      <c r="D12" s="121" t="s">
        <v>22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 t="s">
        <v>23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44"/>
      <c r="AMI12"/>
      <c r="AMJ12"/>
    </row>
    <row r="13" spans="1:1024" s="36" customFormat="1" ht="13.2" customHeight="1">
      <c r="A13" s="42"/>
      <c r="B13" s="143">
        <v>1</v>
      </c>
      <c r="C13" s="143"/>
      <c r="D13" s="145" t="s">
        <v>52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4" t="s">
        <v>106</v>
      </c>
      <c r="O13" s="144"/>
      <c r="P13" s="144"/>
      <c r="Q13" s="144"/>
      <c r="R13" s="144"/>
      <c r="S13" s="144"/>
      <c r="T13" s="144"/>
      <c r="U13" s="144"/>
      <c r="V13" s="144"/>
      <c r="W13" s="144"/>
      <c r="X13" s="144" t="s">
        <v>37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 t="s">
        <v>37</v>
      </c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44"/>
      <c r="AMI13"/>
      <c r="AMJ13"/>
    </row>
    <row r="14" spans="1:1024" s="36" customFormat="1" ht="13.2" customHeight="1">
      <c r="A14" s="42"/>
      <c r="B14" s="143">
        <v>2</v>
      </c>
      <c r="C14" s="143"/>
      <c r="D14" s="144" t="s">
        <v>40</v>
      </c>
      <c r="E14" s="144"/>
      <c r="F14" s="144"/>
      <c r="G14" s="144"/>
      <c r="H14" s="144"/>
      <c r="I14" s="144"/>
      <c r="J14" s="144"/>
      <c r="K14" s="144"/>
      <c r="L14" s="144"/>
      <c r="M14" s="144"/>
      <c r="N14" s="144" t="s">
        <v>41</v>
      </c>
      <c r="O14" s="144"/>
      <c r="P14" s="144"/>
      <c r="Q14" s="144"/>
      <c r="R14" s="144"/>
      <c r="S14" s="144"/>
      <c r="T14" s="144"/>
      <c r="U14" s="144"/>
      <c r="V14" s="144"/>
      <c r="W14" s="144"/>
      <c r="X14" s="144" t="s">
        <v>37</v>
      </c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 t="s">
        <v>37</v>
      </c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44"/>
      <c r="AMI14"/>
      <c r="AMJ14"/>
    </row>
    <row r="15" spans="1:1024" s="36" customFormat="1" ht="13.2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4"/>
      <c r="AMI15"/>
      <c r="AMJ15"/>
    </row>
    <row r="16" spans="1:1024" s="36" customFormat="1" ht="13.2" customHeight="1">
      <c r="A16" s="42"/>
      <c r="B16" s="42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AMI16"/>
      <c r="AMJ16"/>
    </row>
    <row r="17" spans="1:1024" s="36" customFormat="1" ht="13.2" customHeight="1">
      <c r="A17" s="42"/>
      <c r="B17" s="133" t="s">
        <v>43</v>
      </c>
      <c r="C17" s="133"/>
      <c r="D17" s="133"/>
      <c r="E17" s="133"/>
      <c r="F17" s="133"/>
      <c r="G17" s="133"/>
      <c r="H17" s="142" t="s">
        <v>44</v>
      </c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AMI17"/>
      <c r="AMJ17"/>
    </row>
    <row r="18" spans="1:1024" s="36" customFormat="1" ht="13.2" customHeight="1">
      <c r="A18" s="42"/>
      <c r="B18" s="128" t="s">
        <v>20</v>
      </c>
      <c r="C18" s="128"/>
      <c r="D18" s="128" t="s">
        <v>32</v>
      </c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 t="s">
        <v>45</v>
      </c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 t="s">
        <v>33</v>
      </c>
      <c r="AO18" s="128"/>
      <c r="AP18" s="128"/>
      <c r="AQ18" s="128"/>
      <c r="AR18" s="128"/>
      <c r="AS18" s="128"/>
      <c r="AT18" s="128"/>
      <c r="AU18" s="128"/>
      <c r="AV18" s="128" t="s">
        <v>34</v>
      </c>
      <c r="AW18" s="128"/>
      <c r="AX18" s="128"/>
      <c r="AY18" s="128"/>
      <c r="AZ18" s="128"/>
      <c r="BA18" s="128"/>
      <c r="BB18" s="128"/>
      <c r="BC18" s="42"/>
      <c r="AMI18"/>
      <c r="AMJ18"/>
    </row>
    <row r="19" spans="1:1024" s="36" customFormat="1" ht="13.2" customHeight="1">
      <c r="A19" s="42"/>
      <c r="B19" s="128"/>
      <c r="C19" s="128"/>
      <c r="D19" s="128" t="s">
        <v>22</v>
      </c>
      <c r="E19" s="128"/>
      <c r="F19" s="128"/>
      <c r="G19" s="128"/>
      <c r="H19" s="128"/>
      <c r="I19" s="128"/>
      <c r="J19" s="128"/>
      <c r="K19" s="128"/>
      <c r="L19" s="128"/>
      <c r="M19" s="128" t="s">
        <v>23</v>
      </c>
      <c r="N19" s="128"/>
      <c r="O19" s="128"/>
      <c r="P19" s="128"/>
      <c r="Q19" s="128"/>
      <c r="R19" s="128"/>
      <c r="S19" s="128"/>
      <c r="T19" s="128"/>
      <c r="U19" s="128" t="s">
        <v>22</v>
      </c>
      <c r="V19" s="128"/>
      <c r="W19" s="128"/>
      <c r="X19" s="128"/>
      <c r="Y19" s="128"/>
      <c r="Z19" s="128"/>
      <c r="AA19" s="128"/>
      <c r="AB19" s="128"/>
      <c r="AC19" s="128"/>
      <c r="AD19" s="128"/>
      <c r="AE19" s="128" t="s">
        <v>23</v>
      </c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42"/>
      <c r="AMI19"/>
      <c r="AMJ19"/>
    </row>
    <row r="20" spans="1:1024" s="36" customFormat="1" ht="13.2" customHeight="1">
      <c r="A20" s="42"/>
      <c r="B20" s="139" t="s">
        <v>107</v>
      </c>
      <c r="C20" s="139"/>
      <c r="D20" s="139" t="s">
        <v>46</v>
      </c>
      <c r="E20" s="139"/>
      <c r="F20" s="139"/>
      <c r="G20" s="139"/>
      <c r="H20" s="139"/>
      <c r="I20" s="139"/>
      <c r="J20" s="139"/>
      <c r="K20" s="139"/>
      <c r="L20" s="139"/>
      <c r="M20" s="139" t="s">
        <v>47</v>
      </c>
      <c r="N20" s="139"/>
      <c r="O20" s="139"/>
      <c r="P20" s="139"/>
      <c r="Q20" s="139"/>
      <c r="R20" s="139"/>
      <c r="S20" s="139"/>
      <c r="T20" s="139"/>
      <c r="U20" s="139" t="s">
        <v>48</v>
      </c>
      <c r="V20" s="139"/>
      <c r="W20" s="139"/>
      <c r="X20" s="139"/>
      <c r="Y20" s="139"/>
      <c r="Z20" s="139"/>
      <c r="AA20" s="139"/>
      <c r="AB20" s="139"/>
      <c r="AC20" s="139"/>
      <c r="AD20" s="139"/>
      <c r="AE20" s="139" t="s">
        <v>49</v>
      </c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42"/>
      <c r="AMI20"/>
      <c r="AMJ20"/>
    </row>
    <row r="21" spans="1:1024" ht="13.2" customHeight="1">
      <c r="A21" s="45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36"/>
      <c r="BE21" s="36"/>
      <c r="BF21" s="36"/>
      <c r="BG21" s="36"/>
    </row>
    <row r="22" spans="1:1024" ht="13.2" customHeight="1">
      <c r="A22" s="45"/>
      <c r="B22" s="128" t="s">
        <v>20</v>
      </c>
      <c r="C22" s="128"/>
      <c r="D22" s="128" t="s">
        <v>94</v>
      </c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 t="s">
        <v>95</v>
      </c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42"/>
      <c r="BD22" s="36"/>
      <c r="BE22" s="36"/>
      <c r="BF22" s="36"/>
      <c r="BG22" s="36"/>
    </row>
    <row r="23" spans="1:1024" ht="13.2" customHeight="1">
      <c r="A23" s="45"/>
      <c r="B23" s="139" t="s">
        <v>107</v>
      </c>
      <c r="C23" s="139"/>
      <c r="D23" s="139" t="s">
        <v>108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 t="s">
        <v>37</v>
      </c>
      <c r="T23" s="139"/>
      <c r="U23" s="139"/>
      <c r="V23" s="139"/>
      <c r="W23" s="139"/>
      <c r="X23" s="139"/>
      <c r="Y23" s="139"/>
      <c r="Z23" s="139"/>
      <c r="AA23" s="139" t="s">
        <v>37</v>
      </c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42"/>
      <c r="BD23" s="36"/>
      <c r="BE23" s="36"/>
      <c r="BF23" s="36"/>
      <c r="BG23" s="36"/>
    </row>
    <row r="24" spans="1:1024" ht="13.2" customHeight="1">
      <c r="A24" s="45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</row>
    <row r="25" spans="1:1024" ht="13.2" customHeight="1">
      <c r="A25" s="45"/>
      <c r="B25" s="128" t="s">
        <v>20</v>
      </c>
      <c r="C25" s="128"/>
      <c r="D25" s="128" t="s">
        <v>98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1" t="s">
        <v>34</v>
      </c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42"/>
      <c r="AMH25" s="1"/>
    </row>
    <row r="26" spans="1:1024" ht="13.2" customHeight="1">
      <c r="A26" s="45"/>
      <c r="B26" s="140">
        <v>1</v>
      </c>
      <c r="C26" s="140"/>
      <c r="D26" s="141" t="s">
        <v>109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2" t="s">
        <v>37</v>
      </c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42"/>
      <c r="BD26" s="36"/>
      <c r="BE26" s="36"/>
      <c r="AMH26" s="1"/>
    </row>
    <row r="27" spans="1:1024" ht="13.2" customHeight="1">
      <c r="A27" s="45"/>
      <c r="B27" s="140">
        <v>2</v>
      </c>
      <c r="C27" s="140"/>
      <c r="D27" s="141" t="s">
        <v>110</v>
      </c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2" t="s">
        <v>37</v>
      </c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42"/>
      <c r="BD27" s="36"/>
      <c r="BE27" s="36"/>
      <c r="AMH27" s="1"/>
    </row>
    <row r="28" spans="1:1024" ht="13.2" customHeight="1">
      <c r="A28" s="4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36"/>
      <c r="BE28" s="36"/>
      <c r="AMH28" s="1"/>
    </row>
    <row r="29" spans="1:1024" ht="13.2" customHeight="1">
      <c r="A29" s="45"/>
      <c r="B29" s="128" t="s">
        <v>20</v>
      </c>
      <c r="C29" s="128"/>
      <c r="D29" s="128" t="s">
        <v>101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1" t="s">
        <v>34</v>
      </c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42"/>
      <c r="BD29" s="36"/>
      <c r="BE29" s="36"/>
      <c r="AMH29" s="1"/>
    </row>
    <row r="30" spans="1:1024" ht="13.2" customHeight="1">
      <c r="A30" s="45"/>
      <c r="B30" s="139" t="s">
        <v>107</v>
      </c>
      <c r="C30" s="139"/>
      <c r="D30" s="139" t="s">
        <v>111</v>
      </c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 t="s">
        <v>37</v>
      </c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42"/>
      <c r="BD30" s="36"/>
      <c r="BE30" s="36"/>
      <c r="AMH30" s="1"/>
    </row>
    <row r="31" spans="1:1024" ht="13.2" customHeight="1">
      <c r="A31" s="45"/>
      <c r="B31" s="46"/>
      <c r="C31" s="46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36"/>
      <c r="BE31" s="36"/>
      <c r="BF31" s="36"/>
      <c r="BG31" s="36"/>
    </row>
    <row r="32" spans="1:1024" ht="13.2" customHeight="1">
      <c r="A32" s="45"/>
      <c r="B32" s="128" t="s">
        <v>20</v>
      </c>
      <c r="C32" s="128"/>
      <c r="D32" s="128" t="s">
        <v>102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1" t="s">
        <v>34</v>
      </c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42"/>
      <c r="BD32" s="36"/>
      <c r="BE32" s="36"/>
      <c r="BF32" s="36"/>
      <c r="BG32" s="36"/>
    </row>
    <row r="33" spans="1:59" ht="13.2" customHeight="1">
      <c r="A33" s="45"/>
      <c r="B33" s="139" t="s">
        <v>107</v>
      </c>
      <c r="C33" s="139"/>
      <c r="D33" s="139" t="s">
        <v>111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 t="s">
        <v>37</v>
      </c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42"/>
      <c r="BD33" s="36"/>
      <c r="BE33" s="36"/>
      <c r="BF33" s="36"/>
      <c r="BG33" s="36"/>
    </row>
    <row r="34" spans="1:59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</row>
    <row r="35" spans="1:59">
      <c r="A35" s="45"/>
      <c r="B35" s="121" t="s">
        <v>20</v>
      </c>
      <c r="C35" s="121"/>
      <c r="D35" s="121" t="s">
        <v>103</v>
      </c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 t="s">
        <v>104</v>
      </c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 t="s">
        <v>34</v>
      </c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45"/>
    </row>
    <row r="36" spans="1:59">
      <c r="A36" s="45"/>
      <c r="B36" s="139" t="s">
        <v>107</v>
      </c>
      <c r="C36" s="139"/>
      <c r="D36" s="139" t="s">
        <v>37</v>
      </c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 t="s">
        <v>37</v>
      </c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 t="s">
        <v>37</v>
      </c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45"/>
    </row>
    <row r="37" spans="1:59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</row>
  </sheetData>
  <mergeCells count="70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BB20"/>
    <mergeCell ref="B22:C22"/>
    <mergeCell ref="D22:R22"/>
    <mergeCell ref="S22:BB22"/>
    <mergeCell ref="B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BB30"/>
    <mergeCell ref="B32:C32"/>
    <mergeCell ref="D32:AK32"/>
    <mergeCell ref="AL32:BB32"/>
    <mergeCell ref="B33:BB33"/>
    <mergeCell ref="B35:C35"/>
    <mergeCell ref="D35:N35"/>
    <mergeCell ref="O35:AK35"/>
    <mergeCell ref="AL35:BB35"/>
    <mergeCell ref="B36:BB36"/>
  </mergeCells>
  <phoneticPr fontId="63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MH34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2" width="2.59765625" style="35"/>
  </cols>
  <sheetData>
    <row r="1" spans="1:55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</row>
    <row r="2" spans="1:55" s="29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44274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</row>
    <row r="3" spans="1:55" s="29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</row>
    <row r="4" spans="1:55" ht="13.2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2"/>
      <c r="AZ4" s="42"/>
      <c r="BA4" s="42"/>
      <c r="BB4" s="42"/>
      <c r="BC4" s="42"/>
    </row>
    <row r="5" spans="1:55" s="36" customFormat="1" ht="13.2" customHeight="1">
      <c r="A5" s="42"/>
      <c r="B5" s="43" t="s">
        <v>27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</row>
    <row r="6" spans="1:55" s="36" customFormat="1" ht="13.2" customHeight="1">
      <c r="A6" s="42"/>
      <c r="B6" s="44"/>
      <c r="C6" s="44" t="s">
        <v>112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</row>
    <row r="7" spans="1:55" s="36" customFormat="1" ht="13.2" customHeight="1">
      <c r="A7" s="4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</row>
    <row r="8" spans="1:55" s="36" customFormat="1" ht="13.2" customHeight="1">
      <c r="A8" s="42"/>
      <c r="B8" s="137" t="s">
        <v>29</v>
      </c>
      <c r="C8" s="137"/>
      <c r="D8" s="137"/>
      <c r="E8" s="137"/>
      <c r="F8" s="137"/>
      <c r="G8" s="146" t="s">
        <v>113</v>
      </c>
      <c r="H8" s="146"/>
      <c r="I8" s="146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</row>
    <row r="9" spans="1:55" s="36" customFormat="1" ht="13.2" customHeight="1">
      <c r="A9" s="4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</row>
    <row r="10" spans="1:55" s="36" customFormat="1" ht="13.2" customHeight="1">
      <c r="A10" s="42"/>
      <c r="B10" s="44" t="s">
        <v>31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</row>
    <row r="11" spans="1:55" s="36" customFormat="1" ht="13.2" customHeight="1">
      <c r="A11" s="42"/>
      <c r="B11" s="121" t="s">
        <v>20</v>
      </c>
      <c r="C11" s="121"/>
      <c r="D11" s="121" t="s">
        <v>32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 t="s">
        <v>33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 t="s">
        <v>34</v>
      </c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44"/>
    </row>
    <row r="12" spans="1:55" s="36" customFormat="1" ht="13.2" customHeight="1">
      <c r="A12" s="42"/>
      <c r="B12" s="121"/>
      <c r="C12" s="121"/>
      <c r="D12" s="121" t="s">
        <v>22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 t="s">
        <v>23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44"/>
    </row>
    <row r="13" spans="1:55" s="36" customFormat="1" ht="21.6" customHeight="1">
      <c r="A13" s="42"/>
      <c r="B13" s="143">
        <v>1</v>
      </c>
      <c r="C13" s="143"/>
      <c r="D13" s="152" t="s">
        <v>114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44" t="s">
        <v>115</v>
      </c>
      <c r="O13" s="144"/>
      <c r="P13" s="144"/>
      <c r="Q13" s="144"/>
      <c r="R13" s="144"/>
      <c r="S13" s="144"/>
      <c r="T13" s="144"/>
      <c r="U13" s="144"/>
      <c r="V13" s="144"/>
      <c r="W13" s="144"/>
      <c r="X13" s="149" t="s">
        <v>37</v>
      </c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 t="s">
        <v>37</v>
      </c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44"/>
    </row>
    <row r="14" spans="1:55" s="36" customFormat="1" ht="13.2" customHeight="1">
      <c r="A14" s="42"/>
      <c r="B14" s="44"/>
      <c r="C14" s="44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4"/>
    </row>
    <row r="15" spans="1:55" s="36" customFormat="1" ht="13.2" customHeight="1">
      <c r="A15" s="42"/>
      <c r="B15" s="42" t="s">
        <v>42</v>
      </c>
      <c r="C15" s="42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2"/>
    </row>
    <row r="16" spans="1:55" s="36" customFormat="1" ht="13.2" customHeight="1">
      <c r="A16" s="42"/>
      <c r="B16" s="133" t="s">
        <v>43</v>
      </c>
      <c r="C16" s="133"/>
      <c r="D16" s="133"/>
      <c r="E16" s="133"/>
      <c r="F16" s="133"/>
      <c r="G16" s="133"/>
      <c r="H16" s="142" t="s">
        <v>191</v>
      </c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2"/>
    </row>
    <row r="17" spans="1:1022" s="36" customFormat="1" ht="13.2" customHeight="1">
      <c r="A17" s="42"/>
      <c r="B17" s="128" t="s">
        <v>20</v>
      </c>
      <c r="C17" s="128"/>
      <c r="D17" s="128" t="s">
        <v>32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 t="s">
        <v>45</v>
      </c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 t="s">
        <v>33</v>
      </c>
      <c r="AO17" s="128"/>
      <c r="AP17" s="128"/>
      <c r="AQ17" s="128"/>
      <c r="AR17" s="128"/>
      <c r="AS17" s="128"/>
      <c r="AT17" s="128"/>
      <c r="AU17" s="128"/>
      <c r="AV17" s="128" t="s">
        <v>34</v>
      </c>
      <c r="AW17" s="128"/>
      <c r="AX17" s="128"/>
      <c r="AY17" s="128"/>
      <c r="AZ17" s="128"/>
      <c r="BA17" s="128"/>
      <c r="BB17" s="128"/>
      <c r="BC17" s="42"/>
    </row>
    <row r="18" spans="1:1022" s="36" customFormat="1" ht="13.2" customHeight="1">
      <c r="A18" s="42"/>
      <c r="B18" s="128"/>
      <c r="C18" s="128"/>
      <c r="D18" s="128" t="s">
        <v>22</v>
      </c>
      <c r="E18" s="128"/>
      <c r="F18" s="128"/>
      <c r="G18" s="128"/>
      <c r="H18" s="128"/>
      <c r="I18" s="128"/>
      <c r="J18" s="128"/>
      <c r="K18" s="128"/>
      <c r="L18" s="128"/>
      <c r="M18" s="128" t="s">
        <v>23</v>
      </c>
      <c r="N18" s="128"/>
      <c r="O18" s="128"/>
      <c r="P18" s="128"/>
      <c r="Q18" s="128"/>
      <c r="R18" s="128"/>
      <c r="S18" s="128"/>
      <c r="T18" s="128"/>
      <c r="U18" s="128" t="s">
        <v>22</v>
      </c>
      <c r="V18" s="128"/>
      <c r="W18" s="128"/>
      <c r="X18" s="128"/>
      <c r="Y18" s="128"/>
      <c r="Z18" s="128"/>
      <c r="AA18" s="128"/>
      <c r="AB18" s="128"/>
      <c r="AC18" s="128"/>
      <c r="AD18" s="128"/>
      <c r="AE18" s="128" t="s">
        <v>23</v>
      </c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42"/>
    </row>
    <row r="19" spans="1:1022" s="36" customFormat="1" ht="13.2" customHeight="1">
      <c r="A19" s="42"/>
      <c r="B19" s="140">
        <v>1</v>
      </c>
      <c r="C19" s="140"/>
      <c r="D19" s="151" t="s">
        <v>117</v>
      </c>
      <c r="E19" s="151"/>
      <c r="F19" s="151"/>
      <c r="G19" s="151"/>
      <c r="H19" s="151"/>
      <c r="I19" s="151"/>
      <c r="J19" s="151"/>
      <c r="K19" s="151"/>
      <c r="L19" s="151"/>
      <c r="M19" s="145" t="s">
        <v>37</v>
      </c>
      <c r="N19" s="145"/>
      <c r="O19" s="145"/>
      <c r="P19" s="145"/>
      <c r="Q19" s="145"/>
      <c r="R19" s="145"/>
      <c r="S19" s="145"/>
      <c r="T19" s="145"/>
      <c r="U19" s="151" t="s">
        <v>37</v>
      </c>
      <c r="V19" s="151"/>
      <c r="W19" s="151"/>
      <c r="X19" s="151"/>
      <c r="Y19" s="151"/>
      <c r="Z19" s="151"/>
      <c r="AA19" s="151"/>
      <c r="AB19" s="151"/>
      <c r="AC19" s="151"/>
      <c r="AD19" s="151"/>
      <c r="AE19" s="151" t="s">
        <v>37</v>
      </c>
      <c r="AF19" s="151"/>
      <c r="AG19" s="151"/>
      <c r="AH19" s="151"/>
      <c r="AI19" s="151"/>
      <c r="AJ19" s="151"/>
      <c r="AK19" s="151"/>
      <c r="AL19" s="151"/>
      <c r="AM19" s="151"/>
      <c r="AN19" s="150" t="s">
        <v>37</v>
      </c>
      <c r="AO19" s="150"/>
      <c r="AP19" s="150"/>
      <c r="AQ19" s="150"/>
      <c r="AR19" s="150"/>
      <c r="AS19" s="150"/>
      <c r="AT19" s="150"/>
      <c r="AU19" s="150"/>
      <c r="AV19" s="151" t="s">
        <v>37</v>
      </c>
      <c r="AW19" s="151"/>
      <c r="AX19" s="151"/>
      <c r="AY19" s="151"/>
      <c r="AZ19" s="151"/>
      <c r="BA19" s="151"/>
      <c r="BB19" s="151"/>
      <c r="BC19" s="42"/>
    </row>
    <row r="20" spans="1:1022" ht="13.2" customHeight="1">
      <c r="A20" s="45"/>
      <c r="B20" s="42"/>
      <c r="C20" s="42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2"/>
      <c r="BD20" s="36"/>
      <c r="BE20" s="36"/>
      <c r="BF20" s="36"/>
      <c r="BG20" s="36"/>
    </row>
    <row r="21" spans="1:1022" ht="13.2" customHeight="1">
      <c r="A21" s="45"/>
      <c r="B21" s="128" t="s">
        <v>20</v>
      </c>
      <c r="C21" s="128"/>
      <c r="D21" s="128" t="s">
        <v>94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 t="s">
        <v>95</v>
      </c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42"/>
      <c r="BD21" s="36"/>
      <c r="BE21" s="36"/>
      <c r="BF21" s="36"/>
      <c r="BG21" s="36"/>
    </row>
    <row r="22" spans="1:1022" ht="13.2" customHeight="1">
      <c r="A22" s="45"/>
      <c r="B22" s="140">
        <v>1</v>
      </c>
      <c r="C22" s="140"/>
      <c r="D22" s="148" t="s">
        <v>118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9" t="s">
        <v>37</v>
      </c>
      <c r="T22" s="149"/>
      <c r="U22" s="149"/>
      <c r="V22" s="149"/>
      <c r="W22" s="149"/>
      <c r="X22" s="149"/>
      <c r="Y22" s="149"/>
      <c r="Z22" s="149"/>
      <c r="AA22" s="147" t="s">
        <v>37</v>
      </c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42"/>
      <c r="BD22" s="36"/>
      <c r="BE22" s="36"/>
      <c r="BF22" s="36"/>
      <c r="BG22" s="36"/>
    </row>
    <row r="23" spans="1:1022" ht="13.2" customHeight="1">
      <c r="A23" s="45"/>
      <c r="B23" s="42"/>
      <c r="C23" s="42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2"/>
    </row>
    <row r="24" spans="1:1022" ht="13.2" customHeight="1">
      <c r="A24" s="45"/>
      <c r="B24" s="128" t="s">
        <v>20</v>
      </c>
      <c r="C24" s="128"/>
      <c r="D24" s="128" t="s">
        <v>98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1" t="s">
        <v>34</v>
      </c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42"/>
      <c r="AMH24" s="1"/>
    </row>
    <row r="25" spans="1:1022" ht="13.2" customHeight="1">
      <c r="A25" s="45"/>
      <c r="B25" s="143" t="s">
        <v>37</v>
      </c>
      <c r="C25" s="143"/>
      <c r="D25" s="141" t="s">
        <v>37</v>
      </c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2" t="s">
        <v>37</v>
      </c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42"/>
      <c r="BD25" s="36"/>
      <c r="BE25" s="36"/>
      <c r="AMH25" s="1"/>
    </row>
    <row r="26" spans="1:1022" ht="13.2" customHeight="1">
      <c r="A26" s="45"/>
      <c r="B26" s="44"/>
      <c r="C26" s="44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2"/>
      <c r="BD26" s="36"/>
      <c r="BE26" s="36"/>
      <c r="AMH26" s="1"/>
    </row>
    <row r="27" spans="1:1022" ht="13.2" customHeight="1">
      <c r="A27" s="45"/>
      <c r="B27" s="128" t="s">
        <v>20</v>
      </c>
      <c r="C27" s="128"/>
      <c r="D27" s="128" t="s">
        <v>101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1" t="s">
        <v>34</v>
      </c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42"/>
      <c r="BD27" s="36"/>
      <c r="BE27" s="36"/>
      <c r="AMH27" s="1"/>
    </row>
    <row r="28" spans="1:1022" ht="13.2" customHeight="1">
      <c r="A28" s="45"/>
      <c r="B28" s="140" t="s">
        <v>37</v>
      </c>
      <c r="C28" s="140"/>
      <c r="D28" s="147" t="s">
        <v>37</v>
      </c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2" t="s">
        <v>37</v>
      </c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42"/>
      <c r="BD28" s="36"/>
      <c r="BE28" s="36"/>
      <c r="AMH28" s="1"/>
    </row>
    <row r="29" spans="1:1022" ht="13.2" customHeight="1">
      <c r="A29" s="45"/>
      <c r="B29" s="46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2"/>
      <c r="BD29" s="36"/>
      <c r="BE29" s="36"/>
      <c r="BF29" s="36"/>
      <c r="BG29" s="36"/>
    </row>
    <row r="30" spans="1:1022" ht="13.2" customHeight="1">
      <c r="A30" s="45"/>
      <c r="B30" s="128" t="s">
        <v>20</v>
      </c>
      <c r="C30" s="128"/>
      <c r="D30" s="128" t="s">
        <v>102</v>
      </c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1" t="s">
        <v>34</v>
      </c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42"/>
      <c r="BD30" s="36"/>
      <c r="BE30" s="36"/>
      <c r="BF30" s="36"/>
      <c r="BG30" s="36"/>
    </row>
    <row r="31" spans="1:1022" ht="13.2" customHeight="1">
      <c r="A31" s="45"/>
      <c r="B31" s="140" t="s">
        <v>37</v>
      </c>
      <c r="C31" s="140"/>
      <c r="D31" s="147" t="s">
        <v>37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2" t="s">
        <v>37</v>
      </c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42"/>
      <c r="BD31" s="36"/>
      <c r="BE31" s="36"/>
      <c r="BF31" s="36"/>
      <c r="BG31" s="36"/>
    </row>
    <row r="32" spans="1:102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</row>
    <row r="33" spans="1:55">
      <c r="A33" s="45"/>
      <c r="B33" s="121" t="s">
        <v>20</v>
      </c>
      <c r="C33" s="121"/>
      <c r="D33" s="121" t="s">
        <v>103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 t="s">
        <v>104</v>
      </c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 t="s">
        <v>34</v>
      </c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45"/>
    </row>
    <row r="34" spans="1:55">
      <c r="A34" s="45"/>
      <c r="B34" s="143" t="s">
        <v>37</v>
      </c>
      <c r="C34" s="143"/>
      <c r="D34" s="147" t="s">
        <v>37</v>
      </c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 t="s">
        <v>37</v>
      </c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2" t="s">
        <v>37</v>
      </c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45"/>
    </row>
  </sheetData>
  <mergeCells count="78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</mergeCells>
  <phoneticPr fontId="63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colBreaks count="1" manualBreakCount="1">
    <brk id="55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MH40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2" width="2.59765625" style="35"/>
  </cols>
  <sheetData>
    <row r="1" spans="1:55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</row>
    <row r="2" spans="1:55" s="29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44274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</row>
    <row r="3" spans="1:55" s="29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</row>
    <row r="4" spans="1:55" ht="13.2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2"/>
      <c r="AZ4" s="42"/>
      <c r="BA4" s="42"/>
      <c r="BB4" s="42"/>
      <c r="BC4" s="42"/>
    </row>
    <row r="5" spans="1:55" s="36" customFormat="1" ht="13.2" customHeight="1">
      <c r="A5" s="42"/>
      <c r="B5" s="43" t="s">
        <v>27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</row>
    <row r="6" spans="1:55" s="36" customFormat="1" ht="13.2" customHeight="1">
      <c r="A6" s="42"/>
      <c r="B6" s="44"/>
      <c r="C6" s="44" t="s">
        <v>119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</row>
    <row r="7" spans="1:55" s="36" customFormat="1" ht="13.2" customHeight="1">
      <c r="A7" s="4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</row>
    <row r="8" spans="1:55" s="36" customFormat="1" ht="13.2" customHeight="1">
      <c r="A8" s="42"/>
      <c r="B8" s="137" t="s">
        <v>29</v>
      </c>
      <c r="C8" s="137"/>
      <c r="D8" s="137"/>
      <c r="E8" s="137"/>
      <c r="F8" s="137"/>
      <c r="G8" s="146" t="s">
        <v>120</v>
      </c>
      <c r="H8" s="146"/>
      <c r="I8" s="146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</row>
    <row r="9" spans="1:55" s="36" customFormat="1" ht="13.2" customHeight="1">
      <c r="A9" s="4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</row>
    <row r="10" spans="1:55" s="36" customFormat="1" ht="13.2" customHeight="1">
      <c r="A10" s="42"/>
      <c r="B10" s="44" t="s">
        <v>31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</row>
    <row r="11" spans="1:55" s="36" customFormat="1" ht="13.2" customHeight="1">
      <c r="A11" s="42"/>
      <c r="B11" s="121" t="s">
        <v>20</v>
      </c>
      <c r="C11" s="121"/>
      <c r="D11" s="121" t="s">
        <v>32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 t="s">
        <v>33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 t="s">
        <v>34</v>
      </c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44"/>
    </row>
    <row r="12" spans="1:55" s="36" customFormat="1" ht="13.2" customHeight="1">
      <c r="A12" s="42"/>
      <c r="B12" s="121"/>
      <c r="C12" s="121"/>
      <c r="D12" s="121" t="s">
        <v>22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 t="s">
        <v>23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44"/>
    </row>
    <row r="13" spans="1:55" s="36" customFormat="1" ht="21.6" customHeight="1">
      <c r="A13" s="42"/>
      <c r="B13" s="143">
        <v>1</v>
      </c>
      <c r="C13" s="143"/>
      <c r="D13" s="152" t="s">
        <v>114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44" t="s">
        <v>115</v>
      </c>
      <c r="O13" s="144"/>
      <c r="P13" s="144"/>
      <c r="Q13" s="144"/>
      <c r="R13" s="144"/>
      <c r="S13" s="144"/>
      <c r="T13" s="144"/>
      <c r="U13" s="144"/>
      <c r="V13" s="144"/>
      <c r="W13" s="144"/>
      <c r="X13" s="149" t="s">
        <v>37</v>
      </c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 t="s">
        <v>37</v>
      </c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44"/>
    </row>
    <row r="14" spans="1:55" s="36" customFormat="1" ht="13.2" customHeight="1">
      <c r="A14" s="42"/>
      <c r="B14" s="44"/>
      <c r="C14" s="44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4"/>
    </row>
    <row r="15" spans="1:55" s="36" customFormat="1" ht="13.2" customHeight="1">
      <c r="A15" s="42"/>
      <c r="B15" s="42" t="s">
        <v>42</v>
      </c>
      <c r="C15" s="42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2"/>
    </row>
    <row r="16" spans="1:55" s="36" customFormat="1" ht="13.2" customHeight="1">
      <c r="A16" s="42"/>
      <c r="B16" s="133" t="s">
        <v>43</v>
      </c>
      <c r="C16" s="133"/>
      <c r="D16" s="133"/>
      <c r="E16" s="133"/>
      <c r="F16" s="133"/>
      <c r="G16" s="133"/>
      <c r="H16" s="142" t="s">
        <v>116</v>
      </c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2"/>
    </row>
    <row r="17" spans="1:1022" s="36" customFormat="1" ht="13.2" customHeight="1">
      <c r="A17" s="42"/>
      <c r="B17" s="128" t="s">
        <v>20</v>
      </c>
      <c r="C17" s="128"/>
      <c r="D17" s="128" t="s">
        <v>32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 t="s">
        <v>45</v>
      </c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 t="s">
        <v>33</v>
      </c>
      <c r="AO17" s="128"/>
      <c r="AP17" s="128"/>
      <c r="AQ17" s="128"/>
      <c r="AR17" s="128"/>
      <c r="AS17" s="128"/>
      <c r="AT17" s="128"/>
      <c r="AU17" s="128"/>
      <c r="AV17" s="128" t="s">
        <v>34</v>
      </c>
      <c r="AW17" s="128"/>
      <c r="AX17" s="128"/>
      <c r="AY17" s="128"/>
      <c r="AZ17" s="128"/>
      <c r="BA17" s="128"/>
      <c r="BB17" s="128"/>
      <c r="BC17" s="42"/>
    </row>
    <row r="18" spans="1:1022" s="36" customFormat="1" ht="13.2" customHeight="1">
      <c r="A18" s="42"/>
      <c r="B18" s="128"/>
      <c r="C18" s="128"/>
      <c r="D18" s="128" t="s">
        <v>22</v>
      </c>
      <c r="E18" s="128"/>
      <c r="F18" s="128"/>
      <c r="G18" s="128"/>
      <c r="H18" s="128"/>
      <c r="I18" s="128"/>
      <c r="J18" s="128"/>
      <c r="K18" s="128"/>
      <c r="L18" s="128"/>
      <c r="M18" s="128" t="s">
        <v>23</v>
      </c>
      <c r="N18" s="128"/>
      <c r="O18" s="128"/>
      <c r="P18" s="128"/>
      <c r="Q18" s="128"/>
      <c r="R18" s="128"/>
      <c r="S18" s="128"/>
      <c r="T18" s="128"/>
      <c r="U18" s="128" t="s">
        <v>22</v>
      </c>
      <c r="V18" s="128"/>
      <c r="W18" s="128"/>
      <c r="X18" s="128"/>
      <c r="Y18" s="128"/>
      <c r="Z18" s="128"/>
      <c r="AA18" s="128"/>
      <c r="AB18" s="128"/>
      <c r="AC18" s="128"/>
      <c r="AD18" s="128"/>
      <c r="AE18" s="128" t="s">
        <v>23</v>
      </c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42"/>
    </row>
    <row r="19" spans="1:1022" s="36" customFormat="1" ht="13.2" customHeight="1">
      <c r="A19" s="42"/>
      <c r="B19" s="140">
        <v>1</v>
      </c>
      <c r="C19" s="140"/>
      <c r="D19" s="151" t="s">
        <v>117</v>
      </c>
      <c r="E19" s="151"/>
      <c r="F19" s="151"/>
      <c r="G19" s="151"/>
      <c r="H19" s="151"/>
      <c r="I19" s="151"/>
      <c r="J19" s="151"/>
      <c r="K19" s="151"/>
      <c r="L19" s="151"/>
      <c r="M19" s="145" t="s">
        <v>37</v>
      </c>
      <c r="N19" s="145"/>
      <c r="O19" s="145"/>
      <c r="P19" s="145"/>
      <c r="Q19" s="145"/>
      <c r="R19" s="145"/>
      <c r="S19" s="145"/>
      <c r="T19" s="145"/>
      <c r="U19" s="151" t="s">
        <v>37</v>
      </c>
      <c r="V19" s="151"/>
      <c r="W19" s="151"/>
      <c r="X19" s="151"/>
      <c r="Y19" s="151"/>
      <c r="Z19" s="151"/>
      <c r="AA19" s="151"/>
      <c r="AB19" s="151"/>
      <c r="AC19" s="151"/>
      <c r="AD19" s="151"/>
      <c r="AE19" s="147" t="s">
        <v>37</v>
      </c>
      <c r="AF19" s="147"/>
      <c r="AG19" s="147"/>
      <c r="AH19" s="147"/>
      <c r="AI19" s="147"/>
      <c r="AJ19" s="147"/>
      <c r="AK19" s="147"/>
      <c r="AL19" s="147"/>
      <c r="AM19" s="147"/>
      <c r="AN19" s="153" t="s">
        <v>37</v>
      </c>
      <c r="AO19" s="153"/>
      <c r="AP19" s="153"/>
      <c r="AQ19" s="153"/>
      <c r="AR19" s="153"/>
      <c r="AS19" s="153"/>
      <c r="AT19" s="153"/>
      <c r="AU19" s="153"/>
      <c r="AV19" s="147" t="s">
        <v>37</v>
      </c>
      <c r="AW19" s="147"/>
      <c r="AX19" s="147"/>
      <c r="AY19" s="147"/>
      <c r="AZ19" s="147"/>
      <c r="BA19" s="147"/>
      <c r="BB19" s="147"/>
      <c r="BC19" s="42"/>
    </row>
    <row r="20" spans="1:1022" ht="13.2" customHeight="1">
      <c r="A20" s="45"/>
      <c r="B20" s="42"/>
      <c r="C20" s="42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2"/>
      <c r="BD20" s="36"/>
      <c r="BE20" s="36"/>
      <c r="BF20" s="36"/>
      <c r="BG20" s="36"/>
    </row>
    <row r="21" spans="1:1022" ht="13.2" customHeight="1">
      <c r="A21" s="45"/>
      <c r="B21" s="128" t="s">
        <v>20</v>
      </c>
      <c r="C21" s="128"/>
      <c r="D21" s="128" t="s">
        <v>94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 t="s">
        <v>95</v>
      </c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42"/>
      <c r="BD21" s="36"/>
      <c r="BE21" s="36"/>
      <c r="BF21" s="36"/>
      <c r="BG21" s="36"/>
    </row>
    <row r="22" spans="1:1022" ht="13.2" customHeight="1">
      <c r="A22" s="45"/>
      <c r="B22" s="140">
        <v>1</v>
      </c>
      <c r="C22" s="140"/>
      <c r="D22" s="148" t="s">
        <v>118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9" t="s">
        <v>37</v>
      </c>
      <c r="T22" s="149"/>
      <c r="U22" s="149"/>
      <c r="V22" s="149"/>
      <c r="W22" s="149"/>
      <c r="X22" s="149"/>
      <c r="Y22" s="149"/>
      <c r="Z22" s="149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42"/>
      <c r="BD22" s="36"/>
      <c r="BE22" s="36"/>
      <c r="BF22" s="36"/>
      <c r="BG22" s="36"/>
    </row>
    <row r="23" spans="1:1022" ht="13.2" customHeight="1">
      <c r="A23" s="45"/>
      <c r="B23" s="42"/>
      <c r="C23" s="42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2"/>
    </row>
    <row r="24" spans="1:1022" ht="13.2" customHeight="1">
      <c r="A24" s="45"/>
      <c r="B24" s="128" t="s">
        <v>20</v>
      </c>
      <c r="C24" s="128"/>
      <c r="D24" s="128" t="s">
        <v>98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1" t="s">
        <v>34</v>
      </c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42"/>
      <c r="AMH24" s="1"/>
    </row>
    <row r="25" spans="1:1022" ht="13.2" customHeight="1">
      <c r="A25" s="45"/>
      <c r="B25" s="143">
        <v>1</v>
      </c>
      <c r="C25" s="143"/>
      <c r="D25" s="141" t="s">
        <v>121</v>
      </c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2" t="s">
        <v>37</v>
      </c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42"/>
      <c r="BD25" s="36"/>
      <c r="BE25" s="36"/>
      <c r="AMH25" s="1"/>
    </row>
    <row r="26" spans="1:1022" ht="13.2" customHeight="1">
      <c r="A26" s="45"/>
      <c r="B26" s="143">
        <v>2</v>
      </c>
      <c r="C26" s="143"/>
      <c r="D26" s="141" t="s">
        <v>122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2" t="s">
        <v>37</v>
      </c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42"/>
      <c r="BD26" s="36"/>
      <c r="BE26" s="36"/>
      <c r="AMH26" s="1"/>
    </row>
    <row r="27" spans="1:1022" ht="13.2" customHeight="1">
      <c r="A27" s="45"/>
      <c r="B27" s="44"/>
      <c r="C27" s="44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2"/>
      <c r="BD27" s="36"/>
      <c r="BE27" s="36"/>
      <c r="AMH27" s="1"/>
    </row>
    <row r="28" spans="1:1022" ht="13.2" customHeight="1">
      <c r="A28" s="45"/>
      <c r="B28" s="128" t="s">
        <v>20</v>
      </c>
      <c r="C28" s="128"/>
      <c r="D28" s="128" t="s">
        <v>101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1" t="s">
        <v>34</v>
      </c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42"/>
      <c r="BD28" s="36"/>
      <c r="BE28" s="36"/>
      <c r="AMH28" s="1"/>
    </row>
    <row r="29" spans="1:1022" ht="13.2" customHeight="1">
      <c r="A29" s="45"/>
      <c r="B29" s="140" t="s">
        <v>37</v>
      </c>
      <c r="C29" s="140"/>
      <c r="D29" s="147" t="s">
        <v>37</v>
      </c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2" t="s">
        <v>37</v>
      </c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42"/>
      <c r="BD29" s="36"/>
      <c r="BE29" s="36"/>
      <c r="AMH29" s="1"/>
    </row>
    <row r="30" spans="1:1022" ht="13.2" customHeight="1">
      <c r="A30" s="45"/>
      <c r="B30" s="46"/>
      <c r="C30" s="4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2"/>
      <c r="BD30" s="36"/>
      <c r="BE30" s="36"/>
      <c r="BF30" s="36"/>
      <c r="BG30" s="36"/>
    </row>
    <row r="31" spans="1:1022" ht="13.2" customHeight="1">
      <c r="A31" s="45"/>
      <c r="B31" s="128" t="s">
        <v>20</v>
      </c>
      <c r="C31" s="128"/>
      <c r="D31" s="128" t="s">
        <v>102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1" t="s">
        <v>34</v>
      </c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42"/>
      <c r="BD31" s="36"/>
      <c r="BE31" s="36"/>
      <c r="BF31" s="36"/>
      <c r="BG31" s="36"/>
    </row>
    <row r="32" spans="1:1022" ht="13.2" customHeight="1">
      <c r="A32" s="45"/>
      <c r="B32" s="140" t="s">
        <v>37</v>
      </c>
      <c r="C32" s="140"/>
      <c r="D32" s="147" t="s">
        <v>37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2" t="s">
        <v>37</v>
      </c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42"/>
      <c r="BD32" s="36"/>
      <c r="BE32" s="36"/>
      <c r="BF32" s="36"/>
      <c r="BG32" s="36"/>
    </row>
    <row r="33" spans="1:5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</row>
    <row r="34" spans="1:55">
      <c r="A34" s="45"/>
      <c r="B34" s="121" t="s">
        <v>20</v>
      </c>
      <c r="C34" s="121"/>
      <c r="D34" s="121" t="s">
        <v>103</v>
      </c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 t="s">
        <v>104</v>
      </c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 t="s">
        <v>34</v>
      </c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45"/>
    </row>
    <row r="35" spans="1:55">
      <c r="A35" s="45"/>
      <c r="B35" s="143">
        <v>1</v>
      </c>
      <c r="C35" s="143"/>
      <c r="D35" s="147" t="s">
        <v>50</v>
      </c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 t="s">
        <v>123</v>
      </c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2" t="s">
        <v>37</v>
      </c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45"/>
    </row>
    <row r="36" spans="1:55">
      <c r="A36" s="45"/>
      <c r="B36" s="143">
        <v>2</v>
      </c>
      <c r="C36" s="143"/>
      <c r="D36" s="147" t="s">
        <v>124</v>
      </c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 t="s">
        <v>125</v>
      </c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2" t="s">
        <v>37</v>
      </c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45"/>
    </row>
    <row r="37" spans="1:55">
      <c r="A37" s="45"/>
      <c r="B37" s="143">
        <v>3</v>
      </c>
      <c r="C37" s="143"/>
      <c r="D37" s="147" t="s">
        <v>126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 t="s">
        <v>127</v>
      </c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2" t="s">
        <v>37</v>
      </c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45"/>
    </row>
    <row r="38" spans="1:55">
      <c r="A38" s="45"/>
      <c r="B38" s="143">
        <v>4</v>
      </c>
      <c r="C38" s="143"/>
      <c r="D38" s="147" t="s">
        <v>40</v>
      </c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 t="s">
        <v>128</v>
      </c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2" t="s">
        <v>37</v>
      </c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45"/>
    </row>
    <row r="39" spans="1:55">
      <c r="A39" s="45"/>
      <c r="B39" s="143">
        <v>5</v>
      </c>
      <c r="C39" s="143"/>
      <c r="D39" s="147" t="s">
        <v>129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 t="s">
        <v>130</v>
      </c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2" t="s">
        <v>37</v>
      </c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45"/>
    </row>
    <row r="40" spans="1:55">
      <c r="A40" s="45"/>
      <c r="B40" s="143">
        <v>6</v>
      </c>
      <c r="C40" s="143"/>
      <c r="D40" s="147" t="s">
        <v>131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 t="s">
        <v>132</v>
      </c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2" t="s">
        <v>37</v>
      </c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45"/>
    </row>
  </sheetData>
  <mergeCells count="101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  <mergeCell ref="B39:C39"/>
    <mergeCell ref="D39:N39"/>
    <mergeCell ref="O39:AK39"/>
    <mergeCell ref="AL39:BB39"/>
    <mergeCell ref="B40:C40"/>
    <mergeCell ref="D40:N40"/>
    <mergeCell ref="O40:AK40"/>
    <mergeCell ref="AL40:BB40"/>
  </mergeCells>
  <phoneticPr fontId="63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colBreaks count="1" manualBreakCount="1">
    <brk id="55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MH37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2" width="2.59765625" style="35"/>
  </cols>
  <sheetData>
    <row r="1" spans="1:55" s="29" customFormat="1" ht="13.5" customHeight="1">
      <c r="A1" s="111" t="s">
        <v>6</v>
      </c>
      <c r="B1" s="111"/>
      <c r="C1" s="111"/>
      <c r="D1" s="111"/>
      <c r="E1" s="111"/>
      <c r="F1" s="111"/>
      <c r="G1" s="111"/>
      <c r="H1" s="111"/>
      <c r="I1" s="111"/>
      <c r="J1" s="112" t="s">
        <v>7</v>
      </c>
      <c r="K1" s="112"/>
      <c r="L1" s="112"/>
      <c r="M1" s="112"/>
      <c r="N1" s="112"/>
      <c r="O1" s="112"/>
      <c r="P1" s="112"/>
      <c r="Q1" s="112"/>
      <c r="R1" s="113" t="str">
        <f>更新履歴!R1</f>
        <v>API設計書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4" t="s">
        <v>2</v>
      </c>
      <c r="AK1" s="114"/>
      <c r="AL1" s="114"/>
      <c r="AM1" s="114"/>
      <c r="AN1" s="114"/>
      <c r="AO1" s="104" t="s">
        <v>8</v>
      </c>
      <c r="AP1" s="104"/>
      <c r="AQ1" s="104"/>
      <c r="AR1" s="104"/>
      <c r="AS1" s="104"/>
      <c r="AT1" s="104" t="s">
        <v>9</v>
      </c>
      <c r="AU1" s="104"/>
      <c r="AV1" s="104"/>
      <c r="AW1" s="104"/>
      <c r="AX1" s="104"/>
      <c r="AY1" s="105" t="s">
        <v>10</v>
      </c>
      <c r="AZ1" s="105"/>
      <c r="BA1" s="105"/>
      <c r="BB1" s="105"/>
      <c r="BC1" s="105"/>
    </row>
    <row r="2" spans="1:55" s="29" customFormat="1" ht="13.5" customHeight="1">
      <c r="A2" s="123" t="str">
        <f>表紙!O10</f>
        <v>体験型Java研修</v>
      </c>
      <c r="B2" s="123"/>
      <c r="C2" s="123"/>
      <c r="D2" s="123"/>
      <c r="E2" s="123"/>
      <c r="F2" s="123"/>
      <c r="G2" s="123"/>
      <c r="H2" s="123"/>
      <c r="I2" s="123"/>
      <c r="J2" s="107" t="str">
        <f>表紙!O9</f>
        <v>LMS学習管理システム</v>
      </c>
      <c r="K2" s="107"/>
      <c r="L2" s="107"/>
      <c r="M2" s="107"/>
      <c r="N2" s="107"/>
      <c r="O2" s="107"/>
      <c r="P2" s="107"/>
      <c r="Q2" s="107"/>
      <c r="R2" s="108" t="str">
        <f>表紙!S11</f>
        <v>サンプル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 t="s">
        <v>5</v>
      </c>
      <c r="AK2" s="109"/>
      <c r="AL2" s="109"/>
      <c r="AM2" s="109"/>
      <c r="AN2" s="109"/>
      <c r="AO2" s="74">
        <v>44274</v>
      </c>
      <c r="AP2" s="74"/>
      <c r="AQ2" s="74"/>
      <c r="AR2" s="74"/>
      <c r="AS2" s="74"/>
      <c r="AT2" s="124"/>
      <c r="AU2" s="124"/>
      <c r="AV2" s="124"/>
      <c r="AW2" s="124"/>
      <c r="AX2" s="124"/>
      <c r="AY2" s="110"/>
      <c r="AZ2" s="110"/>
      <c r="BA2" s="110"/>
      <c r="BB2" s="110"/>
      <c r="BC2" s="110"/>
    </row>
    <row r="3" spans="1:55" s="29" customFormat="1" ht="13.5" customHeight="1">
      <c r="A3" s="123"/>
      <c r="B3" s="123"/>
      <c r="C3" s="123"/>
      <c r="D3" s="123"/>
      <c r="E3" s="123"/>
      <c r="F3" s="123"/>
      <c r="G3" s="123"/>
      <c r="H3" s="123"/>
      <c r="I3" s="123"/>
      <c r="J3" s="107"/>
      <c r="K3" s="107"/>
      <c r="L3" s="107"/>
      <c r="M3" s="107"/>
      <c r="N3" s="107"/>
      <c r="O3" s="107"/>
      <c r="P3" s="107"/>
      <c r="Q3" s="107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  <c r="AK3" s="109"/>
      <c r="AL3" s="109"/>
      <c r="AM3" s="109"/>
      <c r="AN3" s="109"/>
      <c r="AO3" s="74"/>
      <c r="AP3" s="74"/>
      <c r="AQ3" s="74"/>
      <c r="AR3" s="74"/>
      <c r="AS3" s="74"/>
      <c r="AT3" s="124"/>
      <c r="AU3" s="124"/>
      <c r="AV3" s="124"/>
      <c r="AW3" s="124"/>
      <c r="AX3" s="124"/>
      <c r="AY3" s="110"/>
      <c r="AZ3" s="110"/>
      <c r="BA3" s="110"/>
      <c r="BB3" s="110"/>
      <c r="BC3" s="110"/>
    </row>
    <row r="4" spans="1:55" ht="13.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6"/>
      <c r="AZ4" s="36"/>
      <c r="BA4" s="36"/>
      <c r="BB4" s="36"/>
      <c r="BC4" s="36"/>
    </row>
    <row r="5" spans="1:55" s="36" customFormat="1" ht="13.2" customHeight="1">
      <c r="B5" s="37" t="s">
        <v>27</v>
      </c>
    </row>
    <row r="6" spans="1:55" s="36" customFormat="1" ht="13.2" customHeight="1">
      <c r="B6" s="38"/>
      <c r="C6" s="38" t="s">
        <v>133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 spans="1:55" s="36" customFormat="1" ht="13.2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 spans="1:55" s="36" customFormat="1" ht="13.2" customHeight="1">
      <c r="B8" s="137" t="s">
        <v>29</v>
      </c>
      <c r="C8" s="137"/>
      <c r="D8" s="137"/>
      <c r="E8" s="137"/>
      <c r="F8" s="137"/>
      <c r="G8" s="138" t="s">
        <v>120</v>
      </c>
      <c r="H8" s="138"/>
      <c r="I8" s="1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</row>
    <row r="9" spans="1:55" s="36" customFormat="1" ht="13.2" customHeigh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 spans="1:55" s="36" customFormat="1" ht="13.2" customHeight="1">
      <c r="B10" s="38" t="s">
        <v>31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36" customFormat="1" ht="13.2" customHeight="1">
      <c r="B11" s="121" t="s">
        <v>20</v>
      </c>
      <c r="C11" s="121"/>
      <c r="D11" s="121" t="s">
        <v>32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 t="s">
        <v>33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 t="s">
        <v>34</v>
      </c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38"/>
    </row>
    <row r="12" spans="1:55" s="36" customFormat="1" ht="13.2" customHeight="1">
      <c r="B12" s="121"/>
      <c r="C12" s="121"/>
      <c r="D12" s="121" t="s">
        <v>22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 t="s">
        <v>23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38"/>
    </row>
    <row r="13" spans="1:55" s="36" customFormat="1" ht="21.6" customHeight="1">
      <c r="B13" s="115">
        <v>1</v>
      </c>
      <c r="C13" s="115"/>
      <c r="D13" s="157" t="s">
        <v>114</v>
      </c>
      <c r="E13" s="157"/>
      <c r="F13" s="157"/>
      <c r="G13" s="157"/>
      <c r="H13" s="157"/>
      <c r="I13" s="157"/>
      <c r="J13" s="157"/>
      <c r="K13" s="157"/>
      <c r="L13" s="157"/>
      <c r="M13" s="157"/>
      <c r="N13" s="134" t="s">
        <v>115</v>
      </c>
      <c r="O13" s="134"/>
      <c r="P13" s="134"/>
      <c r="Q13" s="134"/>
      <c r="R13" s="134"/>
      <c r="S13" s="134"/>
      <c r="T13" s="134"/>
      <c r="U13" s="134"/>
      <c r="V13" s="134"/>
      <c r="W13" s="134"/>
      <c r="X13" s="156" t="s">
        <v>37</v>
      </c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 t="s">
        <v>37</v>
      </c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38"/>
    </row>
    <row r="14" spans="1:55" s="36" customFormat="1" ht="13.2" customHeight="1">
      <c r="B14" s="38"/>
      <c r="C14" s="3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38"/>
    </row>
    <row r="15" spans="1:55" s="36" customFormat="1" ht="13.2" customHeight="1">
      <c r="B15" s="36" t="s">
        <v>42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 spans="1:55" s="36" customFormat="1" ht="13.2" customHeight="1">
      <c r="B16" s="133" t="s">
        <v>43</v>
      </c>
      <c r="C16" s="133"/>
      <c r="D16" s="133"/>
      <c r="E16" s="133"/>
      <c r="F16" s="133"/>
      <c r="G16" s="133"/>
      <c r="H16" s="120" t="s">
        <v>116</v>
      </c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spans="2:1022" s="36" customFormat="1" ht="13.2" customHeight="1">
      <c r="B17" s="128" t="s">
        <v>20</v>
      </c>
      <c r="C17" s="128"/>
      <c r="D17" s="154" t="s">
        <v>32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 t="s">
        <v>45</v>
      </c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 t="s">
        <v>33</v>
      </c>
      <c r="AO17" s="154"/>
      <c r="AP17" s="154"/>
      <c r="AQ17" s="154"/>
      <c r="AR17" s="154"/>
      <c r="AS17" s="154"/>
      <c r="AT17" s="154"/>
      <c r="AU17" s="154"/>
      <c r="AV17" s="154" t="s">
        <v>34</v>
      </c>
      <c r="AW17" s="154"/>
      <c r="AX17" s="154"/>
      <c r="AY17" s="154"/>
      <c r="AZ17" s="154"/>
      <c r="BA17" s="154"/>
      <c r="BB17" s="154"/>
    </row>
    <row r="18" spans="2:1022" s="36" customFormat="1" ht="13.2" customHeight="1">
      <c r="B18" s="128"/>
      <c r="C18" s="128"/>
      <c r="D18" s="154" t="s">
        <v>22</v>
      </c>
      <c r="E18" s="154"/>
      <c r="F18" s="154"/>
      <c r="G18" s="154"/>
      <c r="H18" s="154"/>
      <c r="I18" s="154"/>
      <c r="J18" s="154"/>
      <c r="K18" s="154"/>
      <c r="L18" s="154"/>
      <c r="M18" s="154" t="s">
        <v>23</v>
      </c>
      <c r="N18" s="154"/>
      <c r="O18" s="154"/>
      <c r="P18" s="154"/>
      <c r="Q18" s="154"/>
      <c r="R18" s="154"/>
      <c r="S18" s="154"/>
      <c r="T18" s="154"/>
      <c r="U18" s="154" t="s">
        <v>22</v>
      </c>
      <c r="V18" s="154"/>
      <c r="W18" s="154"/>
      <c r="X18" s="154"/>
      <c r="Y18" s="154"/>
      <c r="Z18" s="154"/>
      <c r="AA18" s="154"/>
      <c r="AB18" s="154"/>
      <c r="AC18" s="154"/>
      <c r="AD18" s="154"/>
      <c r="AE18" s="154" t="s">
        <v>23</v>
      </c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</row>
    <row r="19" spans="2:1022" s="36" customFormat="1" ht="13.2" customHeight="1">
      <c r="B19" s="126">
        <v>1</v>
      </c>
      <c r="C19" s="126"/>
      <c r="D19" s="127" t="s">
        <v>117</v>
      </c>
      <c r="E19" s="127"/>
      <c r="F19" s="127"/>
      <c r="G19" s="127"/>
      <c r="H19" s="127"/>
      <c r="I19" s="127"/>
      <c r="J19" s="127"/>
      <c r="K19" s="127"/>
      <c r="L19" s="127"/>
      <c r="M19" s="130" t="s">
        <v>37</v>
      </c>
      <c r="N19" s="130"/>
      <c r="O19" s="130"/>
      <c r="P19" s="130"/>
      <c r="Q19" s="130"/>
      <c r="R19" s="130"/>
      <c r="S19" s="130"/>
      <c r="T19" s="130"/>
      <c r="U19" s="127" t="s">
        <v>37</v>
      </c>
      <c r="V19" s="127"/>
      <c r="W19" s="127"/>
      <c r="X19" s="127"/>
      <c r="Y19" s="127"/>
      <c r="Z19" s="127"/>
      <c r="AA19" s="127"/>
      <c r="AB19" s="127"/>
      <c r="AC19" s="127"/>
      <c r="AD19" s="127"/>
      <c r="AE19" s="125" t="s">
        <v>37</v>
      </c>
      <c r="AF19" s="125"/>
      <c r="AG19" s="125"/>
      <c r="AH19" s="125"/>
      <c r="AI19" s="125"/>
      <c r="AJ19" s="125"/>
      <c r="AK19" s="125"/>
      <c r="AL19" s="125"/>
      <c r="AM19" s="125"/>
      <c r="AN19" s="117" t="s">
        <v>37</v>
      </c>
      <c r="AO19" s="117"/>
      <c r="AP19" s="117"/>
      <c r="AQ19" s="117"/>
      <c r="AR19" s="117"/>
      <c r="AS19" s="117"/>
      <c r="AT19" s="117"/>
      <c r="AU19" s="117"/>
      <c r="AV19" s="125" t="s">
        <v>37</v>
      </c>
      <c r="AW19" s="125"/>
      <c r="AX19" s="125"/>
      <c r="AY19" s="125"/>
      <c r="AZ19" s="125"/>
      <c r="BA19" s="125"/>
      <c r="BB19" s="125"/>
    </row>
    <row r="20" spans="2:1022" ht="13.2" customHeight="1">
      <c r="B20" s="36"/>
      <c r="C20" s="36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36"/>
      <c r="BD20" s="36"/>
      <c r="BE20" s="36"/>
      <c r="BF20" s="36"/>
      <c r="BG20" s="36"/>
    </row>
    <row r="21" spans="2:1022" ht="13.2" customHeight="1">
      <c r="B21" s="128" t="s">
        <v>20</v>
      </c>
      <c r="C21" s="128"/>
      <c r="D21" s="154" t="s">
        <v>94</v>
      </c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 t="s">
        <v>95</v>
      </c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36"/>
      <c r="BD21" s="36"/>
      <c r="BE21" s="36"/>
      <c r="BF21" s="36"/>
      <c r="BG21" s="36"/>
    </row>
    <row r="22" spans="2:1022" ht="13.2" customHeight="1">
      <c r="B22" s="126">
        <v>1</v>
      </c>
      <c r="C22" s="126"/>
      <c r="D22" s="116" t="s">
        <v>118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56" t="s">
        <v>37</v>
      </c>
      <c r="T22" s="156"/>
      <c r="U22" s="156"/>
      <c r="V22" s="156"/>
      <c r="W22" s="156"/>
      <c r="X22" s="156"/>
      <c r="Y22" s="156"/>
      <c r="Z22" s="156"/>
      <c r="AA22" s="125" t="s">
        <v>37</v>
      </c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36"/>
      <c r="BD22" s="36"/>
      <c r="BE22" s="36"/>
      <c r="BF22" s="36"/>
      <c r="BG22" s="36"/>
    </row>
    <row r="23" spans="2:1022" ht="13.2" customHeight="1">
      <c r="B23" s="36"/>
      <c r="C23" s="36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36"/>
    </row>
    <row r="24" spans="2:1022" ht="13.2" customHeight="1">
      <c r="B24" s="128" t="s">
        <v>20</v>
      </c>
      <c r="C24" s="128"/>
      <c r="D24" s="154" t="s">
        <v>98</v>
      </c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21" t="s">
        <v>34</v>
      </c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36"/>
      <c r="AMH24" s="1"/>
    </row>
    <row r="25" spans="2:1022" ht="13.2" customHeight="1">
      <c r="B25" s="115">
        <v>1</v>
      </c>
      <c r="C25" s="115"/>
      <c r="D25" s="155" t="s">
        <v>121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20" t="s">
        <v>37</v>
      </c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36"/>
      <c r="BD25" s="36"/>
      <c r="BE25" s="36"/>
      <c r="AMH25" s="1"/>
    </row>
    <row r="26" spans="2:1022" ht="13.2" customHeight="1">
      <c r="B26" s="115">
        <v>2</v>
      </c>
      <c r="C26" s="115"/>
      <c r="D26" s="155" t="s">
        <v>134</v>
      </c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20" t="s">
        <v>37</v>
      </c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36"/>
      <c r="BD26" s="36"/>
      <c r="BE26" s="36"/>
      <c r="AMH26" s="1"/>
    </row>
    <row r="27" spans="2:1022" ht="13.2" customHeight="1">
      <c r="B27" s="38"/>
      <c r="C27" s="3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36"/>
      <c r="BD27" s="36"/>
      <c r="BE27" s="36"/>
      <c r="AMH27" s="1"/>
    </row>
    <row r="28" spans="2:1022" ht="13.2" customHeight="1">
      <c r="B28" s="128" t="s">
        <v>20</v>
      </c>
      <c r="C28" s="128"/>
      <c r="D28" s="154" t="s">
        <v>101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21" t="s">
        <v>34</v>
      </c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36"/>
      <c r="BD28" s="36"/>
      <c r="BE28" s="36"/>
      <c r="AMH28" s="1"/>
    </row>
    <row r="29" spans="2:1022" ht="13.2" customHeight="1">
      <c r="B29" s="126" t="s">
        <v>37</v>
      </c>
      <c r="C29" s="126"/>
      <c r="D29" s="125" t="s">
        <v>37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0" t="s">
        <v>37</v>
      </c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36"/>
      <c r="BD29" s="36"/>
      <c r="BE29" s="36"/>
      <c r="AMH29" s="1"/>
    </row>
    <row r="30" spans="2:1022" ht="13.2" customHeight="1">
      <c r="B30" s="40"/>
      <c r="C30" s="40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36"/>
      <c r="BD30" s="36"/>
      <c r="BE30" s="36"/>
      <c r="BF30" s="36"/>
      <c r="BG30" s="36"/>
    </row>
    <row r="31" spans="2:1022" ht="13.2" customHeight="1">
      <c r="B31" s="128" t="s">
        <v>20</v>
      </c>
      <c r="C31" s="128"/>
      <c r="D31" s="154" t="s">
        <v>102</v>
      </c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21" t="s">
        <v>34</v>
      </c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36"/>
      <c r="BD31" s="36"/>
      <c r="BE31" s="36"/>
      <c r="BF31" s="36"/>
      <c r="BG31" s="36"/>
    </row>
    <row r="32" spans="2:1022" ht="13.2" customHeight="1">
      <c r="B32" s="126" t="s">
        <v>37</v>
      </c>
      <c r="C32" s="126"/>
      <c r="D32" s="125" t="s">
        <v>37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0" t="s">
        <v>37</v>
      </c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36"/>
      <c r="BD32" s="36"/>
      <c r="BE32" s="36"/>
      <c r="BF32" s="36"/>
      <c r="BG32" s="36"/>
    </row>
    <row r="34" spans="2:54">
      <c r="B34" s="121" t="s">
        <v>20</v>
      </c>
      <c r="C34" s="121"/>
      <c r="D34" s="121" t="s">
        <v>103</v>
      </c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 t="s">
        <v>104</v>
      </c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 t="s">
        <v>34</v>
      </c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</row>
    <row r="35" spans="2:54">
      <c r="B35" s="115">
        <v>1</v>
      </c>
      <c r="C35" s="115"/>
      <c r="D35" s="125" t="s">
        <v>40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 t="s">
        <v>128</v>
      </c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0" t="s">
        <v>37</v>
      </c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</row>
    <row r="36" spans="2:54">
      <c r="B36" s="115">
        <v>2</v>
      </c>
      <c r="C36" s="115"/>
      <c r="D36" s="125" t="s">
        <v>129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 t="s">
        <v>130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0" t="s">
        <v>37</v>
      </c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</row>
    <row r="37" spans="2:54">
      <c r="B37" s="115">
        <v>3</v>
      </c>
      <c r="C37" s="115"/>
      <c r="D37" s="125" t="s">
        <v>131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 t="s">
        <v>132</v>
      </c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0" t="s">
        <v>37</v>
      </c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</row>
  </sheetData>
  <mergeCells count="8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</mergeCells>
  <phoneticPr fontId="63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3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colBreaks count="1" manualBreakCount="1">
    <brk id="5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API設計書作成観点</vt:lpstr>
      <vt:lpstr>表紙</vt:lpstr>
      <vt:lpstr>更新履歴</vt:lpstr>
      <vt:lpstr>API一覧</vt:lpstr>
      <vt:lpstr>ログイン詳細取得（ログインID&amp;パスワード）_(SELECT例</vt:lpstr>
      <vt:lpstr>ログイン詳細取得（LMSユーザID）_(SELECT例2)</vt:lpstr>
      <vt:lpstr>パスワード変更登録_(INSERT例1)</vt:lpstr>
      <vt:lpstr>パスワード変更更新_(UPDATE例1)</vt:lpstr>
      <vt:lpstr>パスワード変更削除_(論理削除例1)</vt:lpstr>
      <vt:lpstr>API一覧!Print_Area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岡野岳</cp:lastModifiedBy>
  <cp:revision>160</cp:revision>
  <cp:lastPrinted>2018-02-01T12:44:26Z</cp:lastPrinted>
  <dcterms:created xsi:type="dcterms:W3CDTF">2017-09-13T04:58:44Z</dcterms:created>
  <dcterms:modified xsi:type="dcterms:W3CDTF">2023-04-21T02:16:41Z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