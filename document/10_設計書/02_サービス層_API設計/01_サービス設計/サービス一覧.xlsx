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2"/>
    <sheet name="更新履歴" sheetId="2" state="visible" r:id="rId3"/>
    <sheet name="サービス一覧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<sst xmlns="http://schemas.openxmlformats.org/spreadsheetml/2006/main" count="103" uniqueCount="82">
  <si>
    <t xml:space="preserve">LMS学習管理システム</t>
  </si>
  <si>
    <t xml:space="preserve">体験型Java研修</t>
  </si>
  <si>
    <t xml:space="preserve">サービス一覧</t>
  </si>
  <si>
    <t xml:space="preserve">作成者</t>
  </si>
  <si>
    <t xml:space="preserve">審査者</t>
  </si>
  <si>
    <t xml:space="preserve">承認者</t>
  </si>
  <si>
    <t xml:space="preserve">臼井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</si>
  <si>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</si>
  <si>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</si>
  <si>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</si>
  <si>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</si>
  <si>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</si>
  <si>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</si>
  <si>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堀井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</si>
  <si>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</si>
  <si>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</si>
  <si>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</si>
  <si>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</si>
  <si>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</si>
  <si>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</si>
  <si>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</si>
  <si>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解答用使用サービス追記</t>
  </si>
  <si>
    <t xml:space="preserve">岡野</t>
  </si>
  <si>
    <t xml:space="preserve">契約情報サービスを追加</t>
  </si>
  <si>
    <t xml:space="preserve">助成金情報サービスを追加</t>
  </si>
  <si>
    <t xml:space="preserve">受講生情報サービスを追加</t>
  </si>
  <si>
    <t xml:space="preserve">メールキュー情報サービスをメール情報サービスに統合</t>
  </si>
  <si>
    <t xml:space="preserve">No.</t>
  </si>
  <si>
    <t xml:space="preserve">サービス名</t>
  </si>
  <si>
    <t xml:space="preserve">サービス詳細/備考</t>
  </si>
  <si>
    <t xml:space="preserve">物理名</t>
  </si>
  <si>
    <t xml:space="preserve">論理名</t>
  </si>
  <si>
    <t xml:space="preserve">企業情報サービス</t>
  </si>
  <si>
    <t xml:space="preserve">CompanyService</t>
  </si>
  <si>
    <t xml:space="preserve">契約情報サービス</t>
  </si>
  <si>
    <t xml:space="preserve">ContractService</t>
  </si>
  <si>
    <t xml:space="preserve">コース情報サービス</t>
  </si>
  <si>
    <t xml:space="preserve">CourseService</t>
  </si>
  <si>
    <t xml:space="preserve">評価レポート情報サービス</t>
  </si>
  <si>
    <t xml:space="preserve">EvReportService</t>
  </si>
  <si>
    <t xml:space="preserve">試験情報サービス</t>
  </si>
  <si>
    <t xml:space="preserve">ExamService</t>
  </si>
  <si>
    <t xml:space="preserve">よくある質問情報サービス</t>
  </si>
  <si>
    <t xml:space="preserve">FaqService</t>
  </si>
  <si>
    <t xml:space="preserve">ジャンル情報サービス</t>
  </si>
  <si>
    <t xml:space="preserve">GenreService</t>
  </si>
  <si>
    <t xml:space="preserve">休日情報サービス</t>
  </si>
  <si>
    <t xml:space="preserve">HolidayService</t>
  </si>
  <si>
    <t xml:space="preserve">お知らせ情報サービス</t>
  </si>
  <si>
    <t xml:space="preserve">InfoService</t>
  </si>
  <si>
    <t xml:space="preserve">ログイン情報サービス</t>
  </si>
  <si>
    <t xml:space="preserve">LoginService</t>
  </si>
  <si>
    <t xml:space="preserve">メール情報サービス</t>
  </si>
  <si>
    <t xml:space="preserve">MailService</t>
  </si>
  <si>
    <t xml:space="preserve">面談情報サービス</t>
  </si>
  <si>
    <t xml:space="preserve">MeetingService</t>
  </si>
  <si>
    <t xml:space="preserve">動画情報サービス</t>
  </si>
  <si>
    <t xml:space="preserve">MovieService</t>
  </si>
  <si>
    <t xml:space="preserve">パスワード情報サービス</t>
  </si>
  <si>
    <t xml:space="preserve">PasswordService</t>
  </si>
  <si>
    <t xml:space="preserve">会場情報サービス</t>
  </si>
  <si>
    <t xml:space="preserve">PlaceService</t>
  </si>
  <si>
    <t xml:space="preserve">成果報告サービス</t>
  </si>
  <si>
    <t xml:space="preserve">PresentationService</t>
  </si>
  <si>
    <t xml:space="preserve">改修履歴情報サービス</t>
  </si>
  <si>
    <t xml:space="preserve">RepairService</t>
  </si>
  <si>
    <t xml:space="preserve">レポート情報取得処理</t>
  </si>
  <si>
    <t xml:space="preserve">ReportService</t>
  </si>
  <si>
    <t xml:space="preserve">セクション情報サービス</t>
  </si>
  <si>
    <t xml:space="preserve">SectionService</t>
  </si>
  <si>
    <t xml:space="preserve">勤怠情報（受講生入力）サービス</t>
  </si>
  <si>
    <t xml:space="preserve">StudentAttendanceService</t>
  </si>
  <si>
    <t xml:space="preserve">受講生情報サービス</t>
  </si>
  <si>
    <t xml:space="preserve">StudentService</t>
  </si>
  <si>
    <t xml:space="preserve">助成金情報サービス</t>
  </si>
  <si>
    <t xml:space="preserve">SubsidyService</t>
  </si>
  <si>
    <t xml:space="preserve">サポート情報サービス</t>
  </si>
  <si>
    <t xml:space="preserve">SupportService</t>
  </si>
  <si>
    <t xml:space="preserve">引継面談／会場見学情報サービス</t>
  </si>
  <si>
    <t xml:space="preserve">TakeOverService</t>
  </si>
  <si>
    <t xml:space="preserve">ユーザー情報サービス</t>
  </si>
  <si>
    <t xml:space="preserve">UserService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</si>
</sst>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[RED]\-#,##0"/>
    <numFmt numFmtId="166" formatCode="#,##0.00;[RED]\-#,##0.00"/>
    <numFmt numFmtId="167" formatCode="\$#,##0_);[RED]&quot;($&quot;#,##0\)"/>
    <numFmt numFmtId="168" formatCode="\$#,##0.00_);[RED]&quot;($&quot;#,##0.00\)"/>
    <numFmt numFmtId="169" formatCode="yy\.mm\.dd"/>
    <numFmt numFmtId="170" formatCode="dd\-mmm\-yy"/>
    <numFmt numFmtId="171" formatCode="[$-1030411]ggge\年mm\月dd\日"/>
    <numFmt numFmtId="172" formatCode="\第0.0\版"/>
    <numFmt numFmtId="173" formatCode="yyyy\年mm\月dd\日"/>
    <numFmt numFmtId="174" formatCode="yyyy/mm/dd"/>
    <numFmt numFmtId="175" formatCode="0.0_ "/>
    <numFmt numFmtId="176" formatCode="General"/>
  </numFmts>
  <fonts count="58">
    <font>
      <sz val="11"/>
      <color rgb="FF000000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333399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メイリオ"/>
      <family val="2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2"/>
      <charset val="1"/>
    </font>
    <font>
      <sz val="11"/>
      <color rgb="FF008000"/>
      <name val="ＭＳ Ｐゴシック"/>
      <family val="3"/>
      <charset val="128"/>
    </font>
    <font>
      <b val="true"/>
      <sz val="15"/>
      <color rgb="FF333399"/>
      <name val="ＭＳ Ｐゴシック"/>
      <family val="3"/>
      <charset val="128"/>
    </font>
    <font>
      <b val="true"/>
      <sz val="13"/>
      <color rgb="FF333399"/>
      <name val="ＭＳ Ｐゴシック"/>
      <family val="3"/>
      <charset val="128"/>
    </font>
    <font>
      <b val="true"/>
      <sz val="11"/>
      <color rgb="FF333399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/>
      <bottom/>
      <diagonal/>
    </border>
  </borders>
  <cellStyleXfs count="16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9" borderId="0" applyFont="true" applyBorder="false" applyAlignment="true" applyProtection="false">
      <alignment horizontal="general" vertical="center" textRotation="0" wrapText="false" indent="0" shrinkToFit="false"/>
    </xf>
    <xf numFmtId="164" fontId="6" fillId="12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21" borderId="0" applyFont="true" applyBorder="false" applyAlignment="true" applyProtection="false">
      <alignment horizontal="general" vertical="center" textRotation="0" wrapText="false" indent="0" shrinkToFit="false"/>
    </xf>
    <xf numFmtId="164" fontId="6" fillId="22" borderId="0" applyFont="true" applyBorder="false" applyAlignment="true" applyProtection="false">
      <alignment horizontal="general" vertical="center" textRotation="0" wrapText="false" indent="0" shrinkToFit="false"/>
    </xf>
    <xf numFmtId="164" fontId="6" fillId="23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24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1" fillId="25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4" borderId="0" applyFont="true" applyBorder="false" applyAlignment="true" applyProtection="false">
      <alignment horizontal="general" vertical="center" textRotation="0" wrapText="false" indent="0" shrinkToFit="false"/>
    </xf>
    <xf numFmtId="164" fontId="14" fillId="0" borderId="4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16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15" borderId="0" applyFont="true" applyBorder="false" applyAlignment="true" applyProtection="false">
      <alignment horizontal="general" vertical="center" textRotation="0" wrapText="false" indent="0" shrinkToFit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4" fillId="0" borderId="0" applyFont="true" applyBorder="fals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6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28" fillId="0" borderId="0" applyFont="true" applyBorder="false" applyAlignment="true" applyProtection="false">
      <alignment horizontal="general" vertical="center" textRotation="0" wrapText="false" indent="0" shrinkToFit="false"/>
    </xf>
    <xf numFmtId="164" fontId="29" fillId="25" borderId="2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left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1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32" fillId="0" borderId="7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5" fillId="5" borderId="0" applyFont="true" applyBorder="false" applyAlignment="true" applyProtection="false">
      <alignment horizontal="general" vertical="center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27" borderId="0" applyFont="true" applyBorder="fals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3" fillId="0" borderId="5" applyFont="true" applyBorder="true" applyAlignment="true" applyProtection="false">
      <alignment horizontal="general" vertical="center" textRotation="0" wrapText="false" indent="0" shrinkToFit="false"/>
    </xf>
    <xf numFmtId="164" fontId="44" fillId="0" borderId="12" applyFont="true" applyBorder="tru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0" borderId="0" applyFont="true" applyBorder="false" applyAlignment="true" applyProtection="false">
      <alignment horizontal="general" vertical="center" textRotation="0" wrapText="false" indent="0" shrinkToFit="false"/>
    </xf>
    <xf numFmtId="164" fontId="47" fillId="0" borderId="0" applyFont="true" applyBorder="fals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</cellStyleXfs>
  <cellXfs count="9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8" borderId="0" xfId="14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4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5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6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7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8" borderId="0" xfId="148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2" fillId="8" borderId="18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8" borderId="0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8" borderId="19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0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1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8" borderId="0" xfId="14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0" fillId="8" borderId="0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1" fillId="8" borderId="0" xfId="14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0" fillId="8" borderId="0" xfId="14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51" fillId="8" borderId="0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0" fillId="8" borderId="0" xfId="14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50" fillId="8" borderId="0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8" borderId="0" xfId="14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2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3" fillId="8" borderId="23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8" borderId="23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8" borderId="23" xfId="14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8" borderId="24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4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5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6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7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8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0" xfId="14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8" borderId="0" xfId="14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0" xfId="148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9" fillId="8" borderId="0" xfId="14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29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0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6" borderId="31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6" borderId="32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3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4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14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6" fillId="0" borderId="35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7" fillId="0" borderId="36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37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8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2" fillId="0" borderId="39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2" fillId="0" borderId="40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8" borderId="0" xfId="14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8" borderId="0" xfId="14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8" borderId="0" xfId="14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5" fillId="6" borderId="41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6" borderId="42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6" borderId="43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14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14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55" fillId="0" borderId="44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5" fillId="0" borderId="45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45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45" xfId="14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5" fillId="0" borderId="46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5" fillId="0" borderId="23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23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23" xfId="14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5" fillId="0" borderId="47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23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55" fillId="0" borderId="3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0" borderId="35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5" fillId="0" borderId="39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39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39" xfId="14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5" fillId="0" borderId="48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5" fillId="0" borderId="49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5" fillId="0" borderId="0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14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5" fillId="0" borderId="49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50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8" borderId="51" xfId="14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8" borderId="51" xfId="14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8" borderId="51" xfId="14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8" borderId="51" xfId="14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6" borderId="52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3" xfId="1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53" xfId="1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54" xfId="1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1" fillId="0" borderId="23" xfId="1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23" xfId="12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23" xfId="14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23" xfId="127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20% - アクセント 1 2" xfId="26"/>
    <cellStyle name="20% - アクセント 2 2" xfId="27"/>
    <cellStyle name="20% - アクセント 3 2" xfId="28"/>
    <cellStyle name="20% - アクセント 4 2" xfId="29"/>
    <cellStyle name="20% - アクセント 5 2" xfId="30"/>
    <cellStyle name="20% - アクセント 6 2" xfId="31"/>
    <cellStyle name="40% - Accent1" xfId="32"/>
    <cellStyle name="40% - Accent2" xfId="33"/>
    <cellStyle name="40% - Accent3" xfId="34"/>
    <cellStyle name="40% - Accent4" xfId="35"/>
    <cellStyle name="40% - Accent5" xfId="36"/>
    <cellStyle name="40% - Accent6" xfId="37"/>
    <cellStyle name="40% - アクセント 1 2" xfId="38"/>
    <cellStyle name="40% - アクセント 2 2" xfId="39"/>
    <cellStyle name="40% - アクセント 3 2" xfId="40"/>
    <cellStyle name="40% - アクセント 4 2" xfId="41"/>
    <cellStyle name="40% - アクセント 5 2" xfId="42"/>
    <cellStyle name="40% - アクセント 6 2" xfId="43"/>
    <cellStyle name="60% - Accent1" xfId="44"/>
    <cellStyle name="60% - Accent2" xfId="45"/>
    <cellStyle name="60% - Accent3" xfId="46"/>
    <cellStyle name="60% - Accent4" xfId="47"/>
    <cellStyle name="60% - Accent5" xfId="48"/>
    <cellStyle name="60% - Accent6" xfId="49"/>
    <cellStyle name="60% - アクセント 1 2" xfId="50"/>
    <cellStyle name="60% - アクセント 2 2" xfId="51"/>
    <cellStyle name="60% - アクセント 3 2" xfId="52"/>
    <cellStyle name="60% - アクセント 4 2" xfId="53"/>
    <cellStyle name="60% - アクセント 5 2" xfId="54"/>
    <cellStyle name="60% - アクセント 6 2" xfId="55"/>
    <cellStyle name="Accent1" xfId="56"/>
    <cellStyle name="Accent2" xfId="57"/>
    <cellStyle name="Accent3" xfId="58"/>
    <cellStyle name="Accent4" xfId="59"/>
    <cellStyle name="Accent5" xfId="60"/>
    <cellStyle name="Accent6" xfId="61"/>
    <cellStyle name="Background" xfId="62"/>
    <cellStyle name="Bad 1" xfId="63"/>
    <cellStyle name="Calculation" xfId="64"/>
    <cellStyle name="Calculation 2" xfId="65"/>
    <cellStyle name="Check Cell" xfId="66"/>
    <cellStyle name="Comma [0]_FON95-03" xfId="67"/>
    <cellStyle name="Comma_FON95-03" xfId="68"/>
    <cellStyle name="Currency [0]_FON95-03" xfId="69"/>
    <cellStyle name="Currency_FON95-03" xfId="70"/>
    <cellStyle name="date" xfId="71"/>
    <cellStyle name="Explanatory Text" xfId="72"/>
    <cellStyle name="Good 2" xfId="73"/>
    <cellStyle name="Heading 1 3" xfId="74"/>
    <cellStyle name="Heading 2 4" xfId="75"/>
    <cellStyle name="Heading 3" xfId="76"/>
    <cellStyle name="Heading 4" xfId="77"/>
    <cellStyle name="IBM(401K)" xfId="78"/>
    <cellStyle name="Input" xfId="79"/>
    <cellStyle name="Input 2" xfId="80"/>
    <cellStyle name="J401K" xfId="81"/>
    <cellStyle name="Linked Cell" xfId="82"/>
    <cellStyle name="Milliers [0]_AR1194" xfId="83"/>
    <cellStyle name="Milliers_AR1194" xfId="84"/>
    <cellStyle name="Mon騁aire [0]_AR1194" xfId="85"/>
    <cellStyle name="Mon騁aire_AR1194" xfId="86"/>
    <cellStyle name="Neutral 5" xfId="87"/>
    <cellStyle name="Normal_AR1194" xfId="88"/>
    <cellStyle name="Note 2" xfId="89"/>
    <cellStyle name="Note 6" xfId="90"/>
    <cellStyle name="Output" xfId="91"/>
    <cellStyle name="Output 2" xfId="92"/>
    <cellStyle name="Title" xfId="93"/>
    <cellStyle name="Total" xfId="94"/>
    <cellStyle name="Total 2" xfId="95"/>
    <cellStyle name="Warning Text" xfId="96"/>
    <cellStyle name="どちらでもない 2" xfId="97"/>
    <cellStyle name="アクセント 1 2" xfId="98"/>
    <cellStyle name="アクセント 2 2" xfId="99"/>
    <cellStyle name="アクセント 3 2" xfId="100"/>
    <cellStyle name="アクセント 4 2" xfId="101"/>
    <cellStyle name="アクセント 5 2" xfId="102"/>
    <cellStyle name="アクセント 6 2" xfId="103"/>
    <cellStyle name="タイトル 2" xfId="104"/>
    <cellStyle name="チェック セル 2" xfId="105"/>
    <cellStyle name="データパイロットの分類項目" xfId="106"/>
    <cellStyle name="データパイロットの数値" xfId="107"/>
    <cellStyle name="ハイパーリンク 2" xfId="108"/>
    <cellStyle name="ハイパーリンク 3" xfId="109"/>
    <cellStyle name="フェンスチャート" xfId="110"/>
    <cellStyle name="メモ 2" xfId="111"/>
    <cellStyle name="メモ 2 2" xfId="112"/>
    <cellStyle name="リンク セル 2" xfId="113"/>
    <cellStyle name="入力 2" xfId="114"/>
    <cellStyle name="入力 2 2" xfId="115"/>
    <cellStyle name="出力 2" xfId="116"/>
    <cellStyle name="出力 2 2" xfId="117"/>
    <cellStyle name="悪い 2" xfId="118"/>
    <cellStyle name="未定義" xfId="119"/>
    <cellStyle name="桁区切り 2" xfId="120"/>
    <cellStyle name="桁区切り 2 2" xfId="121"/>
    <cellStyle name="桁区切り 3" xfId="122"/>
    <cellStyle name="桁区切り 4" xfId="123"/>
    <cellStyle name="標準 10" xfId="124"/>
    <cellStyle name="標準 11" xfId="125"/>
    <cellStyle name="標準 11 2" xfId="126"/>
    <cellStyle name="標準 2" xfId="127"/>
    <cellStyle name="標準 2 2" xfId="128"/>
    <cellStyle name="標準 2 2 2" xfId="129"/>
    <cellStyle name="標準 2 2 3" xfId="130"/>
    <cellStyle name="標準 2 2 4" xfId="131"/>
    <cellStyle name="標準 2 3" xfId="132"/>
    <cellStyle name="標準 2 4" xfId="133"/>
    <cellStyle name="標準 2 5" xfId="134"/>
    <cellStyle name="標準 2 6" xfId="135"/>
    <cellStyle name="標準 2_デモ／空メールエントリーシステム＿メモ" xfId="136"/>
    <cellStyle name="標準 3" xfId="137"/>
    <cellStyle name="標準 3 2" xfId="138"/>
    <cellStyle name="標準 4" xfId="139"/>
    <cellStyle name="標準 4 2" xfId="140"/>
    <cellStyle name="標準 4 3" xfId="141"/>
    <cellStyle name="標準 5" xfId="142"/>
    <cellStyle name="標準 5 2" xfId="143"/>
    <cellStyle name="標準 6" xfId="144"/>
    <cellStyle name="標準 7" xfId="145"/>
    <cellStyle name="標準 8" xfId="146"/>
    <cellStyle name="標準 9" xfId="147"/>
    <cellStyle name="標準_朝日生命_バースデーキャンペーン_DB設計書_080415_社内_情報活用セミナー_Createテキストデータ設計書_081107-2" xfId="148"/>
    <cellStyle name="標準_開発計画_110720_v11" xfId="149"/>
    <cellStyle name="状態遷移図" xfId="150"/>
    <cellStyle name="良い 2" xfId="151"/>
    <cellStyle name="見出し 1 2" xfId="152"/>
    <cellStyle name="見出し 2 2" xfId="153"/>
    <cellStyle name="見出し 3 2" xfId="154"/>
    <cellStyle name="見出し 4 2" xfId="155"/>
    <cellStyle name="計算 2" xfId="156"/>
    <cellStyle name="計算 2 2" xfId="157"/>
    <cellStyle name="説明文 2" xfId="158"/>
    <cellStyle name="警告文 2" xfId="159"/>
    <cellStyle name="集計 2" xfId="160"/>
    <cellStyle name="集計 2 2" xfId="16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36</xdr:row>
      <xdr:rowOff>4680</xdr:rowOff>
    </xdr:from>
    <xdr:to>
      <xdr:col>52</xdr:col>
      <xdr:colOff>144360</xdr:colOff>
      <xdr:row>36</xdr:row>
      <xdr:rowOff>4680</xdr:rowOff>
    </xdr:to>
    <xdr:sp>
      <xdr:nvSpPr>
        <xdr:cNvPr id="0" name="Line 1"/>
        <xdr:cNvSpPr/>
      </xdr:nvSpPr>
      <xdr:spPr>
        <a:xfrm>
          <a:off x="28440" y="6062760"/>
          <a:ext cx="979092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28440</xdr:colOff>
      <xdr:row>0</xdr:row>
      <xdr:rowOff>114120</xdr:rowOff>
    </xdr:from>
    <xdr:to>
      <xdr:col>52</xdr:col>
      <xdr:colOff>143640</xdr:colOff>
      <xdr:row>0</xdr:row>
      <xdr:rowOff>114120</xdr:rowOff>
    </xdr:to>
    <xdr:sp>
      <xdr:nvSpPr>
        <xdr:cNvPr id="1" name="Line 1"/>
        <xdr:cNvSpPr/>
      </xdr:nvSpPr>
      <xdr:spPr>
        <a:xfrm>
          <a:off x="28440" y="114120"/>
          <a:ext cx="979020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7:BB3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6796875" defaultRowHeight="12.75" zeroHeight="false" outlineLevelRow="0" outlineLevelCol="0"/>
  <cols>
    <col collapsed="false" customWidth="false" hidden="false" outlineLevel="0" max="54" min="1" style="1" width="2.66"/>
  </cols>
  <sheetData>
    <row r="7" customFormat="false" ht="12.75" hidden="false" customHeight="false" outlineLevel="0" collapsed="false"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</row>
    <row r="8" customFormat="false" ht="18.75" hidden="false" customHeight="false" outlineLevel="0" collapsed="false">
      <c r="N8" s="5"/>
      <c r="O8" s="6" t="s">
        <v>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/>
    </row>
    <row r="9" customFormat="false" ht="18.75" hidden="false" customHeight="false" outlineLevel="0" collapsed="false">
      <c r="N9" s="5"/>
      <c r="O9" s="6" t="s">
        <v>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/>
    </row>
    <row r="10" customFormat="false" ht="12.75" hidden="false" customHeight="false" outlineLevel="0" collapsed="false">
      <c r="N10" s="5"/>
      <c r="AO10" s="7"/>
    </row>
    <row r="11" customFormat="false" ht="18.75" hidden="false" customHeight="false" outlineLevel="0" collapsed="false">
      <c r="N11" s="5"/>
      <c r="S11" s="8" t="s">
        <v>2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O11" s="7"/>
    </row>
    <row r="12" customFormat="false" ht="12.75" hidden="false" customHeight="false" outlineLevel="0" collapsed="false"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</row>
    <row r="13" customFormat="false" ht="12.75" hidden="false" customHeight="false" outlineLevel="0" collapsed="false">
      <c r="X13" s="12"/>
      <c r="AA13" s="13"/>
      <c r="AB13" s="13"/>
      <c r="AC13" s="13"/>
      <c r="AD13" s="13"/>
      <c r="AE13" s="13"/>
      <c r="AF13" s="13"/>
    </row>
    <row r="14" customFormat="false" ht="12.75" hidden="false" customHeight="false" outlineLevel="0" collapsed="false">
      <c r="X14" s="12"/>
      <c r="AA14" s="14"/>
      <c r="AB14" s="14"/>
      <c r="AC14" s="14"/>
      <c r="AD14" s="14"/>
      <c r="AE14" s="14"/>
      <c r="AF14" s="14"/>
    </row>
    <row r="15" customFormat="false" ht="12.75" hidden="false" customHeight="false" outlineLevel="0" collapsed="false">
      <c r="X15" s="1" t="str">
        <f aca="false">"第"&amp;TEXT(MAX(更新履歴!A8:J32),"#0.0")&amp;"版"</f>
        <v>第1.5版</v>
      </c>
      <c r="Y15" s="15"/>
      <c r="Z15" s="15"/>
      <c r="AA15" s="16" t="n">
        <f aca="false">MAX(更新履歴!K8:T32)</f>
        <v>45268</v>
      </c>
      <c r="AB15" s="16"/>
      <c r="AC15" s="16"/>
      <c r="AD15" s="16"/>
      <c r="AE15" s="16"/>
      <c r="AF15" s="16"/>
    </row>
    <row r="16" customFormat="false" ht="12.75" hidden="false" customHeight="false" outlineLevel="0" collapsed="false">
      <c r="X16" s="12"/>
      <c r="AA16" s="17"/>
      <c r="AB16" s="17"/>
      <c r="AC16" s="17"/>
      <c r="AD16" s="17"/>
      <c r="AE16" s="17"/>
      <c r="AF16" s="17"/>
    </row>
    <row r="17" customFormat="false" ht="12.75" hidden="false" customHeight="false" outlineLevel="0" collapsed="false">
      <c r="X17" s="12"/>
      <c r="AA17" s="18"/>
      <c r="AB17" s="18"/>
      <c r="AC17" s="18"/>
      <c r="AD17" s="18"/>
      <c r="AE17" s="18"/>
      <c r="AF17" s="18"/>
      <c r="AG17" s="19"/>
    </row>
    <row r="18" customFormat="false" ht="12.75" hidden="false" customHeight="false" outlineLevel="0" collapsed="false">
      <c r="U18" s="20" t="s">
        <v>3</v>
      </c>
      <c r="V18" s="20"/>
      <c r="W18" s="20"/>
      <c r="X18" s="20"/>
      <c r="Y18" s="20"/>
      <c r="Z18" s="21" t="s">
        <v>4</v>
      </c>
      <c r="AA18" s="21"/>
      <c r="AB18" s="21"/>
      <c r="AC18" s="21"/>
      <c r="AD18" s="21"/>
      <c r="AE18" s="22" t="s">
        <v>5</v>
      </c>
      <c r="AF18" s="22"/>
      <c r="AG18" s="22"/>
      <c r="AH18" s="22"/>
      <c r="AI18" s="22"/>
    </row>
    <row r="19" customFormat="false" ht="12.75" hidden="false" customHeight="false" outlineLevel="0" collapsed="false">
      <c r="U19" s="23" t="s">
        <v>6</v>
      </c>
      <c r="V19" s="23"/>
      <c r="W19" s="23"/>
      <c r="X19" s="23"/>
      <c r="Y19" s="23"/>
      <c r="Z19" s="24"/>
      <c r="AA19" s="25"/>
      <c r="AB19" s="25"/>
      <c r="AC19" s="25"/>
      <c r="AD19" s="26"/>
      <c r="AI19" s="27"/>
    </row>
    <row r="20" customFormat="false" ht="12.75" hidden="false" customHeight="false" outlineLevel="0" collapsed="false">
      <c r="U20" s="23"/>
      <c r="V20" s="23"/>
      <c r="W20" s="23"/>
      <c r="X20" s="23"/>
      <c r="Y20" s="23"/>
      <c r="AD20" s="27"/>
      <c r="AI20" s="27"/>
    </row>
    <row r="21" customFormat="false" ht="12.75" hidden="false" customHeight="false" outlineLevel="0" collapsed="false">
      <c r="U21" s="23"/>
      <c r="V21" s="23"/>
      <c r="W21" s="23"/>
      <c r="X21" s="23"/>
      <c r="Y21" s="23"/>
      <c r="AD21" s="27"/>
      <c r="AI21" s="27"/>
    </row>
    <row r="22" customFormat="false" ht="12.75" hidden="false" customHeight="false" outlineLevel="0" collapsed="false">
      <c r="U22" s="23"/>
      <c r="V22" s="23"/>
      <c r="W22" s="23"/>
      <c r="X22" s="23"/>
      <c r="Y22" s="23"/>
      <c r="Z22" s="28"/>
      <c r="AA22" s="28"/>
      <c r="AB22" s="28"/>
      <c r="AC22" s="28"/>
      <c r="AD22" s="29"/>
      <c r="AE22" s="28"/>
      <c r="AF22" s="28"/>
      <c r="AG22" s="28"/>
      <c r="AH22" s="28"/>
      <c r="AI22" s="29"/>
    </row>
    <row r="32" s="1" customFormat="true" ht="12.75" hidden="false" customHeight="false" outlineLevel="0" collapsed="false"/>
    <row r="33" customFormat="false" ht="12.75" hidden="false" customHeight="false" outlineLevel="0" collapsed="false"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customFormat="false" ht="12.75" hidden="false" customHeight="false" outlineLevel="0" collapsed="false"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customFormat="false" ht="12.75" hidden="false" customHeight="false" outlineLevel="0" collapsed="false"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7" customFormat="false" ht="12.75" hidden="false" customHeight="false" outlineLevel="0" collapsed="false">
      <c r="A37" s="31"/>
      <c r="BA37" s="32"/>
    </row>
    <row r="38" customFormat="false" ht="12.75" hidden="false" customHeight="false" outlineLevel="0" collapsed="false">
      <c r="BB38" s="32"/>
    </row>
  </sheetData>
  <mergeCells count="12">
    <mergeCell ref="O8:AN8"/>
    <mergeCell ref="O9:AN9"/>
    <mergeCell ref="S11:AJ11"/>
    <mergeCell ref="AA13:AF13"/>
    <mergeCell ref="AA15:AF15"/>
    <mergeCell ref="AA17:AF17"/>
    <mergeCell ref="U18:Y18"/>
    <mergeCell ref="Z18:AD18"/>
    <mergeCell ref="AE18:AI18"/>
    <mergeCell ref="U19:Y22"/>
    <mergeCell ref="S33:AJ33"/>
    <mergeCell ref="S34:AJ35"/>
  </mergeCells>
  <printOptions headings="false" gridLines="false" gridLinesSet="true" horizontalCentered="true" verticalCentered="false"/>
  <pageMargins left="0.39375" right="0.39375" top="0.39375" bottom="0.590277777777778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3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2.78515625" defaultRowHeight="12.75" zeroHeight="false" outlineLevelRow="0" outlineLevelCol="0"/>
  <cols>
    <col collapsed="false" customWidth="true" hidden="false" outlineLevel="0" max="64" min="1" style="33" width="2.66"/>
  </cols>
  <sheetData>
    <row r="1" s="40" customFormat="true" ht="15" hidden="false" customHeight="true" outlineLevel="0" collapsed="false">
      <c r="A1" s="34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5" t="s">
        <v>8</v>
      </c>
      <c r="L1" s="35"/>
      <c r="M1" s="35"/>
      <c r="N1" s="35"/>
      <c r="O1" s="35"/>
      <c r="P1" s="35"/>
      <c r="Q1" s="35"/>
      <c r="R1" s="35"/>
      <c r="S1" s="35"/>
      <c r="T1" s="35"/>
      <c r="U1" s="36" t="str">
        <f aca="false">表紙!S11</f>
        <v>サービス一覧</v>
      </c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 t="s">
        <v>3</v>
      </c>
      <c r="AP1" s="37"/>
      <c r="AQ1" s="37"/>
      <c r="AR1" s="37"/>
      <c r="AS1" s="37"/>
      <c r="AT1" s="37"/>
      <c r="AU1" s="38" t="s">
        <v>9</v>
      </c>
      <c r="AV1" s="38"/>
      <c r="AW1" s="38"/>
      <c r="AX1" s="38"/>
      <c r="AY1" s="38"/>
      <c r="AZ1" s="38"/>
      <c r="BA1" s="38" t="s">
        <v>10</v>
      </c>
      <c r="BB1" s="38"/>
      <c r="BC1" s="38"/>
      <c r="BD1" s="38"/>
      <c r="BE1" s="38"/>
      <c r="BF1" s="38"/>
      <c r="BG1" s="39" t="s">
        <v>11</v>
      </c>
      <c r="BH1" s="39"/>
      <c r="BI1" s="39"/>
      <c r="BJ1" s="39"/>
      <c r="BK1" s="39"/>
      <c r="BL1" s="39"/>
    </row>
    <row r="2" s="40" customFormat="true" ht="15" hidden="false" customHeight="true" outlineLevel="0" collapsed="false">
      <c r="A2" s="41" t="str">
        <f aca="false">表紙!O9</f>
        <v>体験型Java研修</v>
      </c>
      <c r="B2" s="41"/>
      <c r="C2" s="41"/>
      <c r="D2" s="41"/>
      <c r="E2" s="41"/>
      <c r="F2" s="41"/>
      <c r="G2" s="41"/>
      <c r="H2" s="41"/>
      <c r="I2" s="41"/>
      <c r="J2" s="41"/>
      <c r="K2" s="42" t="str">
        <f aca="false">表紙!O8</f>
        <v>LMS学習管理システム</v>
      </c>
      <c r="L2" s="42"/>
      <c r="M2" s="42"/>
      <c r="N2" s="42"/>
      <c r="O2" s="42"/>
      <c r="P2" s="42"/>
      <c r="Q2" s="42"/>
      <c r="R2" s="42"/>
      <c r="S2" s="42"/>
      <c r="T2" s="42"/>
      <c r="U2" s="43" t="s">
        <v>12</v>
      </c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 t="s">
        <v>6</v>
      </c>
      <c r="AP2" s="44"/>
      <c r="AQ2" s="44"/>
      <c r="AR2" s="44"/>
      <c r="AS2" s="44"/>
      <c r="AT2" s="44"/>
      <c r="AU2" s="45" t="n">
        <v>44287</v>
      </c>
      <c r="AV2" s="45"/>
      <c r="AW2" s="45"/>
      <c r="AX2" s="45"/>
      <c r="AY2" s="45"/>
      <c r="AZ2" s="45"/>
      <c r="BA2" s="44" t="s">
        <v>13</v>
      </c>
      <c r="BB2" s="44"/>
      <c r="BC2" s="44"/>
      <c r="BD2" s="44"/>
      <c r="BE2" s="44"/>
      <c r="BF2" s="44"/>
      <c r="BG2" s="46" t="n">
        <v>45268</v>
      </c>
      <c r="BH2" s="46"/>
      <c r="BI2" s="46"/>
      <c r="BJ2" s="46"/>
      <c r="BK2" s="46"/>
      <c r="BL2" s="46"/>
    </row>
    <row r="3" s="40" customFormat="true" ht="15" hidden="false" customHeight="true" outlineLevel="0" collapsed="false">
      <c r="A3" s="41"/>
      <c r="B3" s="41"/>
      <c r="C3" s="41"/>
      <c r="D3" s="41"/>
      <c r="E3" s="41"/>
      <c r="F3" s="41"/>
      <c r="G3" s="41"/>
      <c r="H3" s="41"/>
      <c r="I3" s="41"/>
      <c r="J3" s="41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4"/>
      <c r="AP3" s="44"/>
      <c r="AQ3" s="44"/>
      <c r="AR3" s="44"/>
      <c r="AS3" s="44"/>
      <c r="AT3" s="44"/>
      <c r="AU3" s="45"/>
      <c r="AV3" s="45"/>
      <c r="AW3" s="45"/>
      <c r="AX3" s="45"/>
      <c r="AY3" s="45"/>
      <c r="AZ3" s="45"/>
      <c r="BA3" s="44"/>
      <c r="BB3" s="44"/>
      <c r="BC3" s="44"/>
      <c r="BD3" s="44"/>
      <c r="BE3" s="44"/>
      <c r="BF3" s="44"/>
      <c r="BG3" s="46"/>
      <c r="BH3" s="46"/>
      <c r="BI3" s="46"/>
      <c r="BJ3" s="46"/>
      <c r="BK3" s="46"/>
      <c r="BL3" s="46"/>
    </row>
    <row r="4" customFormat="false" ht="13.5" hidden="false" customHeight="true" outlineLevel="0" collapsed="false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8"/>
      <c r="N4" s="48"/>
      <c r="O4" s="48"/>
      <c r="P4" s="48"/>
      <c r="Q4" s="48"/>
      <c r="R4" s="48"/>
      <c r="T4" s="49"/>
      <c r="U4" s="49"/>
      <c r="V4" s="49"/>
      <c r="AV4" s="48"/>
      <c r="AW4" s="48"/>
      <c r="AX4" s="48"/>
      <c r="AY4" s="48"/>
      <c r="AZ4" s="48"/>
      <c r="BA4" s="48"/>
      <c r="BL4" s="47"/>
    </row>
    <row r="5" s="53" customFormat="true" ht="14.25" hidden="false" customHeight="true" outlineLevel="0" collapsed="false">
      <c r="A5" s="50" t="s">
        <v>14</v>
      </c>
      <c r="B5" s="50"/>
      <c r="C5" s="50"/>
      <c r="D5" s="50"/>
      <c r="E5" s="50"/>
      <c r="F5" s="50"/>
      <c r="G5" s="50"/>
      <c r="H5" s="50"/>
      <c r="I5" s="50"/>
      <c r="J5" s="50"/>
      <c r="K5" s="51" t="s">
        <v>15</v>
      </c>
      <c r="L5" s="51"/>
      <c r="M5" s="51"/>
      <c r="N5" s="51"/>
      <c r="O5" s="51"/>
      <c r="P5" s="51"/>
      <c r="Q5" s="51"/>
      <c r="R5" s="51"/>
      <c r="S5" s="51"/>
      <c r="T5" s="51"/>
      <c r="U5" s="51" t="s">
        <v>16</v>
      </c>
      <c r="V5" s="51"/>
      <c r="W5" s="51"/>
      <c r="X5" s="51"/>
      <c r="Y5" s="51" t="s">
        <v>17</v>
      </c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 t="s">
        <v>18</v>
      </c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</row>
    <row r="6" s="54" customFormat="true" ht="14.25" hidden="false" customHeight="true" outlineLevel="0" collapsed="false">
      <c r="A6" s="50"/>
      <c r="B6" s="50"/>
      <c r="C6" s="50"/>
      <c r="D6" s="50"/>
      <c r="E6" s="50"/>
      <c r="F6" s="50"/>
      <c r="G6" s="50"/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</row>
    <row r="7" s="54" customFormat="true" ht="14.25" hidden="false" customHeight="true" outlineLevel="0" collapsed="false">
      <c r="A7" s="50"/>
      <c r="B7" s="50"/>
      <c r="C7" s="50"/>
      <c r="D7" s="50"/>
      <c r="E7" s="50"/>
      <c r="F7" s="50"/>
      <c r="G7" s="50"/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</row>
    <row r="8" s="54" customFormat="true" ht="14.25" hidden="false" customHeight="true" outlineLevel="0" collapsed="false">
      <c r="A8" s="55" t="n">
        <v>1</v>
      </c>
      <c r="B8" s="55"/>
      <c r="C8" s="55"/>
      <c r="D8" s="55"/>
      <c r="E8" s="55"/>
      <c r="F8" s="55"/>
      <c r="G8" s="55"/>
      <c r="H8" s="55"/>
      <c r="I8" s="55"/>
      <c r="J8" s="55"/>
      <c r="K8" s="56" t="n">
        <v>44287</v>
      </c>
      <c r="L8" s="56"/>
      <c r="M8" s="56"/>
      <c r="N8" s="56"/>
      <c r="O8" s="56"/>
      <c r="P8" s="56"/>
      <c r="Q8" s="56"/>
      <c r="R8" s="56"/>
      <c r="S8" s="56"/>
      <c r="T8" s="56"/>
      <c r="U8" s="57" t="s">
        <v>19</v>
      </c>
      <c r="V8" s="57"/>
      <c r="W8" s="57"/>
      <c r="X8" s="57"/>
      <c r="Y8" s="58" t="s">
        <v>20</v>
      </c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9" t="s">
        <v>6</v>
      </c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</row>
    <row r="9" s="54" customFormat="true" ht="14.25" hidden="false" customHeight="true" outlineLevel="0" collapsed="false">
      <c r="A9" s="55"/>
      <c r="B9" s="55"/>
      <c r="C9" s="55"/>
      <c r="D9" s="55"/>
      <c r="E9" s="55"/>
      <c r="F9" s="55"/>
      <c r="G9" s="55"/>
      <c r="H9" s="55"/>
      <c r="I9" s="55"/>
      <c r="J9" s="55"/>
      <c r="K9" s="56"/>
      <c r="L9" s="56"/>
      <c r="M9" s="56"/>
      <c r="N9" s="56"/>
      <c r="O9" s="56"/>
      <c r="P9" s="56"/>
      <c r="Q9" s="56"/>
      <c r="R9" s="56"/>
      <c r="S9" s="56"/>
      <c r="T9" s="56"/>
      <c r="U9" s="57"/>
      <c r="V9" s="57"/>
      <c r="W9" s="57"/>
      <c r="X9" s="57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</row>
    <row r="10" s="54" customFormat="true" ht="14.25" hidden="false" customHeight="true" outlineLevel="0" collapsed="false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7"/>
      <c r="V10" s="57"/>
      <c r="W10" s="57"/>
      <c r="X10" s="57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</row>
    <row r="11" s="54" customFormat="true" ht="14.25" hidden="false" customHeight="true" outlineLevel="0" collapsed="false">
      <c r="A11" s="55" t="n">
        <v>1.1</v>
      </c>
      <c r="B11" s="55"/>
      <c r="C11" s="55"/>
      <c r="D11" s="55"/>
      <c r="E11" s="55"/>
      <c r="F11" s="55"/>
      <c r="G11" s="55"/>
      <c r="H11" s="55"/>
      <c r="I11" s="55"/>
      <c r="J11" s="55"/>
      <c r="K11" s="60" t="n">
        <v>45027</v>
      </c>
      <c r="L11" s="60"/>
      <c r="M11" s="60"/>
      <c r="N11" s="60"/>
      <c r="O11" s="60"/>
      <c r="P11" s="60"/>
      <c r="Q11" s="60"/>
      <c r="R11" s="60"/>
      <c r="S11" s="60"/>
      <c r="T11" s="60"/>
      <c r="U11" s="61" t="s">
        <v>19</v>
      </c>
      <c r="V11" s="61"/>
      <c r="W11" s="61"/>
      <c r="X11" s="61"/>
      <c r="Y11" s="62" t="s">
        <v>21</v>
      </c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3" t="s">
        <v>22</v>
      </c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</row>
    <row r="12" s="54" customFormat="true" ht="14.25" hidden="false" customHeight="true" outlineLevel="0" collapsed="false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1"/>
      <c r="V12" s="61"/>
      <c r="W12" s="61"/>
      <c r="X12" s="61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</row>
    <row r="13" s="54" customFormat="true" ht="14.25" hidden="false" customHeight="true" outlineLevel="0" collapsed="false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1"/>
      <c r="V13" s="61"/>
      <c r="W13" s="61"/>
      <c r="X13" s="61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</row>
    <row r="14" s="54" customFormat="true" ht="14.25" hidden="false" customHeight="true" outlineLevel="0" collapsed="false">
      <c r="A14" s="55" t="n">
        <v>1.2</v>
      </c>
      <c r="B14" s="55"/>
      <c r="C14" s="55"/>
      <c r="D14" s="55"/>
      <c r="E14" s="55"/>
      <c r="F14" s="55"/>
      <c r="G14" s="55"/>
      <c r="H14" s="55"/>
      <c r="I14" s="55"/>
      <c r="J14" s="55"/>
      <c r="K14" s="60" t="n">
        <v>45222</v>
      </c>
      <c r="L14" s="60"/>
      <c r="M14" s="60"/>
      <c r="N14" s="60"/>
      <c r="O14" s="60"/>
      <c r="P14" s="60"/>
      <c r="Q14" s="60"/>
      <c r="R14" s="60"/>
      <c r="S14" s="60"/>
      <c r="T14" s="60"/>
      <c r="U14" s="64" t="s">
        <v>2</v>
      </c>
      <c r="V14" s="64"/>
      <c r="W14" s="64"/>
      <c r="X14" s="64"/>
      <c r="Y14" s="62" t="s">
        <v>23</v>
      </c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3" t="s">
        <v>13</v>
      </c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</row>
    <row r="15" s="54" customFormat="true" ht="14.25" hidden="false" customHeight="true" outlineLevel="0" collapsed="false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4"/>
      <c r="V15" s="64"/>
      <c r="W15" s="64"/>
      <c r="X15" s="64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</row>
    <row r="16" s="54" customFormat="true" ht="12.75" hidden="false" customHeight="true" outlineLevel="0" collapsed="false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4"/>
      <c r="V16" s="64"/>
      <c r="W16" s="64"/>
      <c r="X16" s="64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</row>
    <row r="17" s="54" customFormat="true" ht="14.25" hidden="false" customHeight="true" outlineLevel="0" collapsed="false">
      <c r="A17" s="55" t="n">
        <v>1.3</v>
      </c>
      <c r="B17" s="55"/>
      <c r="C17" s="55"/>
      <c r="D17" s="55"/>
      <c r="E17" s="55"/>
      <c r="F17" s="55"/>
      <c r="G17" s="55"/>
      <c r="H17" s="55"/>
      <c r="I17" s="55"/>
      <c r="J17" s="55"/>
      <c r="K17" s="60" t="n">
        <v>45226</v>
      </c>
      <c r="L17" s="60"/>
      <c r="M17" s="60"/>
      <c r="N17" s="60"/>
      <c r="O17" s="60"/>
      <c r="P17" s="60"/>
      <c r="Q17" s="60"/>
      <c r="R17" s="60"/>
      <c r="S17" s="60"/>
      <c r="T17" s="60"/>
      <c r="U17" s="64" t="s">
        <v>2</v>
      </c>
      <c r="V17" s="64"/>
      <c r="W17" s="64"/>
      <c r="X17" s="64"/>
      <c r="Y17" s="62" t="s">
        <v>24</v>
      </c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3" t="s">
        <v>13</v>
      </c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</row>
    <row r="18" s="54" customFormat="true" ht="14.25" hidden="false" customHeight="true" outlineLevel="0" collapsed="false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4"/>
      <c r="V18" s="64"/>
      <c r="W18" s="64"/>
      <c r="X18" s="64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</row>
    <row r="19" s="54" customFormat="true" ht="14.25" hidden="false" customHeight="true" outlineLevel="0" collapsed="false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4"/>
      <c r="V19" s="64"/>
      <c r="W19" s="64"/>
      <c r="X19" s="64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</row>
    <row r="20" s="54" customFormat="true" ht="14.25" hidden="false" customHeight="true" outlineLevel="0" collapsed="false">
      <c r="A20" s="55" t="n">
        <v>1.4</v>
      </c>
      <c r="B20" s="55"/>
      <c r="C20" s="55"/>
      <c r="D20" s="55"/>
      <c r="E20" s="55"/>
      <c r="F20" s="55"/>
      <c r="G20" s="55"/>
      <c r="H20" s="55"/>
      <c r="I20" s="55"/>
      <c r="J20" s="55"/>
      <c r="K20" s="60" t="n">
        <v>45229</v>
      </c>
      <c r="L20" s="60"/>
      <c r="M20" s="60"/>
      <c r="N20" s="60"/>
      <c r="O20" s="60"/>
      <c r="P20" s="60"/>
      <c r="Q20" s="60"/>
      <c r="R20" s="60"/>
      <c r="S20" s="60"/>
      <c r="T20" s="60"/>
      <c r="U20" s="64" t="s">
        <v>2</v>
      </c>
      <c r="V20" s="64"/>
      <c r="W20" s="64"/>
      <c r="X20" s="64"/>
      <c r="Y20" s="62" t="s">
        <v>25</v>
      </c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3" t="s">
        <v>13</v>
      </c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</row>
    <row r="21" s="54" customFormat="true" ht="14.25" hidden="false" customHeight="true" outlineLevel="0" collapsed="false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4"/>
      <c r="V21" s="64"/>
      <c r="W21" s="64"/>
      <c r="X21" s="64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</row>
    <row r="22" s="54" customFormat="true" ht="14.25" hidden="false" customHeight="true" outlineLevel="0" collapsed="false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4"/>
      <c r="V22" s="64"/>
      <c r="W22" s="64"/>
      <c r="X22" s="64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</row>
    <row r="23" s="54" customFormat="true" ht="14.25" hidden="false" customHeight="true" outlineLevel="0" collapsed="false">
      <c r="A23" s="65" t="n">
        <v>1.5</v>
      </c>
      <c r="B23" s="65"/>
      <c r="C23" s="65"/>
      <c r="D23" s="65"/>
      <c r="E23" s="65"/>
      <c r="F23" s="65"/>
      <c r="G23" s="65"/>
      <c r="H23" s="65"/>
      <c r="I23" s="65"/>
      <c r="J23" s="65"/>
      <c r="K23" s="60" t="n">
        <v>45268</v>
      </c>
      <c r="L23" s="60"/>
      <c r="M23" s="60"/>
      <c r="N23" s="60"/>
      <c r="O23" s="60"/>
      <c r="P23" s="60"/>
      <c r="Q23" s="60"/>
      <c r="R23" s="60"/>
      <c r="S23" s="60"/>
      <c r="T23" s="60"/>
      <c r="U23" s="64" t="s">
        <v>2</v>
      </c>
      <c r="V23" s="64"/>
      <c r="W23" s="64"/>
      <c r="X23" s="64"/>
      <c r="Y23" s="62" t="s">
        <v>26</v>
      </c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3" t="s">
        <v>13</v>
      </c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</row>
    <row r="24" s="54" customFormat="true" ht="14.25" hidden="false" customHeight="true" outlineLevel="0" collapsed="false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4"/>
      <c r="V24" s="64"/>
      <c r="W24" s="64"/>
      <c r="X24" s="64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</row>
    <row r="25" s="54" customFormat="true" ht="14.25" hidden="false" customHeight="true" outlineLevel="0" collapsed="false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4"/>
      <c r="V25" s="64"/>
      <c r="W25" s="64"/>
      <c r="X25" s="64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</row>
    <row r="26" s="54" customFormat="true" ht="14.25" hidden="false" customHeight="true" outlineLevel="0" collapsed="false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4"/>
      <c r="V26" s="64"/>
      <c r="W26" s="64"/>
      <c r="X26" s="64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</row>
    <row r="27" s="54" customFormat="true" ht="14.25" hidden="false" customHeight="true" outlineLevel="0" collapsed="false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4"/>
      <c r="V27" s="64"/>
      <c r="W27" s="64"/>
      <c r="X27" s="64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</row>
    <row r="28" s="54" customFormat="true" ht="14.25" hidden="false" customHeight="true" outlineLevel="0" collapsed="false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4"/>
      <c r="V28" s="64"/>
      <c r="W28" s="64"/>
      <c r="X28" s="64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</row>
    <row r="29" s="54" customFormat="true" ht="14.25" hidden="false" customHeight="true" outlineLevel="0" collapsed="false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  <c r="V29" s="68"/>
      <c r="W29" s="68"/>
      <c r="X29" s="68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</row>
    <row r="30" s="54" customFormat="true" ht="14.25" hidden="false" customHeight="true" outlineLevel="0" collapsed="false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68"/>
      <c r="W30" s="68"/>
      <c r="X30" s="68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</row>
    <row r="31" s="54" customFormat="true" ht="12.75" hidden="false" customHeight="true" outlineLevel="0" collapsed="false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68"/>
      <c r="W31" s="68"/>
      <c r="X31" s="68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</row>
    <row r="32" s="54" customFormat="true" ht="14.25" hidden="false" customHeight="true" outlineLevel="0" collapsed="false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3"/>
      <c r="V32" s="73"/>
      <c r="W32" s="73"/>
      <c r="X32" s="73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</row>
  </sheetData>
  <mergeCells count="64">
    <mergeCell ref="A1:J1"/>
    <mergeCell ref="K1:T1"/>
    <mergeCell ref="U1:AN1"/>
    <mergeCell ref="AO1:AT1"/>
    <mergeCell ref="AU1:AZ1"/>
    <mergeCell ref="BA1:BF1"/>
    <mergeCell ref="BG1:BL1"/>
    <mergeCell ref="A2:J3"/>
    <mergeCell ref="K2:T3"/>
    <mergeCell ref="U2:AN3"/>
    <mergeCell ref="AO2:AT3"/>
    <mergeCell ref="AU2:AZ3"/>
    <mergeCell ref="BA2:BF3"/>
    <mergeCell ref="BG2:BL3"/>
    <mergeCell ref="A5:J7"/>
    <mergeCell ref="K5:T7"/>
    <mergeCell ref="U5:X7"/>
    <mergeCell ref="Y5:AZ7"/>
    <mergeCell ref="BA5:BL7"/>
    <mergeCell ref="A8:J10"/>
    <mergeCell ref="K8:T10"/>
    <mergeCell ref="U8:X10"/>
    <mergeCell ref="Y8:AZ10"/>
    <mergeCell ref="BA8:BL10"/>
    <mergeCell ref="A11:J13"/>
    <mergeCell ref="K11:T13"/>
    <mergeCell ref="U11:X13"/>
    <mergeCell ref="Y11:AZ13"/>
    <mergeCell ref="BA11:BL13"/>
    <mergeCell ref="A14:J16"/>
    <mergeCell ref="K14:T16"/>
    <mergeCell ref="U14:X16"/>
    <mergeCell ref="Y14:AZ16"/>
    <mergeCell ref="BA14:BL16"/>
    <mergeCell ref="A17:J19"/>
    <mergeCell ref="K17:T19"/>
    <mergeCell ref="U17:X19"/>
    <mergeCell ref="Y17:AZ19"/>
    <mergeCell ref="BA17:BL19"/>
    <mergeCell ref="A20:J22"/>
    <mergeCell ref="K20:T22"/>
    <mergeCell ref="U20:X22"/>
    <mergeCell ref="Y20:AZ22"/>
    <mergeCell ref="BA20:BL22"/>
    <mergeCell ref="A23:J25"/>
    <mergeCell ref="K23:T25"/>
    <mergeCell ref="U23:X25"/>
    <mergeCell ref="Y23:AZ25"/>
    <mergeCell ref="BA23:BL25"/>
    <mergeCell ref="A26:J28"/>
    <mergeCell ref="K26:T28"/>
    <mergeCell ref="U26:X28"/>
    <mergeCell ref="Y26:AZ28"/>
    <mergeCell ref="BA26:BL28"/>
    <mergeCell ref="A29:J31"/>
    <mergeCell ref="K29:T31"/>
    <mergeCell ref="U29:X31"/>
    <mergeCell ref="Y29:AZ31"/>
    <mergeCell ref="BA29:BL31"/>
    <mergeCell ref="A32:J32"/>
    <mergeCell ref="K32:T32"/>
    <mergeCell ref="U32:X32"/>
    <mergeCell ref="Y32:AZ32"/>
    <mergeCell ref="BA32:BL32"/>
  </mergeCells>
  <printOptions headings="false" gridLines="false" gridLinesSet="true" horizontalCentered="true" verticalCentered="false"/>
  <pageMargins left="0.39375" right="0.39375" top="0.39375" bottom="0.590277777777778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T3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2.78515625" defaultRowHeight="13.8" zeroHeight="false" outlineLevelRow="0" outlineLevelCol="0"/>
  <cols>
    <col collapsed="false" customWidth="true" hidden="false" outlineLevel="0" max="64" min="1" style="33" width="2.66"/>
    <col collapsed="false" customWidth="true" hidden="false" outlineLevel="0" max="16384" min="16373" style="0" width="11.64"/>
  </cols>
  <sheetData>
    <row r="1" s="40" customFormat="true" ht="15" hidden="false" customHeight="true" outlineLevel="0" collapsed="false">
      <c r="A1" s="34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5" t="s">
        <v>8</v>
      </c>
      <c r="L1" s="35"/>
      <c r="M1" s="35"/>
      <c r="N1" s="35"/>
      <c r="O1" s="35"/>
      <c r="P1" s="35"/>
      <c r="Q1" s="35"/>
      <c r="R1" s="35"/>
      <c r="S1" s="35"/>
      <c r="T1" s="35"/>
      <c r="U1" s="36" t="str">
        <f aca="false">表紙!S11</f>
        <v>サービス一覧</v>
      </c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 t="s">
        <v>3</v>
      </c>
      <c r="AP1" s="37"/>
      <c r="AQ1" s="37"/>
      <c r="AR1" s="37"/>
      <c r="AS1" s="37"/>
      <c r="AT1" s="37"/>
      <c r="AU1" s="38" t="s">
        <v>9</v>
      </c>
      <c r="AV1" s="38"/>
      <c r="AW1" s="38"/>
      <c r="AX1" s="38"/>
      <c r="AY1" s="38"/>
      <c r="AZ1" s="38"/>
      <c r="BA1" s="38" t="s">
        <v>10</v>
      </c>
      <c r="BB1" s="38"/>
      <c r="BC1" s="38"/>
      <c r="BD1" s="38"/>
      <c r="BE1" s="38"/>
      <c r="BF1" s="38"/>
      <c r="BG1" s="76" t="s">
        <v>11</v>
      </c>
      <c r="BH1" s="76"/>
      <c r="BI1" s="76"/>
      <c r="BJ1" s="76"/>
      <c r="BK1" s="76"/>
      <c r="BL1" s="76"/>
      <c r="BM1" s="0"/>
      <c r="BN1" s="0"/>
      <c r="BO1" s="0"/>
      <c r="BP1" s="0"/>
      <c r="BQ1" s="0"/>
      <c r="BR1" s="0"/>
      <c r="BS1" s="0"/>
      <c r="BT1" s="0"/>
    </row>
    <row r="2" s="40" customFormat="true" ht="15" hidden="false" customHeight="true" outlineLevel="0" collapsed="false">
      <c r="A2" s="41" t="str">
        <f aca="false">表紙!O9</f>
        <v>体験型Java研修</v>
      </c>
      <c r="B2" s="41"/>
      <c r="C2" s="41"/>
      <c r="D2" s="41"/>
      <c r="E2" s="41"/>
      <c r="F2" s="41"/>
      <c r="G2" s="41"/>
      <c r="H2" s="41"/>
      <c r="I2" s="41"/>
      <c r="J2" s="41"/>
      <c r="K2" s="42" t="str">
        <f aca="false">表紙!O8</f>
        <v>LMS学習管理システム</v>
      </c>
      <c r="L2" s="42"/>
      <c r="M2" s="42"/>
      <c r="N2" s="42"/>
      <c r="O2" s="42"/>
      <c r="P2" s="42"/>
      <c r="Q2" s="42"/>
      <c r="R2" s="42"/>
      <c r="S2" s="42"/>
      <c r="T2" s="42"/>
      <c r="U2" s="43" t="s">
        <v>2</v>
      </c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 t="s">
        <v>6</v>
      </c>
      <c r="AP2" s="44"/>
      <c r="AQ2" s="44"/>
      <c r="AR2" s="44"/>
      <c r="AS2" s="44"/>
      <c r="AT2" s="44"/>
      <c r="AU2" s="45" t="n">
        <v>44287</v>
      </c>
      <c r="AV2" s="45"/>
      <c r="AW2" s="45"/>
      <c r="AX2" s="45"/>
      <c r="AY2" s="45"/>
      <c r="AZ2" s="45"/>
      <c r="BA2" s="44" t="s">
        <v>13</v>
      </c>
      <c r="BB2" s="44"/>
      <c r="BC2" s="44"/>
      <c r="BD2" s="44"/>
      <c r="BE2" s="44"/>
      <c r="BF2" s="44"/>
      <c r="BG2" s="46" t="n">
        <v>45268</v>
      </c>
      <c r="BH2" s="46"/>
      <c r="BI2" s="46"/>
      <c r="BJ2" s="46"/>
      <c r="BK2" s="46"/>
      <c r="BL2" s="46"/>
      <c r="BM2" s="0"/>
      <c r="BN2" s="0"/>
      <c r="BO2" s="0"/>
      <c r="BP2" s="0"/>
      <c r="BQ2" s="0"/>
      <c r="BR2" s="0"/>
      <c r="BS2" s="0"/>
      <c r="BT2" s="0"/>
    </row>
    <row r="3" s="40" customFormat="true" ht="15" hidden="false" customHeight="true" outlineLevel="0" collapsed="false">
      <c r="A3" s="41"/>
      <c r="B3" s="41"/>
      <c r="C3" s="41"/>
      <c r="D3" s="41"/>
      <c r="E3" s="41"/>
      <c r="F3" s="41"/>
      <c r="G3" s="41"/>
      <c r="H3" s="41"/>
      <c r="I3" s="41"/>
      <c r="J3" s="41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4"/>
      <c r="AP3" s="44"/>
      <c r="AQ3" s="44"/>
      <c r="AR3" s="44"/>
      <c r="AS3" s="44"/>
      <c r="AT3" s="44"/>
      <c r="AU3" s="45"/>
      <c r="AV3" s="45"/>
      <c r="AW3" s="45"/>
      <c r="AX3" s="45"/>
      <c r="AY3" s="45"/>
      <c r="AZ3" s="45"/>
      <c r="BA3" s="44"/>
      <c r="BB3" s="44"/>
      <c r="BC3" s="44"/>
      <c r="BD3" s="44"/>
      <c r="BE3" s="44"/>
      <c r="BF3" s="44"/>
      <c r="BG3" s="46"/>
      <c r="BH3" s="46"/>
      <c r="BI3" s="46"/>
      <c r="BJ3" s="46"/>
      <c r="BK3" s="46"/>
      <c r="BL3" s="46"/>
      <c r="BM3" s="0"/>
      <c r="BN3" s="0"/>
      <c r="BO3" s="0"/>
      <c r="BP3" s="0"/>
      <c r="BQ3" s="0"/>
      <c r="BR3" s="0"/>
      <c r="BS3" s="0"/>
      <c r="BT3" s="0"/>
    </row>
    <row r="4" s="33" customFormat="true" ht="6.75" hidden="false" customHeight="true" outlineLevel="0" collapsed="false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8"/>
      <c r="N4" s="78"/>
      <c r="O4" s="78"/>
      <c r="P4" s="78"/>
      <c r="Q4" s="78"/>
      <c r="R4" s="78"/>
      <c r="S4" s="79"/>
      <c r="T4" s="80"/>
      <c r="U4" s="80"/>
      <c r="V4" s="80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8"/>
      <c r="AW4" s="78"/>
      <c r="AX4" s="78"/>
      <c r="AY4" s="78"/>
      <c r="AZ4" s="78"/>
      <c r="BA4" s="78"/>
      <c r="BB4" s="79"/>
      <c r="BC4" s="79"/>
      <c r="BL4" s="47"/>
      <c r="BM4" s="0"/>
      <c r="BN4" s="0"/>
      <c r="BO4" s="0"/>
      <c r="BP4" s="0"/>
      <c r="BQ4" s="0"/>
      <c r="BR4" s="0"/>
      <c r="BS4" s="0"/>
      <c r="BT4" s="0"/>
    </row>
    <row r="5" s="53" customFormat="true" ht="14.25" hidden="false" customHeight="true" outlineLevel="0" collapsed="false">
      <c r="A5" s="81" t="s">
        <v>27</v>
      </c>
      <c r="B5" s="81"/>
      <c r="C5" s="82" t="s">
        <v>28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 t="s">
        <v>29</v>
      </c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0"/>
      <c r="BN5" s="0"/>
      <c r="BO5" s="0"/>
      <c r="BP5" s="0"/>
      <c r="BQ5" s="0"/>
      <c r="BR5" s="0"/>
      <c r="BS5" s="0"/>
      <c r="BT5" s="0"/>
    </row>
    <row r="6" s="54" customFormat="true" ht="14.25" hidden="false" customHeight="true" outlineLevel="0" collapsed="false">
      <c r="A6" s="81"/>
      <c r="B6" s="81"/>
      <c r="C6" s="84" t="s">
        <v>30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5" t="s">
        <v>31</v>
      </c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0"/>
      <c r="BN6" s="0"/>
      <c r="BO6" s="0"/>
      <c r="BP6" s="0"/>
      <c r="BQ6" s="0"/>
      <c r="BR6" s="0"/>
      <c r="BS6" s="0"/>
      <c r="BT6" s="0"/>
    </row>
    <row r="7" s="54" customFormat="true" ht="14.25" hidden="false" customHeight="true" outlineLevel="0" collapsed="false">
      <c r="A7" s="86" t="n">
        <f aca="true">MAX(A$5:INDIRECT("A"&amp;ROW()-1))+1</f>
        <v>1</v>
      </c>
      <c r="B7" s="86"/>
      <c r="C7" s="87" t="s">
        <v>32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8" t="s">
        <v>33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0"/>
      <c r="BN7" s="0"/>
      <c r="BO7" s="0"/>
      <c r="BP7" s="0"/>
      <c r="BQ7" s="0"/>
      <c r="BR7" s="0"/>
      <c r="BS7" s="0"/>
      <c r="BT7" s="0"/>
    </row>
    <row r="8" s="54" customFormat="true" ht="14.25" hidden="false" customHeight="true" outlineLevel="0" collapsed="false">
      <c r="A8" s="86" t="n">
        <f aca="true">MAX(A$5:INDIRECT("A"&amp;ROW()-1))+1</f>
        <v>2</v>
      </c>
      <c r="B8" s="86"/>
      <c r="C8" s="87" t="s">
        <v>34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8" t="s">
        <v>35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0"/>
      <c r="BN8" s="0"/>
      <c r="BO8" s="0"/>
      <c r="BP8" s="0"/>
      <c r="BQ8" s="0"/>
      <c r="BR8" s="0"/>
      <c r="BS8" s="0"/>
      <c r="BT8" s="0"/>
    </row>
    <row r="9" s="54" customFormat="true" ht="14.25" hidden="false" customHeight="true" outlineLevel="0" collapsed="false">
      <c r="A9" s="86" t="n">
        <f aca="true">MAX(A$5:INDIRECT("A"&amp;ROW()-1))+1</f>
        <v>3</v>
      </c>
      <c r="B9" s="86"/>
      <c r="C9" s="87" t="s">
        <v>36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8" t="s">
        <v>37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0"/>
      <c r="BN9" s="0"/>
      <c r="BO9" s="0"/>
      <c r="BP9" s="0"/>
      <c r="BQ9" s="0"/>
      <c r="BR9" s="0"/>
      <c r="BS9" s="0"/>
      <c r="BT9" s="0"/>
    </row>
    <row r="10" s="54" customFormat="true" ht="14.25" hidden="false" customHeight="true" outlineLevel="0" collapsed="false">
      <c r="A10" s="86" t="n">
        <f aca="true">MAX(A$5:INDIRECT("A"&amp;ROW()-1))+1</f>
        <v>4</v>
      </c>
      <c r="B10" s="86"/>
      <c r="C10" s="87" t="s">
        <v>38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8" t="s">
        <v>39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0"/>
      <c r="BN10" s="0"/>
      <c r="BO10" s="0"/>
      <c r="BP10" s="0"/>
      <c r="BQ10" s="0"/>
      <c r="BR10" s="0"/>
      <c r="BS10" s="0"/>
      <c r="BT10" s="0"/>
    </row>
    <row r="11" s="54" customFormat="true" ht="14.25" hidden="false" customHeight="true" outlineLevel="0" collapsed="false">
      <c r="A11" s="86" t="n">
        <f aca="true">MAX(A$5:INDIRECT("A"&amp;ROW()-1))+1</f>
        <v>5</v>
      </c>
      <c r="B11" s="86"/>
      <c r="C11" s="87" t="s">
        <v>40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8" t="s">
        <v>41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0"/>
      <c r="BN11" s="0"/>
      <c r="BO11" s="0"/>
      <c r="BP11" s="0"/>
      <c r="BQ11" s="0"/>
      <c r="BR11" s="0"/>
      <c r="BS11" s="0"/>
      <c r="BT11" s="0"/>
    </row>
    <row r="12" s="54" customFormat="true" ht="14.25" hidden="false" customHeight="true" outlineLevel="0" collapsed="false">
      <c r="A12" s="86" t="n">
        <f aca="true">MAX(A$5:INDIRECT("A"&amp;ROW()-1))+1</f>
        <v>6</v>
      </c>
      <c r="B12" s="86"/>
      <c r="C12" s="87" t="s">
        <v>42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8" t="s">
        <v>43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0"/>
      <c r="BN12" s="0"/>
      <c r="BO12" s="0"/>
      <c r="BP12" s="0"/>
      <c r="BQ12" s="0"/>
      <c r="BR12" s="0"/>
      <c r="BS12" s="0"/>
      <c r="BT12" s="0"/>
    </row>
    <row r="13" s="54" customFormat="true" ht="14.25" hidden="false" customHeight="true" outlineLevel="0" collapsed="false">
      <c r="A13" s="86" t="n">
        <f aca="true">MAX(A$5:INDIRECT("A"&amp;ROW()-1))+1</f>
        <v>7</v>
      </c>
      <c r="B13" s="86"/>
      <c r="C13" s="87" t="s">
        <v>44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8" t="s">
        <v>45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0"/>
      <c r="BN13" s="0"/>
      <c r="BO13" s="0"/>
      <c r="BP13" s="0"/>
      <c r="BQ13" s="0"/>
      <c r="BR13" s="0"/>
      <c r="BS13" s="0"/>
      <c r="BT13" s="0"/>
    </row>
    <row r="14" s="54" customFormat="true" ht="14.25" hidden="false" customHeight="true" outlineLevel="0" collapsed="false">
      <c r="A14" s="86" t="n">
        <f aca="true">MAX(A$5:INDIRECT("A"&amp;ROW()-1))+1</f>
        <v>8</v>
      </c>
      <c r="B14" s="86"/>
      <c r="C14" s="87" t="s">
        <v>46</v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8" t="s">
        <v>47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0"/>
      <c r="BN14" s="0"/>
      <c r="BO14" s="0"/>
      <c r="BP14" s="0"/>
      <c r="BQ14" s="0"/>
      <c r="BR14" s="0"/>
      <c r="BS14" s="0"/>
      <c r="BT14" s="0"/>
    </row>
    <row r="15" s="54" customFormat="true" ht="14.25" hidden="false" customHeight="true" outlineLevel="0" collapsed="false">
      <c r="A15" s="86" t="n">
        <f aca="true">MAX(A$5:INDIRECT("A"&amp;ROW()-1))+1</f>
        <v>9</v>
      </c>
      <c r="B15" s="86"/>
      <c r="C15" s="87" t="s">
        <v>48</v>
      </c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8" t="s">
        <v>49</v>
      </c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0"/>
      <c r="BN15" s="0"/>
      <c r="BO15" s="0"/>
      <c r="BP15" s="0"/>
      <c r="BQ15" s="0"/>
      <c r="BR15" s="0"/>
      <c r="BS15" s="0"/>
      <c r="BT15" s="0"/>
    </row>
    <row r="16" s="54" customFormat="true" ht="14.25" hidden="false" customHeight="true" outlineLevel="0" collapsed="false">
      <c r="A16" s="86" t="n">
        <f aca="true">MAX(A$5:INDIRECT("A"&amp;ROW()-1))+1</f>
        <v>10</v>
      </c>
      <c r="B16" s="86"/>
      <c r="C16" s="87" t="s">
        <v>50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8" t="s">
        <v>51</v>
      </c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0"/>
      <c r="BN16" s="0"/>
      <c r="BO16" s="0"/>
      <c r="BP16" s="0"/>
      <c r="BQ16" s="0"/>
      <c r="BR16" s="0"/>
      <c r="BS16" s="0"/>
      <c r="BT16" s="0"/>
    </row>
    <row r="17" s="54" customFormat="true" ht="14.25" hidden="false" customHeight="true" outlineLevel="0" collapsed="false">
      <c r="A17" s="86" t="n">
        <f aca="true">MAX(A$5:INDIRECT("A"&amp;ROW()-1))+1</f>
        <v>11</v>
      </c>
      <c r="B17" s="86"/>
      <c r="C17" s="87" t="s">
        <v>52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 t="s">
        <v>53</v>
      </c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0"/>
      <c r="BN17" s="0"/>
      <c r="BO17" s="0"/>
      <c r="BP17" s="0"/>
      <c r="BQ17" s="0"/>
      <c r="BR17" s="0"/>
      <c r="BS17" s="0"/>
      <c r="BT17" s="0"/>
    </row>
    <row r="18" s="54" customFormat="true" ht="14.25" hidden="false" customHeight="true" outlineLevel="0" collapsed="false">
      <c r="A18" s="86" t="n">
        <f aca="true">MAX(A$5:INDIRECT("A"&amp;ROW()-1))+1</f>
        <v>12</v>
      </c>
      <c r="B18" s="86"/>
      <c r="C18" s="87" t="s">
        <v>54</v>
      </c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 t="s">
        <v>55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0"/>
      <c r="BN18" s="0"/>
      <c r="BO18" s="0"/>
      <c r="BP18" s="0"/>
      <c r="BQ18" s="0"/>
      <c r="BR18" s="0"/>
      <c r="BS18" s="0"/>
      <c r="BT18" s="0"/>
    </row>
    <row r="19" s="54" customFormat="true" ht="14.25" hidden="false" customHeight="true" outlineLevel="0" collapsed="false">
      <c r="A19" s="86" t="n">
        <f aca="true">MAX(A$5:INDIRECT("A"&amp;ROW()-1))+1</f>
        <v>13</v>
      </c>
      <c r="B19" s="86"/>
      <c r="C19" s="87" t="s">
        <v>56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8" t="s">
        <v>57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0"/>
      <c r="BN19" s="0"/>
      <c r="BO19" s="0"/>
      <c r="BP19" s="0"/>
      <c r="BQ19" s="0"/>
      <c r="BR19" s="0"/>
      <c r="BS19" s="0"/>
      <c r="BT19" s="0"/>
    </row>
    <row r="20" s="54" customFormat="true" ht="14.25" hidden="false" customHeight="true" outlineLevel="0" collapsed="false">
      <c r="A20" s="86" t="n">
        <f aca="true">MAX(A$5:INDIRECT("A"&amp;ROW()-1))+1</f>
        <v>14</v>
      </c>
      <c r="B20" s="86"/>
      <c r="C20" s="87" t="s">
        <v>58</v>
      </c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8" t="s">
        <v>59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0"/>
      <c r="BN20" s="0"/>
      <c r="BO20" s="0"/>
      <c r="BP20" s="0"/>
      <c r="BQ20" s="0"/>
      <c r="BR20" s="0"/>
      <c r="BS20" s="0"/>
      <c r="BT20" s="0"/>
    </row>
    <row r="21" s="54" customFormat="true" ht="14.25" hidden="false" customHeight="true" outlineLevel="0" collapsed="false">
      <c r="A21" s="86" t="n">
        <f aca="true">MAX(A$5:INDIRECT("A"&amp;ROW()-1))+1</f>
        <v>15</v>
      </c>
      <c r="B21" s="86"/>
      <c r="C21" s="87" t="s">
        <v>60</v>
      </c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8" t="s">
        <v>61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0"/>
      <c r="BN21" s="0"/>
      <c r="BO21" s="0"/>
      <c r="BP21" s="0"/>
      <c r="BQ21" s="0"/>
      <c r="BR21" s="0"/>
      <c r="BS21" s="0"/>
      <c r="BT21" s="0"/>
    </row>
    <row r="22" s="54" customFormat="true" ht="14.25" hidden="false" customHeight="true" outlineLevel="0" collapsed="false">
      <c r="A22" s="86" t="n">
        <f aca="true">MAX(A$5:INDIRECT("A"&amp;ROW()-1))+1</f>
        <v>16</v>
      </c>
      <c r="B22" s="86"/>
      <c r="C22" s="87" t="s">
        <v>62</v>
      </c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8" t="s">
        <v>63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0"/>
      <c r="BN22" s="0"/>
      <c r="BO22" s="0"/>
      <c r="BP22" s="0"/>
      <c r="BQ22" s="0"/>
      <c r="BR22" s="0"/>
      <c r="BS22" s="0"/>
      <c r="BT22" s="0"/>
    </row>
    <row r="23" s="54" customFormat="true" ht="14.25" hidden="false" customHeight="true" outlineLevel="0" collapsed="false">
      <c r="A23" s="86" t="n">
        <f aca="true">MAX(A$5:INDIRECT("A"&amp;ROW()-1))+1</f>
        <v>17</v>
      </c>
      <c r="B23" s="86"/>
      <c r="C23" s="87" t="s">
        <v>64</v>
      </c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8" t="s">
        <v>65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0"/>
      <c r="BN23" s="0"/>
      <c r="BO23" s="0"/>
      <c r="BP23" s="0"/>
      <c r="BQ23" s="0"/>
      <c r="BR23" s="0"/>
      <c r="BS23" s="0"/>
      <c r="BT23" s="0"/>
    </row>
    <row r="24" s="54" customFormat="true" ht="14.25" hidden="false" customHeight="true" outlineLevel="0" collapsed="false">
      <c r="A24" s="86" t="n">
        <f aca="true">MAX(A$5:INDIRECT("A"&amp;ROW()-1))+1</f>
        <v>18</v>
      </c>
      <c r="B24" s="86"/>
      <c r="C24" s="87" t="s">
        <v>66</v>
      </c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8" t="s">
        <v>67</v>
      </c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0"/>
      <c r="BN24" s="0"/>
      <c r="BO24" s="0"/>
      <c r="BP24" s="0"/>
      <c r="BQ24" s="0"/>
      <c r="BR24" s="0"/>
      <c r="BS24" s="0"/>
      <c r="BT24" s="0"/>
    </row>
    <row r="25" customFormat="false" ht="14.25" hidden="false" customHeight="true" outlineLevel="0" collapsed="false">
      <c r="A25" s="86" t="n">
        <f aca="true">MAX(A$5:INDIRECT("A"&amp;ROW()-1))+1</f>
        <v>19</v>
      </c>
      <c r="B25" s="86"/>
      <c r="C25" s="87" t="s">
        <v>68</v>
      </c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8" t="s">
        <v>69</v>
      </c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</row>
    <row r="26" s="54" customFormat="true" ht="14.25" hidden="false" customHeight="true" outlineLevel="0" collapsed="false">
      <c r="A26" s="86" t="n">
        <f aca="true">MAX(A$5:INDIRECT("A"&amp;ROW()-1))+1</f>
        <v>20</v>
      </c>
      <c r="B26" s="86"/>
      <c r="C26" s="87" t="s">
        <v>70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8" t="s">
        <v>71</v>
      </c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0"/>
      <c r="BN26" s="0"/>
      <c r="BO26" s="0"/>
      <c r="BP26" s="0"/>
      <c r="BQ26" s="0"/>
      <c r="BR26" s="0"/>
      <c r="BS26" s="0"/>
      <c r="BT26" s="0"/>
    </row>
    <row r="27" s="54" customFormat="true" ht="14.25" hidden="false" customHeight="true" outlineLevel="0" collapsed="false">
      <c r="A27" s="86" t="n">
        <f aca="true">MAX(A$5:INDIRECT("A"&amp;ROW()-1))+1</f>
        <v>21</v>
      </c>
      <c r="B27" s="86"/>
      <c r="C27" s="87" t="s">
        <v>72</v>
      </c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8" t="s">
        <v>73</v>
      </c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0"/>
      <c r="BN27" s="0"/>
      <c r="BO27" s="0"/>
      <c r="BP27" s="0"/>
      <c r="BQ27" s="0"/>
      <c r="BR27" s="0"/>
      <c r="BS27" s="0"/>
      <c r="BT27" s="0"/>
    </row>
    <row r="28" s="54" customFormat="true" ht="14.25" hidden="false" customHeight="true" outlineLevel="0" collapsed="false">
      <c r="A28" s="86" t="n">
        <f aca="true">MAX(A$5:INDIRECT("A"&amp;ROW()-1))+1</f>
        <v>22</v>
      </c>
      <c r="B28" s="86"/>
      <c r="C28" s="87" t="s">
        <v>74</v>
      </c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8" t="s">
        <v>75</v>
      </c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0"/>
      <c r="BN28" s="0"/>
      <c r="BO28" s="0"/>
      <c r="BP28" s="0"/>
      <c r="BQ28" s="0"/>
      <c r="BR28" s="0"/>
      <c r="BS28" s="0"/>
      <c r="BT28" s="0"/>
    </row>
    <row r="29" s="54" customFormat="true" ht="14.25" hidden="false" customHeight="true" outlineLevel="0" collapsed="false">
      <c r="A29" s="86" t="n">
        <f aca="true">MAX(A$5:INDIRECT("A"&amp;ROW()-1))+1</f>
        <v>23</v>
      </c>
      <c r="B29" s="86"/>
      <c r="C29" s="87" t="s">
        <v>76</v>
      </c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8" t="s">
        <v>77</v>
      </c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0"/>
      <c r="BN29" s="0"/>
      <c r="BO29" s="0"/>
      <c r="BP29" s="0"/>
      <c r="BQ29" s="0"/>
      <c r="BR29" s="0"/>
      <c r="BS29" s="0"/>
      <c r="BT29" s="0"/>
    </row>
    <row r="30" s="54" customFormat="true" ht="14.25" hidden="false" customHeight="true" outlineLevel="0" collapsed="false">
      <c r="A30" s="86" t="n">
        <f aca="true">MAX(A$5:INDIRECT("A"&amp;ROW()-1))+1</f>
        <v>24</v>
      </c>
      <c r="B30" s="86"/>
      <c r="C30" s="87" t="s">
        <v>78</v>
      </c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8" t="s">
        <v>79</v>
      </c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0"/>
      <c r="BN30" s="0"/>
      <c r="BO30" s="0"/>
      <c r="BP30" s="0"/>
      <c r="BQ30" s="0"/>
      <c r="BR30" s="0"/>
      <c r="BS30" s="0"/>
      <c r="BT30" s="0"/>
    </row>
    <row r="31" s="54" customFormat="true" ht="14.25" hidden="false" customHeight="true" outlineLevel="0" collapsed="false">
      <c r="A31" s="86" t="n">
        <f aca="true">MAX(A$5:INDIRECT("A"&amp;ROW()-1))+1</f>
        <v>25</v>
      </c>
      <c r="B31" s="86"/>
      <c r="C31" s="87" t="s">
        <v>80</v>
      </c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8" t="s">
        <v>81</v>
      </c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0"/>
      <c r="BN31" s="0"/>
      <c r="BO31" s="0"/>
      <c r="BP31" s="0"/>
      <c r="BQ31" s="0"/>
      <c r="BR31" s="0"/>
      <c r="BS31" s="0"/>
      <c r="BT31" s="0"/>
    </row>
    <row r="32" s="54" customFormat="true" ht="13.8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0"/>
      <c r="BN32" s="0"/>
      <c r="BO32" s="0"/>
      <c r="BP32" s="0"/>
      <c r="BQ32" s="0"/>
      <c r="BR32" s="0"/>
      <c r="BS32" s="0"/>
      <c r="BT32" s="0"/>
    </row>
    <row r="33" s="54" customFormat="true" ht="13.8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0"/>
      <c r="BN33" s="0"/>
      <c r="BO33" s="0"/>
      <c r="BP33" s="0"/>
      <c r="BQ33" s="0"/>
      <c r="BR33" s="0"/>
      <c r="BS33" s="0"/>
      <c r="BT33" s="0"/>
    </row>
    <row r="34" s="54" customFormat="true" ht="13.8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0"/>
      <c r="BN34" s="0"/>
      <c r="BO34" s="0"/>
      <c r="BP34" s="0"/>
      <c r="BQ34" s="0"/>
      <c r="BR34" s="0"/>
      <c r="BS34" s="0"/>
      <c r="BT34" s="0"/>
    </row>
  </sheetData>
  <mergeCells count="119">
    <mergeCell ref="A1:J1"/>
    <mergeCell ref="K1:T1"/>
    <mergeCell ref="U1:AN1"/>
    <mergeCell ref="AO1:AT1"/>
    <mergeCell ref="AU1:AZ1"/>
    <mergeCell ref="BA1:BF1"/>
    <mergeCell ref="BG1:BL1"/>
    <mergeCell ref="A2:J3"/>
    <mergeCell ref="K2:T3"/>
    <mergeCell ref="U2:AN3"/>
    <mergeCell ref="AO2:AT3"/>
    <mergeCell ref="AU2:AZ3"/>
    <mergeCell ref="BA2:BF3"/>
    <mergeCell ref="BG2:BL3"/>
    <mergeCell ref="A5:B6"/>
    <mergeCell ref="C5:AO5"/>
    <mergeCell ref="AP5:BL6"/>
    <mergeCell ref="C6:T6"/>
    <mergeCell ref="U6:AO6"/>
    <mergeCell ref="A7:B7"/>
    <mergeCell ref="C7:T7"/>
    <mergeCell ref="U7:AO7"/>
    <mergeCell ref="AP7:BL7"/>
    <mergeCell ref="A8:B8"/>
    <mergeCell ref="C8:T8"/>
    <mergeCell ref="U8:AO8"/>
    <mergeCell ref="AP8:BL8"/>
    <mergeCell ref="A9:B9"/>
    <mergeCell ref="C9:T9"/>
    <mergeCell ref="U9:AO9"/>
    <mergeCell ref="AP9:BL9"/>
    <mergeCell ref="A10:B10"/>
    <mergeCell ref="C10:T10"/>
    <mergeCell ref="U10:AO10"/>
    <mergeCell ref="AP10:BL10"/>
    <mergeCell ref="A11:B11"/>
    <mergeCell ref="C11:T11"/>
    <mergeCell ref="U11:AO11"/>
    <mergeCell ref="AP11:BL11"/>
    <mergeCell ref="A12:B12"/>
    <mergeCell ref="C12:T12"/>
    <mergeCell ref="U12:AO12"/>
    <mergeCell ref="AP12:BL12"/>
    <mergeCell ref="A13:B13"/>
    <mergeCell ref="C13:T13"/>
    <mergeCell ref="U13:AO13"/>
    <mergeCell ref="AP13:BL13"/>
    <mergeCell ref="A14:B14"/>
    <mergeCell ref="C14:T14"/>
    <mergeCell ref="U14:AO14"/>
    <mergeCell ref="AP14:BL14"/>
    <mergeCell ref="A15:B15"/>
    <mergeCell ref="C15:T15"/>
    <mergeCell ref="U15:AO15"/>
    <mergeCell ref="AP15:BL15"/>
    <mergeCell ref="A16:B16"/>
    <mergeCell ref="C16:T16"/>
    <mergeCell ref="U16:AO16"/>
    <mergeCell ref="AP16:BL16"/>
    <mergeCell ref="A17:B17"/>
    <mergeCell ref="C17:T17"/>
    <mergeCell ref="U17:AO17"/>
    <mergeCell ref="AP17:BL17"/>
    <mergeCell ref="A18:B18"/>
    <mergeCell ref="C18:T18"/>
    <mergeCell ref="U18:AO18"/>
    <mergeCell ref="AP18:BL18"/>
    <mergeCell ref="A19:B19"/>
    <mergeCell ref="C19:T19"/>
    <mergeCell ref="U19:AO19"/>
    <mergeCell ref="AP19:BL19"/>
    <mergeCell ref="A20:B20"/>
    <mergeCell ref="C20:T20"/>
    <mergeCell ref="U20:AO20"/>
    <mergeCell ref="AP20:BL20"/>
    <mergeCell ref="A21:B21"/>
    <mergeCell ref="C21:T21"/>
    <mergeCell ref="U21:AO21"/>
    <mergeCell ref="AP21:BL21"/>
    <mergeCell ref="A22:B22"/>
    <mergeCell ref="C22:T22"/>
    <mergeCell ref="U22:AO22"/>
    <mergeCell ref="AP22:BL22"/>
    <mergeCell ref="A23:B23"/>
    <mergeCell ref="C23:T23"/>
    <mergeCell ref="U23:AO23"/>
    <mergeCell ref="AP23:BL23"/>
    <mergeCell ref="A24:B24"/>
    <mergeCell ref="C24:T24"/>
    <mergeCell ref="U24:AO24"/>
    <mergeCell ref="AP24:BL24"/>
    <mergeCell ref="A25:B25"/>
    <mergeCell ref="C25:T25"/>
    <mergeCell ref="U25:AO25"/>
    <mergeCell ref="AP25:BL25"/>
    <mergeCell ref="A26:B26"/>
    <mergeCell ref="C26:T26"/>
    <mergeCell ref="U26:AO26"/>
    <mergeCell ref="AP26:BL26"/>
    <mergeCell ref="A27:B27"/>
    <mergeCell ref="C27:T27"/>
    <mergeCell ref="U27:AO27"/>
    <mergeCell ref="AP27:BL27"/>
    <mergeCell ref="A28:B28"/>
    <mergeCell ref="C28:T28"/>
    <mergeCell ref="U28:AO28"/>
    <mergeCell ref="AP28:BL28"/>
    <mergeCell ref="A29:B29"/>
    <mergeCell ref="C29:T29"/>
    <mergeCell ref="U29:AO29"/>
    <mergeCell ref="AP29:BL29"/>
    <mergeCell ref="A30:B30"/>
    <mergeCell ref="C30:T30"/>
    <mergeCell ref="U30:AO30"/>
    <mergeCell ref="AP30:BL30"/>
    <mergeCell ref="A31:B31"/>
    <mergeCell ref="C31:T31"/>
    <mergeCell ref="U31:AO31"/>
    <mergeCell ref="AP31:BL31"/>
  </mergeCells>
  <printOptions headings="false" gridLines="false" gridLinesSet="true" horizontalCentered="true" verticalCentered="false"/>
  <pageMargins left="0.39375" right="0.39375" top="0.39375" bottom="0.590277777777778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2015-09-02T01:17:59Z</dcterms:created>
  <dc:creator>村上拓真</dc:creator>
  <dc:description/>
  <dc:language>ja-JP</dc:language>
  <cp:lastModifiedBy/>
  <cp:lastPrinted>2019-11-27T00:44:25Z</cp:lastPrinted>
  <dcterms:modified xsi:type="dcterms:W3CDTF">2024-02-06T17:52:01Z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8c1538ae-e3dc-4a6b-8c27-66a4c35e7b8f</vt:lpwstr>
  </property>
</Properties>
</file>