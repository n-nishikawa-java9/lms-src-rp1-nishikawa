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4_共通設計\"/>
    </mc:Choice>
  </mc:AlternateContent>
  <xr:revisionPtr revIDLastSave="0" documentId="13_ncr:1_{E9595082-1C1D-4EC7-ADCE-7872B9475458}" xr6:coauthVersionLast="47" xr6:coauthVersionMax="47" xr10:uidLastSave="{00000000-0000-0000-0000-000000000000}"/>
  <bookViews>
    <workbookView xWindow="1152" yWindow="1152" windowWidth="20352" windowHeight="11544" tabRatio="500" xr2:uid="{00000000-000D-0000-FFFF-FFFF00000000}"/>
  </bookViews>
  <sheets>
    <sheet name="表紙" sheetId="1" r:id="rId1"/>
    <sheet name="更新履歴" sheetId="2" r:id="rId2"/>
    <sheet name="入力チェック一覧" sheetId="3" r:id="rId3"/>
  </sheets>
  <definedNames>
    <definedName name="_xlnm.Print_Area" localSheetId="2">入力チェック一覧!$A$1:$BL$14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" i="3" l="1"/>
  <c r="A2" i="3"/>
  <c r="U1" i="3"/>
  <c r="K2" i="2"/>
  <c r="A2" i="2"/>
  <c r="U1" i="2"/>
  <c r="AA15" i="1"/>
  <c r="X15" i="1"/>
  <c r="A7" i="3"/>
  <c r="A8" i="3" l="1"/>
  <c r="A9" i="3"/>
  <c r="A10" i="3" l="1"/>
  <c r="A11" i="3"/>
  <c r="A12" i="3"/>
  <c r="A13" i="3" l="1"/>
  <c r="A14" i="3" s="1"/>
</calcChain>
</file>

<file path=xl/sharedStrings.xml><?xml version="1.0" encoding="utf-8"?>
<sst xmlns="http://schemas.openxmlformats.org/spreadsheetml/2006/main" count="84" uniqueCount="67">
  <si>
    <t>LMS学習管理システム</t>
  </si>
  <si>
    <t>入力チェック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</si>
  <si>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</si>
  <si>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</si>
  <si>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</si>
  <si>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</si>
  <si>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</si>
  <si>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</si>
  <si>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</si>
  <si>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</si>
  <si>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</si>
  <si>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</si>
  <si>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</si>
  <si>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</si>
  <si>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</si>
  <si>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</si>
  <si>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</si>
  <si>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</si>
  <si>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</si>
  <si>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入力チェック一覧</t>
  </si>
  <si>
    <t>No.</t>
  </si>
  <si>
    <t>名称</t>
  </si>
  <si>
    <t>チェック内容</t>
  </si>
  <si>
    <t>メッセージID</t>
  </si>
  <si>
    <t>パラメータ</t>
  </si>
  <si>
    <t>入力値がない場合、エラーとする</t>
  </si>
  <si>
    <t>{0}=項目名</t>
  </si>
  <si>
    <t>桁数</t>
  </si>
  <si>
    <t>入力値が指定の桁数を超える場合、エラーとする</t>
  </si>
  <si>
    <t>{0}=項目名
{max}=桁数</t>
  </si>
  <si>
    <t>最大値</t>
  </si>
  <si>
    <t>入力値が指定の数値を超える場合、エラーとする</t>
  </si>
  <si>
    <t>{0}=項目名
{1}=最大値</t>
  </si>
  <si>
    <t>最小値</t>
  </si>
  <si>
    <t>入力値が指定の数値に満たない場合、エラーとする</t>
  </si>
  <si>
    <t>{0}=項目名
{1}=最小値</t>
  </si>
  <si>
    <t>その他（メールアドレス形式）</t>
  </si>
  <si>
    <t>体験型Java研修</t>
  </si>
  <si>
    <t>堀井</t>
    <rPh sb="0" eb="2">
      <t>ホリイ</t>
    </rPh>
    <phoneticPr fontId="58"/>
  </si>
  <si>
    <t>必須（文字列）</t>
    <rPh sb="3" eb="6">
      <t>モジレツ</t>
    </rPh>
    <phoneticPr fontId="58"/>
  </si>
  <si>
    <t>必須（数値）</t>
    <rPh sb="3" eb="5">
      <t>スウチ</t>
    </rPh>
    <phoneticPr fontId="58"/>
  </si>
  <si>
    <t>アノテーション</t>
    <phoneticPr fontId="58"/>
  </si>
  <si>
    <t>@NotBlank</t>
    <phoneticPr fontId="58"/>
  </si>
  <si>
    <t>@NotNull</t>
    <phoneticPr fontId="58"/>
  </si>
  <si>
    <t>@Size</t>
    <phoneticPr fontId="58"/>
  </si>
  <si>
    <t>@Max</t>
    <phoneticPr fontId="58"/>
  </si>
  <si>
    <t>@Min</t>
    <phoneticPr fontId="58"/>
  </si>
  <si>
    <t>@Email</t>
    <phoneticPr fontId="58"/>
  </si>
  <si>
    <t>@Pattern</t>
    <phoneticPr fontId="58"/>
  </si>
  <si>
    <t>入力値がメールアドレス形式に合わない場合、エラーとする</t>
    <phoneticPr fontId="58"/>
  </si>
  <si>
    <t>@Range</t>
    <phoneticPr fontId="58"/>
  </si>
  <si>
    <t>org.hibernate.validator.constraints.Range.message</t>
    <phoneticPr fontId="58"/>
  </si>
  <si>
    <t>範囲</t>
    <rPh sb="0" eb="2">
      <t>ハンイ</t>
    </rPh>
    <phoneticPr fontId="58"/>
  </si>
  <si>
    <t>入力値が指定の範囲外の場合、エラーとする</t>
    <rPh sb="7" eb="10">
      <t>ハンイガイ</t>
    </rPh>
    <phoneticPr fontId="58"/>
  </si>
  <si>
    <t>{0}=項目名
{min}=最小値
{max}=最大値</t>
    <rPh sb="14" eb="17">
      <t>サイショウチ</t>
    </rPh>
    <rPh sb="24" eb="26">
      <t>サイダイ</t>
    </rPh>
    <rPh sb="26" eb="27">
      <t>チ</t>
    </rPh>
    <phoneticPr fontId="58"/>
  </si>
  <si>
    <t>一覧のフォーマット修正、新規メッセージ追加。</t>
    <rPh sb="0" eb="2">
      <t>イチラン</t>
    </rPh>
    <rPh sb="9" eb="11">
      <t>シュウセイ</t>
    </rPh>
    <rPh sb="12" eb="14">
      <t>シンキ</t>
    </rPh>
    <rPh sb="19" eb="21">
      <t>ツイカ</t>
    </rPh>
    <phoneticPr fontId="58"/>
  </si>
  <si>
    <t>備考</t>
    <rPh sb="0" eb="2">
      <t>ビコウ</t>
    </rPh>
    <phoneticPr fontId="58"/>
  </si>
  <si>
    <t>その他（正規表現）</t>
    <rPh sb="4" eb="8">
      <t>セイキヒョウゲン</t>
    </rPh>
    <phoneticPr fontId="58"/>
  </si>
  <si>
    <t>入力値が正規表現パターンに合わない場合、エラーとする</t>
    <rPh sb="4" eb="8">
      <t>セイキヒョウゲン</t>
    </rPh>
    <phoneticPr fontId="58"/>
  </si>
  <si>
    <t>pattern.{任意に設定するキーワード}</t>
    <rPh sb="9" eb="11">
      <t>ニンイ</t>
    </rPh>
    <rPh sb="12" eb="14">
      <t>セッテイ</t>
    </rPh>
    <phoneticPr fontId="58"/>
  </si>
  <si>
    <t>message属性で{pattern.**}と指定</t>
    <rPh sb="7" eb="9">
      <t>ゾクセイ</t>
    </rPh>
    <rPh sb="23" eb="25">
      <t>シテイ</t>
    </rPh>
    <phoneticPr fontId="58"/>
  </si>
  <si>
    <t>jakarta.validation.constraints.NotBlank.message</t>
    <phoneticPr fontId="58"/>
  </si>
  <si>
    <t>jakarta.validation.constraints.NotNull.message</t>
    <phoneticPr fontId="58"/>
  </si>
  <si>
    <t>jakarta.validation.constraints.Size.message</t>
    <phoneticPr fontId="58"/>
  </si>
  <si>
    <t>jakarta.validation.constraints.Max.message</t>
    <phoneticPr fontId="58"/>
  </si>
  <si>
    <t>jakarta.validation.constraints.Min.message</t>
    <phoneticPr fontId="58"/>
  </si>
  <si>
    <t>jakarta.validation.constraints.Email.message</t>
    <phoneticPr fontId="5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</si>
</sst>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59">
    <font>
      <sz val="11"/>
      <color rgb="FF000000"/>
      <name val="ＭＳ Ｐ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メイリオ"/>
      <family val="2"/>
      <charset val="128"/>
    </font>
    <font>
      <sz val="9"/>
      <name val="ＭＳ Ｐゴシック"/>
      <family val="3"/>
      <charset val="128"/>
    </font>
    <font>
      <sz val="11"/>
      <color rgb="FF000000"/>
      <name val="ＭＳ Ｐ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0.5"/>
      <name val="ＭＳ Ｐゴシック"/>
      <family val="3"/>
      <charset val="1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2"/>
      <charset val="128"/>
    </font>
    <font>
      <sz val="6"/>
      <name val="ＭＳ Ｐゴシック"/>
      <family val="2"/>
      <charset val="128"/>
    </font>
  </fonts>
  <fills count="28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</fills>
  <borders count="6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43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57" fillId="0" borderId="0" applyBorder="0" applyProtection="0">
      <alignment vertical="center"/>
    </xf>
    <xf numFmtId="40" fontId="57" fillId="0" borderId="0" applyBorder="0" applyProtection="0">
      <alignment vertical="center"/>
    </xf>
    <xf numFmtId="176" fontId="57" fillId="0" borderId="0" applyBorder="0" applyProtection="0">
      <alignment vertical="center"/>
    </xf>
    <xf numFmtId="177" fontId="57" fillId="0" borderId="0" applyBorder="0" applyProtection="0">
      <alignment vertical="center"/>
    </xf>
    <xf numFmtId="178" fontId="57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57" fillId="0" borderId="0" applyBorder="0" applyProtection="0">
      <alignment vertical="center"/>
    </xf>
    <xf numFmtId="40" fontId="57" fillId="0" borderId="0" applyBorder="0" applyProtection="0">
      <alignment vertical="center"/>
    </xf>
    <xf numFmtId="176" fontId="57" fillId="0" borderId="0" applyBorder="0" applyProtection="0">
      <alignment vertical="center"/>
    </xf>
    <xf numFmtId="177" fontId="57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57" fillId="0" borderId="0" applyBorder="0" applyProtection="0">
      <alignment vertical="center"/>
    </xf>
    <xf numFmtId="38" fontId="57" fillId="0" borderId="0" applyBorder="0" applyProtection="0">
      <alignment vertical="center"/>
    </xf>
    <xf numFmtId="38" fontId="57" fillId="0" borderId="0" applyBorder="0" applyProtection="0">
      <alignment vertical="center"/>
    </xf>
    <xf numFmtId="38" fontId="57" fillId="0" borderId="0" applyBorder="0" applyProtection="0">
      <alignment vertical="center"/>
    </xf>
    <xf numFmtId="0" fontId="57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/>
    <xf numFmtId="0" fontId="19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19" fillId="0" borderId="0"/>
    <xf numFmtId="0" fontId="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36" fillId="0" borderId="0"/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7" fillId="0" borderId="0"/>
    <xf numFmtId="0" fontId="57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09">
    <xf numFmtId="0" fontId="0" fillId="0" borderId="0" xfId="0">
      <alignment vertical="center"/>
    </xf>
    <xf numFmtId="182" fontId="47" fillId="8" borderId="0" xfId="129" applyNumberFormat="1" applyFont="1" applyFill="1" applyAlignment="1">
      <alignment horizontal="center"/>
    </xf>
    <xf numFmtId="180" fontId="47" fillId="8" borderId="0" xfId="129" applyNumberFormat="1" applyFont="1" applyFill="1" applyAlignment="1">
      <alignment horizontal="center"/>
    </xf>
    <xf numFmtId="0" fontId="19" fillId="8" borderId="0" xfId="129" applyFill="1"/>
    <xf numFmtId="0" fontId="19" fillId="8" borderId="14" xfId="129" applyFill="1" applyBorder="1"/>
    <xf numFmtId="0" fontId="19" fillId="8" borderId="15" xfId="129" applyFill="1" applyBorder="1"/>
    <xf numFmtId="0" fontId="19" fillId="8" borderId="16" xfId="129" applyFill="1" applyBorder="1"/>
    <xf numFmtId="0" fontId="19" fillId="8" borderId="17" xfId="129" applyFill="1" applyBorder="1"/>
    <xf numFmtId="0" fontId="19" fillId="8" borderId="18" xfId="129" applyFill="1" applyBorder="1"/>
    <xf numFmtId="0" fontId="19" fillId="8" borderId="19" xfId="129" applyFill="1" applyBorder="1"/>
    <xf numFmtId="0" fontId="19" fillId="8" borderId="20" xfId="129" applyFill="1" applyBorder="1"/>
    <xf numFmtId="0" fontId="19" fillId="8" borderId="21" xfId="129" applyFill="1" applyBorder="1"/>
    <xf numFmtId="0" fontId="47" fillId="8" borderId="0" xfId="129" applyFont="1" applyFill="1"/>
    <xf numFmtId="181" fontId="47" fillId="8" borderId="0" xfId="129" applyNumberFormat="1" applyFont="1" applyFill="1" applyAlignment="1">
      <alignment horizontal="left"/>
    </xf>
    <xf numFmtId="0" fontId="49" fillId="8" borderId="0" xfId="129" applyFont="1" applyFill="1"/>
    <xf numFmtId="182" fontId="19" fillId="8" borderId="24" xfId="129" applyNumberFormat="1" applyFill="1" applyBorder="1"/>
    <xf numFmtId="0" fontId="19" fillId="8" borderId="25" xfId="129" applyFill="1" applyBorder="1"/>
    <xf numFmtId="0" fontId="19" fillId="8" borderId="26" xfId="129" applyFill="1" applyBorder="1"/>
    <xf numFmtId="0" fontId="19" fillId="8" borderId="27" xfId="129" applyFill="1" applyBorder="1"/>
    <xf numFmtId="0" fontId="19" fillId="8" borderId="28" xfId="129" applyFill="1" applyBorder="1"/>
    <xf numFmtId="0" fontId="19" fillId="8" borderId="29" xfId="129" applyFill="1" applyBorder="1"/>
    <xf numFmtId="0" fontId="19" fillId="8" borderId="30" xfId="129" applyFill="1" applyBorder="1"/>
    <xf numFmtId="0" fontId="19" fillId="8" borderId="31" xfId="129" applyFill="1" applyBorder="1"/>
    <xf numFmtId="0" fontId="51" fillId="8" borderId="0" xfId="129" applyFont="1" applyFill="1"/>
    <xf numFmtId="0" fontId="19" fillId="8" borderId="0" xfId="129" applyFill="1" applyAlignment="1">
      <alignment horizontal="right"/>
    </xf>
    <xf numFmtId="0" fontId="36" fillId="8" borderId="0" xfId="129" applyFont="1" applyFill="1"/>
    <xf numFmtId="0" fontId="52" fillId="0" borderId="0" xfId="130" applyFont="1" applyAlignment="1">
      <alignment horizontal="left" vertical="center"/>
    </xf>
    <xf numFmtId="0" fontId="36" fillId="8" borderId="0" xfId="129" applyFont="1" applyFill="1" applyAlignment="1">
      <alignment horizontal="center" vertical="center"/>
    </xf>
    <xf numFmtId="0" fontId="36" fillId="8" borderId="0" xfId="129" applyFont="1" applyFill="1" applyAlignment="1">
      <alignment horizontal="center"/>
    </xf>
    <xf numFmtId="0" fontId="36" fillId="8" borderId="0" xfId="129" applyFont="1" applyFill="1" applyAlignment="1">
      <alignment vertical="center"/>
    </xf>
    <xf numFmtId="0" fontId="52" fillId="0" borderId="0" xfId="130" applyFont="1"/>
    <xf numFmtId="0" fontId="19" fillId="0" borderId="0" xfId="130"/>
    <xf numFmtId="0" fontId="54" fillId="0" borderId="0" xfId="130" applyFont="1"/>
    <xf numFmtId="0" fontId="36" fillId="0" borderId="0" xfId="130" applyFont="1"/>
    <xf numFmtId="0" fontId="54" fillId="0" borderId="0" xfId="130" applyFont="1" applyAlignment="1">
      <alignment vertical="top"/>
    </xf>
    <xf numFmtId="0" fontId="19" fillId="8" borderId="52" xfId="129" applyFill="1" applyBorder="1" applyAlignment="1">
      <alignment horizontal="center" vertical="center"/>
    </xf>
    <xf numFmtId="0" fontId="19" fillId="8" borderId="53" xfId="129" applyFill="1" applyBorder="1" applyAlignment="1">
      <alignment horizontal="center" vertical="center"/>
    </xf>
    <xf numFmtId="0" fontId="19" fillId="8" borderId="54" xfId="129" applyFill="1" applyBorder="1" applyAlignment="1">
      <alignment horizontal="center" vertical="center"/>
    </xf>
    <xf numFmtId="0" fontId="19" fillId="8" borderId="55" xfId="129" applyFill="1" applyBorder="1" applyAlignment="1">
      <alignment horizontal="center" vertical="center"/>
    </xf>
    <xf numFmtId="0" fontId="19" fillId="8" borderId="23" xfId="129" applyFill="1" applyBorder="1" applyAlignment="1">
      <alignment horizontal="center" vertical="center"/>
    </xf>
    <xf numFmtId="0" fontId="19" fillId="8" borderId="56" xfId="129" applyFill="1" applyBorder="1" applyAlignment="1">
      <alignment horizontal="center" vertical="center"/>
    </xf>
    <xf numFmtId="0" fontId="19" fillId="8" borderId="57" xfId="129" applyFill="1" applyBorder="1" applyAlignment="1">
      <alignment horizontal="center" vertical="center"/>
    </xf>
    <xf numFmtId="0" fontId="19" fillId="8" borderId="58" xfId="129" applyFill="1" applyBorder="1" applyAlignment="1">
      <alignment horizontal="center" vertical="center"/>
    </xf>
    <xf numFmtId="0" fontId="19" fillId="8" borderId="59" xfId="129" applyFill="1" applyBorder="1" applyAlignment="1">
      <alignment horizontal="center" vertical="center"/>
    </xf>
    <xf numFmtId="0" fontId="19" fillId="8" borderId="0" xfId="129" applyFill="1" applyAlignment="1">
      <alignment horizontal="center" vertical="center"/>
    </xf>
    <xf numFmtId="182" fontId="48" fillId="8" borderId="0" xfId="129" applyNumberFormat="1" applyFont="1" applyFill="1" applyAlignment="1">
      <alignment horizontal="center"/>
    </xf>
    <xf numFmtId="182" fontId="47" fillId="8" borderId="0" xfId="129" applyNumberFormat="1" applyFont="1" applyFill="1" applyAlignment="1">
      <alignment horizontal="center"/>
    </xf>
    <xf numFmtId="0" fontId="19" fillId="8" borderId="22" xfId="129" applyFill="1" applyBorder="1" applyAlignment="1">
      <alignment horizontal="center"/>
    </xf>
    <xf numFmtId="182" fontId="50" fillId="8" borderId="22" xfId="129" applyNumberFormat="1" applyFont="1" applyFill="1" applyBorder="1" applyAlignment="1">
      <alignment horizontal="center"/>
    </xf>
    <xf numFmtId="0" fontId="46" fillId="8" borderId="0" xfId="129" applyFont="1" applyFill="1" applyAlignment="1">
      <alignment horizontal="center" shrinkToFit="1"/>
    </xf>
    <xf numFmtId="0" fontId="46" fillId="8" borderId="0" xfId="129" applyFont="1" applyFill="1" applyAlignment="1">
      <alignment horizontal="center"/>
    </xf>
    <xf numFmtId="180" fontId="47" fillId="8" borderId="0" xfId="129" applyNumberFormat="1" applyFont="1" applyFill="1" applyAlignment="1">
      <alignment horizontal="center"/>
    </xf>
    <xf numFmtId="184" fontId="52" fillId="0" borderId="38" xfId="130" applyNumberFormat="1" applyFont="1" applyBorder="1" applyAlignment="1">
      <alignment horizontal="center" vertical="center"/>
    </xf>
    <xf numFmtId="183" fontId="52" fillId="0" borderId="42" xfId="130" applyNumberFormat="1" applyFont="1" applyBorder="1" applyAlignment="1">
      <alignment horizontal="center" vertical="center"/>
    </xf>
    <xf numFmtId="0" fontId="52" fillId="0" borderId="42" xfId="130" applyFont="1" applyBorder="1" applyAlignment="1">
      <alignment horizontal="center" vertical="center"/>
    </xf>
    <xf numFmtId="0" fontId="52" fillId="0" borderId="42" xfId="130" applyFont="1" applyBorder="1" applyAlignment="1">
      <alignment vertical="center" wrapText="1"/>
    </xf>
    <xf numFmtId="0" fontId="52" fillId="0" borderId="51" xfId="130" applyFont="1" applyBorder="1" applyAlignment="1">
      <alignment horizontal="center" vertical="center"/>
    </xf>
    <xf numFmtId="0" fontId="52" fillId="0" borderId="3" xfId="130" applyFont="1" applyBorder="1" applyAlignment="1">
      <alignment horizontal="center" vertical="center"/>
    </xf>
    <xf numFmtId="183" fontId="52" fillId="0" borderId="22" xfId="130" applyNumberFormat="1" applyFont="1" applyBorder="1" applyAlignment="1">
      <alignment horizontal="center" vertical="center"/>
    </xf>
    <xf numFmtId="0" fontId="52" fillId="0" borderId="22" xfId="130" applyFont="1" applyBorder="1" applyAlignment="1">
      <alignment horizontal="center" vertical="center"/>
    </xf>
    <xf numFmtId="0" fontId="52" fillId="0" borderId="22" xfId="130" applyFont="1" applyBorder="1" applyAlignment="1">
      <alignment horizontal="left" vertical="center" wrapText="1"/>
    </xf>
    <xf numFmtId="0" fontId="52" fillId="0" borderId="50" xfId="130" applyFont="1" applyBorder="1" applyAlignment="1">
      <alignment horizontal="center" vertical="center"/>
    </xf>
    <xf numFmtId="0" fontId="53" fillId="0" borderId="3" xfId="130" applyFont="1" applyBorder="1" applyAlignment="1">
      <alignment horizontal="center" vertical="center"/>
    </xf>
    <xf numFmtId="183" fontId="53" fillId="0" borderId="22" xfId="130" applyNumberFormat="1" applyFont="1" applyBorder="1" applyAlignment="1">
      <alignment horizontal="center" vertical="center"/>
    </xf>
    <xf numFmtId="0" fontId="53" fillId="0" borderId="22" xfId="130" applyFont="1" applyBorder="1" applyAlignment="1">
      <alignment horizontal="center" vertical="center" wrapText="1"/>
    </xf>
    <xf numFmtId="0" fontId="53" fillId="0" borderId="22" xfId="130" applyFont="1" applyBorder="1" applyAlignment="1">
      <alignment vertical="center" wrapText="1"/>
    </xf>
    <xf numFmtId="0" fontId="53" fillId="0" borderId="50" xfId="130" applyFont="1" applyBorder="1" applyAlignment="1">
      <alignment horizontal="center" vertical="center"/>
    </xf>
    <xf numFmtId="0" fontId="52" fillId="0" borderId="22" xfId="130" applyFont="1" applyBorder="1" applyAlignment="1">
      <alignment horizontal="center" vertical="center" wrapText="1"/>
    </xf>
    <xf numFmtId="0" fontId="52" fillId="0" borderId="22" xfId="130" applyFont="1" applyBorder="1" applyAlignment="1">
      <alignment vertical="center" wrapText="1"/>
    </xf>
    <xf numFmtId="184" fontId="52" fillId="0" borderId="3" xfId="130" applyNumberFormat="1" applyFont="1" applyBorder="1" applyAlignment="1">
      <alignment horizontal="center" vertical="center"/>
    </xf>
    <xf numFmtId="0" fontId="52" fillId="0" borderId="49" xfId="130" applyFont="1" applyBorder="1" applyAlignment="1">
      <alignment horizontal="center" vertical="center"/>
    </xf>
    <xf numFmtId="0" fontId="2" fillId="0" borderId="22" xfId="130" applyFont="1" applyBorder="1" applyAlignment="1">
      <alignment vertical="center" wrapText="1"/>
    </xf>
    <xf numFmtId="184" fontId="52" fillId="0" borderId="47" xfId="130" applyNumberFormat="1" applyFont="1" applyBorder="1" applyAlignment="1">
      <alignment horizontal="center" vertical="center"/>
    </xf>
    <xf numFmtId="183" fontId="52" fillId="0" borderId="48" xfId="130" applyNumberFormat="1" applyFont="1" applyBorder="1" applyAlignment="1">
      <alignment horizontal="center" vertical="center"/>
    </xf>
    <xf numFmtId="0" fontId="52" fillId="0" borderId="48" xfId="130" applyFont="1" applyBorder="1" applyAlignment="1">
      <alignment horizontal="center" vertical="center"/>
    </xf>
    <xf numFmtId="0" fontId="52" fillId="0" borderId="48" xfId="130" applyFont="1" applyBorder="1" applyAlignment="1">
      <alignment vertical="center" wrapText="1"/>
    </xf>
    <xf numFmtId="0" fontId="52" fillId="6" borderId="44" xfId="130" applyFont="1" applyFill="1" applyBorder="1" applyAlignment="1">
      <alignment horizontal="center" vertical="center"/>
    </xf>
    <xf numFmtId="0" fontId="52" fillId="6" borderId="45" xfId="130" applyFont="1" applyFill="1" applyBorder="1" applyAlignment="1">
      <alignment horizontal="center" vertical="center"/>
    </xf>
    <xf numFmtId="0" fontId="52" fillId="6" borderId="46" xfId="130" applyFont="1" applyFill="1" applyBorder="1" applyAlignment="1">
      <alignment horizontal="center" vertical="center"/>
    </xf>
    <xf numFmtId="0" fontId="19" fillId="6" borderId="36" xfId="130" applyFill="1" applyBorder="1" applyAlignment="1">
      <alignment horizontal="center" vertical="center"/>
    </xf>
    <xf numFmtId="0" fontId="19" fillId="6" borderId="37" xfId="130" applyFill="1" applyBorder="1" applyAlignment="1">
      <alignment horizontal="center" vertical="center"/>
    </xf>
    <xf numFmtId="0" fontId="2" fillId="0" borderId="38" xfId="130" applyFont="1" applyBorder="1" applyAlignment="1">
      <alignment horizontal="center" vertical="center" wrapText="1"/>
    </xf>
    <xf numFmtId="0" fontId="19" fillId="0" borderId="39" xfId="130" applyBorder="1" applyAlignment="1">
      <alignment horizontal="center" vertical="center" wrapText="1"/>
    </xf>
    <xf numFmtId="0" fontId="33" fillId="0" borderId="40" xfId="130" applyFont="1" applyBorder="1" applyAlignment="1">
      <alignment horizontal="center" vertical="center"/>
    </xf>
    <xf numFmtId="0" fontId="0" fillId="0" borderId="41" xfId="130" applyFont="1" applyBorder="1" applyAlignment="1">
      <alignment horizontal="center" vertical="center"/>
    </xf>
    <xf numFmtId="183" fontId="19" fillId="0" borderId="42" xfId="130" applyNumberFormat="1" applyBorder="1" applyAlignment="1">
      <alignment horizontal="center" vertical="center"/>
    </xf>
    <xf numFmtId="183" fontId="19" fillId="0" borderId="43" xfId="130" applyNumberFormat="1" applyBorder="1" applyAlignment="1">
      <alignment horizontal="center" vertical="center"/>
    </xf>
    <xf numFmtId="0" fontId="19" fillId="6" borderId="32" xfId="130" applyFill="1" applyBorder="1" applyAlignment="1">
      <alignment horizontal="center" vertical="center"/>
    </xf>
    <xf numFmtId="0" fontId="19" fillId="6" borderId="33" xfId="130" applyFill="1" applyBorder="1" applyAlignment="1">
      <alignment horizontal="center" vertical="center"/>
    </xf>
    <xf numFmtId="0" fontId="33" fillId="6" borderId="34" xfId="130" applyFont="1" applyFill="1" applyBorder="1" applyAlignment="1">
      <alignment horizontal="center" vertical="center" wrapText="1"/>
    </xf>
    <xf numFmtId="0" fontId="19" fillId="6" borderId="35" xfId="130" applyFill="1" applyBorder="1" applyAlignment="1">
      <alignment horizontal="center" vertical="center"/>
    </xf>
    <xf numFmtId="0" fontId="55" fillId="0" borderId="60" xfId="108" applyFont="1" applyBorder="1" applyAlignment="1">
      <alignment horizontal="left" vertical="center" wrapText="1"/>
    </xf>
    <xf numFmtId="0" fontId="55" fillId="0" borderId="61" xfId="108" applyFont="1" applyBorder="1" applyAlignment="1">
      <alignment horizontal="left" vertical="center" wrapText="1"/>
    </xf>
    <xf numFmtId="0" fontId="55" fillId="0" borderId="62" xfId="108" applyFont="1" applyBorder="1" applyAlignment="1">
      <alignment horizontal="left" vertical="center" wrapText="1"/>
    </xf>
    <xf numFmtId="0" fontId="19" fillId="6" borderId="24" xfId="108" applyFill="1" applyBorder="1" applyAlignment="1">
      <alignment horizontal="center" vertical="center"/>
    </xf>
    <xf numFmtId="0" fontId="19" fillId="6" borderId="25" xfId="108" applyFill="1" applyBorder="1" applyAlignment="1">
      <alignment horizontal="center" vertical="center"/>
    </xf>
    <xf numFmtId="0" fontId="19" fillId="6" borderId="26" xfId="108" applyFill="1" applyBorder="1" applyAlignment="1">
      <alignment horizontal="center" vertical="center"/>
    </xf>
    <xf numFmtId="0" fontId="19" fillId="6" borderId="29" xfId="108" applyFill="1" applyBorder="1" applyAlignment="1">
      <alignment horizontal="center" vertical="center"/>
    </xf>
    <xf numFmtId="0" fontId="19" fillId="6" borderId="30" xfId="108" applyFill="1" applyBorder="1" applyAlignment="1">
      <alignment horizontal="center" vertical="center"/>
    </xf>
    <xf numFmtId="0" fontId="19" fillId="6" borderId="31" xfId="108" applyFill="1" applyBorder="1" applyAlignment="1">
      <alignment horizontal="center" vertical="center"/>
    </xf>
    <xf numFmtId="0" fontId="55" fillId="0" borderId="60" xfId="108" applyFont="1" applyBorder="1" applyAlignment="1">
      <alignment horizontal="left" vertical="center"/>
    </xf>
    <xf numFmtId="0" fontId="55" fillId="0" borderId="61" xfId="108" applyFont="1" applyBorder="1" applyAlignment="1">
      <alignment horizontal="left" vertical="center"/>
    </xf>
    <xf numFmtId="0" fontId="55" fillId="0" borderId="62" xfId="108" applyFont="1" applyBorder="1" applyAlignment="1">
      <alignment horizontal="left" vertical="center"/>
    </xf>
    <xf numFmtId="0" fontId="55" fillId="0" borderId="22" xfId="108" applyFont="1" applyBorder="1" applyAlignment="1">
      <alignment horizontal="left" vertical="center" wrapText="1"/>
    </xf>
    <xf numFmtId="0" fontId="55" fillId="0" borderId="22" xfId="108" applyFont="1" applyBorder="1" applyAlignment="1">
      <alignment horizontal="left" vertical="center"/>
    </xf>
    <xf numFmtId="0" fontId="55" fillId="0" borderId="22" xfId="108" applyFont="1" applyBorder="1" applyAlignment="1">
      <alignment horizontal="center" vertical="center"/>
    </xf>
    <xf numFmtId="0" fontId="56" fillId="0" borderId="22" xfId="108" applyFont="1" applyBorder="1" applyAlignment="1">
      <alignment horizontal="left" vertical="center" wrapText="1"/>
    </xf>
    <xf numFmtId="0" fontId="19" fillId="6" borderId="22" xfId="108" applyFill="1" applyBorder="1" applyAlignment="1">
      <alignment horizontal="center" vertical="center"/>
    </xf>
    <xf numFmtId="0" fontId="52" fillId="6" borderId="22" xfId="130" applyFont="1" applyFill="1" applyBorder="1" applyAlignment="1">
      <alignment horizontal="center" vertical="center"/>
    </xf>
  </cellXfs>
  <cellStyles count="143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heck Cell" xfId="47" xr:uid="{00000000-0005-0000-0000-000034000000}"/>
    <cellStyle name="Comma [0]_FON95-03" xfId="48" xr:uid="{00000000-0005-0000-0000-000035000000}"/>
    <cellStyle name="Comma_FON95-03" xfId="49" xr:uid="{00000000-0005-0000-0000-000036000000}"/>
    <cellStyle name="Currency [0]_FON95-03" xfId="50" xr:uid="{00000000-0005-0000-0000-000037000000}"/>
    <cellStyle name="Currency_FON95-03" xfId="51" xr:uid="{00000000-0005-0000-0000-000038000000}"/>
    <cellStyle name="date" xfId="52" xr:uid="{00000000-0005-0000-0000-000039000000}"/>
    <cellStyle name="Explanatory Text" xfId="53" xr:uid="{00000000-0005-0000-0000-00003A000000}"/>
    <cellStyle name="Good 2" xfId="54" xr:uid="{00000000-0005-0000-0000-00003B000000}"/>
    <cellStyle name="Heading 1 3" xfId="55" xr:uid="{00000000-0005-0000-0000-00003C000000}"/>
    <cellStyle name="Heading 2 4" xfId="56" xr:uid="{00000000-0005-0000-0000-00003D000000}"/>
    <cellStyle name="Heading 3" xfId="57" xr:uid="{00000000-0005-0000-0000-00003E000000}"/>
    <cellStyle name="Heading 4" xfId="58" xr:uid="{00000000-0005-0000-0000-00003F000000}"/>
    <cellStyle name="IBM(401K)" xfId="59" xr:uid="{00000000-0005-0000-0000-000040000000}"/>
    <cellStyle name="Input" xfId="60" xr:uid="{00000000-0005-0000-0000-000041000000}"/>
    <cellStyle name="Input 2" xfId="61" xr:uid="{00000000-0005-0000-0000-000042000000}"/>
    <cellStyle name="J401K" xfId="62" xr:uid="{00000000-0005-0000-0000-000043000000}"/>
    <cellStyle name="Linked Cell" xfId="63" xr:uid="{00000000-0005-0000-0000-000044000000}"/>
    <cellStyle name="Milliers [0]_AR1194" xfId="64" xr:uid="{00000000-0005-0000-0000-000045000000}"/>
    <cellStyle name="Milliers_AR1194" xfId="65" xr:uid="{00000000-0005-0000-0000-000046000000}"/>
    <cellStyle name="Mon騁aire [0]_AR1194" xfId="66" xr:uid="{00000000-0005-0000-0000-000047000000}"/>
    <cellStyle name="Mon騁aire_AR1194" xfId="67" xr:uid="{00000000-0005-0000-0000-000048000000}"/>
    <cellStyle name="Neutral 5" xfId="68" xr:uid="{00000000-0005-0000-0000-000049000000}"/>
    <cellStyle name="Normal_AR1194" xfId="69" xr:uid="{00000000-0005-0000-0000-00004A000000}"/>
    <cellStyle name="Note 2" xfId="70" xr:uid="{00000000-0005-0000-0000-00004B000000}"/>
    <cellStyle name="Note 6" xfId="71" xr:uid="{00000000-0005-0000-0000-00004C000000}"/>
    <cellStyle name="Output" xfId="72" xr:uid="{00000000-0005-0000-0000-00004D000000}"/>
    <cellStyle name="Output 2" xfId="73" xr:uid="{00000000-0005-0000-0000-00004E000000}"/>
    <cellStyle name="Title" xfId="74" xr:uid="{00000000-0005-0000-0000-00004F000000}"/>
    <cellStyle name="Total" xfId="75" xr:uid="{00000000-0005-0000-0000-000050000000}"/>
    <cellStyle name="Total 2" xfId="76" xr:uid="{00000000-0005-0000-0000-000051000000}"/>
    <cellStyle name="Warning Text" xfId="77" xr:uid="{00000000-0005-0000-0000-000052000000}"/>
    <cellStyle name="アクセント 1 2" xfId="79" xr:uid="{00000000-0005-0000-0000-000054000000}"/>
    <cellStyle name="アクセント 2 2" xfId="80" xr:uid="{00000000-0005-0000-0000-000055000000}"/>
    <cellStyle name="アクセント 3 2" xfId="81" xr:uid="{00000000-0005-0000-0000-000056000000}"/>
    <cellStyle name="アクセント 4 2" xfId="82" xr:uid="{00000000-0005-0000-0000-000057000000}"/>
    <cellStyle name="アクセント 5 2" xfId="83" xr:uid="{00000000-0005-0000-0000-000058000000}"/>
    <cellStyle name="アクセント 6 2" xfId="84" xr:uid="{00000000-0005-0000-0000-000059000000}"/>
    <cellStyle name="タイトル 2" xfId="85" xr:uid="{00000000-0005-0000-0000-00005A000000}"/>
    <cellStyle name="チェック セル 2" xfId="86" xr:uid="{00000000-0005-0000-0000-00005B000000}"/>
    <cellStyle name="データパイロットの数値" xfId="88" xr:uid="{00000000-0005-0000-0000-00005D000000}"/>
    <cellStyle name="データパイロットの分類項目" xfId="87" xr:uid="{00000000-0005-0000-0000-00005C000000}"/>
    <cellStyle name="どちらでもない 2" xfId="78" xr:uid="{00000000-0005-0000-0000-000053000000}"/>
    <cellStyle name="ハイパーリンク 2" xfId="89" xr:uid="{00000000-0005-0000-0000-00005E000000}"/>
    <cellStyle name="ハイパーリンク 3" xfId="90" xr:uid="{00000000-0005-0000-0000-00005F000000}"/>
    <cellStyle name="フェンスチャート" xfId="91" xr:uid="{00000000-0005-0000-0000-000060000000}"/>
    <cellStyle name="メモ 2" xfId="92" xr:uid="{00000000-0005-0000-0000-000061000000}"/>
    <cellStyle name="メモ 2 2" xfId="93" xr:uid="{00000000-0005-0000-0000-000062000000}"/>
    <cellStyle name="リンク セル 2" xfId="94" xr:uid="{00000000-0005-0000-0000-000063000000}"/>
    <cellStyle name="悪い 2" xfId="99" xr:uid="{00000000-0005-0000-0000-000068000000}"/>
    <cellStyle name="計算 2" xfId="137" xr:uid="{00000000-0005-0000-0000-00008E000000}"/>
    <cellStyle name="計算 2 2" xfId="138" xr:uid="{00000000-0005-0000-0000-00008F000000}"/>
    <cellStyle name="警告文 2" xfId="140" xr:uid="{00000000-0005-0000-0000-000091000000}"/>
    <cellStyle name="桁区切り 2" xfId="101" xr:uid="{00000000-0005-0000-0000-00006A000000}"/>
    <cellStyle name="桁区切り 2 2" xfId="102" xr:uid="{00000000-0005-0000-0000-00006B000000}"/>
    <cellStyle name="桁区切り 3" xfId="103" xr:uid="{00000000-0005-0000-0000-00006C000000}"/>
    <cellStyle name="桁区切り 4" xfId="104" xr:uid="{00000000-0005-0000-0000-00006D000000}"/>
    <cellStyle name="見出し 1 2" xfId="133" xr:uid="{00000000-0005-0000-0000-00008A000000}"/>
    <cellStyle name="見出し 2 2" xfId="134" xr:uid="{00000000-0005-0000-0000-00008B000000}"/>
    <cellStyle name="見出し 3 2" xfId="135" xr:uid="{00000000-0005-0000-0000-00008C000000}"/>
    <cellStyle name="見出し 4 2" xfId="136" xr:uid="{00000000-0005-0000-0000-00008D000000}"/>
    <cellStyle name="集計 2" xfId="141" xr:uid="{00000000-0005-0000-0000-000092000000}"/>
    <cellStyle name="集計 2 2" xfId="142" xr:uid="{00000000-0005-0000-0000-000093000000}"/>
    <cellStyle name="出力 2" xfId="97" xr:uid="{00000000-0005-0000-0000-000066000000}"/>
    <cellStyle name="出力 2 2" xfId="98" xr:uid="{00000000-0005-0000-0000-000067000000}"/>
    <cellStyle name="状態遷移図" xfId="131" xr:uid="{00000000-0005-0000-0000-000088000000}"/>
    <cellStyle name="説明文 2" xfId="139" xr:uid="{00000000-0005-0000-0000-000090000000}"/>
    <cellStyle name="入力 2" xfId="95" xr:uid="{00000000-0005-0000-0000-000064000000}"/>
    <cellStyle name="入力 2 2" xfId="96" xr:uid="{00000000-0005-0000-0000-000065000000}"/>
    <cellStyle name="標準" xfId="0" builtinId="0"/>
    <cellStyle name="標準 10" xfId="105" xr:uid="{00000000-0005-0000-0000-00006E000000}"/>
    <cellStyle name="標準 11" xfId="106" xr:uid="{00000000-0005-0000-0000-00006F000000}"/>
    <cellStyle name="標準 11 2" xfId="107" xr:uid="{00000000-0005-0000-0000-000070000000}"/>
    <cellStyle name="標準 2" xfId="108" xr:uid="{00000000-0005-0000-0000-000071000000}"/>
    <cellStyle name="標準 2 2" xfId="109" xr:uid="{00000000-0005-0000-0000-000072000000}"/>
    <cellStyle name="標準 2 2 2" xfId="110" xr:uid="{00000000-0005-0000-0000-000073000000}"/>
    <cellStyle name="標準 2 2 3" xfId="111" xr:uid="{00000000-0005-0000-0000-000074000000}"/>
    <cellStyle name="標準 2 2 4" xfId="112" xr:uid="{00000000-0005-0000-0000-000075000000}"/>
    <cellStyle name="標準 2 3" xfId="113" xr:uid="{00000000-0005-0000-0000-000076000000}"/>
    <cellStyle name="標準 2 4" xfId="114" xr:uid="{00000000-0005-0000-0000-000077000000}"/>
    <cellStyle name="標準 2 5" xfId="115" xr:uid="{00000000-0005-0000-0000-000078000000}"/>
    <cellStyle name="標準 2 6" xfId="116" xr:uid="{00000000-0005-0000-0000-000079000000}"/>
    <cellStyle name="標準 2_デモ／空メールエントリーシステム＿メモ" xfId="117" xr:uid="{00000000-0005-0000-0000-00007A000000}"/>
    <cellStyle name="標準 3" xfId="118" xr:uid="{00000000-0005-0000-0000-00007B000000}"/>
    <cellStyle name="標準 3 2" xfId="119" xr:uid="{00000000-0005-0000-0000-00007C000000}"/>
    <cellStyle name="標準 4" xfId="120" xr:uid="{00000000-0005-0000-0000-00007D000000}"/>
    <cellStyle name="標準 4 2" xfId="121" xr:uid="{00000000-0005-0000-0000-00007E000000}"/>
    <cellStyle name="標準 4 3" xfId="122" xr:uid="{00000000-0005-0000-0000-00007F000000}"/>
    <cellStyle name="標準 5" xfId="123" xr:uid="{00000000-0005-0000-0000-000080000000}"/>
    <cellStyle name="標準 5 2" xfId="124" xr:uid="{00000000-0005-0000-0000-000081000000}"/>
    <cellStyle name="標準 6" xfId="125" xr:uid="{00000000-0005-0000-0000-000082000000}"/>
    <cellStyle name="標準 7" xfId="126" xr:uid="{00000000-0005-0000-0000-000083000000}"/>
    <cellStyle name="標準 8" xfId="127" xr:uid="{00000000-0005-0000-0000-000084000000}"/>
    <cellStyle name="標準 9" xfId="128" xr:uid="{00000000-0005-0000-0000-000085000000}"/>
    <cellStyle name="標準_開発計画_110720_v11" xfId="130" xr:uid="{00000000-0005-0000-0000-000087000000}"/>
    <cellStyle name="標準_朝日生命_バースデーキャンペーン_DB設計書_080415_社内_情報活用セミナー_Createテキストデータ設計書_081107-2" xfId="129" xr:uid="{00000000-0005-0000-0000-000086000000}"/>
    <cellStyle name="未定義" xfId="100" xr:uid="{00000000-0005-0000-0000-000069000000}"/>
    <cellStyle name="良い 2" xfId="132" xr:uid="{00000000-0005-0000-0000-00008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4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36</xdr:row>
      <xdr:rowOff>19800</xdr:rowOff>
    </xdr:from>
    <xdr:to>
      <xdr:col>52</xdr:col>
      <xdr:colOff>144360</xdr:colOff>
      <xdr:row>36</xdr:row>
      <xdr:rowOff>19800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400080"/>
          <a:ext cx="965844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143640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965772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BB38"/>
  <sheetViews>
    <sheetView tabSelected="1" view="pageBreakPreview" zoomScaleNormal="100" workbookViewId="0"/>
  </sheetViews>
  <sheetFormatPr defaultColWidth="2.6640625" defaultRowHeight="13.2"/>
  <cols>
    <col min="1" max="54" width="2.6640625" style="3"/>
  </cols>
  <sheetData>
    <row r="7" spans="14:41"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</row>
    <row r="8" spans="14:41" ht="19.2">
      <c r="N8" s="7"/>
      <c r="O8" s="49" t="s">
        <v>0</v>
      </c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8"/>
    </row>
    <row r="9" spans="14:41" ht="19.2">
      <c r="N9" s="7"/>
      <c r="O9" s="49" t="s">
        <v>37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8"/>
    </row>
    <row r="10" spans="14:41" ht="12.6" customHeight="1">
      <c r="N10" s="7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8"/>
    </row>
    <row r="11" spans="14:41" ht="19.2">
      <c r="N11" s="7"/>
      <c r="S11" s="50" t="s">
        <v>1</v>
      </c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O11" s="8"/>
    </row>
    <row r="12" spans="14:41"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</row>
    <row r="13" spans="14:41">
      <c r="X13" s="12"/>
      <c r="AA13" s="51"/>
      <c r="AB13" s="51"/>
      <c r="AC13" s="51"/>
      <c r="AD13" s="51"/>
      <c r="AE13" s="51"/>
      <c r="AF13" s="51"/>
    </row>
    <row r="14" spans="14:41">
      <c r="X14" s="12"/>
      <c r="AA14" s="2"/>
      <c r="AB14" s="2"/>
      <c r="AC14" s="2"/>
      <c r="AD14" s="2"/>
      <c r="AE14" s="2"/>
      <c r="AF14" s="2"/>
    </row>
    <row r="15" spans="14:41">
      <c r="X15" s="3" t="str">
        <f>"第"&amp;TEXT(MAX(更新履歴!A8:J40),"#0.0")&amp;"版"</f>
        <v>第1.1版</v>
      </c>
      <c r="Y15" s="13"/>
      <c r="Z15" s="13"/>
      <c r="AA15" s="45">
        <f>MAX(更新履歴!K8:T40)</f>
        <v>45268</v>
      </c>
      <c r="AB15" s="45"/>
      <c r="AC15" s="45"/>
      <c r="AD15" s="45"/>
      <c r="AE15" s="45"/>
      <c r="AF15" s="45"/>
    </row>
    <row r="16" spans="14:41">
      <c r="X16" s="12"/>
      <c r="AA16" s="1"/>
      <c r="AB16" s="1"/>
      <c r="AC16" s="1"/>
      <c r="AD16" s="1"/>
      <c r="AE16" s="1"/>
      <c r="AF16" s="1"/>
    </row>
    <row r="17" spans="21:35">
      <c r="X17" s="12"/>
      <c r="AA17" s="46"/>
      <c r="AB17" s="46"/>
      <c r="AC17" s="46"/>
      <c r="AD17" s="46"/>
      <c r="AE17" s="46"/>
      <c r="AF17" s="46"/>
      <c r="AG17" s="14"/>
    </row>
    <row r="18" spans="21:35">
      <c r="U18" s="47" t="s">
        <v>2</v>
      </c>
      <c r="V18" s="47"/>
      <c r="W18" s="47"/>
      <c r="X18" s="47"/>
      <c r="Y18" s="47"/>
      <c r="Z18" s="48" t="s">
        <v>3</v>
      </c>
      <c r="AA18" s="48"/>
      <c r="AB18" s="48"/>
      <c r="AC18" s="48"/>
      <c r="AD18" s="48"/>
      <c r="AE18" s="47" t="s">
        <v>4</v>
      </c>
      <c r="AF18" s="47"/>
      <c r="AG18" s="47"/>
      <c r="AH18" s="47"/>
      <c r="AI18" s="47"/>
    </row>
    <row r="19" spans="21:35">
      <c r="U19" s="35" t="s">
        <v>5</v>
      </c>
      <c r="V19" s="36"/>
      <c r="W19" s="36"/>
      <c r="X19" s="36"/>
      <c r="Y19" s="37"/>
      <c r="Z19" s="15"/>
      <c r="AA19" s="16"/>
      <c r="AB19" s="16"/>
      <c r="AC19" s="16"/>
      <c r="AD19" s="17"/>
      <c r="AI19" s="18"/>
    </row>
    <row r="20" spans="21:35">
      <c r="U20" s="38"/>
      <c r="V20" s="39"/>
      <c r="W20" s="39"/>
      <c r="X20" s="39"/>
      <c r="Y20" s="40"/>
      <c r="Z20" s="19"/>
      <c r="AD20" s="18"/>
      <c r="AI20" s="18"/>
    </row>
    <row r="21" spans="21:35">
      <c r="U21" s="38"/>
      <c r="V21" s="39"/>
      <c r="W21" s="39"/>
      <c r="X21" s="39"/>
      <c r="Y21" s="40"/>
      <c r="Z21" s="19"/>
      <c r="AD21" s="18"/>
      <c r="AI21" s="18"/>
    </row>
    <row r="22" spans="21:35">
      <c r="U22" s="41"/>
      <c r="V22" s="42"/>
      <c r="W22" s="42"/>
      <c r="X22" s="42"/>
      <c r="Y22" s="43"/>
      <c r="Z22" s="20"/>
      <c r="AA22" s="21"/>
      <c r="AB22" s="21"/>
      <c r="AC22" s="21"/>
      <c r="AD22" s="22"/>
      <c r="AE22" s="21"/>
      <c r="AF22" s="21"/>
      <c r="AG22" s="21"/>
      <c r="AH22" s="21"/>
      <c r="AI22" s="22"/>
    </row>
    <row r="32" spans="21:35" s="3" customFormat="1"/>
    <row r="33" spans="1:54"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</row>
    <row r="34" spans="1:54"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</row>
    <row r="35" spans="1:54"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</row>
    <row r="37" spans="1:54">
      <c r="A37" s="23"/>
      <c r="BA37" s="24"/>
    </row>
    <row r="38" spans="1:54">
      <c r="BB38" s="24"/>
    </row>
  </sheetData>
  <mergeCells count="13">
    <mergeCell ref="O8:AN8"/>
    <mergeCell ref="O9:AN9"/>
    <mergeCell ref="O10:AN10"/>
    <mergeCell ref="S11:AJ11"/>
    <mergeCell ref="AA13:AF13"/>
    <mergeCell ref="U19:Y22"/>
    <mergeCell ref="S33:AJ33"/>
    <mergeCell ref="S34:AJ35"/>
    <mergeCell ref="AA15:AF15"/>
    <mergeCell ref="AA17:AF17"/>
    <mergeCell ref="U18:Y18"/>
    <mergeCell ref="Z18:AD18"/>
    <mergeCell ref="AE18:AI18"/>
  </mergeCells>
  <phoneticPr fontId="58"/>
  <printOptions horizontalCentered="1"/>
  <pageMargins left="0.39374999999999999" right="0.39374999999999999" top="0.39374999999999999" bottom="0.59027777777777801" header="0.51180555555555496" footer="0.51180555555555496"/>
  <pageSetup paperSize="9" scale="98" firstPageNumber="0" fitToHeight="0" orientation="landscape" horizontalDpi="300" verticalDpi="300" r:id="rId1"/>
  <headerFooter>
    <oddFooter>&amp;C&amp;9&amp;P/&amp;N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L40"/>
  <sheetViews>
    <sheetView showGridLines="0" view="pageBreakPreview" zoomScaleNormal="85" workbookViewId="0">
      <selection sqref="A1:J1"/>
    </sheetView>
  </sheetViews>
  <sheetFormatPr defaultColWidth="2.77734375" defaultRowHeight="13.2"/>
  <cols>
    <col min="1" max="64" width="2.6640625" style="25" customWidth="1"/>
  </cols>
  <sheetData>
    <row r="1" spans="1:64" s="26" customFormat="1" ht="15" customHeight="1">
      <c r="A1" s="87" t="s">
        <v>6</v>
      </c>
      <c r="B1" s="87"/>
      <c r="C1" s="87"/>
      <c r="D1" s="87"/>
      <c r="E1" s="87"/>
      <c r="F1" s="87"/>
      <c r="G1" s="87"/>
      <c r="H1" s="87"/>
      <c r="I1" s="87"/>
      <c r="J1" s="87"/>
      <c r="K1" s="88" t="s">
        <v>7</v>
      </c>
      <c r="L1" s="88"/>
      <c r="M1" s="88"/>
      <c r="N1" s="88"/>
      <c r="O1" s="88"/>
      <c r="P1" s="88"/>
      <c r="Q1" s="88"/>
      <c r="R1" s="88"/>
      <c r="S1" s="88"/>
      <c r="T1" s="88"/>
      <c r="U1" s="89" t="str">
        <f>表紙!S11</f>
        <v>入力チェック</v>
      </c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90" t="s">
        <v>2</v>
      </c>
      <c r="AP1" s="90"/>
      <c r="AQ1" s="90"/>
      <c r="AR1" s="90"/>
      <c r="AS1" s="90"/>
      <c r="AT1" s="90"/>
      <c r="AU1" s="79" t="s">
        <v>8</v>
      </c>
      <c r="AV1" s="79"/>
      <c r="AW1" s="79"/>
      <c r="AX1" s="79"/>
      <c r="AY1" s="79"/>
      <c r="AZ1" s="79"/>
      <c r="BA1" s="79" t="s">
        <v>9</v>
      </c>
      <c r="BB1" s="79"/>
      <c r="BC1" s="79"/>
      <c r="BD1" s="79"/>
      <c r="BE1" s="79"/>
      <c r="BF1" s="79"/>
      <c r="BG1" s="80" t="s">
        <v>10</v>
      </c>
      <c r="BH1" s="80"/>
      <c r="BI1" s="80"/>
      <c r="BJ1" s="80"/>
      <c r="BK1" s="80"/>
      <c r="BL1" s="80"/>
    </row>
    <row r="2" spans="1:64" s="26" customFormat="1" ht="15" customHeight="1" thickBot="1">
      <c r="A2" s="81" t="str">
        <f>表紙!O9</f>
        <v>体験型Java研修</v>
      </c>
      <c r="B2" s="81"/>
      <c r="C2" s="81"/>
      <c r="D2" s="81"/>
      <c r="E2" s="81"/>
      <c r="F2" s="81"/>
      <c r="G2" s="81"/>
      <c r="H2" s="81"/>
      <c r="I2" s="81"/>
      <c r="J2" s="81"/>
      <c r="K2" s="82" t="str">
        <f>表紙!O8</f>
        <v>LMS学習管理システム</v>
      </c>
      <c r="L2" s="82"/>
      <c r="M2" s="82"/>
      <c r="N2" s="82"/>
      <c r="O2" s="82"/>
      <c r="P2" s="82"/>
      <c r="Q2" s="82"/>
      <c r="R2" s="82"/>
      <c r="S2" s="82"/>
      <c r="T2" s="82"/>
      <c r="U2" s="83" t="s">
        <v>11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4" t="s">
        <v>5</v>
      </c>
      <c r="AP2" s="84"/>
      <c r="AQ2" s="84"/>
      <c r="AR2" s="84"/>
      <c r="AS2" s="84"/>
      <c r="AT2" s="84"/>
      <c r="AU2" s="85">
        <v>44288</v>
      </c>
      <c r="AV2" s="85"/>
      <c r="AW2" s="85"/>
      <c r="AX2" s="85"/>
      <c r="AY2" s="85"/>
      <c r="AZ2" s="85"/>
      <c r="BA2" s="84" t="s">
        <v>38</v>
      </c>
      <c r="BB2" s="84"/>
      <c r="BC2" s="84"/>
      <c r="BD2" s="84"/>
      <c r="BE2" s="84"/>
      <c r="BF2" s="84"/>
      <c r="BG2" s="86">
        <v>45268</v>
      </c>
      <c r="BH2" s="86"/>
      <c r="BI2" s="86"/>
      <c r="BJ2" s="86"/>
      <c r="BK2" s="86"/>
      <c r="BL2" s="86"/>
    </row>
    <row r="3" spans="1:64" s="26" customFormat="1" ht="15" customHeight="1" thickBot="1">
      <c r="A3" s="81"/>
      <c r="B3" s="81"/>
      <c r="C3" s="81"/>
      <c r="D3" s="81"/>
      <c r="E3" s="81"/>
      <c r="F3" s="81"/>
      <c r="G3" s="81"/>
      <c r="H3" s="81"/>
      <c r="I3" s="81"/>
      <c r="J3" s="81"/>
      <c r="K3" s="82"/>
      <c r="L3" s="82"/>
      <c r="M3" s="82"/>
      <c r="N3" s="82"/>
      <c r="O3" s="82"/>
      <c r="P3" s="82"/>
      <c r="Q3" s="82"/>
      <c r="R3" s="82"/>
      <c r="S3" s="82"/>
      <c r="T3" s="82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4"/>
      <c r="AP3" s="84"/>
      <c r="AQ3" s="84"/>
      <c r="AR3" s="84"/>
      <c r="AS3" s="84"/>
      <c r="AT3" s="84"/>
      <c r="AU3" s="85"/>
      <c r="AV3" s="85"/>
      <c r="AW3" s="85"/>
      <c r="AX3" s="85"/>
      <c r="AY3" s="85"/>
      <c r="AZ3" s="85"/>
      <c r="BA3" s="84"/>
      <c r="BB3" s="84"/>
      <c r="BC3" s="84"/>
      <c r="BD3" s="84"/>
      <c r="BE3" s="84"/>
      <c r="BF3" s="84"/>
      <c r="BG3" s="86"/>
      <c r="BH3" s="86"/>
      <c r="BI3" s="86"/>
      <c r="BJ3" s="86"/>
      <c r="BK3" s="86"/>
      <c r="BL3" s="86"/>
    </row>
    <row r="4" spans="1:64" ht="13.5" customHeight="1" thickBo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  <c r="N4" s="28"/>
      <c r="O4" s="28"/>
      <c r="P4" s="28"/>
      <c r="Q4" s="28"/>
      <c r="R4" s="28"/>
      <c r="T4" s="29"/>
      <c r="U4" s="29"/>
      <c r="V4" s="29"/>
      <c r="AV4" s="28"/>
      <c r="AW4" s="28"/>
      <c r="AX4" s="28"/>
      <c r="AY4" s="28"/>
      <c r="AZ4" s="28"/>
      <c r="BA4" s="28"/>
      <c r="BL4" s="27"/>
    </row>
    <row r="5" spans="1:64" s="30" customFormat="1" ht="14.25" customHeight="1">
      <c r="A5" s="76" t="s">
        <v>12</v>
      </c>
      <c r="B5" s="76"/>
      <c r="C5" s="76"/>
      <c r="D5" s="76"/>
      <c r="E5" s="76"/>
      <c r="F5" s="76"/>
      <c r="G5" s="76"/>
      <c r="H5" s="76"/>
      <c r="I5" s="76"/>
      <c r="J5" s="76"/>
      <c r="K5" s="77" t="s">
        <v>13</v>
      </c>
      <c r="L5" s="77"/>
      <c r="M5" s="77"/>
      <c r="N5" s="77"/>
      <c r="O5" s="77"/>
      <c r="P5" s="77"/>
      <c r="Q5" s="77"/>
      <c r="R5" s="77"/>
      <c r="S5" s="77"/>
      <c r="T5" s="77"/>
      <c r="U5" s="77" t="s">
        <v>14</v>
      </c>
      <c r="V5" s="77"/>
      <c r="W5" s="77"/>
      <c r="X5" s="77"/>
      <c r="Y5" s="77" t="s">
        <v>15</v>
      </c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8" t="s">
        <v>16</v>
      </c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</row>
    <row r="6" spans="1:64" s="31" customFormat="1" ht="14.2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</row>
    <row r="7" spans="1:64" s="31" customFormat="1" ht="14.25" customHeight="1">
      <c r="A7" s="76"/>
      <c r="B7" s="76"/>
      <c r="C7" s="76"/>
      <c r="D7" s="76"/>
      <c r="E7" s="76"/>
      <c r="F7" s="76"/>
      <c r="G7" s="76"/>
      <c r="H7" s="76"/>
      <c r="I7" s="76"/>
      <c r="J7" s="76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</row>
    <row r="8" spans="1:64" s="31" customFormat="1" ht="14.25" customHeight="1">
      <c r="A8" s="72">
        <v>1</v>
      </c>
      <c r="B8" s="72"/>
      <c r="C8" s="72"/>
      <c r="D8" s="72"/>
      <c r="E8" s="72"/>
      <c r="F8" s="72"/>
      <c r="G8" s="72"/>
      <c r="H8" s="72"/>
      <c r="I8" s="72"/>
      <c r="J8" s="72"/>
      <c r="K8" s="73">
        <v>44288</v>
      </c>
      <c r="L8" s="73"/>
      <c r="M8" s="73"/>
      <c r="N8" s="73"/>
      <c r="O8" s="73"/>
      <c r="P8" s="73"/>
      <c r="Q8" s="73"/>
      <c r="R8" s="73"/>
      <c r="S8" s="73"/>
      <c r="T8" s="73"/>
      <c r="U8" s="74" t="s">
        <v>17</v>
      </c>
      <c r="V8" s="74"/>
      <c r="W8" s="74"/>
      <c r="X8" s="74"/>
      <c r="Y8" s="75" t="s">
        <v>18</v>
      </c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0" t="s">
        <v>5</v>
      </c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</row>
    <row r="9" spans="1:64" s="31" customFormat="1" ht="14.25" customHeight="1">
      <c r="A9" s="72"/>
      <c r="B9" s="72"/>
      <c r="C9" s="72"/>
      <c r="D9" s="72"/>
      <c r="E9" s="72"/>
      <c r="F9" s="72"/>
      <c r="G9" s="72"/>
      <c r="H9" s="72"/>
      <c r="I9" s="72"/>
      <c r="J9" s="72"/>
      <c r="K9" s="73"/>
      <c r="L9" s="73"/>
      <c r="M9" s="73"/>
      <c r="N9" s="73"/>
      <c r="O9" s="73"/>
      <c r="P9" s="73"/>
      <c r="Q9" s="73"/>
      <c r="R9" s="73"/>
      <c r="S9" s="73"/>
      <c r="T9" s="73"/>
      <c r="U9" s="74"/>
      <c r="V9" s="74"/>
      <c r="W9" s="74"/>
      <c r="X9" s="74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</row>
    <row r="10" spans="1:64" s="31" customFormat="1" ht="14.25" customHeight="1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4"/>
      <c r="V10" s="74"/>
      <c r="W10" s="74"/>
      <c r="X10" s="74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</row>
    <row r="11" spans="1:64" s="31" customFormat="1" ht="14.25" customHeight="1">
      <c r="A11" s="69">
        <v>1.1000000000000001</v>
      </c>
      <c r="B11" s="69"/>
      <c r="C11" s="69"/>
      <c r="D11" s="69"/>
      <c r="E11" s="69"/>
      <c r="F11" s="69"/>
      <c r="G11" s="69"/>
      <c r="H11" s="69"/>
      <c r="I11" s="69"/>
      <c r="J11" s="69"/>
      <c r="K11" s="58">
        <v>45268</v>
      </c>
      <c r="L11" s="58"/>
      <c r="M11" s="58"/>
      <c r="N11" s="58"/>
      <c r="O11" s="58"/>
      <c r="P11" s="58"/>
      <c r="Q11" s="58"/>
      <c r="R11" s="58"/>
      <c r="S11" s="58"/>
      <c r="T11" s="58"/>
      <c r="U11" s="67" t="s">
        <v>19</v>
      </c>
      <c r="V11" s="67"/>
      <c r="W11" s="67"/>
      <c r="X11" s="67"/>
      <c r="Y11" s="71" t="s">
        <v>55</v>
      </c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0" t="s">
        <v>38</v>
      </c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</row>
    <row r="12" spans="1:64" s="31" customFormat="1" ht="14.25" customHeight="1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67"/>
      <c r="V12" s="67"/>
      <c r="W12" s="67"/>
      <c r="X12" s="67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</row>
    <row r="13" spans="1:64" s="31" customFormat="1" ht="14.25" customHeight="1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67"/>
      <c r="V13" s="67"/>
      <c r="W13" s="67"/>
      <c r="X13" s="67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</row>
    <row r="14" spans="1:64" s="31" customFormat="1" ht="14.25" customHeight="1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9"/>
      <c r="V14" s="59"/>
      <c r="W14" s="59"/>
      <c r="X14" s="59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</row>
    <row r="15" spans="1:64" s="31" customFormat="1" ht="14.25" customHeight="1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9"/>
      <c r="V15" s="59"/>
      <c r="W15" s="59"/>
      <c r="X15" s="59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</row>
    <row r="16" spans="1:64" s="31" customFormat="1" ht="13.35" customHeight="1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9"/>
      <c r="V16" s="59"/>
      <c r="W16" s="59"/>
      <c r="X16" s="59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</row>
    <row r="17" spans="1:64" s="31" customFormat="1" ht="14.25" customHeight="1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9"/>
      <c r="V17" s="59"/>
      <c r="W17" s="59"/>
      <c r="X17" s="59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</row>
    <row r="18" spans="1:64" s="31" customFormat="1" ht="14.25" customHeight="1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9"/>
      <c r="V18" s="59"/>
      <c r="W18" s="59"/>
      <c r="X18" s="59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</row>
    <row r="19" spans="1:64" s="31" customFormat="1" ht="14.25" customHeight="1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9"/>
      <c r="V19" s="59"/>
      <c r="W19" s="59"/>
      <c r="X19" s="59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</row>
    <row r="20" spans="1:64" s="31" customFormat="1" ht="14.25" customHeight="1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67"/>
      <c r="V20" s="67"/>
      <c r="W20" s="67"/>
      <c r="X20" s="67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</row>
    <row r="21" spans="1:64" s="31" customFormat="1" ht="14.25" customHeight="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67"/>
      <c r="V21" s="67"/>
      <c r="W21" s="67"/>
      <c r="X21" s="67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</row>
    <row r="22" spans="1:64" s="31" customFormat="1" ht="14.2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67"/>
      <c r="V22" s="67"/>
      <c r="W22" s="67"/>
      <c r="X22" s="67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</row>
    <row r="23" spans="1:64" s="31" customFormat="1" ht="14.25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67"/>
      <c r="V23" s="67"/>
      <c r="W23" s="67"/>
      <c r="X23" s="67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</row>
    <row r="24" spans="1:64" s="31" customFormat="1" ht="14.25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67"/>
      <c r="V24" s="67"/>
      <c r="W24" s="67"/>
      <c r="X24" s="67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</row>
    <row r="25" spans="1:64" s="31" customFormat="1" ht="14.25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7"/>
      <c r="V25" s="67"/>
      <c r="W25" s="67"/>
      <c r="X25" s="67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</row>
    <row r="26" spans="1:64" s="31" customFormat="1" ht="14.25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7"/>
      <c r="V26" s="67"/>
      <c r="W26" s="67"/>
      <c r="X26" s="67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</row>
    <row r="27" spans="1:64" s="31" customFormat="1" ht="14.2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67"/>
      <c r="V27" s="67"/>
      <c r="W27" s="67"/>
      <c r="X27" s="67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</row>
    <row r="28" spans="1:64" s="31" customFormat="1" ht="14.2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67"/>
      <c r="V28" s="67"/>
      <c r="W28" s="67"/>
      <c r="X28" s="67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</row>
    <row r="29" spans="1:64" s="31" customFormat="1" ht="14.2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67"/>
      <c r="V29" s="67"/>
      <c r="W29" s="67"/>
      <c r="X29" s="67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</row>
    <row r="30" spans="1:64" s="31" customFormat="1" ht="14.2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67"/>
      <c r="V30" s="67"/>
      <c r="W30" s="67"/>
      <c r="X30" s="67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</row>
    <row r="31" spans="1:64" s="31" customFormat="1" ht="14.2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67"/>
      <c r="V31" s="67"/>
      <c r="W31" s="67"/>
      <c r="X31" s="67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</row>
    <row r="32" spans="1:64" s="31" customFormat="1" ht="14.2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4"/>
      <c r="V32" s="64"/>
      <c r="W32" s="64"/>
      <c r="X32" s="64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</row>
    <row r="33" spans="1:64" s="31" customFormat="1" ht="14.2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4"/>
      <c r="V33" s="64"/>
      <c r="W33" s="64"/>
      <c r="X33" s="64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</row>
    <row r="34" spans="1:64" s="31" customFormat="1" ht="14.2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4"/>
      <c r="V34" s="64"/>
      <c r="W34" s="64"/>
      <c r="X34" s="64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</row>
    <row r="35" spans="1:64" s="31" customFormat="1" ht="14.2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9"/>
      <c r="V35" s="59"/>
      <c r="W35" s="59"/>
      <c r="X35" s="59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</row>
    <row r="36" spans="1:64" s="31" customFormat="1" ht="14.2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9"/>
      <c r="V36" s="59"/>
      <c r="W36" s="59"/>
      <c r="X36" s="59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</row>
    <row r="37" spans="1:64" s="31" customFormat="1" ht="14.2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9"/>
      <c r="V37" s="59"/>
      <c r="W37" s="59"/>
      <c r="X37" s="59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</row>
    <row r="38" spans="1:64" s="31" customFormat="1" ht="14.2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4"/>
      <c r="V38" s="54"/>
      <c r="W38" s="54"/>
      <c r="X38" s="54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</row>
    <row r="39" spans="1:64" s="31" customFormat="1" ht="14.2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4"/>
      <c r="V39" s="54"/>
      <c r="W39" s="54"/>
      <c r="X39" s="54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</row>
    <row r="40" spans="1:64" s="31" customFormat="1" ht="13.35" customHeight="1" thickBo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4"/>
      <c r="V40" s="54"/>
      <c r="W40" s="54"/>
      <c r="X40" s="54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</row>
  </sheetData>
  <mergeCells count="74">
    <mergeCell ref="BA1:BF1"/>
    <mergeCell ref="BG1:BL1"/>
    <mergeCell ref="A2:J3"/>
    <mergeCell ref="K2:T3"/>
    <mergeCell ref="U2:AN3"/>
    <mergeCell ref="AO2:AT3"/>
    <mergeCell ref="AU2:AZ3"/>
    <mergeCell ref="BA2:BF3"/>
    <mergeCell ref="BG2:BL3"/>
    <mergeCell ref="A1:J1"/>
    <mergeCell ref="K1:T1"/>
    <mergeCell ref="U1:AN1"/>
    <mergeCell ref="AO1:AT1"/>
    <mergeCell ref="AU1:AZ1"/>
    <mergeCell ref="A5:J7"/>
    <mergeCell ref="K5:T7"/>
    <mergeCell ref="U5:X7"/>
    <mergeCell ref="Y5:AZ7"/>
    <mergeCell ref="BA5:BL7"/>
    <mergeCell ref="A8:J10"/>
    <mergeCell ref="K8:T10"/>
    <mergeCell ref="U8:X10"/>
    <mergeCell ref="Y8:AZ10"/>
    <mergeCell ref="BA8:BL10"/>
    <mergeCell ref="A11:J13"/>
    <mergeCell ref="K11:T13"/>
    <mergeCell ref="U11:X13"/>
    <mergeCell ref="Y11:AZ13"/>
    <mergeCell ref="BA11:BL13"/>
    <mergeCell ref="A14:J16"/>
    <mergeCell ref="K14:T16"/>
    <mergeCell ref="U14:X16"/>
    <mergeCell ref="Y14:AZ16"/>
    <mergeCell ref="BA14:BL16"/>
    <mergeCell ref="A17:J19"/>
    <mergeCell ref="K17:T19"/>
    <mergeCell ref="U17:X19"/>
    <mergeCell ref="Y17:AZ19"/>
    <mergeCell ref="BA17:BL19"/>
    <mergeCell ref="A20:J22"/>
    <mergeCell ref="K20:T22"/>
    <mergeCell ref="U20:X22"/>
    <mergeCell ref="Y20:AZ22"/>
    <mergeCell ref="BA20:BL22"/>
    <mergeCell ref="A23:J25"/>
    <mergeCell ref="K23:T25"/>
    <mergeCell ref="U23:X25"/>
    <mergeCell ref="Y23:AZ25"/>
    <mergeCell ref="BA23:BL25"/>
    <mergeCell ref="A26:J28"/>
    <mergeCell ref="K26:T28"/>
    <mergeCell ref="U26:X28"/>
    <mergeCell ref="Y26:AZ28"/>
    <mergeCell ref="BA26:BL28"/>
    <mergeCell ref="A29:J31"/>
    <mergeCell ref="K29:T31"/>
    <mergeCell ref="U29:X31"/>
    <mergeCell ref="Y29:AZ31"/>
    <mergeCell ref="BA29:BL31"/>
    <mergeCell ref="A32:J34"/>
    <mergeCell ref="K32:T34"/>
    <mergeCell ref="U32:X34"/>
    <mergeCell ref="Y32:AZ34"/>
    <mergeCell ref="BA32:BL34"/>
    <mergeCell ref="A35:J37"/>
    <mergeCell ref="K35:T37"/>
    <mergeCell ref="U35:X37"/>
    <mergeCell ref="Y35:AZ37"/>
    <mergeCell ref="BA35:BL37"/>
    <mergeCell ref="A38:J40"/>
    <mergeCell ref="K38:T40"/>
    <mergeCell ref="U38:X40"/>
    <mergeCell ref="Y38:AZ40"/>
    <mergeCell ref="BA38:BL40"/>
  </mergeCells>
  <phoneticPr fontId="58"/>
  <printOptions horizontalCentered="1"/>
  <pageMargins left="0.39374999999999999" right="0.39374999999999999" top="0.39374999999999999" bottom="0.59027777777777801" header="0.51180555555555496" footer="0.51180555555555496"/>
  <pageSetup paperSize="9" scale="83" firstPageNumber="0" orientation="landscape" horizontalDpi="300" verticalDpi="300" r:id="rId1"/>
  <headerFooter>
    <oddFooter>&amp;C&amp;9&amp;P/&amp;N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N14"/>
  <sheetViews>
    <sheetView showGridLines="0" view="pageBreakPreview" zoomScaleNormal="85" workbookViewId="0">
      <pane ySplit="6" topLeftCell="A7" activePane="bottomLeft" state="frozen"/>
      <selection pane="bottomLeft" sqref="A1:J1"/>
    </sheetView>
  </sheetViews>
  <sheetFormatPr defaultColWidth="2.77734375" defaultRowHeight="13.2"/>
  <cols>
    <col min="1" max="64" width="2.6640625" style="25" customWidth="1"/>
    <col min="65" max="66" width="2.77734375" style="25"/>
  </cols>
  <sheetData>
    <row r="1" spans="1:66" s="26" customFormat="1" ht="15" customHeight="1">
      <c r="A1" s="87" t="s">
        <v>6</v>
      </c>
      <c r="B1" s="87"/>
      <c r="C1" s="87"/>
      <c r="D1" s="87"/>
      <c r="E1" s="87"/>
      <c r="F1" s="87"/>
      <c r="G1" s="87"/>
      <c r="H1" s="87"/>
      <c r="I1" s="87"/>
      <c r="J1" s="87"/>
      <c r="K1" s="88" t="s">
        <v>7</v>
      </c>
      <c r="L1" s="88"/>
      <c r="M1" s="88"/>
      <c r="N1" s="88"/>
      <c r="O1" s="88"/>
      <c r="P1" s="88"/>
      <c r="Q1" s="88"/>
      <c r="R1" s="88"/>
      <c r="S1" s="88"/>
      <c r="T1" s="88"/>
      <c r="U1" s="89" t="str">
        <f>表紙!S11</f>
        <v>入力チェック</v>
      </c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90" t="s">
        <v>2</v>
      </c>
      <c r="AP1" s="90"/>
      <c r="AQ1" s="90"/>
      <c r="AR1" s="90"/>
      <c r="AS1" s="90"/>
      <c r="AT1" s="90"/>
      <c r="AU1" s="79" t="s">
        <v>8</v>
      </c>
      <c r="AV1" s="79"/>
      <c r="AW1" s="79"/>
      <c r="AX1" s="79"/>
      <c r="AY1" s="79"/>
      <c r="AZ1" s="79"/>
      <c r="BA1" s="79" t="s">
        <v>9</v>
      </c>
      <c r="BB1" s="79"/>
      <c r="BC1" s="79"/>
      <c r="BD1" s="79"/>
      <c r="BE1" s="79"/>
      <c r="BF1" s="79"/>
      <c r="BG1" s="80" t="s">
        <v>10</v>
      </c>
      <c r="BH1" s="80"/>
      <c r="BI1" s="80"/>
      <c r="BJ1" s="80"/>
      <c r="BK1" s="80"/>
      <c r="BL1" s="80"/>
    </row>
    <row r="2" spans="1:66" s="26" customFormat="1" ht="15" customHeight="1">
      <c r="A2" s="81" t="str">
        <f>表紙!O9</f>
        <v>体験型Java研修</v>
      </c>
      <c r="B2" s="81"/>
      <c r="C2" s="81"/>
      <c r="D2" s="81"/>
      <c r="E2" s="81"/>
      <c r="F2" s="81"/>
      <c r="G2" s="81"/>
      <c r="H2" s="81"/>
      <c r="I2" s="81"/>
      <c r="J2" s="81"/>
      <c r="K2" s="82" t="str">
        <f>表紙!O8</f>
        <v>LMS学習管理システム</v>
      </c>
      <c r="L2" s="82"/>
      <c r="M2" s="82"/>
      <c r="N2" s="82"/>
      <c r="O2" s="82"/>
      <c r="P2" s="82"/>
      <c r="Q2" s="82"/>
      <c r="R2" s="82"/>
      <c r="S2" s="82"/>
      <c r="T2" s="82"/>
      <c r="U2" s="83" t="s">
        <v>19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4" t="s">
        <v>5</v>
      </c>
      <c r="AP2" s="84"/>
      <c r="AQ2" s="84"/>
      <c r="AR2" s="84"/>
      <c r="AS2" s="84"/>
      <c r="AT2" s="84"/>
      <c r="AU2" s="85">
        <v>44288</v>
      </c>
      <c r="AV2" s="85"/>
      <c r="AW2" s="85"/>
      <c r="AX2" s="85"/>
      <c r="AY2" s="85"/>
      <c r="AZ2" s="85"/>
      <c r="BA2" s="84" t="s">
        <v>38</v>
      </c>
      <c r="BB2" s="84"/>
      <c r="BC2" s="84"/>
      <c r="BD2" s="84"/>
      <c r="BE2" s="84"/>
      <c r="BF2" s="84"/>
      <c r="BG2" s="86">
        <v>45268</v>
      </c>
      <c r="BH2" s="86"/>
      <c r="BI2" s="86"/>
      <c r="BJ2" s="86"/>
      <c r="BK2" s="86"/>
      <c r="BL2" s="86"/>
    </row>
    <row r="3" spans="1:66" s="26" customFormat="1" ht="15" customHeight="1">
      <c r="A3" s="81"/>
      <c r="B3" s="81"/>
      <c r="C3" s="81"/>
      <c r="D3" s="81"/>
      <c r="E3" s="81"/>
      <c r="F3" s="81"/>
      <c r="G3" s="81"/>
      <c r="H3" s="81"/>
      <c r="I3" s="81"/>
      <c r="J3" s="81"/>
      <c r="K3" s="82"/>
      <c r="L3" s="82"/>
      <c r="M3" s="82"/>
      <c r="N3" s="82"/>
      <c r="O3" s="82"/>
      <c r="P3" s="82"/>
      <c r="Q3" s="82"/>
      <c r="R3" s="82"/>
      <c r="S3" s="82"/>
      <c r="T3" s="82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4"/>
      <c r="AP3" s="84"/>
      <c r="AQ3" s="84"/>
      <c r="AR3" s="84"/>
      <c r="AS3" s="84"/>
      <c r="AT3" s="84"/>
      <c r="AU3" s="85"/>
      <c r="AV3" s="85"/>
      <c r="AW3" s="85"/>
      <c r="AX3" s="85"/>
      <c r="AY3" s="85"/>
      <c r="AZ3" s="85"/>
      <c r="BA3" s="84"/>
      <c r="BB3" s="84"/>
      <c r="BC3" s="84"/>
      <c r="BD3" s="84"/>
      <c r="BE3" s="84"/>
      <c r="BF3" s="84"/>
      <c r="BG3" s="86"/>
      <c r="BH3" s="86"/>
      <c r="BI3" s="86"/>
      <c r="BJ3" s="86"/>
      <c r="BK3" s="86"/>
      <c r="BL3" s="86"/>
    </row>
    <row r="4" spans="1:66" s="25" customFormat="1" ht="6.7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8"/>
      <c r="N4" s="28"/>
      <c r="O4" s="28"/>
      <c r="P4" s="28"/>
      <c r="Q4" s="28"/>
      <c r="R4" s="28"/>
      <c r="T4" s="29"/>
      <c r="U4" s="29"/>
      <c r="V4" s="29"/>
      <c r="AV4" s="28"/>
      <c r="AW4" s="28"/>
      <c r="AX4" s="28"/>
      <c r="AY4" s="28"/>
      <c r="AZ4" s="28"/>
      <c r="BA4" s="28"/>
      <c r="BL4" s="27"/>
      <c r="BM4" s="27"/>
      <c r="BN4" s="27"/>
    </row>
    <row r="5" spans="1:66" s="30" customFormat="1" ht="14.25" customHeight="1">
      <c r="A5" s="108" t="s">
        <v>20</v>
      </c>
      <c r="B5" s="108"/>
      <c r="C5" s="107" t="s">
        <v>21</v>
      </c>
      <c r="D5" s="107"/>
      <c r="E5" s="107"/>
      <c r="F5" s="107"/>
      <c r="G5" s="107"/>
      <c r="H5" s="107"/>
      <c r="I5" s="107"/>
      <c r="J5" s="107"/>
      <c r="K5" s="107"/>
      <c r="L5" s="107"/>
      <c r="M5" s="107" t="s">
        <v>22</v>
      </c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94" t="s">
        <v>41</v>
      </c>
      <c r="AF5" s="95"/>
      <c r="AG5" s="95"/>
      <c r="AH5" s="95"/>
      <c r="AI5" s="96"/>
      <c r="AJ5" s="94" t="s">
        <v>23</v>
      </c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6"/>
      <c r="AY5" s="94" t="s">
        <v>24</v>
      </c>
      <c r="AZ5" s="95"/>
      <c r="BA5" s="95"/>
      <c r="BB5" s="95"/>
      <c r="BC5" s="96"/>
      <c r="BD5" s="94" t="s">
        <v>56</v>
      </c>
      <c r="BE5" s="95"/>
      <c r="BF5" s="95"/>
      <c r="BG5" s="95"/>
      <c r="BH5" s="95"/>
      <c r="BI5" s="95"/>
      <c r="BJ5" s="95"/>
      <c r="BK5" s="95"/>
      <c r="BL5" s="96"/>
      <c r="BM5" s="34"/>
    </row>
    <row r="6" spans="1:66" s="30" customFormat="1" ht="14.25" customHeight="1">
      <c r="A6" s="108"/>
      <c r="B6" s="108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97"/>
      <c r="AF6" s="98"/>
      <c r="AG6" s="98"/>
      <c r="AH6" s="98"/>
      <c r="AI6" s="99"/>
      <c r="AJ6" s="97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9"/>
      <c r="AY6" s="97"/>
      <c r="AZ6" s="98"/>
      <c r="BA6" s="98"/>
      <c r="BB6" s="98"/>
      <c r="BC6" s="99"/>
      <c r="BD6" s="97"/>
      <c r="BE6" s="98"/>
      <c r="BF6" s="98"/>
      <c r="BG6" s="98"/>
      <c r="BH6" s="98"/>
      <c r="BI6" s="98"/>
      <c r="BJ6" s="98"/>
      <c r="BK6" s="98"/>
      <c r="BL6" s="99"/>
      <c r="BM6" s="32"/>
    </row>
    <row r="7" spans="1:66" s="31" customFormat="1" ht="34.35" customHeight="1">
      <c r="A7" s="105">
        <f ca="1">MAX(A$5:INDIRECT("A"&amp;ROW()-1))+1</f>
        <v>1</v>
      </c>
      <c r="B7" s="105"/>
      <c r="C7" s="104" t="s">
        <v>39</v>
      </c>
      <c r="D7" s="104"/>
      <c r="E7" s="104"/>
      <c r="F7" s="104"/>
      <c r="G7" s="104"/>
      <c r="H7" s="104"/>
      <c r="I7" s="104"/>
      <c r="J7" s="104"/>
      <c r="K7" s="104"/>
      <c r="L7" s="104"/>
      <c r="M7" s="104" t="s">
        <v>25</v>
      </c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0" t="s">
        <v>42</v>
      </c>
      <c r="AF7" s="101"/>
      <c r="AG7" s="101"/>
      <c r="AH7" s="101"/>
      <c r="AI7" s="102"/>
      <c r="AJ7" s="103" t="s">
        <v>61</v>
      </c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4" t="s">
        <v>26</v>
      </c>
      <c r="AZ7" s="104"/>
      <c r="BA7" s="104"/>
      <c r="BB7" s="104"/>
      <c r="BC7" s="104"/>
      <c r="BD7" s="91"/>
      <c r="BE7" s="92"/>
      <c r="BF7" s="92"/>
      <c r="BG7" s="92"/>
      <c r="BH7" s="92"/>
      <c r="BI7" s="92"/>
      <c r="BJ7" s="92"/>
      <c r="BK7" s="92"/>
      <c r="BL7" s="93"/>
      <c r="BM7" s="33"/>
    </row>
    <row r="8" spans="1:66" s="31" customFormat="1" ht="34.35" customHeight="1">
      <c r="A8" s="105">
        <f ca="1">MAX(A$5:INDIRECT("A"&amp;ROW()-1))+1</f>
        <v>2</v>
      </c>
      <c r="B8" s="105"/>
      <c r="C8" s="104" t="s">
        <v>40</v>
      </c>
      <c r="D8" s="104"/>
      <c r="E8" s="104"/>
      <c r="F8" s="104"/>
      <c r="G8" s="104"/>
      <c r="H8" s="104"/>
      <c r="I8" s="104"/>
      <c r="J8" s="104"/>
      <c r="K8" s="104"/>
      <c r="L8" s="104"/>
      <c r="M8" s="104" t="s">
        <v>25</v>
      </c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0" t="s">
        <v>43</v>
      </c>
      <c r="AF8" s="101"/>
      <c r="AG8" s="101"/>
      <c r="AH8" s="101"/>
      <c r="AI8" s="102"/>
      <c r="AJ8" s="103" t="s">
        <v>62</v>
      </c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4" t="s">
        <v>26</v>
      </c>
      <c r="AZ8" s="104"/>
      <c r="BA8" s="104"/>
      <c r="BB8" s="104"/>
      <c r="BC8" s="104"/>
      <c r="BD8" s="91"/>
      <c r="BE8" s="92"/>
      <c r="BF8" s="92"/>
      <c r="BG8" s="92"/>
      <c r="BH8" s="92"/>
      <c r="BI8" s="92"/>
      <c r="BJ8" s="92"/>
      <c r="BK8" s="92"/>
      <c r="BL8" s="93"/>
      <c r="BM8" s="33"/>
    </row>
    <row r="9" spans="1:66" s="31" customFormat="1" ht="34.35" customHeight="1">
      <c r="A9" s="105">
        <f ca="1">MAX(A$5:INDIRECT("A"&amp;ROW()-1))+1</f>
        <v>3</v>
      </c>
      <c r="B9" s="105"/>
      <c r="C9" s="104" t="s">
        <v>27</v>
      </c>
      <c r="D9" s="104"/>
      <c r="E9" s="104"/>
      <c r="F9" s="104"/>
      <c r="G9" s="104"/>
      <c r="H9" s="104"/>
      <c r="I9" s="104"/>
      <c r="J9" s="104"/>
      <c r="K9" s="104"/>
      <c r="L9" s="104"/>
      <c r="M9" s="104" t="s">
        <v>28</v>
      </c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0" t="s">
        <v>44</v>
      </c>
      <c r="AF9" s="101"/>
      <c r="AG9" s="101"/>
      <c r="AH9" s="101"/>
      <c r="AI9" s="102"/>
      <c r="AJ9" s="103" t="s">
        <v>63</v>
      </c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 t="s">
        <v>29</v>
      </c>
      <c r="AZ9" s="103"/>
      <c r="BA9" s="103"/>
      <c r="BB9" s="103"/>
      <c r="BC9" s="103"/>
      <c r="BD9" s="91"/>
      <c r="BE9" s="92"/>
      <c r="BF9" s="92"/>
      <c r="BG9" s="92"/>
      <c r="BH9" s="92"/>
      <c r="BI9" s="92"/>
      <c r="BJ9" s="92"/>
      <c r="BK9" s="92"/>
      <c r="BL9" s="93"/>
      <c r="BM9" s="33"/>
    </row>
    <row r="10" spans="1:66" s="31" customFormat="1" ht="34.35" customHeight="1">
      <c r="A10" s="105">
        <f ca="1">MAX(A$5:INDIRECT("A"&amp;ROW()-1))+1</f>
        <v>4</v>
      </c>
      <c r="B10" s="105"/>
      <c r="C10" s="104" t="s">
        <v>30</v>
      </c>
      <c r="D10" s="104"/>
      <c r="E10" s="104"/>
      <c r="F10" s="104"/>
      <c r="G10" s="104"/>
      <c r="H10" s="104"/>
      <c r="I10" s="104"/>
      <c r="J10" s="104"/>
      <c r="K10" s="104"/>
      <c r="L10" s="104"/>
      <c r="M10" s="104" t="s">
        <v>31</v>
      </c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0" t="s">
        <v>45</v>
      </c>
      <c r="AF10" s="101"/>
      <c r="AG10" s="101"/>
      <c r="AH10" s="101"/>
      <c r="AI10" s="102"/>
      <c r="AJ10" s="103" t="s">
        <v>64</v>
      </c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6" t="s">
        <v>32</v>
      </c>
      <c r="AZ10" s="106"/>
      <c r="BA10" s="106"/>
      <c r="BB10" s="106"/>
      <c r="BC10" s="106"/>
      <c r="BD10" s="91"/>
      <c r="BE10" s="92"/>
      <c r="BF10" s="92"/>
      <c r="BG10" s="92"/>
      <c r="BH10" s="92"/>
      <c r="BI10" s="92"/>
      <c r="BJ10" s="92"/>
      <c r="BK10" s="92"/>
      <c r="BL10" s="93"/>
      <c r="BM10" s="33"/>
    </row>
    <row r="11" spans="1:66" s="31" customFormat="1" ht="34.35" customHeight="1">
      <c r="A11" s="105">
        <f ca="1">MAX(A$5:INDIRECT("A"&amp;ROW()-1))+1</f>
        <v>5</v>
      </c>
      <c r="B11" s="105"/>
      <c r="C11" s="104" t="s">
        <v>33</v>
      </c>
      <c r="D11" s="104"/>
      <c r="E11" s="104"/>
      <c r="F11" s="104"/>
      <c r="G11" s="104"/>
      <c r="H11" s="104"/>
      <c r="I11" s="104"/>
      <c r="J11" s="104"/>
      <c r="K11" s="104"/>
      <c r="L11" s="104"/>
      <c r="M11" s="104" t="s">
        <v>34</v>
      </c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0" t="s">
        <v>46</v>
      </c>
      <c r="AF11" s="101"/>
      <c r="AG11" s="101"/>
      <c r="AH11" s="101"/>
      <c r="AI11" s="102"/>
      <c r="AJ11" s="103" t="s">
        <v>65</v>
      </c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6" t="s">
        <v>35</v>
      </c>
      <c r="AZ11" s="106"/>
      <c r="BA11" s="106"/>
      <c r="BB11" s="106"/>
      <c r="BC11" s="106"/>
      <c r="BD11" s="91"/>
      <c r="BE11" s="92"/>
      <c r="BF11" s="92"/>
      <c r="BG11" s="92"/>
      <c r="BH11" s="92"/>
      <c r="BI11" s="92"/>
      <c r="BJ11" s="92"/>
      <c r="BK11" s="92"/>
      <c r="BL11" s="93"/>
      <c r="BM11" s="33"/>
    </row>
    <row r="12" spans="1:66" s="31" customFormat="1" ht="34.35" customHeight="1">
      <c r="A12" s="105">
        <f ca="1">MAX(A$5:INDIRECT("A"&amp;ROW()-1))+1</f>
        <v>6</v>
      </c>
      <c r="B12" s="105"/>
      <c r="C12" s="104" t="s">
        <v>52</v>
      </c>
      <c r="D12" s="104"/>
      <c r="E12" s="104"/>
      <c r="F12" s="104"/>
      <c r="G12" s="104"/>
      <c r="H12" s="104"/>
      <c r="I12" s="104"/>
      <c r="J12" s="104"/>
      <c r="K12" s="104"/>
      <c r="L12" s="104"/>
      <c r="M12" s="104" t="s">
        <v>53</v>
      </c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0" t="s">
        <v>50</v>
      </c>
      <c r="AF12" s="101"/>
      <c r="AG12" s="101"/>
      <c r="AH12" s="101"/>
      <c r="AI12" s="102"/>
      <c r="AJ12" s="103" t="s">
        <v>51</v>
      </c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 t="s">
        <v>54</v>
      </c>
      <c r="AZ12" s="103"/>
      <c r="BA12" s="103"/>
      <c r="BB12" s="103"/>
      <c r="BC12" s="103"/>
      <c r="BD12" s="91"/>
      <c r="BE12" s="92"/>
      <c r="BF12" s="92"/>
      <c r="BG12" s="92"/>
      <c r="BH12" s="92"/>
      <c r="BI12" s="92"/>
      <c r="BJ12" s="92"/>
      <c r="BK12" s="92"/>
      <c r="BL12" s="93"/>
      <c r="BM12" s="33"/>
    </row>
    <row r="13" spans="1:66" s="31" customFormat="1" ht="34.35" customHeight="1">
      <c r="A13" s="105">
        <f ca="1">MAX(A$5:INDIRECT("A"&amp;ROW()-1))+1</f>
        <v>7</v>
      </c>
      <c r="B13" s="105"/>
      <c r="C13" s="104" t="s">
        <v>36</v>
      </c>
      <c r="D13" s="104"/>
      <c r="E13" s="104"/>
      <c r="F13" s="104"/>
      <c r="G13" s="104"/>
      <c r="H13" s="104"/>
      <c r="I13" s="104"/>
      <c r="J13" s="104"/>
      <c r="K13" s="104"/>
      <c r="L13" s="104"/>
      <c r="M13" s="104" t="s">
        <v>49</v>
      </c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0" t="s">
        <v>47</v>
      </c>
      <c r="AF13" s="101"/>
      <c r="AG13" s="101"/>
      <c r="AH13" s="101"/>
      <c r="AI13" s="102"/>
      <c r="AJ13" s="103" t="s">
        <v>66</v>
      </c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4" t="s">
        <v>26</v>
      </c>
      <c r="AZ13" s="104"/>
      <c r="BA13" s="104"/>
      <c r="BB13" s="104"/>
      <c r="BC13" s="104"/>
      <c r="BD13" s="91"/>
      <c r="BE13" s="92"/>
      <c r="BF13" s="92"/>
      <c r="BG13" s="92"/>
      <c r="BH13" s="92"/>
      <c r="BI13" s="92"/>
      <c r="BJ13" s="92"/>
      <c r="BK13" s="92"/>
      <c r="BL13" s="93"/>
      <c r="BM13" s="33"/>
    </row>
    <row r="14" spans="1:66" s="31" customFormat="1" ht="34.35" customHeight="1">
      <c r="A14" s="105">
        <f ca="1">MAX(A$5:INDIRECT("A"&amp;ROW()-1))+1</f>
        <v>8</v>
      </c>
      <c r="B14" s="105"/>
      <c r="C14" s="104" t="s">
        <v>57</v>
      </c>
      <c r="D14" s="104"/>
      <c r="E14" s="104"/>
      <c r="F14" s="104"/>
      <c r="G14" s="104"/>
      <c r="H14" s="104"/>
      <c r="I14" s="104"/>
      <c r="J14" s="104"/>
      <c r="K14" s="104"/>
      <c r="L14" s="104"/>
      <c r="M14" s="103" t="s">
        <v>58</v>
      </c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0" t="s">
        <v>48</v>
      </c>
      <c r="AF14" s="101"/>
      <c r="AG14" s="101"/>
      <c r="AH14" s="101"/>
      <c r="AI14" s="102"/>
      <c r="AJ14" s="103" t="s">
        <v>59</v>
      </c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4" t="s">
        <v>26</v>
      </c>
      <c r="AZ14" s="104"/>
      <c r="BA14" s="104"/>
      <c r="BB14" s="104"/>
      <c r="BC14" s="104"/>
      <c r="BD14" s="91" t="s">
        <v>60</v>
      </c>
      <c r="BE14" s="92"/>
      <c r="BF14" s="92"/>
      <c r="BG14" s="92"/>
      <c r="BH14" s="92"/>
      <c r="BI14" s="92"/>
      <c r="BJ14" s="92"/>
      <c r="BK14" s="92"/>
      <c r="BL14" s="93"/>
      <c r="BM14" s="33"/>
    </row>
  </sheetData>
  <mergeCells count="77">
    <mergeCell ref="BA1:BF1"/>
    <mergeCell ref="BG1:BL1"/>
    <mergeCell ref="A2:J3"/>
    <mergeCell ref="K2:T3"/>
    <mergeCell ref="U2:AN3"/>
    <mergeCell ref="AO2:AT3"/>
    <mergeCell ref="AU2:AZ3"/>
    <mergeCell ref="BA2:BF3"/>
    <mergeCell ref="BG2:BL3"/>
    <mergeCell ref="A1:J1"/>
    <mergeCell ref="K1:T1"/>
    <mergeCell ref="U1:AN1"/>
    <mergeCell ref="AO1:AT1"/>
    <mergeCell ref="AU1:AZ1"/>
    <mergeCell ref="C5:L6"/>
    <mergeCell ref="M5:AD6"/>
    <mergeCell ref="BD5:BL6"/>
    <mergeCell ref="AJ5:AX6"/>
    <mergeCell ref="A8:B8"/>
    <mergeCell ref="C8:L8"/>
    <mergeCell ref="M8:AD8"/>
    <mergeCell ref="AJ8:AX8"/>
    <mergeCell ref="AY8:BC8"/>
    <mergeCell ref="A7:B7"/>
    <mergeCell ref="C7:L7"/>
    <mergeCell ref="M7:AD7"/>
    <mergeCell ref="AY5:BC6"/>
    <mergeCell ref="A5:B6"/>
    <mergeCell ref="A9:B9"/>
    <mergeCell ref="C9:L9"/>
    <mergeCell ref="M9:AD9"/>
    <mergeCell ref="AJ9:AX9"/>
    <mergeCell ref="AY9:BC9"/>
    <mergeCell ref="A10:B10"/>
    <mergeCell ref="C10:L10"/>
    <mergeCell ref="M10:AD10"/>
    <mergeCell ref="AJ10:AX10"/>
    <mergeCell ref="AY10:BC10"/>
    <mergeCell ref="A12:B12"/>
    <mergeCell ref="A11:B11"/>
    <mergeCell ref="C11:L11"/>
    <mergeCell ref="M11:AD11"/>
    <mergeCell ref="AJ11:AX11"/>
    <mergeCell ref="AE11:AI11"/>
    <mergeCell ref="C12:L12"/>
    <mergeCell ref="M12:AD12"/>
    <mergeCell ref="AE12:AI12"/>
    <mergeCell ref="BD12:BL12"/>
    <mergeCell ref="AJ12:AX12"/>
    <mergeCell ref="AY12:BC12"/>
    <mergeCell ref="A13:B13"/>
    <mergeCell ref="C13:L13"/>
    <mergeCell ref="M13:AD13"/>
    <mergeCell ref="AJ13:AX13"/>
    <mergeCell ref="AY13:BC13"/>
    <mergeCell ref="AE13:AI13"/>
    <mergeCell ref="A14:B14"/>
    <mergeCell ref="C14:L14"/>
    <mergeCell ref="M14:AD14"/>
    <mergeCell ref="AJ14:AX14"/>
    <mergeCell ref="AY14:BC14"/>
    <mergeCell ref="AE14:AI14"/>
    <mergeCell ref="BD14:BL14"/>
    <mergeCell ref="AE5:AI6"/>
    <mergeCell ref="AE7:AI7"/>
    <mergeCell ref="AE8:AI8"/>
    <mergeCell ref="AE9:AI9"/>
    <mergeCell ref="AE10:AI10"/>
    <mergeCell ref="AJ7:AX7"/>
    <mergeCell ref="AY7:BC7"/>
    <mergeCell ref="BD7:BL7"/>
    <mergeCell ref="BD8:BL8"/>
    <mergeCell ref="BD9:BL9"/>
    <mergeCell ref="BD10:BL10"/>
    <mergeCell ref="BD11:BL11"/>
    <mergeCell ref="BD13:BL13"/>
    <mergeCell ref="AY11:BC11"/>
  </mergeCells>
  <phoneticPr fontId="58"/>
  <printOptions horizontalCentered="1"/>
  <pageMargins left="0.39374999999999999" right="0.39374999999999999" top="0.39374999999999999" bottom="0.59027777777777801" header="0.51180555555555496" footer="0.51180555555555496"/>
  <pageSetup paperSize="9" scale="57" firstPageNumber="0" fitToHeight="0" orientation="portrait" horizontalDpi="300" verticalDpi="300" r:id="rId1"/>
  <headerFooter>
    <oddFooter>&amp;C&amp;9&amp;P/&amp;N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表紙</vt:lpstr>
      <vt:lpstr>更新履歴</vt:lpstr>
      <vt:lpstr>入力チェック一覧</vt:lpstr>
      <vt:lpstr>入力チェック一覧!Print_Area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村上拓真</dc:creator>
  <dc:description/>
  <cp:lastModifiedBy>r holy</cp:lastModifiedBy>
  <cp:revision>45</cp:revision>
  <cp:lastPrinted>2019-11-27T00:44:25Z</cp:lastPrinted>
  <dcterms:created xsi:type="dcterms:W3CDTF">2015-09-02T01:17:59Z</dcterms:created>
  <dcterms:modified xsi:type="dcterms:W3CDTF">2024-08-02T08:20:41Z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8c1538ae-e3dc-4a6b-8c27-66a4c35e7b8f</vt:lpwstr>
  </property>
</Properties>
</file>