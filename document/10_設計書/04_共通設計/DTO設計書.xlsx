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プロジェクトGit\document_12new_requirementanswer\10_設計書\04_共通設計\"/>
    </mc:Choice>
  </mc:AlternateContent>
  <xr:revisionPtr revIDLastSave="0" documentId="13_ncr:1_{FA8AABCE-69D8-40A0-B044-E1CF42729DB0}" xr6:coauthVersionLast="47" xr6:coauthVersionMax="47" xr10:uidLastSave="{00000000-0000-0000-0000-000000000000}"/>
  <bookViews>
    <workbookView xWindow="18878" yWindow="1433" windowWidth="23017" windowHeight="12217" tabRatio="897" xr2:uid="{00000000-000D-0000-FFFF-FFFF00000000}"/>
  </bookViews>
  <sheets>
    <sheet name="表紙" sheetId="1" r:id="rId1"/>
    <sheet name="更新履歴" sheetId="2" r:id="rId2"/>
    <sheet name="DTO一覧" sheetId="3" r:id="rId3"/>
    <sheet name="勤怠管理画面用" sheetId="4" r:id="rId4"/>
    <sheet name="契約内容" sheetId="5" r:id="rId5"/>
    <sheet name="契約同意" sheetId="6" r:id="rId6"/>
    <sheet name="カテゴリ" sheetId="73" r:id="rId7"/>
    <sheet name="企業" sheetId="7" r:id="rId8"/>
    <sheet name="企業コース" sheetId="74" r:id="rId9"/>
    <sheet name="コース" sheetId="8" r:id="rId10"/>
    <sheet name="コース情報サービス コース" sheetId="10" r:id="rId11"/>
    <sheet name="コース情報サービス カテゴリ" sheetId="9" r:id="rId12"/>
    <sheet name="コース情報サービス セクション" sheetId="11" r:id="rId13"/>
    <sheet name="コース・紐付き教材件数" sheetId="12" r:id="rId14"/>
    <sheet name="コース教材紐づけ" sheetId="13" r:id="rId15"/>
    <sheet name="コースレポート" sheetId="14" r:id="rId16"/>
    <sheet name="レポート詳細" sheetId="15" r:id="rId17"/>
    <sheet name="レポートダウンロード" sheetId="16" r:id="rId18"/>
    <sheet name="レポート" sheetId="17" r:id="rId19"/>
    <sheet name="レポートフィードバック" sheetId="18" r:id="rId20"/>
    <sheet name="成果物詳細" sheetId="19" r:id="rId21"/>
    <sheet name="成果物サービス" sheetId="20" r:id="rId22"/>
    <sheet name="評価レポート" sheetId="21" r:id="rId23"/>
    <sheet name="評価レポート結果詳細" sheetId="22" r:id="rId24"/>
    <sheet name="試験詳細" sheetId="23" r:id="rId25"/>
    <sheet name="試験" sheetId="24" r:id="rId26"/>
    <sheet name="試験問題" sheetId="25" r:id="rId27"/>
    <sheet name="試験結果詳細" sheetId="26" r:id="rId28"/>
    <sheet name="試験結果" sheetId="27" r:id="rId29"/>
    <sheet name="よくある質問カテゴリ" sheetId="28" r:id="rId30"/>
    <sheet name="よくある質問" sheetId="29" r:id="rId31"/>
    <sheet name="ファイルダウンロード" sheetId="30" r:id="rId32"/>
    <sheet name="ファイル" sheetId="31" r:id="rId33"/>
    <sheet name="ファイルリストユーザー" sheetId="32" r:id="rId34"/>
    <sheet name="ファイル共有" sheetId="33" r:id="rId35"/>
    <sheet name="ジャンル詳細" sheetId="34" r:id="rId36"/>
    <sheet name="ジャンル" sheetId="35" r:id="rId37"/>
    <sheet name="お知らせ" sheetId="36" r:id="rId38"/>
    <sheet name="理解度" sheetId="37" r:id="rId39"/>
    <sheet name="ユーザー詳細" sheetId="38" r:id="rId40"/>
    <sheet name="ログイン情報" sheetId="39" r:id="rId41"/>
    <sheet name="メール送信キュー" sheetId="40" r:id="rId42"/>
    <sheet name="メールテンプレート" sheetId="41" r:id="rId43"/>
    <sheet name="面談ファイル" sheetId="42" r:id="rId44"/>
    <sheet name="面談" sheetId="43" r:id="rId45"/>
    <sheet name="面談詳細" sheetId="44" r:id="rId46"/>
    <sheet name="面談ダウンロード" sheetId="45" r:id="rId47"/>
    <sheet name="動画カテゴリ" sheetId="46" r:id="rId48"/>
    <sheet name="動画情報" sheetId="47" r:id="rId49"/>
    <sheet name="マイアカウント" sheetId="48" r:id="rId50"/>
    <sheet name="オペレーター" sheetId="49" r:id="rId51"/>
    <sheet name="成果報告会" sheetId="50" r:id="rId52"/>
    <sheet name="成果報告会詳細" sheetId="51" r:id="rId53"/>
    <sheet name="成果報告会チーム詳細" sheetId="75" r:id="rId54"/>
    <sheet name="会場" sheetId="52" r:id="rId55"/>
    <sheet name="会場アサイン情報" sheetId="53" r:id="rId56"/>
    <sheet name="問題" sheetId="54" r:id="rId57"/>
    <sheet name="改修履歴" sheetId="55" r:id="rId58"/>
    <sheet name="セクションサービスレポート" sheetId="56" r:id="rId59"/>
    <sheet name="セクションサービス成果物" sheetId="57" r:id="rId60"/>
    <sheet name="セクションサービス成果物セクション" sheetId="58" r:id="rId61"/>
    <sheet name="セクションサービス試験" sheetId="59" r:id="rId62"/>
    <sheet name="セクションサービスファイルダウンロード" sheetId="60" r:id="rId63"/>
    <sheet name="セクションファイル" sheetId="61" r:id="rId64"/>
    <sheet name="セクションサービス" sheetId="62" r:id="rId65"/>
    <sheet name="ファイル共有ユーザー" sheetId="63" r:id="rId66"/>
    <sheet name="受講生" sheetId="64" r:id="rId67"/>
    <sheet name="勤怠情報" sheetId="65" r:id="rId68"/>
    <sheet name="助成金カテゴリ" sheetId="66" r:id="rId69"/>
    <sheet name="引継面談_会場見学スケジュール" sheetId="67" r:id="rId70"/>
    <sheet name="引継面談_会場見学スケジュール詳細" sheetId="68" r:id="rId71"/>
    <sheet name="ユーザー勤怠情報" sheetId="69" r:id="rId72"/>
    <sheet name="ユーザーレポート情報" sheetId="70" r:id="rId73"/>
    <sheet name="ユーザー基本情報" sheetId="71" r:id="rId74"/>
    <sheet name="ワークシート" sheetId="72" r:id="rId75"/>
  </sheets>
  <definedNames>
    <definedName name="_xlnm.Print_Area" localSheetId="2">DTO一覧!$A$1:$BG$89</definedName>
    <definedName name="_xlnm.Print_Area" localSheetId="15">コースレポート!$A$1:$BC$21</definedName>
    <definedName name="_xlnm.Print_Area" localSheetId="73">ユーザー基本情報!$A$1:$BC$27</definedName>
    <definedName name="_xlnm.Print_Area" localSheetId="39">ユーザー詳細!$A$1:$BC$18</definedName>
    <definedName name="_xlnm.Print_Area" localSheetId="29">よくある質問カテゴリ!$A$1:$BC$13</definedName>
    <definedName name="_xlnm.Print_Area" localSheetId="18">レポート!$A$1:$BB$42</definedName>
    <definedName name="_xlnm.Print_Area" localSheetId="1">更新履歴!$A$1:$BC$91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3" i="3" l="1"/>
  <c r="E59" i="3"/>
  <c r="E58" i="3"/>
  <c r="C58" i="3"/>
  <c r="R2" i="75"/>
  <c r="J2" i="75"/>
  <c r="A2" i="75"/>
  <c r="R1" i="75"/>
  <c r="R2" i="50"/>
  <c r="J2" i="50"/>
  <c r="A2" i="50"/>
  <c r="R1" i="50"/>
  <c r="R2" i="51"/>
  <c r="J2" i="51"/>
  <c r="A2" i="51"/>
  <c r="R1" i="51"/>
  <c r="R2" i="74"/>
  <c r="J2" i="74"/>
  <c r="A2" i="74"/>
  <c r="E14" i="3"/>
  <c r="E13" i="3"/>
  <c r="C13" i="3"/>
  <c r="R2" i="73"/>
  <c r="J2" i="73"/>
  <c r="A2" i="73"/>
  <c r="R1" i="73"/>
  <c r="E12" i="3"/>
  <c r="C12" i="3"/>
  <c r="R2" i="72"/>
  <c r="J2" i="72"/>
  <c r="A2" i="72"/>
  <c r="R1" i="72"/>
  <c r="R2" i="71"/>
  <c r="J2" i="71"/>
  <c r="A2" i="71"/>
  <c r="R1" i="71"/>
  <c r="R2" i="70"/>
  <c r="J2" i="70"/>
  <c r="A2" i="70"/>
  <c r="R2" i="69"/>
  <c r="J2" i="69"/>
  <c r="A2" i="69"/>
  <c r="R1" i="69"/>
  <c r="R2" i="68"/>
  <c r="J2" i="68"/>
  <c r="A2" i="68"/>
  <c r="R2" i="67"/>
  <c r="J2" i="67"/>
  <c r="A2" i="67"/>
  <c r="R2" i="66"/>
  <c r="J2" i="66"/>
  <c r="A2" i="66"/>
  <c r="R2" i="65"/>
  <c r="J2" i="65"/>
  <c r="A2" i="65"/>
  <c r="R2" i="64"/>
  <c r="J2" i="64"/>
  <c r="A2" i="64"/>
  <c r="R2" i="63"/>
  <c r="J2" i="63"/>
  <c r="A2" i="63"/>
  <c r="R1" i="63"/>
  <c r="R2" i="62"/>
  <c r="J2" i="62"/>
  <c r="A2" i="62"/>
  <c r="R1" i="62"/>
  <c r="R2" i="61"/>
  <c r="J2" i="61"/>
  <c r="A2" i="61"/>
  <c r="R1" i="61"/>
  <c r="R2" i="60"/>
  <c r="J2" i="60"/>
  <c r="A2" i="60"/>
  <c r="R1" i="60"/>
  <c r="R2" i="59"/>
  <c r="J2" i="59"/>
  <c r="A2" i="59"/>
  <c r="R1" i="59"/>
  <c r="R2" i="58"/>
  <c r="J2" i="58"/>
  <c r="A2" i="58"/>
  <c r="R1" i="58"/>
  <c r="R2" i="57"/>
  <c r="J2" i="57"/>
  <c r="A2" i="57"/>
  <c r="R1" i="57"/>
  <c r="R2" i="56"/>
  <c r="J2" i="56"/>
  <c r="A2" i="56"/>
  <c r="R1" i="56"/>
  <c r="R2" i="55"/>
  <c r="J2" i="55"/>
  <c r="A2" i="55"/>
  <c r="R1" i="55"/>
  <c r="R2" i="54"/>
  <c r="J2" i="54"/>
  <c r="A2" i="54"/>
  <c r="R1" i="54"/>
  <c r="R2" i="53"/>
  <c r="J2" i="53"/>
  <c r="A2" i="53"/>
  <c r="R1" i="53"/>
  <c r="R2" i="52"/>
  <c r="J2" i="52"/>
  <c r="A2" i="52"/>
  <c r="R1" i="52"/>
  <c r="R2" i="49"/>
  <c r="J2" i="49"/>
  <c r="A2" i="49"/>
  <c r="R1" i="49"/>
  <c r="R2" i="48"/>
  <c r="J2" i="48"/>
  <c r="A2" i="48"/>
  <c r="R1" i="48"/>
  <c r="R2" i="47"/>
  <c r="J2" i="47"/>
  <c r="A2" i="47"/>
  <c r="R1" i="47"/>
  <c r="R2" i="46"/>
  <c r="J2" i="46"/>
  <c r="A2" i="46"/>
  <c r="R1" i="46"/>
  <c r="R2" i="45"/>
  <c r="J2" i="45"/>
  <c r="A2" i="45"/>
  <c r="R1" i="45"/>
  <c r="R2" i="44"/>
  <c r="J2" i="44"/>
  <c r="A2" i="44"/>
  <c r="R1" i="44"/>
  <c r="R2" i="43"/>
  <c r="J2" i="43"/>
  <c r="A2" i="43"/>
  <c r="R1" i="43"/>
  <c r="R2" i="42"/>
  <c r="J2" i="42"/>
  <c r="A2" i="42"/>
  <c r="R1" i="42"/>
  <c r="R2" i="41"/>
  <c r="J2" i="41"/>
  <c r="A2" i="41"/>
  <c r="R1" i="41"/>
  <c r="R2" i="40"/>
  <c r="J2" i="40"/>
  <c r="A2" i="40"/>
  <c r="R1" i="40"/>
  <c r="R2" i="39"/>
  <c r="J2" i="39"/>
  <c r="A2" i="39"/>
  <c r="R1" i="39"/>
  <c r="R2" i="38"/>
  <c r="J2" i="38"/>
  <c r="A2" i="38"/>
  <c r="R1" i="38"/>
  <c r="R2" i="37"/>
  <c r="J2" i="37"/>
  <c r="A2" i="37"/>
  <c r="R1" i="37"/>
  <c r="R2" i="36"/>
  <c r="J2" i="36"/>
  <c r="A2" i="36"/>
  <c r="R1" i="36"/>
  <c r="R2" i="35"/>
  <c r="J2" i="35"/>
  <c r="A2" i="35"/>
  <c r="R1" i="35"/>
  <c r="R2" i="34"/>
  <c r="J2" i="34"/>
  <c r="A2" i="34"/>
  <c r="R1" i="34"/>
  <c r="R2" i="33"/>
  <c r="J2" i="33"/>
  <c r="A2" i="33"/>
  <c r="R1" i="33"/>
  <c r="R2" i="32"/>
  <c r="J2" i="32"/>
  <c r="A2" i="32"/>
  <c r="R1" i="32"/>
  <c r="R2" i="31"/>
  <c r="J2" i="31"/>
  <c r="A2" i="31"/>
  <c r="R1" i="31"/>
  <c r="R2" i="30"/>
  <c r="J2" i="30"/>
  <c r="A2" i="30"/>
  <c r="R1" i="30"/>
  <c r="R2" i="29"/>
  <c r="J2" i="29"/>
  <c r="A2" i="29"/>
  <c r="R1" i="29"/>
  <c r="R2" i="28"/>
  <c r="J2" i="28"/>
  <c r="A2" i="28"/>
  <c r="R1" i="28"/>
  <c r="R2" i="27"/>
  <c r="J2" i="27"/>
  <c r="A2" i="27"/>
  <c r="R1" i="27"/>
  <c r="R2" i="26"/>
  <c r="J2" i="26"/>
  <c r="A2" i="26"/>
  <c r="R1" i="26"/>
  <c r="R2" i="25"/>
  <c r="J2" i="25"/>
  <c r="A2" i="25"/>
  <c r="R1" i="25"/>
  <c r="R2" i="24"/>
  <c r="J2" i="24"/>
  <c r="A2" i="24"/>
  <c r="R1" i="24"/>
  <c r="R2" i="23"/>
  <c r="J2" i="23"/>
  <c r="A2" i="23"/>
  <c r="R1" i="23"/>
  <c r="R2" i="22"/>
  <c r="J2" i="22"/>
  <c r="A2" i="22"/>
  <c r="R1" i="22"/>
  <c r="R2" i="21"/>
  <c r="J2" i="21"/>
  <c r="A2" i="21"/>
  <c r="R1" i="21"/>
  <c r="R2" i="20"/>
  <c r="J2" i="20"/>
  <c r="A2" i="20"/>
  <c r="R1" i="20"/>
  <c r="R2" i="19"/>
  <c r="J2" i="19"/>
  <c r="A2" i="19"/>
  <c r="R1" i="19"/>
  <c r="R2" i="18"/>
  <c r="J2" i="18"/>
  <c r="A2" i="18"/>
  <c r="R1" i="18"/>
  <c r="R2" i="17"/>
  <c r="J2" i="17"/>
  <c r="A2" i="17"/>
  <c r="R1" i="17"/>
  <c r="R2" i="16"/>
  <c r="J2" i="16"/>
  <c r="A2" i="16"/>
  <c r="R1" i="16"/>
  <c r="R2" i="15"/>
  <c r="J2" i="15"/>
  <c r="A2" i="15"/>
  <c r="R1" i="15"/>
  <c r="R2" i="14"/>
  <c r="J2" i="14"/>
  <c r="A2" i="14"/>
  <c r="R1" i="14"/>
  <c r="R2" i="13"/>
  <c r="J2" i="13"/>
  <c r="A2" i="13"/>
  <c r="R1" i="13"/>
  <c r="R2" i="12"/>
  <c r="J2" i="12"/>
  <c r="A2" i="12"/>
  <c r="R1" i="12"/>
  <c r="R2" i="11"/>
  <c r="J2" i="11"/>
  <c r="A2" i="11"/>
  <c r="R1" i="11"/>
  <c r="R2" i="10"/>
  <c r="J2" i="10"/>
  <c r="A2" i="10"/>
  <c r="R1" i="10"/>
  <c r="R2" i="9"/>
  <c r="J2" i="9"/>
  <c r="A2" i="9"/>
  <c r="R1" i="9"/>
  <c r="R2" i="8"/>
  <c r="J2" i="8"/>
  <c r="A2" i="8"/>
  <c r="R2" i="7"/>
  <c r="J2" i="7"/>
  <c r="A2" i="7"/>
  <c r="R2" i="6"/>
  <c r="J2" i="6"/>
  <c r="A2" i="6"/>
  <c r="R2" i="5"/>
  <c r="J2" i="5"/>
  <c r="A2" i="5"/>
  <c r="R2" i="4"/>
  <c r="J2" i="4"/>
  <c r="A2" i="4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6" i="3"/>
  <c r="C66" i="3"/>
  <c r="E65" i="3"/>
  <c r="C65" i="3"/>
  <c r="E64" i="3"/>
  <c r="C64" i="3"/>
  <c r="C63" i="3"/>
  <c r="E62" i="3"/>
  <c r="C62" i="3"/>
  <c r="E61" i="3"/>
  <c r="C61" i="3"/>
  <c r="E60" i="3"/>
  <c r="C60" i="3"/>
  <c r="C59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C14" i="3"/>
  <c r="E11" i="3"/>
  <c r="C11" i="3"/>
  <c r="E10" i="3"/>
  <c r="C10" i="3"/>
  <c r="E9" i="3"/>
  <c r="C9" i="3"/>
  <c r="R2" i="3"/>
  <c r="J2" i="3"/>
  <c r="A2" i="3"/>
  <c r="R1" i="3"/>
  <c r="AO2" i="2"/>
  <c r="AJ2" i="2"/>
  <c r="J2" i="2"/>
  <c r="A2" i="2"/>
  <c r="R1" i="2"/>
  <c r="R1" i="68" s="1"/>
  <c r="AA15" i="1"/>
  <c r="X15" i="1"/>
  <c r="R1" i="74" l="1"/>
  <c r="R1" i="7"/>
  <c r="R1" i="4"/>
  <c r="R1" i="5"/>
  <c r="R1" i="65"/>
  <c r="R1" i="6"/>
  <c r="R1" i="66"/>
  <c r="R1" i="70"/>
  <c r="R1" i="67"/>
  <c r="R1" i="8"/>
  <c r="R1" i="64"/>
</calcChain>
</file>

<file path=xl/sharedStrings.xml><?xml version="1.0" encoding="utf-8"?>
<sst xmlns="http://schemas.openxmlformats.org/spreadsheetml/2006/main" count="4572" uniqueCount="881">
  <si>
    <t>LMS学習管理システム</t>
  </si>
  <si>
    <t>体験型Java研修</t>
  </si>
  <si>
    <t>DTO設計書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</si>
  <si>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</si>
  <si>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</si>
  <si>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</si>
  <si>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</si>
  <si>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</si>
  <si>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</si>
  <si>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</si>
  <si>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</si>
  <si>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</si>
  <si>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</si>
  <si>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堀井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</si>
  <si>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</si>
  <si>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</si>
  <si>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</si>
  <si>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</si>
  <si>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</si>
  <si>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</si>
  <si>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</si>
  <si>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DTO一覧、追加したDTOのシート</t>
  </si>
  <si>
    <r>
      <rPr>
        <sz val="11"/>
        <rFont val="ＭＳ Ｐゴシック"/>
        <family val="3"/>
        <charset val="128"/>
      </rPr>
      <t xml:space="preserve">以下追加
・面談ダウンロード
・面談詳細
・マイアカウント
・評価レポート
・評価レポート結果詳細
</t>
    </r>
    <r>
      <rPr>
        <sz val="10"/>
        <rFont val="ＭＳ Ｐゴシック"/>
        <family val="3"/>
        <charset val="128"/>
      </rPr>
      <t xml:space="preserve">・コース・教材基本情報
・コース
・会場
・企業
</t>
    </r>
    <r>
      <rPr>
        <sz val="11"/>
        <rFont val="ＭＳ Ｐゴシック"/>
        <family val="3"/>
        <charset val="128"/>
      </rPr>
      <t>・試験
・</t>
    </r>
    <r>
      <rPr>
        <sz val="10"/>
        <rFont val="ＭＳ Ｐゴシック"/>
        <family val="3"/>
        <charset val="128"/>
      </rPr>
      <t>ユーザー勤怠情報
・ユーザーレポート情報
・引継面談／会場見学スケジュール</t>
    </r>
  </si>
  <si>
    <t>ユーザー詳細、ユーザー基本情報</t>
  </si>
  <si>
    <t>以下修正
・ユーザー詳細
　（面談DTOリスト、面談ファイル削除、評価レポートDTOリスト　項目追加）
・ユーザー基本情報
　（企業アカウントID、途中退校日、途中退校フラグ、項目追加）</t>
  </si>
  <si>
    <t>レポート</t>
  </si>
  <si>
    <t>【変更管理対応】
以下項目追加
・レポ―ト．フィードバックコメント最新フラグ</t>
  </si>
  <si>
    <t>全体</t>
  </si>
  <si>
    <t>リスト型の項目の論理名を統一</t>
  </si>
  <si>
    <t>上村</t>
  </si>
  <si>
    <t>コース情報サービス セクション</t>
  </si>
  <si>
    <t>【変更管理対応】 
以下項目追加
・当日フラグ
・レポート提出フラグ
・試験有無フラグ</t>
  </si>
  <si>
    <t>マイアカウント</t>
  </si>
  <si>
    <t>下記項目を追加
・備考</t>
  </si>
  <si>
    <t>加藤</t>
  </si>
  <si>
    <r>
      <rPr>
        <sz val="11"/>
        <rFont val="ＭＳ Ｐゴシック"/>
        <family val="3"/>
        <charset val="128"/>
      </rPr>
      <t>DTO一覧、</t>
    </r>
    <r>
      <rPr>
        <sz val="10"/>
        <rFont val="ＭＳ Ｐゴシック"/>
        <family val="3"/>
        <charset val="128"/>
      </rPr>
      <t>コース・紐付き教材件数</t>
    </r>
  </si>
  <si>
    <r>
      <rPr>
        <sz val="11"/>
        <rFont val="ＭＳ Ｐゴシック"/>
        <family val="3"/>
        <charset val="128"/>
      </rPr>
      <t>実装に合わせ、</t>
    </r>
    <r>
      <rPr>
        <sz val="10"/>
        <rFont val="ＭＳ Ｐゴシック"/>
        <family val="3"/>
        <charset val="128"/>
      </rPr>
      <t>コース・教材基本情報DTO取得を削除し、
コース・紐付き教材件数DTO取得を追加</t>
    </r>
  </si>
  <si>
    <t>DTO一覧、改修、よくある質問カテゴリ</t>
  </si>
  <si>
    <t>【変更管理対応】
下記ＡＰＩ追加
　・改修DTO
　・ジャンルDTO
　・ジャンル詳細DTO
　・面談ファイルDTO
　・メールテンプレートDTO
下記API修正
　・よくある質問カテゴリDTO　⇒　項目追加</t>
  </si>
  <si>
    <t>コース情報サービス カテゴリ</t>
  </si>
  <si>
    <t>ユーザ詳細、面談ダウンロード</t>
  </si>
  <si>
    <t>契約内容、契約同意</t>
  </si>
  <si>
    <t>契約内容</t>
  </si>
  <si>
    <t>契約同意、会場アサイン情報、受講生、助成金カテゴリ</t>
  </si>
  <si>
    <t>コースレポート</t>
  </si>
  <si>
    <t>DTO一覧</t>
  </si>
  <si>
    <t>No</t>
  </si>
  <si>
    <t>DTO名</t>
  </si>
  <si>
    <t>論理名</t>
  </si>
  <si>
    <t>物理名</t>
  </si>
  <si>
    <t>AttendanceManagementDto</t>
  </si>
  <si>
    <t>AgreementDto</t>
  </si>
  <si>
    <t>AgreementConsentDto</t>
  </si>
  <si>
    <t>CompanyDto</t>
  </si>
  <si>
    <t>CourseDto</t>
  </si>
  <si>
    <t>CourseServiceCategoryDto</t>
  </si>
  <si>
    <t>CourseServiceCourseDto</t>
  </si>
  <si>
    <t>CourseServiceSectionDto</t>
  </si>
  <si>
    <t>CourseWithTeachingMaterialCountDto</t>
  </si>
  <si>
    <t>CourseTeachingMaterialFileDto</t>
  </si>
  <si>
    <t>CourseReportDto</t>
  </si>
  <si>
    <t>DailyReportDetailDto</t>
  </si>
  <si>
    <t>DailyReportDownloadDto</t>
  </si>
  <si>
    <t>DailyReportDto</t>
  </si>
  <si>
    <t>DailyReportFbDto</t>
  </si>
  <si>
    <t>DeliverablesWithSubmissionFlgDto</t>
  </si>
  <si>
    <t>DeliverablesResultDto</t>
  </si>
  <si>
    <t>EvReportDto</t>
  </si>
  <si>
    <t>EvReportResultDetailDto</t>
  </si>
  <si>
    <t>ExamDetailDto</t>
  </si>
  <si>
    <t>ExamDto</t>
  </si>
  <si>
    <t>ExamQuestionDto</t>
  </si>
  <si>
    <t>ExamResultDetailDto</t>
  </si>
  <si>
    <t>ExamResultDto</t>
  </si>
  <si>
    <t>FaqCategoryDto</t>
  </si>
  <si>
    <t>FaqDto</t>
  </si>
  <si>
    <t>FileDownloadDto</t>
  </si>
  <si>
    <t>FileDto</t>
  </si>
  <si>
    <t>FileListUserDto</t>
  </si>
  <si>
    <t>FileShareDto</t>
  </si>
  <si>
    <t>GenreDto</t>
  </si>
  <si>
    <t>GenreDetailDto</t>
  </si>
  <si>
    <t>InfoDto</t>
  </si>
  <si>
    <t>IntelligibilityDto</t>
  </si>
  <si>
    <t>LmsUserDto</t>
  </si>
  <si>
    <t>LoginUserDto</t>
  </si>
  <si>
    <t>MailQueDto</t>
  </si>
  <si>
    <t>MailTemplateDto</t>
  </si>
  <si>
    <t>MeetingDto</t>
  </si>
  <si>
    <t>MeetingDetailDto</t>
  </si>
  <si>
    <t>MeetingDownloadDto</t>
  </si>
  <si>
    <t>MeetingFileDto</t>
  </si>
  <si>
    <t>MovieCategoryDto</t>
  </si>
  <si>
    <t>MovieDto</t>
  </si>
  <si>
    <t>MyAccountDto</t>
  </si>
  <si>
    <t>OperatorDto</t>
  </si>
  <si>
    <t>PresentationDto</t>
  </si>
  <si>
    <t>PresentationDetailDto</t>
  </si>
  <si>
    <t>PlaceDto</t>
  </si>
  <si>
    <t>PlaceAssignDto</t>
  </si>
  <si>
    <t>QuestionDto</t>
  </si>
  <si>
    <t>RepairDto</t>
  </si>
  <si>
    <t>SectionServiceDailyReportDto</t>
  </si>
  <si>
    <t>SectionServiceDeliverablesDto</t>
  </si>
  <si>
    <t>SectionServiceDeliverablesSectionDto</t>
  </si>
  <si>
    <t>SectionServiceExamDto</t>
  </si>
  <si>
    <t>SectionServiceFileDownloadDto</t>
  </si>
  <si>
    <t>SectionServiceFileDto</t>
  </si>
  <si>
    <t>SectionServiceSectionDto</t>
  </si>
  <si>
    <t>ShareUserDto</t>
  </si>
  <si>
    <t>StudentDto</t>
  </si>
  <si>
    <t>StudentAttendanceDto</t>
  </si>
  <si>
    <t>SubsidyCategoryDto</t>
  </si>
  <si>
    <t>TakeOverScheduleDto</t>
  </si>
  <si>
    <t>TakeOverScheduleDetailDto</t>
  </si>
  <si>
    <t>UserAttendanceDto</t>
  </si>
  <si>
    <t>UserDetailDto</t>
  </si>
  <si>
    <t>UserDailyReportDto</t>
  </si>
  <si>
    <t>WorkbookDto</t>
  </si>
  <si>
    <t>エンティティ名</t>
  </si>
  <si>
    <t>勤怠管理画面用</t>
  </si>
  <si>
    <t>継承</t>
  </si>
  <si>
    <t>項目名</t>
  </si>
  <si>
    <t>型</t>
  </si>
  <si>
    <t>編集内容</t>
  </si>
  <si>
    <t>備考</t>
  </si>
  <si>
    <t>当日フラグ</t>
  </si>
  <si>
    <t>isToday</t>
  </si>
  <si>
    <t>boolean</t>
  </si>
  <si>
    <t>-</t>
  </si>
  <si>
    <t>中抜け時間（文字列）</t>
  </si>
  <si>
    <t>blankTimeValue</t>
  </si>
  <si>
    <t>String</t>
  </si>
  <si>
    <t>セクション名</t>
  </si>
  <si>
    <t>sectionName</t>
  </si>
  <si>
    <t>契約同意ID</t>
  </si>
  <si>
    <t>agreementConsentId</t>
  </si>
  <si>
    <t>Integer</t>
  </si>
  <si>
    <t>契約内容ID</t>
  </si>
  <si>
    <t>agreementId</t>
  </si>
  <si>
    <t>agreementContent</t>
  </si>
  <si>
    <t>個人情報利用目的</t>
  </si>
  <si>
    <t>personalInformationPurpose</t>
  </si>
  <si>
    <t>契約日</t>
  </si>
  <si>
    <t>contractDate</t>
  </si>
  <si>
    <t>企業名</t>
  </si>
  <si>
    <t>companyName</t>
  </si>
  <si>
    <t>事業所所在地</t>
  </si>
  <si>
    <t>companyAddress</t>
  </si>
  <si>
    <t>代表者役職名</t>
  </si>
  <si>
    <t>representativePost</t>
  </si>
  <si>
    <t>代表者氏名</t>
  </si>
  <si>
    <t>representativeName</t>
  </si>
  <si>
    <t>コース名</t>
  </si>
  <si>
    <t>courseName</t>
  </si>
  <si>
    <t>契約開始日</t>
  </si>
  <si>
    <t>contractStartDate</t>
  </si>
  <si>
    <t>契約終了日</t>
  </si>
  <si>
    <t>contractEndDate</t>
  </si>
  <si>
    <t>契約同意</t>
  </si>
  <si>
    <t>企業ID</t>
  </si>
  <si>
    <t>companyId</t>
  </si>
  <si>
    <t>企業・コース紐付けID</t>
  </si>
  <si>
    <t>companyCourseId</t>
  </si>
  <si>
    <t>コースID</t>
  </si>
  <si>
    <t>courseId</t>
  </si>
  <si>
    <t>企業</t>
  </si>
  <si>
    <t>始業時間</t>
  </si>
  <si>
    <t>workStartTime</t>
  </si>
  <si>
    <t>終業時間</t>
  </si>
  <si>
    <t>workEndTime</t>
  </si>
  <si>
    <t>休憩開始時間</t>
  </si>
  <si>
    <t>restStartTime</t>
  </si>
  <si>
    <t>休憩終了時間</t>
  </si>
  <si>
    <t>restEndTime</t>
  </si>
  <si>
    <t>休日</t>
  </si>
  <si>
    <t>holiday</t>
  </si>
  <si>
    <t>企業アカウントID</t>
  </si>
  <si>
    <t>accountId</t>
  </si>
  <si>
    <t>企業名（カナ）</t>
  </si>
  <si>
    <t>companyNameKana</t>
  </si>
  <si>
    <t>郵便番号1</t>
  </si>
  <si>
    <t>postNumber1</t>
  </si>
  <si>
    <t>郵便番号2</t>
  </si>
  <si>
    <t>postNumber2</t>
  </si>
  <si>
    <t>所在地</t>
  </si>
  <si>
    <t>address</t>
  </si>
  <si>
    <t>電話番号1</t>
  </si>
  <si>
    <t>phoneNumber1</t>
  </si>
  <si>
    <t>電話番号2</t>
  </si>
  <si>
    <t>phoneNumber2</t>
  </si>
  <si>
    <t>電話番号3</t>
  </si>
  <si>
    <t>phoneNumber3</t>
  </si>
  <si>
    <t>資本額</t>
  </si>
  <si>
    <t>capital</t>
  </si>
  <si>
    <t>労働者数</t>
  </si>
  <si>
    <t>workerAmount</t>
  </si>
  <si>
    <t>申請担当者電話番号1</t>
  </si>
  <si>
    <t>subsidyPhoneNumber1</t>
  </si>
  <si>
    <t>申請担当者電話番号2</t>
  </si>
  <si>
    <t>subsidyPhoneNumber2</t>
  </si>
  <si>
    <t>申請担当者電話番号3</t>
  </si>
  <si>
    <t>subsidyPhoneNumber3</t>
  </si>
  <si>
    <t>都道府県</t>
  </si>
  <si>
    <t>prefecture</t>
  </si>
  <si>
    <t>ファイル共有フラグ</t>
  </si>
  <si>
    <t>fileShareFlg</t>
  </si>
  <si>
    <t>Short</t>
  </si>
  <si>
    <t>最終更新日時</t>
  </si>
  <si>
    <t>lastModifiedDate</t>
  </si>
  <si>
    <t>Date</t>
  </si>
  <si>
    <t>コース</t>
  </si>
  <si>
    <t>概要</t>
  </si>
  <si>
    <t>courseDescription</t>
  </si>
  <si>
    <t>開講日</t>
  </si>
  <si>
    <t>openTime</t>
  </si>
  <si>
    <t>閉講日</t>
  </si>
  <si>
    <t>closeTime</t>
  </si>
  <si>
    <t>コースタイプ</t>
  </si>
  <si>
    <t>courseType</t>
  </si>
  <si>
    <t>非表示フラグ</t>
  </si>
  <si>
    <t>hiddenFlg</t>
  </si>
  <si>
    <t>カテゴリ名</t>
  </si>
  <si>
    <t>categoryName</t>
  </si>
  <si>
    <t>カテゴリ概要</t>
  </si>
  <si>
    <t>categoryDescription</t>
  </si>
  <si>
    <t>コース情報サービス セクションDTOリスト</t>
  </si>
  <si>
    <t>CourseServiceSectionDtoList</t>
  </si>
  <si>
    <t>List&lt;CourseServiceSectionDto&gt;</t>
  </si>
  <si>
    <t>コース情報サービス コース</t>
  </si>
  <si>
    <t>コース情報サービス カテゴリDTOリスト</t>
  </si>
  <si>
    <t>CourseServiceCategoryDtoList</t>
  </si>
  <si>
    <t>List&lt;CourseServiceCategoryDto&gt;</t>
  </si>
  <si>
    <t>セクションID</t>
  </si>
  <si>
    <t>sectionId</t>
  </si>
  <si>
    <t>date</t>
  </si>
  <si>
    <t>todayFlg</t>
  </si>
  <si>
    <t>レポート提出フラグ</t>
  </si>
  <si>
    <t>reportFlg</t>
  </si>
  <si>
    <t>試験有無フラグ</t>
  </si>
  <si>
    <t>examFlg</t>
  </si>
  <si>
    <t>コース・紐付き教材件数</t>
  </si>
  <si>
    <t>開講フラグ</t>
  </si>
  <si>
    <t>openCourseFlg</t>
  </si>
  <si>
    <t>コース説明</t>
  </si>
  <si>
    <t>コース種別</t>
  </si>
  <si>
    <t>コース固定ユーザーパスワード</t>
  </si>
  <si>
    <t>password</t>
  </si>
  <si>
    <t>コース教材数</t>
  </si>
  <si>
    <t>teachingMaterialCount</t>
  </si>
  <si>
    <t>long</t>
  </si>
  <si>
    <t>コース教材紐づけ</t>
  </si>
  <si>
    <t>コース教材紐づけデータID</t>
  </si>
  <si>
    <t>courseTeachingMaterialId</t>
  </si>
  <si>
    <t>カレントファイル</t>
  </si>
  <si>
    <t>currentFile</t>
  </si>
  <si>
    <t>ディレクトリ名</t>
  </si>
  <si>
    <t>directoryName</t>
  </si>
  <si>
    <t>ファイルマップ</t>
  </si>
  <si>
    <t>fileMap</t>
  </si>
  <si>
    <t>MultiValueMap&lt;String, String&gt;</t>
  </si>
  <si>
    <t>日報ID</t>
  </si>
  <si>
    <t>dailyReportId</t>
  </si>
  <si>
    <t>日報名</t>
  </si>
  <si>
    <t>dailyReportName</t>
  </si>
  <si>
    <t>評価レポートID</t>
  </si>
  <si>
    <t>evReportId</t>
  </si>
  <si>
    <t>評価レポート名</t>
  </si>
  <si>
    <t>evReportName</t>
  </si>
  <si>
    <t>面談ファイルID</t>
  </si>
  <si>
    <t>meetingFileId</t>
  </si>
  <si>
    <t>面談ファイル名</t>
  </si>
  <si>
    <t>meetingFileName</t>
  </si>
  <si>
    <t>レポート詳細</t>
  </si>
  <si>
    <t>日報詳細ID</t>
  </si>
  <si>
    <t>dailyReportSubmitId</t>
  </si>
  <si>
    <t>項目番号</t>
  </si>
  <si>
    <t>fieldNum</t>
  </si>
  <si>
    <t>fieldName</t>
  </si>
  <si>
    <t>日付出力行</t>
  </si>
  <si>
    <t>row</t>
  </si>
  <si>
    <t>日付出力列</t>
  </si>
  <si>
    <t>clm</t>
  </si>
  <si>
    <t>入力チェック</t>
  </si>
  <si>
    <t>requiredFlg</t>
  </si>
  <si>
    <t>inputType</t>
  </si>
  <si>
    <t>範囲(From)</t>
  </si>
  <si>
    <t>rangeFrom</t>
  </si>
  <si>
    <t>範囲(To)</t>
  </si>
  <si>
    <t>rangeTo</t>
  </si>
  <si>
    <t>content</t>
  </si>
  <si>
    <t>レポートダウンロード</t>
  </si>
  <si>
    <t>日報提出ID</t>
  </si>
  <si>
    <t>ファイル名</t>
  </si>
  <si>
    <t>fileName</t>
  </si>
  <si>
    <t>シート名</t>
  </si>
  <si>
    <t>sheetName</t>
  </si>
  <si>
    <t>社名出力行番号</t>
  </si>
  <si>
    <t>rowCompany</t>
  </si>
  <si>
    <t>社名出力列番号</t>
  </si>
  <si>
    <t>clmCompany</t>
  </si>
  <si>
    <t>ユーザー名</t>
  </si>
  <si>
    <t>userName</t>
  </si>
  <si>
    <t>ユーザー名出力行番号</t>
  </si>
  <si>
    <t>rowUser</t>
  </si>
  <si>
    <t>ユーザー名出力列番号</t>
  </si>
  <si>
    <t>clmUser</t>
  </si>
  <si>
    <t>日付出力行番号</t>
  </si>
  <si>
    <t>rowDate</t>
  </si>
  <si>
    <t>日付出力列番号</t>
  </si>
  <si>
    <t>clmDate</t>
  </si>
  <si>
    <t>理解度項目出力開始行番号</t>
  </si>
  <si>
    <t>rowIntelFld</t>
  </si>
  <si>
    <t>理解度項目出力開始列番号</t>
  </si>
  <si>
    <t>clmIntelFld</t>
  </si>
  <si>
    <t>理解度出力開始行番号</t>
  </si>
  <si>
    <t>rowIntel</t>
  </si>
  <si>
    <t>理解度出力開始列番号</t>
  </si>
  <si>
    <t>clmIntel</t>
  </si>
  <si>
    <t>レポート詳細DTOリスト</t>
  </si>
  <si>
    <t>dailyReportDetailDtoList</t>
  </si>
  <si>
    <t>List&lt;DailyReportDetailDto&gt;</t>
  </si>
  <si>
    <t>理解度DTOリスト</t>
  </si>
  <si>
    <t>intelligibilityDtoList</t>
  </si>
  <si>
    <t>List&lt;IntelligibilityDto&gt;</t>
  </si>
  <si>
    <t>レポートフィードバックDTOリスト</t>
  </si>
  <si>
    <t>dailyReportFbDtoList</t>
  </si>
  <si>
    <t>List&lt;DailyReportFbDto&gt;</t>
  </si>
  <si>
    <t>セクション・日報紐付けID</t>
  </si>
  <si>
    <t>sectionDailyReportId</t>
  </si>
  <si>
    <t>reportName</t>
  </si>
  <si>
    <t>ユーザー名出力例番号</t>
  </si>
  <si>
    <t>学習理解度入力フラグ</t>
  </si>
  <si>
    <t>intelligibilityFlg</t>
  </si>
  <si>
    <t>学習理解度項目数</t>
  </si>
  <si>
    <t>intelligibilityFieldNum</t>
  </si>
  <si>
    <t>学習理解度数</t>
  </si>
  <si>
    <t>intelligibilityNum</t>
  </si>
  <si>
    <t>日付(from)</t>
  </si>
  <si>
    <t>dateFrom</t>
  </si>
  <si>
    <t>日付(To)</t>
  </si>
  <si>
    <t>dateTo</t>
  </si>
  <si>
    <t>フィードバックカウント</t>
  </si>
  <si>
    <t>fbCount</t>
  </si>
  <si>
    <t>フィードバック日</t>
  </si>
  <si>
    <t>lastFeedbackDate</t>
  </si>
  <si>
    <t>削除フラグ</t>
  </si>
  <si>
    <t>deleteFlg</t>
  </si>
  <si>
    <t>学習理解度DTOリスト</t>
  </si>
  <si>
    <t>フィードバックコメント最新フラグ</t>
  </si>
  <si>
    <t>fbNewFlg</t>
  </si>
  <si>
    <t>レポートフィードバック</t>
  </si>
  <si>
    <t>日報フィードバックコメントID</t>
  </si>
  <si>
    <t>dailyReportFbId</t>
  </si>
  <si>
    <t>LMSユーザーID</t>
  </si>
  <si>
    <t>lmsUserId</t>
  </si>
  <si>
    <t>初回登録日時</t>
  </si>
  <si>
    <t>firstCreateDate</t>
  </si>
  <si>
    <t>投稿日時</t>
  </si>
  <si>
    <t>成果物詳細</t>
  </si>
  <si>
    <t>成果物・セクション紐付けID</t>
  </si>
  <si>
    <t>deliverablesResultId</t>
  </si>
  <si>
    <t>採点</t>
  </si>
  <si>
    <t>score</t>
  </si>
  <si>
    <t>フィードバック</t>
  </si>
  <si>
    <t>feedback</t>
  </si>
  <si>
    <t>ファイルパス</t>
  </si>
  <si>
    <t>filePath</t>
  </si>
  <si>
    <t>ファイルサイズ</t>
  </si>
  <si>
    <t>fileSize</t>
  </si>
  <si>
    <t>Long</t>
  </si>
  <si>
    <t>提出時間</t>
  </si>
  <si>
    <t>submissionTime</t>
  </si>
  <si>
    <t>成果物サービス</t>
  </si>
  <si>
    <t>成果物ID</t>
  </si>
  <si>
    <t>deliverablesId</t>
  </si>
  <si>
    <t>成果物・セクション紐づけID</t>
  </si>
  <si>
    <t>deliverablesSectionId</t>
  </si>
  <si>
    <t>成果物名</t>
  </si>
  <si>
    <t>deliverablesName</t>
  </si>
  <si>
    <t>note</t>
  </si>
  <si>
    <t>提出期限</t>
  </si>
  <si>
    <t>submissionDeadLine</t>
  </si>
  <si>
    <t>提出フラグ</t>
  </si>
  <si>
    <t>submissionFlg</t>
  </si>
  <si>
    <t>評価レポート</t>
  </si>
  <si>
    <t>レポート名</t>
  </si>
  <si>
    <t>評価レポート結果詳細</t>
  </si>
  <si>
    <t>評価レポート結果ID</t>
  </si>
  <si>
    <t>evReportResultId</t>
  </si>
  <si>
    <t>LMSユーザID</t>
  </si>
  <si>
    <t>評価レポート詳細ID</t>
  </si>
  <si>
    <t>evReportDetailId</t>
  </si>
  <si>
    <t>出力タイプ</t>
  </si>
  <si>
    <t>outputType</t>
  </si>
  <si>
    <t>範囲FROM</t>
  </si>
  <si>
    <t>範囲TO</t>
  </si>
  <si>
    <t>評価レポート結果詳細ID</t>
  </si>
  <si>
    <t>evReportResultDetailId</t>
  </si>
  <si>
    <t>値</t>
  </si>
  <si>
    <t>value</t>
  </si>
  <si>
    <t>試験詳細</t>
  </si>
  <si>
    <t>試験・セクション紐づけID</t>
  </si>
  <si>
    <t>examSectionId</t>
  </si>
  <si>
    <t>試験ID</t>
  </si>
  <si>
    <t>examId</t>
  </si>
  <si>
    <t>試験名</t>
  </si>
  <si>
    <t>examName</t>
  </si>
  <si>
    <t>公開日時</t>
  </si>
  <si>
    <t>publicDate</t>
  </si>
  <si>
    <t>問題数</t>
  </si>
  <si>
    <t>numOfQuestion</t>
  </si>
  <si>
    <t>制限時間</t>
  </si>
  <si>
    <t>limitTime</t>
  </si>
  <si>
    <t>平均点</t>
  </si>
  <si>
    <t>avgScore</t>
  </si>
  <si>
    <t>Double</t>
  </si>
  <si>
    <t>試験結果DTOリスト</t>
  </si>
  <si>
    <t>examResultDtoList</t>
  </si>
  <si>
    <t>List&lt;ExamResultDto&gt;</t>
  </si>
  <si>
    <t>試験</t>
  </si>
  <si>
    <t>examDescription</t>
  </si>
  <si>
    <t>ジャンルID</t>
  </si>
  <si>
    <t>genreId</t>
  </si>
  <si>
    <t>試験問題</t>
  </si>
  <si>
    <t>問題DTOリスト</t>
  </si>
  <si>
    <t>questionDtoList</t>
  </si>
  <si>
    <t>List&lt;QuestionDto&gt;</t>
  </si>
  <si>
    <t>試験結果詳細</t>
  </si>
  <si>
    <t>試験結果ID</t>
  </si>
  <si>
    <t>examResultId</t>
  </si>
  <si>
    <t>試験・セクション紐付けID</t>
  </si>
  <si>
    <t>得点</t>
  </si>
  <si>
    <t>試験問題数</t>
  </si>
  <si>
    <t>点数</t>
  </si>
  <si>
    <t>point</t>
  </si>
  <si>
    <t>試験結果</t>
  </si>
  <si>
    <t>試験実施日付</t>
  </si>
  <si>
    <t>正当数</t>
  </si>
  <si>
    <t>double</t>
  </si>
  <si>
    <t>時間</t>
  </si>
  <si>
    <t>time</t>
  </si>
  <si>
    <t>時間(画面表示用)</t>
  </si>
  <si>
    <t>timeDisp</t>
  </si>
  <si>
    <t>よくある質問カテゴリ</t>
  </si>
  <si>
    <t>質問カテゴリID</t>
  </si>
  <si>
    <t>frequentlyAskedQuestionCategoryId</t>
  </si>
  <si>
    <t>質問カテゴリ名</t>
  </si>
  <si>
    <t>frequentlyAskedQuestionCategoryName</t>
  </si>
  <si>
    <t>よくある質問DTOリスト</t>
  </si>
  <si>
    <t>faqDtoList</t>
  </si>
  <si>
    <t>List&lt;FaqDto&gt;</t>
  </si>
  <si>
    <t>よくある質問</t>
  </si>
  <si>
    <t>FAQID</t>
  </si>
  <si>
    <t>frequentlyAskedQuestionId</t>
  </si>
  <si>
    <t>質問内容</t>
  </si>
  <si>
    <t>question</t>
  </si>
  <si>
    <t>回答内容</t>
  </si>
  <si>
    <t>answer</t>
  </si>
  <si>
    <t>ファイルダウンロード</t>
  </si>
  <si>
    <t>fileIdMap</t>
  </si>
  <si>
    <t>Map&lt;String, Integer&gt;</t>
  </si>
  <si>
    <t>ファイル</t>
  </si>
  <si>
    <t>ファイルID</t>
  </si>
  <si>
    <t>fileId</t>
  </si>
  <si>
    <t>ファイルリストユーザー</t>
  </si>
  <si>
    <t>共有ユーザーID</t>
  </si>
  <si>
    <t>fssUserId</t>
  </si>
  <si>
    <t>ログインユーザーチェック</t>
  </si>
  <si>
    <t>isLoginUser</t>
  </si>
  <si>
    <t>ファイル共有</t>
  </si>
  <si>
    <t>ファイル共有ID</t>
  </si>
  <si>
    <t>変更日時</t>
  </si>
  <si>
    <t>modifiedDate</t>
  </si>
  <si>
    <t>ファイルタイプ</t>
  </si>
  <si>
    <t>fileType</t>
  </si>
  <si>
    <t>所有ユーザID</t>
  </si>
  <si>
    <t>ownerFssUserId</t>
  </si>
  <si>
    <t>所有ニックネーム</t>
  </si>
  <si>
    <t>ownerNickname</t>
  </si>
  <si>
    <t>所有ユーザ名</t>
  </si>
  <si>
    <t>ownerUserName</t>
  </si>
  <si>
    <t>共有先ユーザID</t>
  </si>
  <si>
    <t>sharedFssUserId</t>
  </si>
  <si>
    <t>共有先ニックネーム</t>
  </si>
  <si>
    <t>sharedNickname</t>
  </si>
  <si>
    <t>共有先ユーザ名</t>
  </si>
  <si>
    <t>sharedUserName</t>
  </si>
  <si>
    <t>所有ユーザー</t>
  </si>
  <si>
    <t>owner</t>
  </si>
  <si>
    <t>共有元ユーザー(所有者)</t>
  </si>
  <si>
    <t>sharePerson</t>
  </si>
  <si>
    <t>共有ユーザー</t>
  </si>
  <si>
    <t>sharedPerson</t>
  </si>
  <si>
    <t>ジャンル詳細</t>
  </si>
  <si>
    <t>ジャンル詳細ID</t>
  </si>
  <si>
    <t>genreDetailId</t>
  </si>
  <si>
    <t>genreDetailName</t>
  </si>
  <si>
    <t>ジャンル</t>
  </si>
  <si>
    <t>genreName</t>
  </si>
  <si>
    <t>ジャンル詳細DTOリスト</t>
  </si>
  <si>
    <t>お知らせ</t>
  </si>
  <si>
    <t>お知らせID</t>
  </si>
  <si>
    <t>infoId</t>
  </si>
  <si>
    <t>更新日時</t>
  </si>
  <si>
    <t>newフラグ</t>
  </si>
  <si>
    <t>newFlg</t>
  </si>
  <si>
    <t>理解度</t>
  </si>
  <si>
    <t>理解度ID</t>
  </si>
  <si>
    <t>intelligibilityId</t>
  </si>
  <si>
    <t>fieldValue</t>
  </si>
  <si>
    <t>ユーザー詳細</t>
  </si>
  <si>
    <t>ユーザー基本情報DTO</t>
  </si>
  <si>
    <t>userDetailDto</t>
  </si>
  <si>
    <t>成果物詳細DTOリスト</t>
  </si>
  <si>
    <t>deliverablesResultDtoList</t>
  </si>
  <si>
    <t>List&lt;DeliverablesResultDto&gt;</t>
  </si>
  <si>
    <t>レポートDTOリスト</t>
  </si>
  <si>
    <t>dailyReportDtoList</t>
  </si>
  <si>
    <t>List&lt;DailyReportDto&gt;</t>
  </si>
  <si>
    <t>面談DTOリスト</t>
  </si>
  <si>
    <t>meetingDtoList</t>
  </si>
  <si>
    <t>List&lt;MeetingDto&gt;</t>
  </si>
  <si>
    <t>2021/04/08　未実装</t>
  </si>
  <si>
    <t>面談ファイル削除</t>
  </si>
  <si>
    <t>meetingFileDeleteFlg</t>
  </si>
  <si>
    <t>評価レポートDTOリスト</t>
  </si>
  <si>
    <t>evReportDtoList</t>
  </si>
  <si>
    <r>
      <rPr>
        <sz val="10"/>
        <color rgb="FF0000FF"/>
        <rFont val="ＭＳ Ｐゴシック"/>
        <family val="3"/>
        <charset val="1"/>
      </rPr>
      <t>List&lt;</t>
    </r>
    <r>
      <rPr>
        <sz val="10"/>
        <color rgb="FF0000FF"/>
        <rFont val="ＭＳ Ｐゴシック"/>
        <family val="3"/>
        <charset val="128"/>
      </rPr>
      <t>EvReportDto</t>
    </r>
    <r>
      <rPr>
        <sz val="10"/>
        <color rgb="FF0000FF"/>
        <rFont val="ＭＳ Ｐゴシック"/>
        <family val="3"/>
        <charset val="1"/>
      </rPr>
      <t>&gt;</t>
    </r>
  </si>
  <si>
    <t>ログイン情報</t>
  </si>
  <si>
    <t>ユーザーID</t>
  </si>
  <si>
    <t>userId</t>
  </si>
  <si>
    <t>ロール</t>
  </si>
  <si>
    <t>role</t>
  </si>
  <si>
    <t>会場ID</t>
  </si>
  <si>
    <t>placeId</t>
  </si>
  <si>
    <t>会場名</t>
  </si>
  <si>
    <t>placeName</t>
  </si>
  <si>
    <t>会場非表示フラグ</t>
  </si>
  <si>
    <t>セキュリティ同意フラグ</t>
  </si>
  <si>
    <t>securityAgreeFlg</t>
  </si>
  <si>
    <t>パスワードNG回数</t>
  </si>
  <si>
    <t>passwordNgCount</t>
  </si>
  <si>
    <t>パスワード変更日付</t>
  </si>
  <si>
    <t>passwordChangeDate</t>
  </si>
  <si>
    <t>パスワードNG日付</t>
  </si>
  <si>
    <t>passwordNgDate</t>
  </si>
  <si>
    <t>サポート表示</t>
  </si>
  <si>
    <t>supportAvailable</t>
  </si>
  <si>
    <t>メールアドレス</t>
  </si>
  <si>
    <t>mailAddress</t>
  </si>
  <si>
    <t>途中退校フラグ</t>
  </si>
  <si>
    <t>leaveFlg</t>
  </si>
  <si>
    <t>途中退校日</t>
  </si>
  <si>
    <t>leaveDate</t>
  </si>
  <si>
    <t>メール送信キュー</t>
  </si>
  <si>
    <t>メール送信キューID</t>
  </si>
  <si>
    <t>mailQueId</t>
  </si>
  <si>
    <t>メールアドレスTO</t>
  </si>
  <si>
    <t>mailAddressTo</t>
  </si>
  <si>
    <t>メールアドレスCC</t>
  </si>
  <si>
    <t>mailAddressCC</t>
  </si>
  <si>
    <t>メールアドレスBCC</t>
  </si>
  <si>
    <t>mailAddressBCC</t>
  </si>
  <si>
    <t>件名</t>
  </si>
  <si>
    <t>subject</t>
  </si>
  <si>
    <t>本文</t>
  </si>
  <si>
    <t>body</t>
  </si>
  <si>
    <t>初回作成日時</t>
  </si>
  <si>
    <t>メールテンプレート</t>
  </si>
  <si>
    <t>メールテンプレートID</t>
  </si>
  <si>
    <t>mailTemplateId</t>
  </si>
  <si>
    <t>int</t>
  </si>
  <si>
    <t>タイトル</t>
  </si>
  <si>
    <t>ファイルDTOリスト</t>
  </si>
  <si>
    <t>fileDtoList</t>
  </si>
  <si>
    <t>List&lt;FileDto&gt;</t>
  </si>
  <si>
    <t>mailTempleteNote</t>
  </si>
  <si>
    <t>面談ファイル</t>
  </si>
  <si>
    <t>面談内容出力開始行番号</t>
  </si>
  <si>
    <t>rowMeeting</t>
  </si>
  <si>
    <t>面談内容出力開始列番号</t>
  </si>
  <si>
    <t>clmMeeting</t>
  </si>
  <si>
    <t>面談</t>
  </si>
  <si>
    <t>面談ID</t>
  </si>
  <si>
    <t>meetingId</t>
  </si>
  <si>
    <t>初回作成者</t>
  </si>
  <si>
    <t>firstCreateUser</t>
  </si>
  <si>
    <t>面談ファイル削除フラグ</t>
  </si>
  <si>
    <t>面談詳細</t>
  </si>
  <si>
    <t>面談詳細ID</t>
  </si>
  <si>
    <t>meeting_detail_id</t>
  </si>
  <si>
    <t>meeting_id</t>
  </si>
  <si>
    <t>問題</t>
  </si>
  <si>
    <t>回答</t>
  </si>
  <si>
    <t>フォロー</t>
  </si>
  <si>
    <t>follow</t>
  </si>
  <si>
    <t>タイプ</t>
  </si>
  <si>
    <t>question_type</t>
  </si>
  <si>
    <t>面談実施日</t>
  </si>
  <si>
    <t>interviewDate</t>
  </si>
  <si>
    <t>面談実施者</t>
  </si>
  <si>
    <t>interviewer</t>
  </si>
  <si>
    <t>受講生</t>
  </si>
  <si>
    <t>interviewee</t>
  </si>
  <si>
    <t>面談詳細DTOリスト</t>
  </si>
  <si>
    <r>
      <rPr>
        <sz val="10"/>
        <rFont val="ＭＳ Ｐゴシック"/>
        <family val="3"/>
        <charset val="1"/>
      </rPr>
      <t>meetingDetail</t>
    </r>
    <r>
      <rPr>
        <sz val="10"/>
        <rFont val="ＭＳ Ｐゴシック"/>
        <family val="3"/>
        <charset val="128"/>
      </rPr>
      <t>DtoList</t>
    </r>
  </si>
  <si>
    <t>List&lt;MeetingDetailDto&gt;</t>
  </si>
  <si>
    <t>動画カテゴリ</t>
  </si>
  <si>
    <t>動画カテゴリID</t>
  </si>
  <si>
    <t>movieCategoryId</t>
  </si>
  <si>
    <t>動画カテゴリ名</t>
  </si>
  <si>
    <t>movieCategoryName</t>
  </si>
  <si>
    <t>動画リスト</t>
  </si>
  <si>
    <t>movieDtoList</t>
  </si>
  <si>
    <t>List&lt;MovieDto&gt;</t>
  </si>
  <si>
    <t>動画情報</t>
  </si>
  <si>
    <t>動画名</t>
  </si>
  <si>
    <t>movieName</t>
  </si>
  <si>
    <t>動画URL</t>
  </si>
  <si>
    <t>url</t>
  </si>
  <si>
    <t>動画ID</t>
  </si>
  <si>
    <t>movieId</t>
  </si>
  <si>
    <t>ロール名</t>
  </si>
  <si>
    <t>roleName</t>
  </si>
  <si>
    <t>placeNote</t>
  </si>
  <si>
    <t>オペレーター</t>
  </si>
  <si>
    <t>オペレーターID</t>
  </si>
  <si>
    <t>operatorId</t>
  </si>
  <si>
    <t>オペレーター名</t>
  </si>
  <si>
    <t>operatorName</t>
  </si>
  <si>
    <t>連携用URL</t>
  </si>
  <si>
    <t>オペレーター種別</t>
  </si>
  <si>
    <t>operatorType</t>
  </si>
  <si>
    <t>岡野</t>
  </si>
  <si>
    <t>成果報告会</t>
  </si>
  <si>
    <t xml:space="preserve">成果報告会スケジュールID </t>
  </si>
  <si>
    <t>presentationScheduleId</t>
  </si>
  <si>
    <t>成果報告会対象企業ID</t>
  </si>
  <si>
    <t>presentationCompanyId</t>
  </si>
  <si>
    <t xml:space="preserve">予約編集期限 </t>
  </si>
  <si>
    <t>editLimit</t>
  </si>
  <si>
    <t xml:space="preserve">成果報告会開催日 </t>
  </si>
  <si>
    <t>presentationDate</t>
  </si>
  <si>
    <t xml:space="preserve">用途 </t>
  </si>
  <si>
    <t>purpose</t>
  </si>
  <si>
    <t xml:space="preserve">会場ID </t>
  </si>
  <si>
    <t xml:space="preserve">会場名 </t>
  </si>
  <si>
    <t xml:space="preserve">会場詳細 </t>
  </si>
  <si>
    <t>placeDescription</t>
  </si>
  <si>
    <t xml:space="preserve">会場備考 </t>
  </si>
  <si>
    <t xml:space="preserve">画面予約状況フラグ </t>
  </si>
  <si>
    <t>reservationStatusFlg</t>
  </si>
  <si>
    <t xml:space="preserve">成果報告会詳細リスト </t>
  </si>
  <si>
    <t>presentationDetailDtoList</t>
  </si>
  <si>
    <t>List&lt;PresentationDetailDto&gt;</t>
  </si>
  <si>
    <t>成果報告会詳細</t>
  </si>
  <si>
    <t>成果報告会チームID</t>
  </si>
  <si>
    <t>presentationTeamId</t>
  </si>
  <si>
    <t>参加人数</t>
  </si>
  <si>
    <t>joinAmount</t>
  </si>
  <si>
    <t>参加者名</t>
  </si>
  <si>
    <t>joinName</t>
  </si>
  <si>
    <t>成果報告会時間</t>
  </si>
  <si>
    <t>presentationTime</t>
  </si>
  <si>
    <t xml:space="preserve">参加可能フラグ </t>
  </si>
  <si>
    <t>joinAbleFlg</t>
  </si>
  <si>
    <t>会場</t>
  </si>
  <si>
    <t>会場詳細</t>
  </si>
  <si>
    <t>サポートセンター表示</t>
  </si>
  <si>
    <t>収容人数</t>
  </si>
  <si>
    <t>seatingCapacity</t>
  </si>
  <si>
    <t>会場アサイン情報</t>
  </si>
  <si>
    <t>人数</t>
  </si>
  <si>
    <t>applicantAmount</t>
  </si>
  <si>
    <t>問題ID</t>
  </si>
  <si>
    <t>questionId</t>
  </si>
  <si>
    <t>reply</t>
  </si>
  <si>
    <t>正当</t>
  </si>
  <si>
    <t>answerNum</t>
  </si>
  <si>
    <t>選択肢1</t>
  </si>
  <si>
    <t>choice1</t>
  </si>
  <si>
    <t>選択肢2</t>
  </si>
  <si>
    <t>choice2</t>
  </si>
  <si>
    <t>選択肢3</t>
  </si>
  <si>
    <t>choice3</t>
  </si>
  <si>
    <t>選択肢4</t>
  </si>
  <si>
    <t>choice4</t>
  </si>
  <si>
    <t>アンサーリスト</t>
  </si>
  <si>
    <t>answerList</t>
  </si>
  <si>
    <t>List&lt;String&gt;</t>
  </si>
  <si>
    <t>解説</t>
  </si>
  <si>
    <t>explain</t>
  </si>
  <si>
    <t>改修履歴ID</t>
  </si>
  <si>
    <t>historyId</t>
  </si>
  <si>
    <t>セクションサービスレポート</t>
  </si>
  <si>
    <t>レポートID</t>
  </si>
  <si>
    <t>レポート提出ID</t>
  </si>
  <si>
    <t>セクションサービス成果物</t>
  </si>
  <si>
    <t>セクションサービス成果物セクション</t>
  </si>
  <si>
    <t>public Integer</t>
  </si>
  <si>
    <t>submissionDeadline</t>
  </si>
  <si>
    <t>public String</t>
  </si>
  <si>
    <t>セクションサービス成果物DTO</t>
  </si>
  <si>
    <t>deliverablesDto</t>
  </si>
  <si>
    <t>public SectionServiceDeliverablesDto</t>
  </si>
  <si>
    <t>セクションサービス試験</t>
  </si>
  <si>
    <t>試験カテゴリID</t>
  </si>
  <si>
    <t>Timestamp</t>
  </si>
  <si>
    <t>公開フラグ</t>
  </si>
  <si>
    <t>publicFlg</t>
  </si>
  <si>
    <t>セクションID(パンくず用に追加)</t>
  </si>
  <si>
    <t>コースID(パンくず用に追加)</t>
  </si>
  <si>
    <t>試験実施済みフラグ</t>
  </si>
  <si>
    <t>セクションサービスファイルダウンロード</t>
  </si>
  <si>
    <t>ファイルIDマップ</t>
  </si>
  <si>
    <t>セクションファイル</t>
  </si>
  <si>
    <t>セクションサービス</t>
  </si>
  <si>
    <t>sectionDescription</t>
  </si>
  <si>
    <t>maxFileSize</t>
  </si>
  <si>
    <t>セクションファイルDTOリスト</t>
  </si>
  <si>
    <t>List&lt;SectionServiceFileDto&gt;</t>
  </si>
  <si>
    <t>セクションサービス試験DTOリスト</t>
  </si>
  <si>
    <t>examDtoList</t>
  </si>
  <si>
    <t>List&lt;SectionServiceExamDto&gt;</t>
  </si>
  <si>
    <t>セクションサービスレポートDTOリスト</t>
  </si>
  <si>
    <t>reportDtoList</t>
  </si>
  <si>
    <t>List&lt;SectionServiceDailyReportDto&gt;</t>
  </si>
  <si>
    <t>セクションサービス成果物セクションDTOリスト</t>
  </si>
  <si>
    <t>deliverablesDtoList</t>
  </si>
  <si>
    <t>List&lt;SectionServiceDeliverablesSectionDto&gt;</t>
  </si>
  <si>
    <t>ファイル共有ユーザー</t>
  </si>
  <si>
    <t>ファイル共有ユーザーID</t>
  </si>
  <si>
    <t>共有グループ名リスト</t>
  </si>
  <si>
    <t>groupNameList</t>
  </si>
  <si>
    <t>ファイル共有グループ名</t>
  </si>
  <si>
    <t>fssGroupName</t>
  </si>
  <si>
    <t>共有者ニックネーム</t>
  </si>
  <si>
    <t>nickname</t>
  </si>
  <si>
    <t>共有者名</t>
  </si>
  <si>
    <t>shareUserName</t>
  </si>
  <si>
    <t>ユーザー名（カナ）</t>
  </si>
  <si>
    <t>userNameKana</t>
  </si>
  <si>
    <t>プログラム経験</t>
  </si>
  <si>
    <t>programmingExperience</t>
  </si>
  <si>
    <t>研修を通じてどのようになってほしいか</t>
  </si>
  <si>
    <t>hopeViaTraning</t>
  </si>
  <si>
    <t>助成金カテゴリID</t>
  </si>
  <si>
    <t>subsidyCategoryId</t>
  </si>
  <si>
    <t>勤怠情報</t>
  </si>
  <si>
    <t>受講生入力勤怠情報ID</t>
  </si>
  <si>
    <t>studentAttendanceId</t>
  </si>
  <si>
    <t>trainingDate</t>
  </si>
  <si>
    <t>出勤時間</t>
  </si>
  <si>
    <t>trainingStartTime</t>
  </si>
  <si>
    <t>退勤時間</t>
  </si>
  <si>
    <t>trainingEndTime</t>
  </si>
  <si>
    <t>勤怠状況</t>
  </si>
  <si>
    <t>status</t>
  </si>
  <si>
    <t>中抜け時間</t>
  </si>
  <si>
    <t>blankTime</t>
  </si>
  <si>
    <t>勤怠状態画面表示名</t>
  </si>
  <si>
    <t>statusDispName</t>
  </si>
  <si>
    <t>助成金カテゴリ</t>
  </si>
  <si>
    <t>助成金カテゴリ名</t>
  </si>
  <si>
    <t>subsidyCategoryName</t>
  </si>
  <si>
    <t>面談スケジュールID</t>
  </si>
  <si>
    <t>meetingScheduleId</t>
  </si>
  <si>
    <t>用途</t>
  </si>
  <si>
    <t>面談開始日</t>
  </si>
  <si>
    <t>meetingOpenDate</t>
  </si>
  <si>
    <t>面談終了日</t>
  </si>
  <si>
    <t>meetingCloseDate</t>
  </si>
  <si>
    <t>予約編集期限</t>
  </si>
  <si>
    <t>面談対象会場ID</t>
  </si>
  <si>
    <t>meetingPlaceId</t>
  </si>
  <si>
    <t>会場備考</t>
  </si>
  <si>
    <t>引継面談／会場見学スケジュール詳細</t>
  </si>
  <si>
    <t>面談スケジュール詳細ID</t>
  </si>
  <si>
    <t>meetingScheduleDetailId</t>
  </si>
  <si>
    <t>面談日付</t>
  </si>
  <si>
    <t>meetingDate</t>
  </si>
  <si>
    <t>面談時刻</t>
  </si>
  <si>
    <t>meetingTime</t>
  </si>
  <si>
    <t>面談対象企業ID</t>
  </si>
  <si>
    <t>meetingCompanyId</t>
  </si>
  <si>
    <t>お客様ご要望欄</t>
  </si>
  <si>
    <t>companyRequest</t>
  </si>
  <si>
    <t>ユーザー勤怠情報</t>
  </si>
  <si>
    <t>企業入力勤怠情報ID</t>
  </si>
  <si>
    <t>companyAttendanceId</t>
  </si>
  <si>
    <t>勤怠状態</t>
  </si>
  <si>
    <t>ユーザーレポート情報</t>
  </si>
  <si>
    <t>ユーザID</t>
  </si>
  <si>
    <t>ユーザ名</t>
  </si>
  <si>
    <t>セクション日付</t>
  </si>
  <si>
    <t>sectionDate</t>
  </si>
  <si>
    <t>日報提出日付</t>
  </si>
  <si>
    <t>submitDate</t>
  </si>
  <si>
    <t>フィードバック件数</t>
  </si>
  <si>
    <t>ユーザー基本情報</t>
  </si>
  <si>
    <t>ログインID</t>
  </si>
  <si>
    <t>loginId</t>
  </si>
  <si>
    <t>ワークシート</t>
  </si>
  <si>
    <t>ワークブック</t>
  </si>
  <si>
    <t>wb</t>
  </si>
  <si>
    <t>Workbook</t>
  </si>
  <si>
    <t>ワークブック名</t>
  </si>
  <si>
    <t>wbName</t>
  </si>
  <si>
    <t>CategoryDto</t>
    <phoneticPr fontId="79"/>
  </si>
  <si>
    <t>カテゴリ</t>
    <phoneticPr fontId="79"/>
  </si>
  <si>
    <t>カテゴリID</t>
    <phoneticPr fontId="79"/>
  </si>
  <si>
    <t>categoryId</t>
    <phoneticPr fontId="79"/>
  </si>
  <si>
    <t>Integer</t>
    <phoneticPr fontId="79"/>
  </si>
  <si>
    <t>コースID</t>
    <phoneticPr fontId="79"/>
  </si>
  <si>
    <t>courseId</t>
    <phoneticPr fontId="79"/>
  </si>
  <si>
    <t>開講日</t>
    <phoneticPr fontId="79"/>
  </si>
  <si>
    <t>閉講日</t>
    <phoneticPr fontId="79"/>
  </si>
  <si>
    <t>カテゴリ削除フラグ</t>
    <phoneticPr fontId="79"/>
  </si>
  <si>
    <t>categoryDelFlg</t>
    <phoneticPr fontId="79"/>
  </si>
  <si>
    <t>Task.14</t>
    <phoneticPr fontId="79"/>
  </si>
  <si>
    <t>Task.15</t>
    <phoneticPr fontId="79"/>
  </si>
  <si>
    <t>Task.16</t>
    <phoneticPr fontId="79"/>
  </si>
  <si>
    <t>セクション削除フラグ</t>
    <phoneticPr fontId="79"/>
  </si>
  <si>
    <t>sectionDelFlg</t>
    <phoneticPr fontId="79"/>
  </si>
  <si>
    <t>Boolean</t>
    <phoneticPr fontId="79"/>
  </si>
  <si>
    <t>堀井</t>
    <rPh sb="0" eb="2">
      <t>ホリイ</t>
    </rPh>
    <phoneticPr fontId="79"/>
  </si>
  <si>
    <t>カテゴリ、コース情報サービス カテゴリ、コース情報サービス セクション</t>
    <phoneticPr fontId="79"/>
  </si>
  <si>
    <t>カテゴリーID</t>
    <phoneticPr fontId="79"/>
  </si>
  <si>
    <t>セクションサービス</t>
    <phoneticPr fontId="79"/>
  </si>
  <si>
    <t>公開フラグ</t>
    <rPh sb="0" eb="2">
      <t>コウカイ</t>
    </rPh>
    <phoneticPr fontId="79"/>
  </si>
  <si>
    <t>予約フラグ</t>
    <phoneticPr fontId="79"/>
  </si>
  <si>
    <t>publishedFlg</t>
    <phoneticPr fontId="79"/>
  </si>
  <si>
    <t>reservedFlg</t>
    <phoneticPr fontId="79"/>
  </si>
  <si>
    <t>引継面談／会場見学スケジュール</t>
    <phoneticPr fontId="79"/>
  </si>
  <si>
    <t>CompanyCourseDto</t>
    <phoneticPr fontId="79"/>
  </si>
  <si>
    <t>企業企業コース</t>
    <phoneticPr fontId="79"/>
  </si>
  <si>
    <t>企業コース</t>
    <phoneticPr fontId="79"/>
  </si>
  <si>
    <t>placeAddress</t>
    <phoneticPr fontId="79"/>
  </si>
  <si>
    <t>companyAddress</t>
    <phoneticPr fontId="79"/>
  </si>
  <si>
    <t>企業所在地</t>
    <phoneticPr fontId="79"/>
  </si>
  <si>
    <t>会場所在地</t>
    <phoneticPr fontId="79"/>
  </si>
  <si>
    <t>Task.115</t>
    <phoneticPr fontId="79"/>
  </si>
  <si>
    <t>Task.18</t>
    <phoneticPr fontId="79"/>
  </si>
  <si>
    <t>Task.49</t>
    <phoneticPr fontId="79"/>
  </si>
  <si>
    <t>プロジェクト名</t>
    <phoneticPr fontId="79"/>
  </si>
  <si>
    <t>Task.65</t>
    <phoneticPr fontId="79"/>
  </si>
  <si>
    <t>Task.67</t>
    <phoneticPr fontId="79"/>
  </si>
  <si>
    <t>引継面談／会場見学スケジュール、引継面談／会場見学スケジュール詳細</t>
    <phoneticPr fontId="79"/>
  </si>
  <si>
    <t>Task.73</t>
    <phoneticPr fontId="79"/>
  </si>
  <si>
    <t>Task.116</t>
    <phoneticPr fontId="79"/>
  </si>
  <si>
    <t>Task.34</t>
    <phoneticPr fontId="79"/>
  </si>
  <si>
    <t>LMSユーザID</t>
    <phoneticPr fontId="79"/>
  </si>
  <si>
    <t>lmsUserId</t>
    <phoneticPr fontId="79"/>
  </si>
  <si>
    <t>Integer</t>
    <phoneticPr fontId="79"/>
  </si>
  <si>
    <t>企業コースDTO追加</t>
    <rPh sb="0" eb="2">
      <t>キギョウ</t>
    </rPh>
    <rPh sb="8" eb="10">
      <t>ツイカ</t>
    </rPh>
    <phoneticPr fontId="79"/>
  </si>
  <si>
    <t>新規フィールド追加</t>
    <rPh sb="7" eb="9">
      <t>ツイカ</t>
    </rPh>
    <phoneticPr fontId="79"/>
  </si>
  <si>
    <t>新規DTO追加、フィールド追加</t>
    <rPh sb="13" eb="15">
      <t>ツイカ</t>
    </rPh>
    <phoneticPr fontId="79"/>
  </si>
  <si>
    <t>コースレポート</t>
    <phoneticPr fontId="79"/>
  </si>
  <si>
    <t>新規DTO追加</t>
    <phoneticPr fontId="79"/>
  </si>
  <si>
    <t>フィールド追加、新規DTO追加</t>
    <phoneticPr fontId="79"/>
  </si>
  <si>
    <t>契約同意IDフィールドを追加</t>
    <phoneticPr fontId="79"/>
  </si>
  <si>
    <t>面談記録一覧の追加</t>
    <phoneticPr fontId="79"/>
  </si>
  <si>
    <t>コース名を追加</t>
    <phoneticPr fontId="79"/>
  </si>
  <si>
    <t>カテゴリ概要を追加</t>
    <phoneticPr fontId="79"/>
  </si>
  <si>
    <t>成果報告会スケジュール詳細ID</t>
    <phoneticPr fontId="79"/>
  </si>
  <si>
    <t>presentationScheduleDetailId</t>
    <phoneticPr fontId="79"/>
  </si>
  <si>
    <t>成果報告会チーム詳細</t>
    <phoneticPr fontId="79"/>
  </si>
  <si>
    <t>PresentationTeamDetailDto</t>
    <phoneticPr fontId="79"/>
  </si>
  <si>
    <t>チーム名</t>
    <phoneticPr fontId="79"/>
  </si>
  <si>
    <t>companyId</t>
    <phoneticPr fontId="79"/>
  </si>
  <si>
    <t>presentationTeamName</t>
    <phoneticPr fontId="79"/>
  </si>
  <si>
    <t>所在地</t>
    <phoneticPr fontId="79"/>
  </si>
  <si>
    <t>ユーザーID</t>
    <phoneticPr fontId="79"/>
  </si>
  <si>
    <t>userId</t>
    <phoneticPr fontId="79"/>
  </si>
  <si>
    <t>受講生名</t>
    <phoneticPr fontId="79"/>
  </si>
  <si>
    <t>userName</t>
    <phoneticPr fontId="79"/>
  </si>
  <si>
    <t>PresentationTeamDetailDto</t>
    <phoneticPr fontId="79"/>
  </si>
  <si>
    <t>成果報告会チーム詳細DTO追加</t>
    <rPh sb="0" eb="2">
      <t>セイカ</t>
    </rPh>
    <rPh sb="2" eb="5">
      <t>ホウコクカイ</t>
    </rPh>
    <rPh sb="8" eb="10">
      <t>ショウサイ</t>
    </rPh>
    <rPh sb="13" eb="15">
      <t>ツイカ</t>
    </rPh>
    <phoneticPr fontId="79"/>
  </si>
  <si>
    <t>Task.02</t>
    <phoneticPr fontId="79"/>
  </si>
  <si>
    <t>改修履歴</t>
    <rPh sb="2" eb="4">
      <t>リレキ</t>
    </rPh>
    <phoneticPr fontId="7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</si>
</sst>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hh:mm:ss"/>
    <numFmt numFmtId="186" formatCode="&quot;TRUE&quot;;&quot;TRUE&quot;;&quot;FALSE&quot;"/>
    <numFmt numFmtId="187" formatCode="mm&quot;月&quot;dd&quot;日&quot;"/>
  </numFmts>
  <fonts count="82">
    <font>
      <sz val="11"/>
      <color rgb="FF333333"/>
      <name val="游ゴシック"/>
      <family val="3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游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u/>
      <sz val="11"/>
      <color rgb="FF0563C1"/>
      <name val="游ゴシック"/>
      <family val="3"/>
      <charset val="128"/>
    </font>
    <font>
      <u/>
      <sz val="11"/>
      <color rgb="FF0563C1"/>
      <name val="ＭＳ Ｐゴシック"/>
      <family val="3"/>
      <charset val="128"/>
    </font>
    <font>
      <u/>
      <sz val="10"/>
      <color rgb="FF0000FF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u/>
      <sz val="10"/>
      <color rgb="FF0000FF"/>
      <name val="ＭＳ Ｐゴシック"/>
      <family val="3"/>
      <charset val="1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color rgb="FFFF4500"/>
      <name val="メイリオ"/>
      <family val="3"/>
      <charset val="128"/>
    </font>
    <font>
      <sz val="10"/>
      <color rgb="FFFF4500"/>
      <name val="ＭＳ Ｐゴシック"/>
      <family val="3"/>
      <charset val="128"/>
    </font>
    <font>
      <sz val="10"/>
      <color rgb="FF0000FF"/>
      <name val="メイリオ"/>
      <family val="3"/>
      <charset val="128"/>
    </font>
    <font>
      <sz val="10"/>
      <color rgb="FF0000C0"/>
      <name val="ＭＳ Ｐゴシック"/>
      <family val="3"/>
      <charset val="1"/>
    </font>
    <font>
      <sz val="9"/>
      <name val="ＭＳ Ｐゴシック"/>
      <family val="3"/>
      <charset val="1"/>
    </font>
    <font>
      <sz val="11"/>
      <name val="ＭＳ Ｐゴシック"/>
      <family val="3"/>
      <charset val="1"/>
    </font>
    <font>
      <sz val="11"/>
      <color rgb="FF0000FF"/>
      <name val="游ゴシック"/>
      <family val="3"/>
      <charset val="128"/>
    </font>
    <font>
      <sz val="10"/>
      <color rgb="FF0B11FD"/>
      <name val="ＭＳ Ｐゴシック"/>
      <family val="3"/>
      <charset val="1"/>
    </font>
    <font>
      <sz val="10"/>
      <color rgb="FF0B11FD"/>
      <name val="ＭＳ Ｐゴシック"/>
      <family val="3"/>
      <charset val="128"/>
    </font>
    <font>
      <u/>
      <sz val="10"/>
      <name val="ＭＳ Ｐゴシック"/>
      <family val="3"/>
      <charset val="1"/>
    </font>
    <font>
      <sz val="6"/>
      <name val="游ゴシック"/>
      <family val="3"/>
      <charset val="128"/>
    </font>
    <font>
      <sz val="10"/>
      <name val="ＭＳ Ｐゴシック"/>
      <family val="3"/>
    </font>
    <font>
      <sz val="10"/>
      <color rgb="FF0000FF"/>
      <name val="ＭＳ Ｐゴシック"/>
      <family val="3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45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563C1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FF45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767171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746">
    <xf numFmtId="0" fontId="0" fillId="0" borderId="0">
      <alignment vertical="center"/>
    </xf>
    <xf numFmtId="0" fontId="60" fillId="0" borderId="0" applyBorder="0" applyProtection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/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9" fillId="27" borderId="0" applyBorder="0" applyProtection="0">
      <alignment vertical="center"/>
    </xf>
    <xf numFmtId="0" fontId="40" fillId="0" borderId="11" applyProtection="0">
      <alignment vertical="center"/>
    </xf>
    <xf numFmtId="0" fontId="41" fillId="0" borderId="5" applyProtection="0">
      <alignment vertical="center"/>
    </xf>
    <xf numFmtId="0" fontId="42" fillId="0" borderId="12" applyProtection="0">
      <alignment vertical="center"/>
    </xf>
    <xf numFmtId="0" fontId="42" fillId="0" borderId="0" applyBorder="0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4" fillId="0" borderId="0" applyBorder="0" applyProtection="0">
      <alignment vertical="center"/>
    </xf>
    <xf numFmtId="0" fontId="45" fillId="0" borderId="0" applyBorder="0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</cellStyleXfs>
  <cellXfs count="186">
    <xf numFmtId="0" fontId="0" fillId="0" borderId="0" xfId="0">
      <alignment vertical="center"/>
    </xf>
    <xf numFmtId="182" fontId="49" fillId="8" borderId="0" xfId="604" applyNumberFormat="1" applyFont="1" applyFill="1" applyAlignment="1">
      <alignment horizontal="center"/>
    </xf>
    <xf numFmtId="180" fontId="49" fillId="8" borderId="0" xfId="604" applyNumberFormat="1" applyFont="1" applyFill="1" applyAlignment="1">
      <alignment horizontal="center"/>
    </xf>
    <xf numFmtId="0" fontId="47" fillId="0" borderId="0" xfId="0" applyFont="1">
      <alignment vertical="center"/>
    </xf>
    <xf numFmtId="0" fontId="20" fillId="8" borderId="0" xfId="604" applyFill="1"/>
    <xf numFmtId="0" fontId="20" fillId="0" borderId="0" xfId="0" applyFont="1">
      <alignment vertical="center"/>
    </xf>
    <xf numFmtId="0" fontId="20" fillId="8" borderId="14" xfId="604" applyFill="1" applyBorder="1"/>
    <xf numFmtId="0" fontId="20" fillId="8" borderId="15" xfId="604" applyFill="1" applyBorder="1"/>
    <xf numFmtId="0" fontId="20" fillId="8" borderId="16" xfId="604" applyFill="1" applyBorder="1"/>
    <xf numFmtId="0" fontId="20" fillId="8" borderId="17" xfId="604" applyFill="1" applyBorder="1"/>
    <xf numFmtId="0" fontId="20" fillId="8" borderId="18" xfId="604" applyFill="1" applyBorder="1"/>
    <xf numFmtId="0" fontId="20" fillId="8" borderId="19" xfId="604" applyFill="1" applyBorder="1"/>
    <xf numFmtId="0" fontId="20" fillId="8" borderId="20" xfId="604" applyFill="1" applyBorder="1"/>
    <xf numFmtId="0" fontId="20" fillId="8" borderId="21" xfId="604" applyFill="1" applyBorder="1"/>
    <xf numFmtId="0" fontId="49" fillId="8" borderId="0" xfId="604" applyFont="1" applyFill="1"/>
    <xf numFmtId="181" fontId="49" fillId="8" borderId="0" xfId="604" applyNumberFormat="1" applyFont="1" applyFill="1" applyAlignment="1">
      <alignment horizontal="left"/>
    </xf>
    <xf numFmtId="0" fontId="50" fillId="8" borderId="0" xfId="604" applyFont="1" applyFill="1"/>
    <xf numFmtId="0" fontId="51" fillId="8" borderId="0" xfId="604" applyFont="1" applyFill="1"/>
    <xf numFmtId="182" fontId="20" fillId="8" borderId="23" xfId="604" applyNumberFormat="1" applyFill="1" applyBorder="1"/>
    <xf numFmtId="0" fontId="20" fillId="8" borderId="24" xfId="604" applyFill="1" applyBorder="1"/>
    <xf numFmtId="0" fontId="20" fillId="8" borderId="25" xfId="604" applyFill="1" applyBorder="1"/>
    <xf numFmtId="0" fontId="20" fillId="8" borderId="26" xfId="604" applyFill="1" applyBorder="1"/>
    <xf numFmtId="0" fontId="20" fillId="8" borderId="27" xfId="604" applyFill="1" applyBorder="1"/>
    <xf numFmtId="0" fontId="20" fillId="8" borderId="28" xfId="604" applyFill="1" applyBorder="1"/>
    <xf numFmtId="0" fontId="20" fillId="8" borderId="29" xfId="604" applyFill="1" applyBorder="1"/>
    <xf numFmtId="0" fontId="20" fillId="8" borderId="30" xfId="604" applyFill="1" applyBorder="1"/>
    <xf numFmtId="0" fontId="52" fillId="8" borderId="0" xfId="604" applyFont="1" applyFill="1"/>
    <xf numFmtId="0" fontId="20" fillId="8" borderId="0" xfId="604" applyFill="1" applyAlignment="1">
      <alignment horizontal="right"/>
    </xf>
    <xf numFmtId="0" fontId="53" fillId="8" borderId="0" xfId="604" applyFont="1" applyFill="1"/>
    <xf numFmtId="0" fontId="54" fillId="0" borderId="0" xfId="0" applyFont="1">
      <alignment vertical="center"/>
    </xf>
    <xf numFmtId="0" fontId="55" fillId="0" borderId="0" xfId="605" applyFont="1" applyAlignment="1">
      <alignment horizontal="left" vertical="center"/>
    </xf>
    <xf numFmtId="0" fontId="53" fillId="8" borderId="0" xfId="604" applyFont="1" applyFill="1" applyAlignment="1">
      <alignment horizontal="center" vertical="center"/>
    </xf>
    <xf numFmtId="0" fontId="53" fillId="8" borderId="0" xfId="604" applyFont="1" applyFill="1" applyAlignment="1">
      <alignment horizontal="center"/>
    </xf>
    <xf numFmtId="0" fontId="53" fillId="8" borderId="0" xfId="604" applyFont="1" applyFill="1" applyAlignment="1">
      <alignment vertical="center"/>
    </xf>
    <xf numFmtId="0" fontId="55" fillId="0" borderId="0" xfId="605" applyFont="1"/>
    <xf numFmtId="0" fontId="20" fillId="0" borderId="0" xfId="605"/>
    <xf numFmtId="185" fontId="20" fillId="0" borderId="0" xfId="605" applyNumberFormat="1"/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2" fillId="0" borderId="0" xfId="0" applyFont="1">
      <alignment vertical="center"/>
    </xf>
    <xf numFmtId="186" fontId="56" fillId="0" borderId="0" xfId="0" applyNumberFormat="1" applyFont="1">
      <alignment vertical="center"/>
    </xf>
    <xf numFmtId="0" fontId="63" fillId="0" borderId="0" xfId="0" applyFont="1">
      <alignment vertical="center"/>
    </xf>
    <xf numFmtId="0" fontId="66" fillId="0" borderId="0" xfId="0" applyFont="1">
      <alignment vertical="center"/>
    </xf>
    <xf numFmtId="0" fontId="67" fillId="0" borderId="52" xfId="0" applyFont="1" applyBorder="1">
      <alignment vertical="center"/>
    </xf>
    <xf numFmtId="0" fontId="67" fillId="0" borderId="0" xfId="0" applyFont="1">
      <alignment vertical="center"/>
    </xf>
    <xf numFmtId="0" fontId="66" fillId="0" borderId="0" xfId="0" applyFont="1" applyAlignment="1">
      <alignment horizontal="center" vertical="center"/>
    </xf>
    <xf numFmtId="0" fontId="68" fillId="0" borderId="0" xfId="0" applyFont="1">
      <alignment vertical="center"/>
    </xf>
    <xf numFmtId="0" fontId="66" fillId="0" borderId="0" xfId="0" applyFont="1" applyAlignment="1">
      <alignment vertical="top"/>
    </xf>
    <xf numFmtId="0" fontId="64" fillId="0" borderId="0" xfId="0" applyFont="1">
      <alignment vertical="center"/>
    </xf>
    <xf numFmtId="0" fontId="69" fillId="0" borderId="0" xfId="0" applyFont="1">
      <alignment vertical="center"/>
    </xf>
    <xf numFmtId="0" fontId="70" fillId="0" borderId="0" xfId="0" applyFont="1" applyAlignment="1">
      <alignment horizontal="left" vertical="center"/>
    </xf>
    <xf numFmtId="0" fontId="71" fillId="0" borderId="0" xfId="0" applyFont="1">
      <alignment vertical="center"/>
    </xf>
    <xf numFmtId="187" fontId="71" fillId="0" borderId="0" xfId="0" applyNumberFormat="1" applyFont="1">
      <alignment vertical="center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0" fontId="63" fillId="0" borderId="0" xfId="0" applyFont="1" applyAlignment="1">
      <alignment horizontal="left" vertical="center"/>
    </xf>
    <xf numFmtId="0" fontId="67" fillId="0" borderId="0" xfId="0" applyFont="1" applyAlignment="1">
      <alignment horizontal="center" vertical="center"/>
    </xf>
    <xf numFmtId="0" fontId="56" fillId="0" borderId="52" xfId="0" applyFont="1" applyBorder="1">
      <alignment vertical="center"/>
    </xf>
    <xf numFmtId="0" fontId="59" fillId="0" borderId="52" xfId="0" applyFont="1" applyBorder="1">
      <alignment vertical="center"/>
    </xf>
    <xf numFmtId="0" fontId="80" fillId="0" borderId="0" xfId="0" applyFont="1">
      <alignment vertical="center"/>
    </xf>
    <xf numFmtId="0" fontId="59" fillId="0" borderId="0" xfId="0" applyFont="1" applyAlignment="1">
      <alignment horizontal="left" vertical="center"/>
    </xf>
    <xf numFmtId="0" fontId="67" fillId="0" borderId="0" xfId="0" applyFont="1" applyAlignment="1">
      <alignment horizontal="left" vertical="top"/>
    </xf>
    <xf numFmtId="0" fontId="64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48" fillId="8" borderId="0" xfId="604" applyFont="1" applyFill="1" applyAlignment="1">
      <alignment horizontal="center" shrinkToFit="1"/>
    </xf>
    <xf numFmtId="0" fontId="48" fillId="8" borderId="0" xfId="604" applyFont="1" applyFill="1" applyAlignment="1">
      <alignment horizontal="center" vertical="center"/>
    </xf>
    <xf numFmtId="0" fontId="48" fillId="8" borderId="0" xfId="604" applyFont="1" applyFill="1" applyAlignment="1">
      <alignment horizontal="center"/>
    </xf>
    <xf numFmtId="180" fontId="49" fillId="8" borderId="0" xfId="604" applyNumberFormat="1" applyFont="1" applyFill="1" applyAlignment="1">
      <alignment horizontal="center"/>
    </xf>
    <xf numFmtId="0" fontId="20" fillId="8" borderId="22" xfId="604" applyFill="1" applyBorder="1" applyAlignment="1">
      <alignment horizontal="center" vertical="center"/>
    </xf>
    <xf numFmtId="0" fontId="20" fillId="8" borderId="0" xfId="604" applyFill="1" applyAlignment="1">
      <alignment horizontal="center" vertical="center"/>
    </xf>
    <xf numFmtId="182" fontId="49" fillId="8" borderId="0" xfId="604" applyNumberFormat="1" applyFont="1" applyFill="1" applyAlignment="1">
      <alignment horizontal="center"/>
    </xf>
    <xf numFmtId="182" fontId="50" fillId="8" borderId="0" xfId="604" applyNumberFormat="1" applyFont="1" applyFill="1" applyAlignment="1">
      <alignment horizontal="center"/>
    </xf>
    <xf numFmtId="0" fontId="20" fillId="8" borderId="22" xfId="604" applyFill="1" applyBorder="1" applyAlignment="1">
      <alignment horizontal="center"/>
    </xf>
    <xf numFmtId="182" fontId="49" fillId="8" borderId="22" xfId="604" applyNumberFormat="1" applyFont="1" applyFill="1" applyBorder="1" applyAlignment="1">
      <alignment horizontal="center"/>
    </xf>
    <xf numFmtId="0" fontId="20" fillId="6" borderId="31" xfId="605" applyFill="1" applyBorder="1" applyAlignment="1">
      <alignment horizontal="center" vertical="center"/>
    </xf>
    <xf numFmtId="0" fontId="20" fillId="6" borderId="32" xfId="605" applyFill="1" applyBorder="1" applyAlignment="1">
      <alignment horizontal="center" vertical="center"/>
    </xf>
    <xf numFmtId="0" fontId="34" fillId="6" borderId="33" xfId="605" applyFont="1" applyFill="1" applyBorder="1" applyAlignment="1">
      <alignment horizontal="center" vertical="center" wrapText="1"/>
    </xf>
    <xf numFmtId="0" fontId="20" fillId="6" borderId="34" xfId="605" applyFill="1" applyBorder="1" applyAlignment="1">
      <alignment horizontal="center" vertical="center"/>
    </xf>
    <xf numFmtId="0" fontId="20" fillId="6" borderId="35" xfId="605" applyFill="1" applyBorder="1" applyAlignment="1">
      <alignment horizontal="center" vertical="center"/>
    </xf>
    <xf numFmtId="0" fontId="20" fillId="6" borderId="36" xfId="605" applyFill="1" applyBorder="1" applyAlignment="1">
      <alignment horizontal="center" vertical="center"/>
    </xf>
    <xf numFmtId="0" fontId="20" fillId="0" borderId="37" xfId="605" applyBorder="1" applyAlignment="1">
      <alignment horizontal="center" vertical="center" wrapText="1"/>
    </xf>
    <xf numFmtId="0" fontId="20" fillId="0" borderId="38" xfId="605" applyBorder="1" applyAlignment="1">
      <alignment horizontal="center" vertical="center" wrapText="1"/>
    </xf>
    <xf numFmtId="0" fontId="34" fillId="0" borderId="39" xfId="605" applyFont="1" applyBorder="1" applyAlignment="1">
      <alignment horizontal="center" vertical="center"/>
    </xf>
    <xf numFmtId="0" fontId="20" fillId="0" borderId="40" xfId="605" applyBorder="1" applyAlignment="1">
      <alignment horizontal="center" vertical="center"/>
    </xf>
    <xf numFmtId="183" fontId="20" fillId="0" borderId="41" xfId="605" applyNumberForma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0" fontId="20" fillId="6" borderId="43" xfId="605" applyFill="1" applyBorder="1" applyAlignment="1">
      <alignment horizontal="center" vertical="center"/>
    </xf>
    <xf numFmtId="0" fontId="20" fillId="6" borderId="44" xfId="605" applyFill="1" applyBorder="1" applyAlignment="1">
      <alignment horizontal="center" vertical="center"/>
    </xf>
    <xf numFmtId="0" fontId="20" fillId="6" borderId="45" xfId="605" applyFill="1" applyBorder="1" applyAlignment="1">
      <alignment horizontal="center" vertical="center"/>
    </xf>
    <xf numFmtId="184" fontId="20" fillId="0" borderId="46" xfId="605" applyNumberFormat="1" applyBorder="1" applyAlignment="1">
      <alignment horizontal="center" vertical="center"/>
    </xf>
    <xf numFmtId="183" fontId="20" fillId="0" borderId="47" xfId="605" applyNumberFormat="1" applyBorder="1" applyAlignment="1">
      <alignment horizontal="center" vertical="center"/>
    </xf>
    <xf numFmtId="0" fontId="20" fillId="0" borderId="47" xfId="605" applyBorder="1" applyAlignment="1">
      <alignment horizontal="center" vertical="center"/>
    </xf>
    <xf numFmtId="0" fontId="20" fillId="0" borderId="47" xfId="605" applyBorder="1" applyAlignment="1">
      <alignment vertical="center" wrapText="1"/>
    </xf>
    <xf numFmtId="0" fontId="20" fillId="0" borderId="48" xfId="605" applyBorder="1" applyAlignment="1">
      <alignment horizontal="center" vertical="center"/>
    </xf>
    <xf numFmtId="184" fontId="20" fillId="0" borderId="3" xfId="605" applyNumberFormat="1" applyBorder="1" applyAlignment="1">
      <alignment horizontal="center" vertical="center"/>
    </xf>
    <xf numFmtId="183" fontId="20" fillId="0" borderId="22" xfId="605" applyNumberFormat="1" applyBorder="1" applyAlignment="1">
      <alignment horizontal="center" vertical="center"/>
    </xf>
    <xf numFmtId="0" fontId="56" fillId="0" borderId="22" xfId="605" applyFont="1" applyBorder="1" applyAlignment="1">
      <alignment horizontal="center" vertical="center" wrapText="1"/>
    </xf>
    <xf numFmtId="0" fontId="20" fillId="0" borderId="22" xfId="605" applyBorder="1" applyAlignment="1">
      <alignment horizontal="left" vertical="center" wrapText="1"/>
    </xf>
    <xf numFmtId="0" fontId="20" fillId="0" borderId="49" xfId="605" applyBorder="1" applyAlignment="1">
      <alignment horizontal="center" vertical="center"/>
    </xf>
    <xf numFmtId="0" fontId="20" fillId="0" borderId="22" xfId="605" applyBorder="1" applyAlignment="1">
      <alignment horizontal="center" vertical="center" wrapText="1"/>
    </xf>
    <xf numFmtId="0" fontId="20" fillId="0" borderId="22" xfId="605" applyBorder="1" applyAlignment="1">
      <alignment vertical="center" wrapText="1"/>
    </xf>
    <xf numFmtId="0" fontId="20" fillId="0" borderId="22" xfId="605" applyBorder="1" applyAlignment="1">
      <alignment horizontal="center" vertical="center"/>
    </xf>
    <xf numFmtId="0" fontId="56" fillId="8" borderId="22" xfId="605" applyFont="1" applyFill="1" applyBorder="1" applyAlignment="1">
      <alignment vertical="center" wrapText="1"/>
    </xf>
    <xf numFmtId="0" fontId="56" fillId="0" borderId="22" xfId="605" applyFont="1" applyBorder="1" applyAlignment="1">
      <alignment vertical="center" wrapText="1"/>
    </xf>
    <xf numFmtId="184" fontId="55" fillId="0" borderId="0" xfId="605" applyNumberFormat="1" applyFont="1" applyAlignment="1">
      <alignment horizontal="center" vertical="center"/>
    </xf>
    <xf numFmtId="183" fontId="55" fillId="0" borderId="0" xfId="605" applyNumberFormat="1" applyFont="1" applyAlignment="1">
      <alignment horizontal="center" vertical="center"/>
    </xf>
    <xf numFmtId="0" fontId="55" fillId="0" borderId="0" xfId="605" applyFont="1" applyAlignment="1">
      <alignment horizontal="center" vertical="center"/>
    </xf>
    <xf numFmtId="0" fontId="55" fillId="0" borderId="0" xfId="605" applyFont="1" applyAlignment="1">
      <alignment vertical="center" wrapText="1"/>
    </xf>
    <xf numFmtId="0" fontId="20" fillId="6" borderId="50" xfId="605" applyFill="1" applyBorder="1" applyAlignment="1">
      <alignment horizontal="center" vertical="center"/>
    </xf>
    <xf numFmtId="0" fontId="59" fillId="28" borderId="51" xfId="0" applyFont="1" applyFill="1" applyBorder="1" applyAlignment="1">
      <alignment horizontal="center" vertical="center"/>
    </xf>
    <xf numFmtId="0" fontId="59" fillId="0" borderId="51" xfId="0" applyFont="1" applyBorder="1" applyAlignment="1">
      <alignment horizontal="center" vertical="center"/>
    </xf>
    <xf numFmtId="0" fontId="61" fillId="0" borderId="51" xfId="1" applyFont="1" applyBorder="1" applyAlignment="1" applyProtection="1">
      <alignment horizontal="left" vertical="center"/>
    </xf>
    <xf numFmtId="0" fontId="59" fillId="0" borderId="51" xfId="0" applyFont="1" applyBorder="1" applyAlignment="1">
      <alignment horizontal="left" vertical="center"/>
    </xf>
    <xf numFmtId="0" fontId="56" fillId="0" borderId="51" xfId="0" applyFont="1" applyBorder="1" applyAlignment="1">
      <alignment horizontal="center" vertical="center"/>
    </xf>
    <xf numFmtId="0" fontId="56" fillId="0" borderId="51" xfId="0" applyFont="1" applyBorder="1" applyAlignment="1">
      <alignment horizontal="left" vertical="center"/>
    </xf>
    <xf numFmtId="0" fontId="61" fillId="0" borderId="51" xfId="1" applyFont="1" applyBorder="1" applyProtection="1">
      <alignment vertical="center"/>
    </xf>
    <xf numFmtId="0" fontId="64" fillId="0" borderId="51" xfId="0" applyFont="1" applyBorder="1" applyAlignment="1">
      <alignment horizontal="left" vertical="center"/>
    </xf>
    <xf numFmtId="0" fontId="65" fillId="0" borderId="51" xfId="0" applyFont="1" applyBorder="1" applyAlignment="1">
      <alignment horizontal="left" vertical="center"/>
    </xf>
    <xf numFmtId="0" fontId="62" fillId="0" borderId="51" xfId="0" applyFont="1" applyBorder="1" applyAlignment="1">
      <alignment horizontal="left" vertical="center"/>
    </xf>
    <xf numFmtId="0" fontId="2" fillId="0" borderId="37" xfId="605" applyFont="1" applyBorder="1" applyAlignment="1">
      <alignment horizontal="center" vertical="center" wrapText="1"/>
    </xf>
    <xf numFmtId="183" fontId="56" fillId="0" borderId="41" xfId="605" applyNumberFormat="1" applyFont="1" applyBorder="1" applyAlignment="1">
      <alignment horizontal="center" vertical="center"/>
    </xf>
    <xf numFmtId="183" fontId="20" fillId="0" borderId="42" xfId="605" applyNumberFormat="1" applyBorder="1" applyAlignment="1">
      <alignment horizontal="center" vertical="center"/>
    </xf>
    <xf numFmtId="0" fontId="67" fillId="28" borderId="51" xfId="0" applyFont="1" applyFill="1" applyBorder="1" applyAlignment="1">
      <alignment horizontal="center" vertical="center"/>
    </xf>
    <xf numFmtId="0" fontId="59" fillId="0" borderId="51" xfId="0" applyFont="1" applyBorder="1">
      <alignment vertical="center"/>
    </xf>
    <xf numFmtId="0" fontId="67" fillId="0" borderId="51" xfId="0" applyFont="1" applyBorder="1" applyAlignment="1">
      <alignment horizontal="left" vertical="center"/>
    </xf>
    <xf numFmtId="0" fontId="67" fillId="0" borderId="51" xfId="0" applyFont="1" applyBorder="1" applyAlignment="1">
      <alignment horizontal="center" vertical="center"/>
    </xf>
    <xf numFmtId="0" fontId="67" fillId="0" borderId="51" xfId="0" applyFont="1" applyBorder="1">
      <alignment vertical="center"/>
    </xf>
    <xf numFmtId="0" fontId="63" fillId="0" borderId="51" xfId="0" applyFont="1" applyBorder="1" applyAlignment="1">
      <alignment horizontal="left" vertical="center"/>
    </xf>
    <xf numFmtId="0" fontId="67" fillId="0" borderId="51" xfId="0" applyFont="1" applyBorder="1" applyAlignment="1">
      <alignment horizontal="left" vertical="top"/>
    </xf>
    <xf numFmtId="0" fontId="68" fillId="0" borderId="51" xfId="0" applyFont="1" applyBorder="1" applyAlignment="1">
      <alignment horizontal="center" vertical="center"/>
    </xf>
    <xf numFmtId="0" fontId="68" fillId="0" borderId="51" xfId="0" applyFont="1" applyBorder="1" applyAlignment="1">
      <alignment horizontal="left" vertical="center"/>
    </xf>
    <xf numFmtId="0" fontId="63" fillId="0" borderId="51" xfId="0" applyFont="1" applyBorder="1" applyAlignment="1">
      <alignment horizontal="left" vertical="top"/>
    </xf>
    <xf numFmtId="0" fontId="67" fillId="28" borderId="53" xfId="0" applyFont="1" applyFill="1" applyBorder="1" applyAlignment="1">
      <alignment horizontal="center" vertical="center"/>
    </xf>
    <xf numFmtId="0" fontId="67" fillId="0" borderId="51" xfId="0" applyFont="1" applyBorder="1" applyAlignment="1">
      <alignment horizontal="center" vertical="top"/>
    </xf>
    <xf numFmtId="0" fontId="67" fillId="0" borderId="51" xfId="0" applyFont="1" applyBorder="1" applyAlignment="1">
      <alignment vertical="top"/>
    </xf>
    <xf numFmtId="0" fontId="56" fillId="0" borderId="51" xfId="0" applyFont="1" applyBorder="1">
      <alignment vertical="center"/>
    </xf>
    <xf numFmtId="0" fontId="64" fillId="0" borderId="51" xfId="0" applyFont="1" applyBorder="1" applyAlignment="1">
      <alignment horizontal="left" vertical="top"/>
    </xf>
    <xf numFmtId="0" fontId="67" fillId="0" borderId="51" xfId="0" applyFont="1" applyBorder="1" applyAlignment="1">
      <alignment horizontal="left" vertical="top" wrapText="1"/>
    </xf>
    <xf numFmtId="0" fontId="67" fillId="0" borderId="51" xfId="0" applyFont="1" applyBorder="1" applyAlignment="1">
      <alignment vertical="top" wrapText="1"/>
    </xf>
    <xf numFmtId="0" fontId="56" fillId="0" borderId="51" xfId="0" applyFont="1" applyBorder="1" applyAlignment="1">
      <alignment horizontal="left" vertical="top"/>
    </xf>
    <xf numFmtId="0" fontId="80" fillId="0" borderId="51" xfId="0" applyFont="1" applyBorder="1" applyAlignment="1">
      <alignment horizontal="center" vertical="top"/>
    </xf>
    <xf numFmtId="0" fontId="80" fillId="0" borderId="51" xfId="0" applyFont="1" applyBorder="1">
      <alignment vertical="center"/>
    </xf>
    <xf numFmtId="0" fontId="64" fillId="0" borderId="51" xfId="0" applyFont="1" applyBorder="1" applyAlignment="1">
      <alignment horizontal="center" vertical="top"/>
    </xf>
    <xf numFmtId="0" fontId="64" fillId="0" borderId="51" xfId="0" applyFont="1" applyBorder="1">
      <alignment vertical="center"/>
    </xf>
    <xf numFmtId="0" fontId="64" fillId="0" borderId="51" xfId="0" applyFont="1" applyBorder="1" applyAlignment="1">
      <alignment vertical="top"/>
    </xf>
    <xf numFmtId="0" fontId="64" fillId="0" borderId="51" xfId="0" applyFont="1" applyBorder="1" applyAlignment="1">
      <alignment vertical="top" wrapText="1"/>
    </xf>
    <xf numFmtId="0" fontId="59" fillId="28" borderId="53" xfId="0" applyFont="1" applyFill="1" applyBorder="1" applyAlignment="1">
      <alignment horizontal="center" vertical="center"/>
    </xf>
    <xf numFmtId="0" fontId="59" fillId="0" borderId="51" xfId="0" applyFont="1" applyBorder="1" applyAlignment="1">
      <alignment horizontal="center" vertical="top"/>
    </xf>
    <xf numFmtId="0" fontId="59" fillId="0" borderId="51" xfId="0" applyFont="1" applyBorder="1" applyAlignment="1">
      <alignment horizontal="left" vertical="top"/>
    </xf>
    <xf numFmtId="0" fontId="64" fillId="28" borderId="51" xfId="0" applyFont="1" applyFill="1" applyBorder="1" applyAlignment="1">
      <alignment horizontal="center" vertical="center"/>
    </xf>
    <xf numFmtId="0" fontId="64" fillId="28" borderId="53" xfId="0" applyFont="1" applyFill="1" applyBorder="1" applyAlignment="1">
      <alignment horizontal="center" vertical="center"/>
    </xf>
    <xf numFmtId="0" fontId="68" fillId="0" borderId="51" xfId="0" applyFont="1" applyBorder="1" applyAlignment="1">
      <alignment horizontal="center" vertical="top"/>
    </xf>
    <xf numFmtId="0" fontId="68" fillId="0" borderId="51" xfId="0" applyFont="1" applyBorder="1">
      <alignment vertical="center"/>
    </xf>
    <xf numFmtId="0" fontId="81" fillId="0" borderId="51" xfId="0" applyFont="1" applyBorder="1" applyAlignment="1">
      <alignment horizontal="center" vertical="top"/>
    </xf>
    <xf numFmtId="0" fontId="81" fillId="0" borderId="51" xfId="0" applyFont="1" applyBorder="1">
      <alignment vertical="center"/>
    </xf>
    <xf numFmtId="0" fontId="64" fillId="0" borderId="51" xfId="0" applyFont="1" applyBorder="1" applyAlignment="1">
      <alignment horizontal="left" vertical="top" wrapText="1"/>
    </xf>
    <xf numFmtId="0" fontId="63" fillId="0" borderId="51" xfId="0" applyFont="1" applyBorder="1" applyAlignment="1">
      <alignment horizontal="center" vertical="top"/>
    </xf>
    <xf numFmtId="0" fontId="68" fillId="0" borderId="51" xfId="0" applyFont="1" applyBorder="1" applyAlignment="1">
      <alignment horizontal="left" vertical="top"/>
    </xf>
    <xf numFmtId="0" fontId="72" fillId="0" borderId="51" xfId="0" applyFont="1" applyBorder="1" applyAlignment="1">
      <alignment horizontal="left" vertical="top" wrapText="1"/>
    </xf>
    <xf numFmtId="0" fontId="73" fillId="0" borderId="51" xfId="0" applyFont="1" applyBorder="1">
      <alignment vertical="center"/>
    </xf>
    <xf numFmtId="0" fontId="63" fillId="0" borderId="51" xfId="0" applyFont="1" applyBorder="1">
      <alignment vertical="center"/>
    </xf>
    <xf numFmtId="0" fontId="56" fillId="28" borderId="51" xfId="0" applyFont="1" applyFill="1" applyBorder="1" applyAlignment="1">
      <alignment horizontal="center" vertical="center"/>
    </xf>
    <xf numFmtId="0" fontId="56" fillId="28" borderId="53" xfId="0" applyFont="1" applyFill="1" applyBorder="1" applyAlignment="1">
      <alignment horizontal="center" vertical="center"/>
    </xf>
    <xf numFmtId="0" fontId="56" fillId="0" borderId="51" xfId="0" applyFont="1" applyBorder="1" applyAlignment="1">
      <alignment horizontal="center" vertical="top"/>
    </xf>
    <xf numFmtId="0" fontId="73" fillId="0" borderId="51" xfId="0" applyFont="1" applyBorder="1" applyAlignment="1">
      <alignment horizontal="left" vertical="center"/>
    </xf>
    <xf numFmtId="0" fontId="64" fillId="8" borderId="51" xfId="0" applyFont="1" applyFill="1" applyBorder="1" applyAlignment="1">
      <alignment horizontal="left" vertical="center"/>
    </xf>
    <xf numFmtId="0" fontId="76" fillId="0" borderId="51" xfId="0" applyFont="1" applyBorder="1" applyAlignment="1">
      <alignment horizontal="center" vertical="top"/>
    </xf>
    <xf numFmtId="0" fontId="76" fillId="8" borderId="51" xfId="0" applyFont="1" applyFill="1" applyBorder="1" applyAlignment="1">
      <alignment horizontal="left" vertical="center"/>
    </xf>
    <xf numFmtId="0" fontId="77" fillId="0" borderId="51" xfId="0" applyFont="1" applyBorder="1">
      <alignment vertical="center"/>
    </xf>
    <xf numFmtId="0" fontId="77" fillId="0" borderId="51" xfId="0" applyFont="1" applyBorder="1" applyAlignment="1">
      <alignment horizontal="left" vertical="top"/>
    </xf>
    <xf numFmtId="0" fontId="59" fillId="28" borderId="22" xfId="0" applyFont="1" applyFill="1" applyBorder="1" applyAlignment="1">
      <alignment horizontal="center" vertical="center"/>
    </xf>
    <xf numFmtId="0" fontId="56" fillId="28" borderId="22" xfId="0" applyFont="1" applyFill="1" applyBorder="1" applyAlignment="1">
      <alignment horizontal="center" vertical="center"/>
    </xf>
    <xf numFmtId="0" fontId="59" fillId="0" borderId="22" xfId="0" applyFont="1" applyBorder="1" applyAlignment="1">
      <alignment horizontal="left" vertical="top"/>
    </xf>
    <xf numFmtId="0" fontId="59" fillId="0" borderId="22" xfId="0" applyFont="1" applyBorder="1" applyAlignment="1">
      <alignment horizontal="center" vertical="top"/>
    </xf>
    <xf numFmtId="0" fontId="59" fillId="0" borderId="22" xfId="0" applyFont="1" applyBorder="1">
      <alignment vertical="center"/>
    </xf>
    <xf numFmtId="0" fontId="59" fillId="0" borderId="22" xfId="0" applyFont="1" applyBorder="1" applyAlignment="1">
      <alignment horizontal="left" vertical="center"/>
    </xf>
    <xf numFmtId="0" fontId="64" fillId="28" borderId="22" xfId="0" applyFont="1" applyFill="1" applyBorder="1" applyAlignment="1">
      <alignment horizontal="center" vertical="center"/>
    </xf>
    <xf numFmtId="0" fontId="67" fillId="28" borderId="22" xfId="0" applyFont="1" applyFill="1" applyBorder="1" applyAlignment="1">
      <alignment horizontal="center" vertical="center"/>
    </xf>
    <xf numFmtId="0" fontId="56" fillId="0" borderId="51" xfId="0" applyFont="1" applyBorder="1" applyAlignment="1">
      <alignment vertical="top"/>
    </xf>
    <xf numFmtId="0" fontId="59" fillId="0" borderId="51" xfId="0" applyFont="1" applyBorder="1" applyAlignment="1">
      <alignment vertical="top"/>
    </xf>
    <xf numFmtId="0" fontId="59" fillId="0" borderId="51" xfId="0" applyFont="1" applyBorder="1" applyAlignment="1">
      <alignment vertical="top" wrapText="1"/>
    </xf>
    <xf numFmtId="186" fontId="56" fillId="0" borderId="51" xfId="0" applyNumberFormat="1" applyFont="1" applyBorder="1">
      <alignment vertical="center"/>
    </xf>
    <xf numFmtId="0" fontId="63" fillId="0" borderId="51" xfId="0" applyFont="1" applyBorder="1" applyAlignment="1">
      <alignment vertical="top"/>
    </xf>
    <xf numFmtId="0" fontId="78" fillId="0" borderId="51" xfId="0" applyFont="1" applyBorder="1">
      <alignment vertical="center"/>
    </xf>
  </cellXfs>
  <cellStyles count="746">
    <cellStyle name="20% - Accent1" xfId="2" xr:uid="{00000000-0005-0000-0000-000006000000}"/>
    <cellStyle name="20% - Accent2" xfId="3" xr:uid="{00000000-0005-0000-0000-000007000000}"/>
    <cellStyle name="20% - Accent3" xfId="4" xr:uid="{00000000-0005-0000-0000-000008000000}"/>
    <cellStyle name="20% - Accent4" xfId="5" xr:uid="{00000000-0005-0000-0000-000009000000}"/>
    <cellStyle name="20% - Accent5" xfId="6" xr:uid="{00000000-0005-0000-0000-00000A000000}"/>
    <cellStyle name="20% - Accent6" xfId="7" xr:uid="{00000000-0005-0000-0000-00000B000000}"/>
    <cellStyle name="20% - アクセント 1 2" xfId="8" xr:uid="{00000000-0005-0000-0000-00000C000000}"/>
    <cellStyle name="20% - アクセント 2 2" xfId="9" xr:uid="{00000000-0005-0000-0000-00000D000000}"/>
    <cellStyle name="20% - アクセント 3 2" xfId="10" xr:uid="{00000000-0005-0000-0000-00000E000000}"/>
    <cellStyle name="20% - アクセント 4 2" xfId="11" xr:uid="{00000000-0005-0000-0000-00000F000000}"/>
    <cellStyle name="20% - アクセント 5 2" xfId="12" xr:uid="{00000000-0005-0000-0000-000010000000}"/>
    <cellStyle name="20% - アクセント 6 2" xfId="13" xr:uid="{00000000-0005-0000-0000-000011000000}"/>
    <cellStyle name="40% - Accent1" xfId="14" xr:uid="{00000000-0005-0000-0000-000012000000}"/>
    <cellStyle name="40% - Accent2" xfId="15" xr:uid="{00000000-0005-0000-0000-000013000000}"/>
    <cellStyle name="40% - Accent3" xfId="16" xr:uid="{00000000-0005-0000-0000-000014000000}"/>
    <cellStyle name="40% - Accent4" xfId="17" xr:uid="{00000000-0005-0000-0000-000015000000}"/>
    <cellStyle name="40% - Accent5" xfId="18" xr:uid="{00000000-0005-0000-0000-000016000000}"/>
    <cellStyle name="40% - Accent6" xfId="19" xr:uid="{00000000-0005-0000-0000-000017000000}"/>
    <cellStyle name="40% - アクセント 1 2" xfId="20" xr:uid="{00000000-0005-0000-0000-000018000000}"/>
    <cellStyle name="40% - アクセント 2 2" xfId="21" xr:uid="{00000000-0005-0000-0000-000019000000}"/>
    <cellStyle name="40% - アクセント 3 2" xfId="22" xr:uid="{00000000-0005-0000-0000-00001A000000}"/>
    <cellStyle name="40% - アクセント 4 2" xfId="23" xr:uid="{00000000-0005-0000-0000-00001B000000}"/>
    <cellStyle name="40% - アクセント 5 2" xfId="24" xr:uid="{00000000-0005-0000-0000-00001C000000}"/>
    <cellStyle name="40% - アクセント 6 2" xfId="25" xr:uid="{00000000-0005-0000-0000-00001D000000}"/>
    <cellStyle name="60% - Accent1" xfId="26" xr:uid="{00000000-0005-0000-0000-00001E000000}"/>
    <cellStyle name="60% - Accent2" xfId="27" xr:uid="{00000000-0005-0000-0000-00001F000000}"/>
    <cellStyle name="60% - Accent3" xfId="28" xr:uid="{00000000-0005-0000-0000-000020000000}"/>
    <cellStyle name="60% - Accent4" xfId="29" xr:uid="{00000000-0005-0000-0000-000021000000}"/>
    <cellStyle name="60% - Accent5" xfId="30" xr:uid="{00000000-0005-0000-0000-000022000000}"/>
    <cellStyle name="60% - Accent6" xfId="31" xr:uid="{00000000-0005-0000-0000-000023000000}"/>
    <cellStyle name="60% - アクセント 1 2" xfId="32" xr:uid="{00000000-0005-0000-0000-000024000000}"/>
    <cellStyle name="60% - アクセント 2 2" xfId="33" xr:uid="{00000000-0005-0000-0000-000025000000}"/>
    <cellStyle name="60% - アクセント 3 2" xfId="34" xr:uid="{00000000-0005-0000-0000-000026000000}"/>
    <cellStyle name="60% - アクセント 4 2" xfId="35" xr:uid="{00000000-0005-0000-0000-000027000000}"/>
    <cellStyle name="60% - アクセント 5 2" xfId="36" xr:uid="{00000000-0005-0000-0000-000028000000}"/>
    <cellStyle name="60% - アクセント 6 2" xfId="37" xr:uid="{00000000-0005-0000-0000-000029000000}"/>
    <cellStyle name="Accent1" xfId="38" xr:uid="{00000000-0005-0000-0000-00002A000000}"/>
    <cellStyle name="Accent2" xfId="39" xr:uid="{00000000-0005-0000-0000-00002B000000}"/>
    <cellStyle name="Accent3" xfId="40" xr:uid="{00000000-0005-0000-0000-00002C000000}"/>
    <cellStyle name="Accent4" xfId="41" xr:uid="{00000000-0005-0000-0000-00002D000000}"/>
    <cellStyle name="Accent5" xfId="42" xr:uid="{00000000-0005-0000-0000-00002E000000}"/>
    <cellStyle name="Accent6" xfId="43" xr:uid="{00000000-0005-0000-0000-00002F000000}"/>
    <cellStyle name="Background" xfId="44" xr:uid="{00000000-0005-0000-0000-000030000000}"/>
    <cellStyle name="Bad 1" xfId="45" xr:uid="{00000000-0005-0000-0000-000031000000}"/>
    <cellStyle name="Calculation" xfId="46" xr:uid="{00000000-0005-0000-0000-000032000000}"/>
    <cellStyle name="Calculation 2" xfId="47" xr:uid="{00000000-0005-0000-0000-000033000000}"/>
    <cellStyle name="Calculation 2 2" xfId="48" xr:uid="{00000000-0005-0000-0000-000034000000}"/>
    <cellStyle name="Calculation 2 2 2" xfId="49" xr:uid="{00000000-0005-0000-0000-000035000000}"/>
    <cellStyle name="Calculation 2 2 2 2" xfId="50" xr:uid="{00000000-0005-0000-0000-000036000000}"/>
    <cellStyle name="Calculation 2 2 2 2 2" xfId="51" xr:uid="{00000000-0005-0000-0000-000037000000}"/>
    <cellStyle name="Calculation 2 2 2 2 2 2" xfId="52" xr:uid="{00000000-0005-0000-0000-000038000000}"/>
    <cellStyle name="Calculation 2 2 2 2 3" xfId="53" xr:uid="{00000000-0005-0000-0000-000039000000}"/>
    <cellStyle name="Calculation 2 2 2 3" xfId="54" xr:uid="{00000000-0005-0000-0000-00003A000000}"/>
    <cellStyle name="Calculation 2 3" xfId="55" xr:uid="{00000000-0005-0000-0000-00003B000000}"/>
    <cellStyle name="Calculation 2 3 2" xfId="56" xr:uid="{00000000-0005-0000-0000-00003C000000}"/>
    <cellStyle name="Calculation 2 3 2 2" xfId="57" xr:uid="{00000000-0005-0000-0000-00003D000000}"/>
    <cellStyle name="Calculation 2 3 2 2 2" xfId="58" xr:uid="{00000000-0005-0000-0000-00003E000000}"/>
    <cellStyle name="Calculation 2 3 2 2 2 2" xfId="59" xr:uid="{00000000-0005-0000-0000-00003F000000}"/>
    <cellStyle name="Calculation 2 3 2 2 3" xfId="60" xr:uid="{00000000-0005-0000-0000-000040000000}"/>
    <cellStyle name="Calculation 2 3 2 3" xfId="61" xr:uid="{00000000-0005-0000-0000-000041000000}"/>
    <cellStyle name="Calculation 2 3 3" xfId="62" xr:uid="{00000000-0005-0000-0000-000042000000}"/>
    <cellStyle name="Calculation 2 3 3 2" xfId="63" xr:uid="{00000000-0005-0000-0000-000043000000}"/>
    <cellStyle name="Calculation 2 3 3 2 2" xfId="64" xr:uid="{00000000-0005-0000-0000-000044000000}"/>
    <cellStyle name="Calculation 2 3 3 3" xfId="65" xr:uid="{00000000-0005-0000-0000-000045000000}"/>
    <cellStyle name="Calculation 2 3 4" xfId="66" xr:uid="{00000000-0005-0000-0000-000046000000}"/>
    <cellStyle name="Calculation 3" xfId="67" xr:uid="{00000000-0005-0000-0000-000047000000}"/>
    <cellStyle name="Calculation 3 2" xfId="68" xr:uid="{00000000-0005-0000-0000-000048000000}"/>
    <cellStyle name="Calculation 3 2 2" xfId="69" xr:uid="{00000000-0005-0000-0000-000049000000}"/>
    <cellStyle name="Calculation 3 2 2 2" xfId="70" xr:uid="{00000000-0005-0000-0000-00004A000000}"/>
    <cellStyle name="Calculation 3 2 2 2 2" xfId="71" xr:uid="{00000000-0005-0000-0000-00004B000000}"/>
    <cellStyle name="Calculation 3 2 2 2 2 2" xfId="72" xr:uid="{00000000-0005-0000-0000-00004C000000}"/>
    <cellStyle name="Calculation 3 2 2 2 3" xfId="73" xr:uid="{00000000-0005-0000-0000-00004D000000}"/>
    <cellStyle name="Calculation 3 2 2 3" xfId="74" xr:uid="{00000000-0005-0000-0000-00004E000000}"/>
    <cellStyle name="Calculation 3 3" xfId="75" xr:uid="{00000000-0005-0000-0000-00004F000000}"/>
    <cellStyle name="Calculation 3 3 2" xfId="76" xr:uid="{00000000-0005-0000-0000-000050000000}"/>
    <cellStyle name="Calculation 3 3 2 2" xfId="77" xr:uid="{00000000-0005-0000-0000-000051000000}"/>
    <cellStyle name="Calculation 3 3 2 2 2" xfId="78" xr:uid="{00000000-0005-0000-0000-000052000000}"/>
    <cellStyle name="Calculation 3 3 2 2 2 2" xfId="79" xr:uid="{00000000-0005-0000-0000-000053000000}"/>
    <cellStyle name="Calculation 3 3 2 2 3" xfId="80" xr:uid="{00000000-0005-0000-0000-000054000000}"/>
    <cellStyle name="Calculation 3 3 2 3" xfId="81" xr:uid="{00000000-0005-0000-0000-000055000000}"/>
    <cellStyle name="Calculation 3 3 3" xfId="82" xr:uid="{00000000-0005-0000-0000-000056000000}"/>
    <cellStyle name="Calculation 3 3 3 2" xfId="83" xr:uid="{00000000-0005-0000-0000-000057000000}"/>
    <cellStyle name="Calculation 3 3 3 2 2" xfId="84" xr:uid="{00000000-0005-0000-0000-000058000000}"/>
    <cellStyle name="Calculation 3 3 3 3" xfId="85" xr:uid="{00000000-0005-0000-0000-000059000000}"/>
    <cellStyle name="Calculation 3 3 4" xfId="86" xr:uid="{00000000-0005-0000-0000-00005A000000}"/>
    <cellStyle name="Calculation 4" xfId="87" xr:uid="{00000000-0005-0000-0000-00005B000000}"/>
    <cellStyle name="Calculation 4 2" xfId="88" xr:uid="{00000000-0005-0000-0000-00005C000000}"/>
    <cellStyle name="Calculation 4 2 2" xfId="89" xr:uid="{00000000-0005-0000-0000-00005D000000}"/>
    <cellStyle name="Calculation 4 2 2 2" xfId="90" xr:uid="{00000000-0005-0000-0000-00005E000000}"/>
    <cellStyle name="Calculation 4 2 2 2 2" xfId="91" xr:uid="{00000000-0005-0000-0000-00005F000000}"/>
    <cellStyle name="Calculation 4 2 2 3" xfId="92" xr:uid="{00000000-0005-0000-0000-000060000000}"/>
    <cellStyle name="Calculation 4 2 3" xfId="93" xr:uid="{00000000-0005-0000-0000-000061000000}"/>
    <cellStyle name="Calculation 5" xfId="94" xr:uid="{00000000-0005-0000-0000-000062000000}"/>
    <cellStyle name="Calculation 5 2" xfId="95" xr:uid="{00000000-0005-0000-0000-000063000000}"/>
    <cellStyle name="Calculation 5 2 2" xfId="96" xr:uid="{00000000-0005-0000-0000-000064000000}"/>
    <cellStyle name="Calculation 5 2 2 2" xfId="97" xr:uid="{00000000-0005-0000-0000-000065000000}"/>
    <cellStyle name="Calculation 5 2 2 2 2" xfId="98" xr:uid="{00000000-0005-0000-0000-000066000000}"/>
    <cellStyle name="Calculation 5 2 2 3" xfId="99" xr:uid="{00000000-0005-0000-0000-000067000000}"/>
    <cellStyle name="Calculation 5 2 3" xfId="100" xr:uid="{00000000-0005-0000-0000-000068000000}"/>
    <cellStyle name="Calculation 5 3" xfId="101" xr:uid="{00000000-0005-0000-0000-000069000000}"/>
    <cellStyle name="Calculation 5 3 2" xfId="102" xr:uid="{00000000-0005-0000-0000-00006A000000}"/>
    <cellStyle name="Calculation 5 3 2 2" xfId="103" xr:uid="{00000000-0005-0000-0000-00006B000000}"/>
    <cellStyle name="Calculation 5 3 3" xfId="104" xr:uid="{00000000-0005-0000-0000-00006C000000}"/>
    <cellStyle name="Calculation 5 4" xfId="105" xr:uid="{00000000-0005-0000-0000-00006D000000}"/>
    <cellStyle name="Check Cell" xfId="106" xr:uid="{00000000-0005-0000-0000-00006E000000}"/>
    <cellStyle name="Comma [0]_FON95-03" xfId="107" xr:uid="{00000000-0005-0000-0000-00006F000000}"/>
    <cellStyle name="Comma_FON95-03" xfId="108" xr:uid="{00000000-0005-0000-0000-000070000000}"/>
    <cellStyle name="Currency [0]_FON95-03" xfId="109" xr:uid="{00000000-0005-0000-0000-000071000000}"/>
    <cellStyle name="Currency_FON95-03" xfId="110" xr:uid="{00000000-0005-0000-0000-000072000000}"/>
    <cellStyle name="date" xfId="111" xr:uid="{00000000-0005-0000-0000-000073000000}"/>
    <cellStyle name="date 2" xfId="112" xr:uid="{00000000-0005-0000-0000-000074000000}"/>
    <cellStyle name="Explanatory Text" xfId="113" xr:uid="{00000000-0005-0000-0000-000075000000}"/>
    <cellStyle name="Good 2" xfId="114" xr:uid="{00000000-0005-0000-0000-000076000000}"/>
    <cellStyle name="Heading 1 3" xfId="115" xr:uid="{00000000-0005-0000-0000-000077000000}"/>
    <cellStyle name="Heading 2 4" xfId="116" xr:uid="{00000000-0005-0000-0000-000078000000}"/>
    <cellStyle name="Heading 3" xfId="117" xr:uid="{00000000-0005-0000-0000-000079000000}"/>
    <cellStyle name="Heading 4" xfId="118" xr:uid="{00000000-0005-0000-0000-00007A000000}"/>
    <cellStyle name="IBM(401K)" xfId="119" xr:uid="{00000000-0005-0000-0000-00007B000000}"/>
    <cellStyle name="Input" xfId="120" xr:uid="{00000000-0005-0000-0000-00007C000000}"/>
    <cellStyle name="Input 2" xfId="121" xr:uid="{00000000-0005-0000-0000-00007D000000}"/>
    <cellStyle name="Input 2 2" xfId="122" xr:uid="{00000000-0005-0000-0000-00007E000000}"/>
    <cellStyle name="Input 2 2 2" xfId="123" xr:uid="{00000000-0005-0000-0000-00007F000000}"/>
    <cellStyle name="Input 2 2 2 2" xfId="124" xr:uid="{00000000-0005-0000-0000-000080000000}"/>
    <cellStyle name="Input 2 2 2 2 2" xfId="125" xr:uid="{00000000-0005-0000-0000-000081000000}"/>
    <cellStyle name="Input 2 2 2 2 2 2" xfId="126" xr:uid="{00000000-0005-0000-0000-000082000000}"/>
    <cellStyle name="Input 2 2 2 2 3" xfId="127" xr:uid="{00000000-0005-0000-0000-000083000000}"/>
    <cellStyle name="Input 2 2 2 3" xfId="128" xr:uid="{00000000-0005-0000-0000-000084000000}"/>
    <cellStyle name="Input 2 3" xfId="129" xr:uid="{00000000-0005-0000-0000-000085000000}"/>
    <cellStyle name="Input 2 3 2" xfId="130" xr:uid="{00000000-0005-0000-0000-000086000000}"/>
    <cellStyle name="Input 2 3 2 2" xfId="131" xr:uid="{00000000-0005-0000-0000-000087000000}"/>
    <cellStyle name="Input 2 3 2 2 2" xfId="132" xr:uid="{00000000-0005-0000-0000-000088000000}"/>
    <cellStyle name="Input 2 3 2 2 2 2" xfId="133" xr:uid="{00000000-0005-0000-0000-000089000000}"/>
    <cellStyle name="Input 2 3 2 2 3" xfId="134" xr:uid="{00000000-0005-0000-0000-00008A000000}"/>
    <cellStyle name="Input 2 3 2 3" xfId="135" xr:uid="{00000000-0005-0000-0000-00008B000000}"/>
    <cellStyle name="Input 2 3 3" xfId="136" xr:uid="{00000000-0005-0000-0000-00008C000000}"/>
    <cellStyle name="Input 2 3 3 2" xfId="137" xr:uid="{00000000-0005-0000-0000-00008D000000}"/>
    <cellStyle name="Input 2 3 3 2 2" xfId="138" xr:uid="{00000000-0005-0000-0000-00008E000000}"/>
    <cellStyle name="Input 2 3 3 3" xfId="139" xr:uid="{00000000-0005-0000-0000-00008F000000}"/>
    <cellStyle name="Input 2 3 4" xfId="140" xr:uid="{00000000-0005-0000-0000-000090000000}"/>
    <cellStyle name="Input 3" xfId="141" xr:uid="{00000000-0005-0000-0000-000091000000}"/>
    <cellStyle name="Input 3 2" xfId="142" xr:uid="{00000000-0005-0000-0000-000092000000}"/>
    <cellStyle name="Input 3 2 2" xfId="143" xr:uid="{00000000-0005-0000-0000-000093000000}"/>
    <cellStyle name="Input 3 2 2 2" xfId="144" xr:uid="{00000000-0005-0000-0000-000094000000}"/>
    <cellStyle name="Input 3 2 2 2 2" xfId="145" xr:uid="{00000000-0005-0000-0000-000095000000}"/>
    <cellStyle name="Input 3 2 2 2 2 2" xfId="146" xr:uid="{00000000-0005-0000-0000-000096000000}"/>
    <cellStyle name="Input 3 2 2 2 3" xfId="147" xr:uid="{00000000-0005-0000-0000-000097000000}"/>
    <cellStyle name="Input 3 2 2 3" xfId="148" xr:uid="{00000000-0005-0000-0000-000098000000}"/>
    <cellStyle name="Input 3 3" xfId="149" xr:uid="{00000000-0005-0000-0000-000099000000}"/>
    <cellStyle name="Input 3 3 2" xfId="150" xr:uid="{00000000-0005-0000-0000-00009A000000}"/>
    <cellStyle name="Input 3 3 2 2" xfId="151" xr:uid="{00000000-0005-0000-0000-00009B000000}"/>
    <cellStyle name="Input 3 3 2 2 2" xfId="152" xr:uid="{00000000-0005-0000-0000-00009C000000}"/>
    <cellStyle name="Input 3 3 2 2 2 2" xfId="153" xr:uid="{00000000-0005-0000-0000-00009D000000}"/>
    <cellStyle name="Input 3 3 2 2 3" xfId="154" xr:uid="{00000000-0005-0000-0000-00009E000000}"/>
    <cellStyle name="Input 3 3 2 3" xfId="155" xr:uid="{00000000-0005-0000-0000-00009F000000}"/>
    <cellStyle name="Input 3 3 3" xfId="156" xr:uid="{00000000-0005-0000-0000-0000A0000000}"/>
    <cellStyle name="Input 3 3 3 2" xfId="157" xr:uid="{00000000-0005-0000-0000-0000A1000000}"/>
    <cellStyle name="Input 3 3 3 2 2" xfId="158" xr:uid="{00000000-0005-0000-0000-0000A2000000}"/>
    <cellStyle name="Input 3 3 3 3" xfId="159" xr:uid="{00000000-0005-0000-0000-0000A3000000}"/>
    <cellStyle name="Input 3 3 4" xfId="160" xr:uid="{00000000-0005-0000-0000-0000A4000000}"/>
    <cellStyle name="Input 4" xfId="161" xr:uid="{00000000-0005-0000-0000-0000A5000000}"/>
    <cellStyle name="Input 4 2" xfId="162" xr:uid="{00000000-0005-0000-0000-0000A6000000}"/>
    <cellStyle name="Input 4 2 2" xfId="163" xr:uid="{00000000-0005-0000-0000-0000A7000000}"/>
    <cellStyle name="Input 4 2 2 2" xfId="164" xr:uid="{00000000-0005-0000-0000-0000A8000000}"/>
    <cellStyle name="Input 4 2 2 2 2" xfId="165" xr:uid="{00000000-0005-0000-0000-0000A9000000}"/>
    <cellStyle name="Input 4 2 2 3" xfId="166" xr:uid="{00000000-0005-0000-0000-0000AA000000}"/>
    <cellStyle name="Input 4 2 3" xfId="167" xr:uid="{00000000-0005-0000-0000-0000AB000000}"/>
    <cellStyle name="Input 5" xfId="168" xr:uid="{00000000-0005-0000-0000-0000AC000000}"/>
    <cellStyle name="Input 5 2" xfId="169" xr:uid="{00000000-0005-0000-0000-0000AD000000}"/>
    <cellStyle name="Input 5 2 2" xfId="170" xr:uid="{00000000-0005-0000-0000-0000AE000000}"/>
    <cellStyle name="Input 5 2 2 2" xfId="171" xr:uid="{00000000-0005-0000-0000-0000AF000000}"/>
    <cellStyle name="Input 5 2 2 2 2" xfId="172" xr:uid="{00000000-0005-0000-0000-0000B0000000}"/>
    <cellStyle name="Input 5 2 2 3" xfId="173" xr:uid="{00000000-0005-0000-0000-0000B1000000}"/>
    <cellStyle name="Input 5 2 3" xfId="174" xr:uid="{00000000-0005-0000-0000-0000B2000000}"/>
    <cellStyle name="Input 5 3" xfId="175" xr:uid="{00000000-0005-0000-0000-0000B3000000}"/>
    <cellStyle name="Input 5 3 2" xfId="176" xr:uid="{00000000-0005-0000-0000-0000B4000000}"/>
    <cellStyle name="Input 5 3 2 2" xfId="177" xr:uid="{00000000-0005-0000-0000-0000B5000000}"/>
    <cellStyle name="Input 5 3 3" xfId="178" xr:uid="{00000000-0005-0000-0000-0000B6000000}"/>
    <cellStyle name="Input 5 4" xfId="179" xr:uid="{00000000-0005-0000-0000-0000B7000000}"/>
    <cellStyle name="J401K" xfId="180" xr:uid="{00000000-0005-0000-0000-0000B8000000}"/>
    <cellStyle name="Linked Cell" xfId="181" xr:uid="{00000000-0005-0000-0000-0000B9000000}"/>
    <cellStyle name="Milliers [0]_AR1194" xfId="182" xr:uid="{00000000-0005-0000-0000-0000BA000000}"/>
    <cellStyle name="Milliers_AR1194" xfId="183" xr:uid="{00000000-0005-0000-0000-0000BB000000}"/>
    <cellStyle name="Mon騁aire [0]_AR1194" xfId="184" xr:uid="{00000000-0005-0000-0000-0000BC000000}"/>
    <cellStyle name="Mon騁aire_AR1194" xfId="185" xr:uid="{00000000-0005-0000-0000-0000BD000000}"/>
    <cellStyle name="Neutral 5" xfId="186" xr:uid="{00000000-0005-0000-0000-0000BE000000}"/>
    <cellStyle name="Normal_AR1194" xfId="187" xr:uid="{00000000-0005-0000-0000-0000BF000000}"/>
    <cellStyle name="Note 2" xfId="188" xr:uid="{00000000-0005-0000-0000-0000C0000000}"/>
    <cellStyle name="Note 2 2" xfId="189" xr:uid="{00000000-0005-0000-0000-0000C1000000}"/>
    <cellStyle name="Note 2 2 2" xfId="190" xr:uid="{00000000-0005-0000-0000-0000C2000000}"/>
    <cellStyle name="Note 2 2 2 2" xfId="191" xr:uid="{00000000-0005-0000-0000-0000C3000000}"/>
    <cellStyle name="Note 2 2 2 2 2" xfId="192" xr:uid="{00000000-0005-0000-0000-0000C4000000}"/>
    <cellStyle name="Note 2 2 2 3" xfId="193" xr:uid="{00000000-0005-0000-0000-0000C5000000}"/>
    <cellStyle name="Note 2 2 3" xfId="194" xr:uid="{00000000-0005-0000-0000-0000C6000000}"/>
    <cellStyle name="Note 2 2 3 2" xfId="195" xr:uid="{00000000-0005-0000-0000-0000C7000000}"/>
    <cellStyle name="Note 2 2 4" xfId="196" xr:uid="{00000000-0005-0000-0000-0000C8000000}"/>
    <cellStyle name="Note 2 3" xfId="197" xr:uid="{00000000-0005-0000-0000-0000C9000000}"/>
    <cellStyle name="Note 2 3 2" xfId="198" xr:uid="{00000000-0005-0000-0000-0000CA000000}"/>
    <cellStyle name="Note 2 3 2 2" xfId="199" xr:uid="{00000000-0005-0000-0000-0000CB000000}"/>
    <cellStyle name="Note 2 3 3" xfId="200" xr:uid="{00000000-0005-0000-0000-0000CC000000}"/>
    <cellStyle name="Note 2 4" xfId="201" xr:uid="{00000000-0005-0000-0000-0000CD000000}"/>
    <cellStyle name="Note 2 4 2" xfId="202" xr:uid="{00000000-0005-0000-0000-0000CE000000}"/>
    <cellStyle name="Note 2 5" xfId="203" xr:uid="{00000000-0005-0000-0000-0000CF000000}"/>
    <cellStyle name="Note 3" xfId="204" xr:uid="{00000000-0005-0000-0000-0000D0000000}"/>
    <cellStyle name="Note 3 2" xfId="205" xr:uid="{00000000-0005-0000-0000-0000D1000000}"/>
    <cellStyle name="Note 3 2 2" xfId="206" xr:uid="{00000000-0005-0000-0000-0000D2000000}"/>
    <cellStyle name="Note 3 2 2 2" xfId="207" xr:uid="{00000000-0005-0000-0000-0000D3000000}"/>
    <cellStyle name="Note 3 2 2 2 2" xfId="208" xr:uid="{00000000-0005-0000-0000-0000D4000000}"/>
    <cellStyle name="Note 3 2 2 3" xfId="209" xr:uid="{00000000-0005-0000-0000-0000D5000000}"/>
    <cellStyle name="Note 3 2 3" xfId="210" xr:uid="{00000000-0005-0000-0000-0000D6000000}"/>
    <cellStyle name="Note 3 2 3 2" xfId="211" xr:uid="{00000000-0005-0000-0000-0000D7000000}"/>
    <cellStyle name="Note 3 2 4" xfId="212" xr:uid="{00000000-0005-0000-0000-0000D8000000}"/>
    <cellStyle name="Note 3 3" xfId="213" xr:uid="{00000000-0005-0000-0000-0000D9000000}"/>
    <cellStyle name="Note 3 3 2" xfId="214" xr:uid="{00000000-0005-0000-0000-0000DA000000}"/>
    <cellStyle name="Note 3 3 2 2" xfId="215" xr:uid="{00000000-0005-0000-0000-0000DB000000}"/>
    <cellStyle name="Note 3 3 3" xfId="216" xr:uid="{00000000-0005-0000-0000-0000DC000000}"/>
    <cellStyle name="Note 3 4" xfId="217" xr:uid="{00000000-0005-0000-0000-0000DD000000}"/>
    <cellStyle name="Note 3 4 2" xfId="218" xr:uid="{00000000-0005-0000-0000-0000DE000000}"/>
    <cellStyle name="Note 3 5" xfId="219" xr:uid="{00000000-0005-0000-0000-0000DF000000}"/>
    <cellStyle name="Note 4" xfId="220" xr:uid="{00000000-0005-0000-0000-0000E0000000}"/>
    <cellStyle name="Note 4 2" xfId="221" xr:uid="{00000000-0005-0000-0000-0000E1000000}"/>
    <cellStyle name="Note 4 2 2" xfId="222" xr:uid="{00000000-0005-0000-0000-0000E2000000}"/>
    <cellStyle name="Note 4 2 2 2" xfId="223" xr:uid="{00000000-0005-0000-0000-0000E3000000}"/>
    <cellStyle name="Note 4 2 3" xfId="224" xr:uid="{00000000-0005-0000-0000-0000E4000000}"/>
    <cellStyle name="Note 4 3" xfId="225" xr:uid="{00000000-0005-0000-0000-0000E5000000}"/>
    <cellStyle name="Note 4 3 2" xfId="226" xr:uid="{00000000-0005-0000-0000-0000E6000000}"/>
    <cellStyle name="Note 4 4" xfId="227" xr:uid="{00000000-0005-0000-0000-0000E7000000}"/>
    <cellStyle name="Note 5" xfId="228" xr:uid="{00000000-0005-0000-0000-0000E8000000}"/>
    <cellStyle name="Note 5 2" xfId="229" xr:uid="{00000000-0005-0000-0000-0000E9000000}"/>
    <cellStyle name="Note 5 2 2" xfId="230" xr:uid="{00000000-0005-0000-0000-0000EA000000}"/>
    <cellStyle name="Note 5 3" xfId="231" xr:uid="{00000000-0005-0000-0000-0000EB000000}"/>
    <cellStyle name="Note 6" xfId="232" xr:uid="{00000000-0005-0000-0000-0000EC000000}"/>
    <cellStyle name="Note 6 2" xfId="233" xr:uid="{00000000-0005-0000-0000-0000ED000000}"/>
    <cellStyle name="Note 7" xfId="234" xr:uid="{00000000-0005-0000-0000-0000EE000000}"/>
    <cellStyle name="Note 8" xfId="235" xr:uid="{00000000-0005-0000-0000-0000EF000000}"/>
    <cellStyle name="Output" xfId="236" xr:uid="{00000000-0005-0000-0000-0000F0000000}"/>
    <cellStyle name="Output 2" xfId="237" xr:uid="{00000000-0005-0000-0000-0000F1000000}"/>
    <cellStyle name="Output 2 2" xfId="238" xr:uid="{00000000-0005-0000-0000-0000F2000000}"/>
    <cellStyle name="Output 2 2 2" xfId="239" xr:uid="{00000000-0005-0000-0000-0000F3000000}"/>
    <cellStyle name="Output 2 2 2 2" xfId="240" xr:uid="{00000000-0005-0000-0000-0000F4000000}"/>
    <cellStyle name="Output 2 2 2 2 2" xfId="241" xr:uid="{00000000-0005-0000-0000-0000F5000000}"/>
    <cellStyle name="Output 2 2 2 2 2 2" xfId="242" xr:uid="{00000000-0005-0000-0000-0000F6000000}"/>
    <cellStyle name="Output 2 2 2 2 3" xfId="243" xr:uid="{00000000-0005-0000-0000-0000F7000000}"/>
    <cellStyle name="Output 2 2 2 3" xfId="244" xr:uid="{00000000-0005-0000-0000-0000F8000000}"/>
    <cellStyle name="Output 2 2 3" xfId="245" xr:uid="{00000000-0005-0000-0000-0000F9000000}"/>
    <cellStyle name="Output 2 2 3 2" xfId="246" xr:uid="{00000000-0005-0000-0000-0000FA000000}"/>
    <cellStyle name="Output 2 2 3 2 2" xfId="247" xr:uid="{00000000-0005-0000-0000-0000FB000000}"/>
    <cellStyle name="Output 2 2 3 3" xfId="248" xr:uid="{00000000-0005-0000-0000-0000FC000000}"/>
    <cellStyle name="Output 2 2 4" xfId="249" xr:uid="{00000000-0005-0000-0000-0000FD000000}"/>
    <cellStyle name="Output 2 3" xfId="250" xr:uid="{00000000-0005-0000-0000-0000FE000000}"/>
    <cellStyle name="Output 2 3 2" xfId="251" xr:uid="{00000000-0005-0000-0000-0000FF000000}"/>
    <cellStyle name="Output 2 3 2 2" xfId="252" xr:uid="{00000000-0005-0000-0000-000000010000}"/>
    <cellStyle name="Output 2 3 2 2 2" xfId="253" xr:uid="{00000000-0005-0000-0000-000001010000}"/>
    <cellStyle name="Output 2 3 2 3" xfId="254" xr:uid="{00000000-0005-0000-0000-000002010000}"/>
    <cellStyle name="Output 2 3 3" xfId="255" xr:uid="{00000000-0005-0000-0000-000003010000}"/>
    <cellStyle name="Output 2 4" xfId="256" xr:uid="{00000000-0005-0000-0000-000004010000}"/>
    <cellStyle name="Output 2 4 2" xfId="257" xr:uid="{00000000-0005-0000-0000-000005010000}"/>
    <cellStyle name="Output 2 4 2 2" xfId="258" xr:uid="{00000000-0005-0000-0000-000006010000}"/>
    <cellStyle name="Output 2 4 3" xfId="259" xr:uid="{00000000-0005-0000-0000-000007010000}"/>
    <cellStyle name="Output 2 5" xfId="260" xr:uid="{00000000-0005-0000-0000-000008010000}"/>
    <cellStyle name="Output 3" xfId="261" xr:uid="{00000000-0005-0000-0000-000009010000}"/>
    <cellStyle name="Output 3 2" xfId="262" xr:uid="{00000000-0005-0000-0000-00000A010000}"/>
    <cellStyle name="Output 3 2 2" xfId="263" xr:uid="{00000000-0005-0000-0000-00000B010000}"/>
    <cellStyle name="Output 3 2 2 2" xfId="264" xr:uid="{00000000-0005-0000-0000-00000C010000}"/>
    <cellStyle name="Output 3 2 2 2 2" xfId="265" xr:uid="{00000000-0005-0000-0000-00000D010000}"/>
    <cellStyle name="Output 3 2 2 2 2 2" xfId="266" xr:uid="{00000000-0005-0000-0000-00000E010000}"/>
    <cellStyle name="Output 3 2 2 2 3" xfId="267" xr:uid="{00000000-0005-0000-0000-00000F010000}"/>
    <cellStyle name="Output 3 2 2 3" xfId="268" xr:uid="{00000000-0005-0000-0000-000010010000}"/>
    <cellStyle name="Output 3 2 3" xfId="269" xr:uid="{00000000-0005-0000-0000-000011010000}"/>
    <cellStyle name="Output 3 2 3 2" xfId="270" xr:uid="{00000000-0005-0000-0000-000012010000}"/>
    <cellStyle name="Output 3 2 3 2 2" xfId="271" xr:uid="{00000000-0005-0000-0000-000013010000}"/>
    <cellStyle name="Output 3 2 3 3" xfId="272" xr:uid="{00000000-0005-0000-0000-000014010000}"/>
    <cellStyle name="Output 3 2 4" xfId="273" xr:uid="{00000000-0005-0000-0000-000015010000}"/>
    <cellStyle name="Output 3 3" xfId="274" xr:uid="{00000000-0005-0000-0000-000016010000}"/>
    <cellStyle name="Output 3 3 2" xfId="275" xr:uid="{00000000-0005-0000-0000-000017010000}"/>
    <cellStyle name="Output 3 3 2 2" xfId="276" xr:uid="{00000000-0005-0000-0000-000018010000}"/>
    <cellStyle name="Output 3 3 2 2 2" xfId="277" xr:uid="{00000000-0005-0000-0000-000019010000}"/>
    <cellStyle name="Output 3 3 2 3" xfId="278" xr:uid="{00000000-0005-0000-0000-00001A010000}"/>
    <cellStyle name="Output 3 3 3" xfId="279" xr:uid="{00000000-0005-0000-0000-00001B010000}"/>
    <cellStyle name="Output 3 4" xfId="280" xr:uid="{00000000-0005-0000-0000-00001C010000}"/>
    <cellStyle name="Output 3 4 2" xfId="281" xr:uid="{00000000-0005-0000-0000-00001D010000}"/>
    <cellStyle name="Output 3 4 2 2" xfId="282" xr:uid="{00000000-0005-0000-0000-00001E010000}"/>
    <cellStyle name="Output 3 4 3" xfId="283" xr:uid="{00000000-0005-0000-0000-00001F010000}"/>
    <cellStyle name="Output 3 5" xfId="284" xr:uid="{00000000-0005-0000-0000-000020010000}"/>
    <cellStyle name="Output 4" xfId="285" xr:uid="{00000000-0005-0000-0000-000021010000}"/>
    <cellStyle name="Output 4 2" xfId="286" xr:uid="{00000000-0005-0000-0000-000022010000}"/>
    <cellStyle name="Output 4 2 2" xfId="287" xr:uid="{00000000-0005-0000-0000-000023010000}"/>
    <cellStyle name="Output 4 2 2 2" xfId="288" xr:uid="{00000000-0005-0000-0000-000024010000}"/>
    <cellStyle name="Output 4 2 2 2 2" xfId="289" xr:uid="{00000000-0005-0000-0000-000025010000}"/>
    <cellStyle name="Output 4 2 2 3" xfId="290" xr:uid="{00000000-0005-0000-0000-000026010000}"/>
    <cellStyle name="Output 4 2 3" xfId="291" xr:uid="{00000000-0005-0000-0000-000027010000}"/>
    <cellStyle name="Output 4 3" xfId="292" xr:uid="{00000000-0005-0000-0000-000028010000}"/>
    <cellStyle name="Output 4 3 2" xfId="293" xr:uid="{00000000-0005-0000-0000-000029010000}"/>
    <cellStyle name="Output 4 3 2 2" xfId="294" xr:uid="{00000000-0005-0000-0000-00002A010000}"/>
    <cellStyle name="Output 4 3 3" xfId="295" xr:uid="{00000000-0005-0000-0000-00002B010000}"/>
    <cellStyle name="Output 4 4" xfId="296" xr:uid="{00000000-0005-0000-0000-00002C010000}"/>
    <cellStyle name="Output 5" xfId="297" xr:uid="{00000000-0005-0000-0000-00002D010000}"/>
    <cellStyle name="Output 5 2" xfId="298" xr:uid="{00000000-0005-0000-0000-00002E010000}"/>
    <cellStyle name="Output 5 2 2" xfId="299" xr:uid="{00000000-0005-0000-0000-00002F010000}"/>
    <cellStyle name="Output 5 2 2 2" xfId="300" xr:uid="{00000000-0005-0000-0000-000030010000}"/>
    <cellStyle name="Output 5 2 3" xfId="301" xr:uid="{00000000-0005-0000-0000-000031010000}"/>
    <cellStyle name="Output 5 3" xfId="302" xr:uid="{00000000-0005-0000-0000-000032010000}"/>
    <cellStyle name="Output 6" xfId="303" xr:uid="{00000000-0005-0000-0000-000033010000}"/>
    <cellStyle name="Output 6 2" xfId="304" xr:uid="{00000000-0005-0000-0000-000034010000}"/>
    <cellStyle name="Output 6 2 2" xfId="305" xr:uid="{00000000-0005-0000-0000-000035010000}"/>
    <cellStyle name="Output 6 3" xfId="306" xr:uid="{00000000-0005-0000-0000-000036010000}"/>
    <cellStyle name="Output 7" xfId="307" xr:uid="{00000000-0005-0000-0000-000037010000}"/>
    <cellStyle name="Title" xfId="308" xr:uid="{00000000-0005-0000-0000-000038010000}"/>
    <cellStyle name="Total" xfId="309" xr:uid="{00000000-0005-0000-0000-000039010000}"/>
    <cellStyle name="Total 2" xfId="310" xr:uid="{00000000-0005-0000-0000-00003A010000}"/>
    <cellStyle name="Total 2 2" xfId="311" xr:uid="{00000000-0005-0000-0000-00003B010000}"/>
    <cellStyle name="Total 2 2 2" xfId="312" xr:uid="{00000000-0005-0000-0000-00003C010000}"/>
    <cellStyle name="Total 2 2 2 2" xfId="313" xr:uid="{00000000-0005-0000-0000-00003D010000}"/>
    <cellStyle name="Total 2 2 2 2 2" xfId="314" xr:uid="{00000000-0005-0000-0000-00003E010000}"/>
    <cellStyle name="Total 2 2 2 2 2 2" xfId="315" xr:uid="{00000000-0005-0000-0000-00003F010000}"/>
    <cellStyle name="Total 2 2 2 2 3" xfId="316" xr:uid="{00000000-0005-0000-0000-000040010000}"/>
    <cellStyle name="Total 2 2 2 3" xfId="317" xr:uid="{00000000-0005-0000-0000-000041010000}"/>
    <cellStyle name="Total 2 2 3" xfId="318" xr:uid="{00000000-0005-0000-0000-000042010000}"/>
    <cellStyle name="Total 2 2 3 2" xfId="319" xr:uid="{00000000-0005-0000-0000-000043010000}"/>
    <cellStyle name="Total 2 2 3 2 2" xfId="320" xr:uid="{00000000-0005-0000-0000-000044010000}"/>
    <cellStyle name="Total 2 2 3 3" xfId="321" xr:uid="{00000000-0005-0000-0000-000045010000}"/>
    <cellStyle name="Total 2 2 4" xfId="322" xr:uid="{00000000-0005-0000-0000-000046010000}"/>
    <cellStyle name="Total 2 3" xfId="323" xr:uid="{00000000-0005-0000-0000-000047010000}"/>
    <cellStyle name="Total 2 3 2" xfId="324" xr:uid="{00000000-0005-0000-0000-000048010000}"/>
    <cellStyle name="Total 2 3 2 2" xfId="325" xr:uid="{00000000-0005-0000-0000-000049010000}"/>
    <cellStyle name="Total 2 3 2 2 2" xfId="326" xr:uid="{00000000-0005-0000-0000-00004A010000}"/>
    <cellStyle name="Total 2 3 2 3" xfId="327" xr:uid="{00000000-0005-0000-0000-00004B010000}"/>
    <cellStyle name="Total 2 3 3" xfId="328" xr:uid="{00000000-0005-0000-0000-00004C010000}"/>
    <cellStyle name="Total 2 4" xfId="329" xr:uid="{00000000-0005-0000-0000-00004D010000}"/>
    <cellStyle name="Total 2 4 2" xfId="330" xr:uid="{00000000-0005-0000-0000-00004E010000}"/>
    <cellStyle name="Total 2 4 2 2" xfId="331" xr:uid="{00000000-0005-0000-0000-00004F010000}"/>
    <cellStyle name="Total 2 4 3" xfId="332" xr:uid="{00000000-0005-0000-0000-000050010000}"/>
    <cellStyle name="Total 2 5" xfId="333" xr:uid="{00000000-0005-0000-0000-000051010000}"/>
    <cellStyle name="Total 3" xfId="334" xr:uid="{00000000-0005-0000-0000-000052010000}"/>
    <cellStyle name="Total 3 2" xfId="335" xr:uid="{00000000-0005-0000-0000-000053010000}"/>
    <cellStyle name="Total 3 2 2" xfId="336" xr:uid="{00000000-0005-0000-0000-000054010000}"/>
    <cellStyle name="Total 3 2 2 2" xfId="337" xr:uid="{00000000-0005-0000-0000-000055010000}"/>
    <cellStyle name="Total 3 2 2 2 2" xfId="338" xr:uid="{00000000-0005-0000-0000-000056010000}"/>
    <cellStyle name="Total 3 2 2 2 2 2" xfId="339" xr:uid="{00000000-0005-0000-0000-000057010000}"/>
    <cellStyle name="Total 3 2 2 2 3" xfId="340" xr:uid="{00000000-0005-0000-0000-000058010000}"/>
    <cellStyle name="Total 3 2 2 3" xfId="341" xr:uid="{00000000-0005-0000-0000-000059010000}"/>
    <cellStyle name="Total 3 2 3" xfId="342" xr:uid="{00000000-0005-0000-0000-00005A010000}"/>
    <cellStyle name="Total 3 2 3 2" xfId="343" xr:uid="{00000000-0005-0000-0000-00005B010000}"/>
    <cellStyle name="Total 3 2 3 2 2" xfId="344" xr:uid="{00000000-0005-0000-0000-00005C010000}"/>
    <cellStyle name="Total 3 2 3 3" xfId="345" xr:uid="{00000000-0005-0000-0000-00005D010000}"/>
    <cellStyle name="Total 3 2 4" xfId="346" xr:uid="{00000000-0005-0000-0000-00005E010000}"/>
    <cellStyle name="Total 3 3" xfId="347" xr:uid="{00000000-0005-0000-0000-00005F010000}"/>
    <cellStyle name="Total 3 3 2" xfId="348" xr:uid="{00000000-0005-0000-0000-000060010000}"/>
    <cellStyle name="Total 3 3 2 2" xfId="349" xr:uid="{00000000-0005-0000-0000-000061010000}"/>
    <cellStyle name="Total 3 3 2 2 2" xfId="350" xr:uid="{00000000-0005-0000-0000-000062010000}"/>
    <cellStyle name="Total 3 3 2 3" xfId="351" xr:uid="{00000000-0005-0000-0000-000063010000}"/>
    <cellStyle name="Total 3 3 3" xfId="352" xr:uid="{00000000-0005-0000-0000-000064010000}"/>
    <cellStyle name="Total 3 4" xfId="353" xr:uid="{00000000-0005-0000-0000-000065010000}"/>
    <cellStyle name="Total 3 4 2" xfId="354" xr:uid="{00000000-0005-0000-0000-000066010000}"/>
    <cellStyle name="Total 3 4 2 2" xfId="355" xr:uid="{00000000-0005-0000-0000-000067010000}"/>
    <cellStyle name="Total 3 4 3" xfId="356" xr:uid="{00000000-0005-0000-0000-000068010000}"/>
    <cellStyle name="Total 3 5" xfId="357" xr:uid="{00000000-0005-0000-0000-000069010000}"/>
    <cellStyle name="Total 4" xfId="358" xr:uid="{00000000-0005-0000-0000-00006A010000}"/>
    <cellStyle name="Total 4 2" xfId="359" xr:uid="{00000000-0005-0000-0000-00006B010000}"/>
    <cellStyle name="Total 4 2 2" xfId="360" xr:uid="{00000000-0005-0000-0000-00006C010000}"/>
    <cellStyle name="Total 4 2 2 2" xfId="361" xr:uid="{00000000-0005-0000-0000-00006D010000}"/>
    <cellStyle name="Total 4 2 2 2 2" xfId="362" xr:uid="{00000000-0005-0000-0000-00006E010000}"/>
    <cellStyle name="Total 4 2 2 3" xfId="363" xr:uid="{00000000-0005-0000-0000-00006F010000}"/>
    <cellStyle name="Total 4 2 3" xfId="364" xr:uid="{00000000-0005-0000-0000-000070010000}"/>
    <cellStyle name="Total 4 3" xfId="365" xr:uid="{00000000-0005-0000-0000-000071010000}"/>
    <cellStyle name="Total 4 3 2" xfId="366" xr:uid="{00000000-0005-0000-0000-000072010000}"/>
    <cellStyle name="Total 4 3 2 2" xfId="367" xr:uid="{00000000-0005-0000-0000-000073010000}"/>
    <cellStyle name="Total 4 3 3" xfId="368" xr:uid="{00000000-0005-0000-0000-000074010000}"/>
    <cellStyle name="Total 4 4" xfId="369" xr:uid="{00000000-0005-0000-0000-000075010000}"/>
    <cellStyle name="Total 5" xfId="370" xr:uid="{00000000-0005-0000-0000-000076010000}"/>
    <cellStyle name="Total 5 2" xfId="371" xr:uid="{00000000-0005-0000-0000-000077010000}"/>
    <cellStyle name="Total 5 2 2" xfId="372" xr:uid="{00000000-0005-0000-0000-000078010000}"/>
    <cellStyle name="Total 5 2 2 2" xfId="373" xr:uid="{00000000-0005-0000-0000-000079010000}"/>
    <cellStyle name="Total 5 2 3" xfId="374" xr:uid="{00000000-0005-0000-0000-00007A010000}"/>
    <cellStyle name="Total 5 3" xfId="375" xr:uid="{00000000-0005-0000-0000-00007B010000}"/>
    <cellStyle name="Total 6" xfId="376" xr:uid="{00000000-0005-0000-0000-00007C010000}"/>
    <cellStyle name="Total 6 2" xfId="377" xr:uid="{00000000-0005-0000-0000-00007D010000}"/>
    <cellStyle name="Total 6 2 2" xfId="378" xr:uid="{00000000-0005-0000-0000-00007E010000}"/>
    <cellStyle name="Total 6 3" xfId="379" xr:uid="{00000000-0005-0000-0000-00007F010000}"/>
    <cellStyle name="Total 7" xfId="380" xr:uid="{00000000-0005-0000-0000-000080010000}"/>
    <cellStyle name="Warning Text" xfId="381" xr:uid="{00000000-0005-0000-0000-000081010000}"/>
    <cellStyle name="アクセント 1 2" xfId="383" xr:uid="{00000000-0005-0000-0000-000083010000}"/>
    <cellStyle name="アクセント 2 2" xfId="384" xr:uid="{00000000-0005-0000-0000-000084010000}"/>
    <cellStyle name="アクセント 3 2" xfId="385" xr:uid="{00000000-0005-0000-0000-000085010000}"/>
    <cellStyle name="アクセント 4 2" xfId="386" xr:uid="{00000000-0005-0000-0000-000086010000}"/>
    <cellStyle name="アクセント 5 2" xfId="387" xr:uid="{00000000-0005-0000-0000-000087010000}"/>
    <cellStyle name="アクセント 6 2" xfId="388" xr:uid="{00000000-0005-0000-0000-000088010000}"/>
    <cellStyle name="タイトル 2" xfId="389" xr:uid="{00000000-0005-0000-0000-000089010000}"/>
    <cellStyle name="チェック セル 2" xfId="390" xr:uid="{00000000-0005-0000-0000-00008A010000}"/>
    <cellStyle name="データパイロットの数値" xfId="392" xr:uid="{00000000-0005-0000-0000-00008C010000}"/>
    <cellStyle name="データパイロットの分類項目" xfId="391" xr:uid="{00000000-0005-0000-0000-00008B010000}"/>
    <cellStyle name="どちらでもない 2" xfId="382" xr:uid="{00000000-0005-0000-0000-000082010000}"/>
    <cellStyle name="ハイパーリンク" xfId="1" builtinId="8"/>
    <cellStyle name="ハイパーリンク 2" xfId="393" xr:uid="{00000000-0005-0000-0000-00008D010000}"/>
    <cellStyle name="ハイパーリンク 3" xfId="394" xr:uid="{00000000-0005-0000-0000-00008E010000}"/>
    <cellStyle name="フェンスチャート" xfId="395" xr:uid="{00000000-0005-0000-0000-00008F010000}"/>
    <cellStyle name="メモ 2" xfId="396" xr:uid="{00000000-0005-0000-0000-000090010000}"/>
    <cellStyle name="メモ 2 2" xfId="397" xr:uid="{00000000-0005-0000-0000-000091010000}"/>
    <cellStyle name="メモ 2 2 2" xfId="398" xr:uid="{00000000-0005-0000-0000-000092010000}"/>
    <cellStyle name="メモ 2 2 2 2" xfId="399" xr:uid="{00000000-0005-0000-0000-000093010000}"/>
    <cellStyle name="メモ 2 2 2 2 2" xfId="400" xr:uid="{00000000-0005-0000-0000-000094010000}"/>
    <cellStyle name="メモ 2 2 2 2 2 2" xfId="401" xr:uid="{00000000-0005-0000-0000-000095010000}"/>
    <cellStyle name="メモ 2 2 2 2 3" xfId="402" xr:uid="{00000000-0005-0000-0000-000096010000}"/>
    <cellStyle name="メモ 2 2 2 3" xfId="403" xr:uid="{00000000-0005-0000-0000-000097010000}"/>
    <cellStyle name="メモ 2 2 2 3 2" xfId="404" xr:uid="{00000000-0005-0000-0000-000098010000}"/>
    <cellStyle name="メモ 2 2 2 4" xfId="405" xr:uid="{00000000-0005-0000-0000-000099010000}"/>
    <cellStyle name="メモ 2 2 3" xfId="406" xr:uid="{00000000-0005-0000-0000-00009A010000}"/>
    <cellStyle name="メモ 2 2 3 2" xfId="407" xr:uid="{00000000-0005-0000-0000-00009B010000}"/>
    <cellStyle name="メモ 2 2 3 2 2" xfId="408" xr:uid="{00000000-0005-0000-0000-00009C010000}"/>
    <cellStyle name="メモ 2 2 3 3" xfId="409" xr:uid="{00000000-0005-0000-0000-00009D010000}"/>
    <cellStyle name="メモ 2 2 4" xfId="410" xr:uid="{00000000-0005-0000-0000-00009E010000}"/>
    <cellStyle name="メモ 2 2 4 2" xfId="411" xr:uid="{00000000-0005-0000-0000-00009F010000}"/>
    <cellStyle name="メモ 2 2 5" xfId="412" xr:uid="{00000000-0005-0000-0000-0000A0010000}"/>
    <cellStyle name="メモ 2 3" xfId="413" xr:uid="{00000000-0005-0000-0000-0000A1010000}"/>
    <cellStyle name="メモ 2 3 2" xfId="414" xr:uid="{00000000-0005-0000-0000-0000A2010000}"/>
    <cellStyle name="メモ 2 3 2 2" xfId="415" xr:uid="{00000000-0005-0000-0000-0000A3010000}"/>
    <cellStyle name="メモ 2 3 2 2 2" xfId="416" xr:uid="{00000000-0005-0000-0000-0000A4010000}"/>
    <cellStyle name="メモ 2 3 2 2 2 2" xfId="417" xr:uid="{00000000-0005-0000-0000-0000A5010000}"/>
    <cellStyle name="メモ 2 3 2 2 3" xfId="418" xr:uid="{00000000-0005-0000-0000-0000A6010000}"/>
    <cellStyle name="メモ 2 3 2 3" xfId="419" xr:uid="{00000000-0005-0000-0000-0000A7010000}"/>
    <cellStyle name="メモ 2 3 2 3 2" xfId="420" xr:uid="{00000000-0005-0000-0000-0000A8010000}"/>
    <cellStyle name="メモ 2 3 2 4" xfId="421" xr:uid="{00000000-0005-0000-0000-0000A9010000}"/>
    <cellStyle name="メモ 2 3 3" xfId="422" xr:uid="{00000000-0005-0000-0000-0000AA010000}"/>
    <cellStyle name="メモ 2 3 3 2" xfId="423" xr:uid="{00000000-0005-0000-0000-0000AB010000}"/>
    <cellStyle name="メモ 2 3 3 2 2" xfId="424" xr:uid="{00000000-0005-0000-0000-0000AC010000}"/>
    <cellStyle name="メモ 2 3 3 3" xfId="425" xr:uid="{00000000-0005-0000-0000-0000AD010000}"/>
    <cellStyle name="メモ 2 3 4" xfId="426" xr:uid="{00000000-0005-0000-0000-0000AE010000}"/>
    <cellStyle name="メモ 2 3 4 2" xfId="427" xr:uid="{00000000-0005-0000-0000-0000AF010000}"/>
    <cellStyle name="メモ 2 3 5" xfId="428" xr:uid="{00000000-0005-0000-0000-0000B0010000}"/>
    <cellStyle name="メモ 2 4" xfId="429" xr:uid="{00000000-0005-0000-0000-0000B1010000}"/>
    <cellStyle name="メモ 2 4 2" xfId="430" xr:uid="{00000000-0005-0000-0000-0000B2010000}"/>
    <cellStyle name="メモ 2 4 2 2" xfId="431" xr:uid="{00000000-0005-0000-0000-0000B3010000}"/>
    <cellStyle name="メモ 2 4 2 2 2" xfId="432" xr:uid="{00000000-0005-0000-0000-0000B4010000}"/>
    <cellStyle name="メモ 2 4 2 3" xfId="433" xr:uid="{00000000-0005-0000-0000-0000B5010000}"/>
    <cellStyle name="メモ 2 4 3" xfId="434" xr:uid="{00000000-0005-0000-0000-0000B6010000}"/>
    <cellStyle name="メモ 2 4 3 2" xfId="435" xr:uid="{00000000-0005-0000-0000-0000B7010000}"/>
    <cellStyle name="メモ 2 4 4" xfId="436" xr:uid="{00000000-0005-0000-0000-0000B8010000}"/>
    <cellStyle name="メモ 2 5" xfId="437" xr:uid="{00000000-0005-0000-0000-0000B9010000}"/>
    <cellStyle name="メモ 2 5 2" xfId="438" xr:uid="{00000000-0005-0000-0000-0000BA010000}"/>
    <cellStyle name="メモ 2 5 2 2" xfId="439" xr:uid="{00000000-0005-0000-0000-0000BB010000}"/>
    <cellStyle name="メモ 2 5 3" xfId="440" xr:uid="{00000000-0005-0000-0000-0000BC010000}"/>
    <cellStyle name="メモ 2 6" xfId="441" xr:uid="{00000000-0005-0000-0000-0000BD010000}"/>
    <cellStyle name="メモ 2 6 2" xfId="442" xr:uid="{00000000-0005-0000-0000-0000BE010000}"/>
    <cellStyle name="メモ 2 7" xfId="443" xr:uid="{00000000-0005-0000-0000-0000BF010000}"/>
    <cellStyle name="リンク セル 2" xfId="444" xr:uid="{00000000-0005-0000-0000-0000C0010000}"/>
    <cellStyle name="悪い 2" xfId="577" xr:uid="{00000000-0005-0000-0000-000045020000}"/>
    <cellStyle name="計算 2" xfId="612" xr:uid="{00000000-0005-0000-0000-000068020000}"/>
    <cellStyle name="計算 2 2" xfId="613" xr:uid="{00000000-0005-0000-0000-000069020000}"/>
    <cellStyle name="計算 2 2 2" xfId="614" xr:uid="{00000000-0005-0000-0000-00006A020000}"/>
    <cellStyle name="計算 2 2 2 2" xfId="615" xr:uid="{00000000-0005-0000-0000-00006B020000}"/>
    <cellStyle name="計算 2 2 2 2 2" xfId="616" xr:uid="{00000000-0005-0000-0000-00006C020000}"/>
    <cellStyle name="計算 2 2 2 2 2 2" xfId="617" xr:uid="{00000000-0005-0000-0000-00006D020000}"/>
    <cellStyle name="計算 2 2 2 2 2 2 2" xfId="618" xr:uid="{00000000-0005-0000-0000-00006E020000}"/>
    <cellStyle name="計算 2 2 2 2 2 3" xfId="619" xr:uid="{00000000-0005-0000-0000-00006F020000}"/>
    <cellStyle name="計算 2 2 2 2 3" xfId="620" xr:uid="{00000000-0005-0000-0000-000070020000}"/>
    <cellStyle name="計算 2 2 3" xfId="621" xr:uid="{00000000-0005-0000-0000-000071020000}"/>
    <cellStyle name="計算 2 2 3 2" xfId="622" xr:uid="{00000000-0005-0000-0000-000072020000}"/>
    <cellStyle name="計算 2 2 3 2 2" xfId="623" xr:uid="{00000000-0005-0000-0000-000073020000}"/>
    <cellStyle name="計算 2 2 3 2 2 2" xfId="624" xr:uid="{00000000-0005-0000-0000-000074020000}"/>
    <cellStyle name="計算 2 2 3 2 2 2 2" xfId="625" xr:uid="{00000000-0005-0000-0000-000075020000}"/>
    <cellStyle name="計算 2 2 3 2 2 3" xfId="626" xr:uid="{00000000-0005-0000-0000-000076020000}"/>
    <cellStyle name="計算 2 2 3 2 3" xfId="627" xr:uid="{00000000-0005-0000-0000-000077020000}"/>
    <cellStyle name="計算 2 2 3 3" xfId="628" xr:uid="{00000000-0005-0000-0000-000078020000}"/>
    <cellStyle name="計算 2 2 3 3 2" xfId="629" xr:uid="{00000000-0005-0000-0000-000079020000}"/>
    <cellStyle name="計算 2 2 3 3 2 2" xfId="630" xr:uid="{00000000-0005-0000-0000-00007A020000}"/>
    <cellStyle name="計算 2 2 3 3 3" xfId="631" xr:uid="{00000000-0005-0000-0000-00007B020000}"/>
    <cellStyle name="計算 2 2 3 4" xfId="632" xr:uid="{00000000-0005-0000-0000-00007C020000}"/>
    <cellStyle name="計算 2 3" xfId="633" xr:uid="{00000000-0005-0000-0000-00007D020000}"/>
    <cellStyle name="計算 2 3 2" xfId="634" xr:uid="{00000000-0005-0000-0000-00007E020000}"/>
    <cellStyle name="計算 2 3 2 2" xfId="635" xr:uid="{00000000-0005-0000-0000-00007F020000}"/>
    <cellStyle name="計算 2 3 2 2 2" xfId="636" xr:uid="{00000000-0005-0000-0000-000080020000}"/>
    <cellStyle name="計算 2 3 2 2 2 2" xfId="637" xr:uid="{00000000-0005-0000-0000-000081020000}"/>
    <cellStyle name="計算 2 3 2 2 2 2 2" xfId="638" xr:uid="{00000000-0005-0000-0000-000082020000}"/>
    <cellStyle name="計算 2 3 2 2 2 3" xfId="639" xr:uid="{00000000-0005-0000-0000-000083020000}"/>
    <cellStyle name="計算 2 3 2 2 3" xfId="640" xr:uid="{00000000-0005-0000-0000-000084020000}"/>
    <cellStyle name="計算 2 3 3" xfId="641" xr:uid="{00000000-0005-0000-0000-000085020000}"/>
    <cellStyle name="計算 2 3 3 2" xfId="642" xr:uid="{00000000-0005-0000-0000-000086020000}"/>
    <cellStyle name="計算 2 3 3 2 2" xfId="643" xr:uid="{00000000-0005-0000-0000-000087020000}"/>
    <cellStyle name="計算 2 3 3 2 2 2" xfId="644" xr:uid="{00000000-0005-0000-0000-000088020000}"/>
    <cellStyle name="計算 2 3 3 2 2 2 2" xfId="645" xr:uid="{00000000-0005-0000-0000-000089020000}"/>
    <cellStyle name="計算 2 3 3 2 2 3" xfId="646" xr:uid="{00000000-0005-0000-0000-00008A020000}"/>
    <cellStyle name="計算 2 3 3 2 3" xfId="647" xr:uid="{00000000-0005-0000-0000-00008B020000}"/>
    <cellStyle name="計算 2 3 3 3" xfId="648" xr:uid="{00000000-0005-0000-0000-00008C020000}"/>
    <cellStyle name="計算 2 3 3 3 2" xfId="649" xr:uid="{00000000-0005-0000-0000-00008D020000}"/>
    <cellStyle name="計算 2 3 3 3 2 2" xfId="650" xr:uid="{00000000-0005-0000-0000-00008E020000}"/>
    <cellStyle name="計算 2 3 3 3 3" xfId="651" xr:uid="{00000000-0005-0000-0000-00008F020000}"/>
    <cellStyle name="計算 2 3 3 4" xfId="652" xr:uid="{00000000-0005-0000-0000-000090020000}"/>
    <cellStyle name="計算 2 4" xfId="653" xr:uid="{00000000-0005-0000-0000-000091020000}"/>
    <cellStyle name="計算 2 4 2" xfId="654" xr:uid="{00000000-0005-0000-0000-000092020000}"/>
    <cellStyle name="計算 2 4 2 2" xfId="655" xr:uid="{00000000-0005-0000-0000-000093020000}"/>
    <cellStyle name="計算 2 4 2 2 2" xfId="656" xr:uid="{00000000-0005-0000-0000-000094020000}"/>
    <cellStyle name="計算 2 4 2 2 2 2" xfId="657" xr:uid="{00000000-0005-0000-0000-000095020000}"/>
    <cellStyle name="計算 2 4 2 2 3" xfId="658" xr:uid="{00000000-0005-0000-0000-000096020000}"/>
    <cellStyle name="計算 2 4 2 3" xfId="659" xr:uid="{00000000-0005-0000-0000-000097020000}"/>
    <cellStyle name="計算 2 5" xfId="660" xr:uid="{00000000-0005-0000-0000-000098020000}"/>
    <cellStyle name="計算 2 5 2" xfId="661" xr:uid="{00000000-0005-0000-0000-000099020000}"/>
    <cellStyle name="計算 2 5 2 2" xfId="662" xr:uid="{00000000-0005-0000-0000-00009A020000}"/>
    <cellStyle name="計算 2 5 2 2 2" xfId="663" xr:uid="{00000000-0005-0000-0000-00009B020000}"/>
    <cellStyle name="計算 2 5 2 2 2 2" xfId="664" xr:uid="{00000000-0005-0000-0000-00009C020000}"/>
    <cellStyle name="計算 2 5 2 2 3" xfId="665" xr:uid="{00000000-0005-0000-0000-00009D020000}"/>
    <cellStyle name="計算 2 5 2 3" xfId="666" xr:uid="{00000000-0005-0000-0000-00009E020000}"/>
    <cellStyle name="計算 2 5 3" xfId="667" xr:uid="{00000000-0005-0000-0000-00009F020000}"/>
    <cellStyle name="計算 2 5 3 2" xfId="668" xr:uid="{00000000-0005-0000-0000-0000A0020000}"/>
    <cellStyle name="計算 2 5 3 2 2" xfId="669" xr:uid="{00000000-0005-0000-0000-0000A1020000}"/>
    <cellStyle name="計算 2 5 3 3" xfId="670" xr:uid="{00000000-0005-0000-0000-0000A2020000}"/>
    <cellStyle name="計算 2 5 4" xfId="671" xr:uid="{00000000-0005-0000-0000-0000A3020000}"/>
    <cellStyle name="警告文 2" xfId="673" xr:uid="{00000000-0005-0000-0000-0000A5020000}"/>
    <cellStyle name="桁区切り 2" xfId="579" xr:uid="{00000000-0005-0000-0000-000047020000}"/>
    <cellStyle name="桁区切り 3" xfId="580" xr:uid="{00000000-0005-0000-0000-000048020000}"/>
    <cellStyle name="桁区切り 4" xfId="581" xr:uid="{00000000-0005-0000-0000-000049020000}"/>
    <cellStyle name="見出し 1 2" xfId="608" xr:uid="{00000000-0005-0000-0000-000064020000}"/>
    <cellStyle name="見出し 2 2" xfId="609" xr:uid="{00000000-0005-0000-0000-000065020000}"/>
    <cellStyle name="見出し 3 2" xfId="610" xr:uid="{00000000-0005-0000-0000-000066020000}"/>
    <cellStyle name="見出し 4 2" xfId="611" xr:uid="{00000000-0005-0000-0000-000067020000}"/>
    <cellStyle name="集計 2" xfId="674" xr:uid="{00000000-0005-0000-0000-0000A6020000}"/>
    <cellStyle name="集計 2 2" xfId="675" xr:uid="{00000000-0005-0000-0000-0000A7020000}"/>
    <cellStyle name="集計 2 2 2" xfId="676" xr:uid="{00000000-0005-0000-0000-0000A8020000}"/>
    <cellStyle name="集計 2 2 2 2" xfId="677" xr:uid="{00000000-0005-0000-0000-0000A9020000}"/>
    <cellStyle name="集計 2 2 2 2 2" xfId="678" xr:uid="{00000000-0005-0000-0000-0000AA020000}"/>
    <cellStyle name="集計 2 2 2 2 2 2" xfId="679" xr:uid="{00000000-0005-0000-0000-0000AB020000}"/>
    <cellStyle name="集計 2 2 2 2 2 2 2" xfId="680" xr:uid="{00000000-0005-0000-0000-0000AC020000}"/>
    <cellStyle name="集計 2 2 2 2 2 3" xfId="681" xr:uid="{00000000-0005-0000-0000-0000AD020000}"/>
    <cellStyle name="集計 2 2 2 2 3" xfId="682" xr:uid="{00000000-0005-0000-0000-0000AE020000}"/>
    <cellStyle name="集計 2 2 2 3" xfId="683" xr:uid="{00000000-0005-0000-0000-0000AF020000}"/>
    <cellStyle name="集計 2 2 2 3 2" xfId="684" xr:uid="{00000000-0005-0000-0000-0000B0020000}"/>
    <cellStyle name="集計 2 2 2 3 2 2" xfId="685" xr:uid="{00000000-0005-0000-0000-0000B1020000}"/>
    <cellStyle name="集計 2 2 2 3 3" xfId="686" xr:uid="{00000000-0005-0000-0000-0000B2020000}"/>
    <cellStyle name="集計 2 2 2 4" xfId="687" xr:uid="{00000000-0005-0000-0000-0000B3020000}"/>
    <cellStyle name="集計 2 2 3" xfId="688" xr:uid="{00000000-0005-0000-0000-0000B4020000}"/>
    <cellStyle name="集計 2 2 3 2" xfId="689" xr:uid="{00000000-0005-0000-0000-0000B5020000}"/>
    <cellStyle name="集計 2 2 3 2 2" xfId="690" xr:uid="{00000000-0005-0000-0000-0000B6020000}"/>
    <cellStyle name="集計 2 2 3 2 2 2" xfId="691" xr:uid="{00000000-0005-0000-0000-0000B7020000}"/>
    <cellStyle name="集計 2 2 3 2 3" xfId="692" xr:uid="{00000000-0005-0000-0000-0000B8020000}"/>
    <cellStyle name="集計 2 2 3 3" xfId="693" xr:uid="{00000000-0005-0000-0000-0000B9020000}"/>
    <cellStyle name="集計 2 2 4" xfId="694" xr:uid="{00000000-0005-0000-0000-0000BA020000}"/>
    <cellStyle name="集計 2 2 4 2" xfId="695" xr:uid="{00000000-0005-0000-0000-0000BB020000}"/>
    <cellStyle name="集計 2 2 4 2 2" xfId="696" xr:uid="{00000000-0005-0000-0000-0000BC020000}"/>
    <cellStyle name="集計 2 2 4 3" xfId="697" xr:uid="{00000000-0005-0000-0000-0000BD020000}"/>
    <cellStyle name="集計 2 2 5" xfId="698" xr:uid="{00000000-0005-0000-0000-0000BE020000}"/>
    <cellStyle name="集計 2 3" xfId="699" xr:uid="{00000000-0005-0000-0000-0000BF020000}"/>
    <cellStyle name="集計 2 3 2" xfId="700" xr:uid="{00000000-0005-0000-0000-0000C0020000}"/>
    <cellStyle name="集計 2 3 2 2" xfId="701" xr:uid="{00000000-0005-0000-0000-0000C1020000}"/>
    <cellStyle name="集計 2 3 2 2 2" xfId="702" xr:uid="{00000000-0005-0000-0000-0000C2020000}"/>
    <cellStyle name="集計 2 3 2 2 2 2" xfId="703" xr:uid="{00000000-0005-0000-0000-0000C3020000}"/>
    <cellStyle name="集計 2 3 2 2 2 2 2" xfId="704" xr:uid="{00000000-0005-0000-0000-0000C4020000}"/>
    <cellStyle name="集計 2 3 2 2 2 3" xfId="705" xr:uid="{00000000-0005-0000-0000-0000C5020000}"/>
    <cellStyle name="集計 2 3 2 2 3" xfId="706" xr:uid="{00000000-0005-0000-0000-0000C6020000}"/>
    <cellStyle name="集計 2 3 2 3" xfId="707" xr:uid="{00000000-0005-0000-0000-0000C7020000}"/>
    <cellStyle name="集計 2 3 2 3 2" xfId="708" xr:uid="{00000000-0005-0000-0000-0000C8020000}"/>
    <cellStyle name="集計 2 3 2 3 2 2" xfId="709" xr:uid="{00000000-0005-0000-0000-0000C9020000}"/>
    <cellStyle name="集計 2 3 2 3 3" xfId="710" xr:uid="{00000000-0005-0000-0000-0000CA020000}"/>
    <cellStyle name="集計 2 3 2 4" xfId="711" xr:uid="{00000000-0005-0000-0000-0000CB020000}"/>
    <cellStyle name="集計 2 3 3" xfId="712" xr:uid="{00000000-0005-0000-0000-0000CC020000}"/>
    <cellStyle name="集計 2 3 3 2" xfId="713" xr:uid="{00000000-0005-0000-0000-0000CD020000}"/>
    <cellStyle name="集計 2 3 3 2 2" xfId="714" xr:uid="{00000000-0005-0000-0000-0000CE020000}"/>
    <cellStyle name="集計 2 3 3 2 2 2" xfId="715" xr:uid="{00000000-0005-0000-0000-0000CF020000}"/>
    <cellStyle name="集計 2 3 3 2 3" xfId="716" xr:uid="{00000000-0005-0000-0000-0000D0020000}"/>
    <cellStyle name="集計 2 3 3 3" xfId="717" xr:uid="{00000000-0005-0000-0000-0000D1020000}"/>
    <cellStyle name="集計 2 3 4" xfId="718" xr:uid="{00000000-0005-0000-0000-0000D2020000}"/>
    <cellStyle name="集計 2 3 4 2" xfId="719" xr:uid="{00000000-0005-0000-0000-0000D3020000}"/>
    <cellStyle name="集計 2 3 4 2 2" xfId="720" xr:uid="{00000000-0005-0000-0000-0000D4020000}"/>
    <cellStyle name="集計 2 3 4 3" xfId="721" xr:uid="{00000000-0005-0000-0000-0000D5020000}"/>
    <cellStyle name="集計 2 3 5" xfId="722" xr:uid="{00000000-0005-0000-0000-0000D6020000}"/>
    <cellStyle name="集計 2 4" xfId="723" xr:uid="{00000000-0005-0000-0000-0000D7020000}"/>
    <cellStyle name="集計 2 4 2" xfId="724" xr:uid="{00000000-0005-0000-0000-0000D8020000}"/>
    <cellStyle name="集計 2 4 2 2" xfId="725" xr:uid="{00000000-0005-0000-0000-0000D9020000}"/>
    <cellStyle name="集計 2 4 2 2 2" xfId="726" xr:uid="{00000000-0005-0000-0000-0000DA020000}"/>
    <cellStyle name="集計 2 4 2 2 2 2" xfId="727" xr:uid="{00000000-0005-0000-0000-0000DB020000}"/>
    <cellStyle name="集計 2 4 2 2 3" xfId="728" xr:uid="{00000000-0005-0000-0000-0000DC020000}"/>
    <cellStyle name="集計 2 4 2 3" xfId="729" xr:uid="{00000000-0005-0000-0000-0000DD020000}"/>
    <cellStyle name="集計 2 4 3" xfId="730" xr:uid="{00000000-0005-0000-0000-0000DE020000}"/>
    <cellStyle name="集計 2 4 3 2" xfId="731" xr:uid="{00000000-0005-0000-0000-0000DF020000}"/>
    <cellStyle name="集計 2 4 3 2 2" xfId="732" xr:uid="{00000000-0005-0000-0000-0000E0020000}"/>
    <cellStyle name="集計 2 4 3 3" xfId="733" xr:uid="{00000000-0005-0000-0000-0000E1020000}"/>
    <cellStyle name="集計 2 4 4" xfId="734" xr:uid="{00000000-0005-0000-0000-0000E2020000}"/>
    <cellStyle name="集計 2 5" xfId="735" xr:uid="{00000000-0005-0000-0000-0000E3020000}"/>
    <cellStyle name="集計 2 5 2" xfId="736" xr:uid="{00000000-0005-0000-0000-0000E4020000}"/>
    <cellStyle name="集計 2 5 2 2" xfId="737" xr:uid="{00000000-0005-0000-0000-0000E5020000}"/>
    <cellStyle name="集計 2 5 2 2 2" xfId="738" xr:uid="{00000000-0005-0000-0000-0000E6020000}"/>
    <cellStyle name="集計 2 5 2 3" xfId="739" xr:uid="{00000000-0005-0000-0000-0000E7020000}"/>
    <cellStyle name="集計 2 5 3" xfId="740" xr:uid="{00000000-0005-0000-0000-0000E8020000}"/>
    <cellStyle name="集計 2 6" xfId="741" xr:uid="{00000000-0005-0000-0000-0000E9020000}"/>
    <cellStyle name="集計 2 6 2" xfId="742" xr:uid="{00000000-0005-0000-0000-0000EA020000}"/>
    <cellStyle name="集計 2 6 2 2" xfId="743" xr:uid="{00000000-0005-0000-0000-0000EB020000}"/>
    <cellStyle name="集計 2 6 3" xfId="744" xr:uid="{00000000-0005-0000-0000-0000EC020000}"/>
    <cellStyle name="集計 2 7" xfId="745" xr:uid="{00000000-0005-0000-0000-0000ED020000}"/>
    <cellStyle name="出力 2" xfId="505" xr:uid="{00000000-0005-0000-0000-0000FD010000}"/>
    <cellStyle name="出力 2 2" xfId="506" xr:uid="{00000000-0005-0000-0000-0000FE010000}"/>
    <cellStyle name="出力 2 2 2" xfId="507" xr:uid="{00000000-0005-0000-0000-0000FF010000}"/>
    <cellStyle name="出力 2 2 2 2" xfId="508" xr:uid="{00000000-0005-0000-0000-000000020000}"/>
    <cellStyle name="出力 2 2 2 2 2" xfId="509" xr:uid="{00000000-0005-0000-0000-000001020000}"/>
    <cellStyle name="出力 2 2 2 2 2 2" xfId="510" xr:uid="{00000000-0005-0000-0000-000002020000}"/>
    <cellStyle name="出力 2 2 2 2 2 2 2" xfId="511" xr:uid="{00000000-0005-0000-0000-000003020000}"/>
    <cellStyle name="出力 2 2 2 2 2 3" xfId="512" xr:uid="{00000000-0005-0000-0000-000004020000}"/>
    <cellStyle name="出力 2 2 2 2 3" xfId="513" xr:uid="{00000000-0005-0000-0000-000005020000}"/>
    <cellStyle name="出力 2 2 2 3" xfId="514" xr:uid="{00000000-0005-0000-0000-000006020000}"/>
    <cellStyle name="出力 2 2 2 3 2" xfId="515" xr:uid="{00000000-0005-0000-0000-000007020000}"/>
    <cellStyle name="出力 2 2 2 3 2 2" xfId="516" xr:uid="{00000000-0005-0000-0000-000008020000}"/>
    <cellStyle name="出力 2 2 2 3 3" xfId="517" xr:uid="{00000000-0005-0000-0000-000009020000}"/>
    <cellStyle name="出力 2 2 2 4" xfId="518" xr:uid="{00000000-0005-0000-0000-00000A020000}"/>
    <cellStyle name="出力 2 2 3" xfId="519" xr:uid="{00000000-0005-0000-0000-00000B020000}"/>
    <cellStyle name="出力 2 2 3 2" xfId="520" xr:uid="{00000000-0005-0000-0000-00000C020000}"/>
    <cellStyle name="出力 2 2 3 2 2" xfId="521" xr:uid="{00000000-0005-0000-0000-00000D020000}"/>
    <cellStyle name="出力 2 2 3 2 2 2" xfId="522" xr:uid="{00000000-0005-0000-0000-00000E020000}"/>
    <cellStyle name="出力 2 2 3 2 3" xfId="523" xr:uid="{00000000-0005-0000-0000-00000F020000}"/>
    <cellStyle name="出力 2 2 3 3" xfId="524" xr:uid="{00000000-0005-0000-0000-000010020000}"/>
    <cellStyle name="出力 2 2 4" xfId="525" xr:uid="{00000000-0005-0000-0000-000011020000}"/>
    <cellStyle name="出力 2 2 4 2" xfId="526" xr:uid="{00000000-0005-0000-0000-000012020000}"/>
    <cellStyle name="出力 2 2 4 2 2" xfId="527" xr:uid="{00000000-0005-0000-0000-000013020000}"/>
    <cellStyle name="出力 2 2 4 3" xfId="528" xr:uid="{00000000-0005-0000-0000-000014020000}"/>
    <cellStyle name="出力 2 2 5" xfId="529" xr:uid="{00000000-0005-0000-0000-000015020000}"/>
    <cellStyle name="出力 2 3" xfId="530" xr:uid="{00000000-0005-0000-0000-000016020000}"/>
    <cellStyle name="出力 2 3 2" xfId="531" xr:uid="{00000000-0005-0000-0000-000017020000}"/>
    <cellStyle name="出力 2 3 2 2" xfId="532" xr:uid="{00000000-0005-0000-0000-000018020000}"/>
    <cellStyle name="出力 2 3 2 2 2" xfId="533" xr:uid="{00000000-0005-0000-0000-000019020000}"/>
    <cellStyle name="出力 2 3 2 2 2 2" xfId="534" xr:uid="{00000000-0005-0000-0000-00001A020000}"/>
    <cellStyle name="出力 2 3 2 2 2 2 2" xfId="535" xr:uid="{00000000-0005-0000-0000-00001B020000}"/>
    <cellStyle name="出力 2 3 2 2 2 3" xfId="536" xr:uid="{00000000-0005-0000-0000-00001C020000}"/>
    <cellStyle name="出力 2 3 2 2 3" xfId="537" xr:uid="{00000000-0005-0000-0000-00001D020000}"/>
    <cellStyle name="出力 2 3 2 3" xfId="538" xr:uid="{00000000-0005-0000-0000-00001E020000}"/>
    <cellStyle name="出力 2 3 2 3 2" xfId="539" xr:uid="{00000000-0005-0000-0000-00001F020000}"/>
    <cellStyle name="出力 2 3 2 3 2 2" xfId="540" xr:uid="{00000000-0005-0000-0000-000020020000}"/>
    <cellStyle name="出力 2 3 2 3 3" xfId="541" xr:uid="{00000000-0005-0000-0000-000021020000}"/>
    <cellStyle name="出力 2 3 2 4" xfId="542" xr:uid="{00000000-0005-0000-0000-000022020000}"/>
    <cellStyle name="出力 2 3 3" xfId="543" xr:uid="{00000000-0005-0000-0000-000023020000}"/>
    <cellStyle name="出力 2 3 3 2" xfId="544" xr:uid="{00000000-0005-0000-0000-000024020000}"/>
    <cellStyle name="出力 2 3 3 2 2" xfId="545" xr:uid="{00000000-0005-0000-0000-000025020000}"/>
    <cellStyle name="出力 2 3 3 2 2 2" xfId="546" xr:uid="{00000000-0005-0000-0000-000026020000}"/>
    <cellStyle name="出力 2 3 3 2 3" xfId="547" xr:uid="{00000000-0005-0000-0000-000027020000}"/>
    <cellStyle name="出力 2 3 3 3" xfId="548" xr:uid="{00000000-0005-0000-0000-000028020000}"/>
    <cellStyle name="出力 2 3 4" xfId="549" xr:uid="{00000000-0005-0000-0000-000029020000}"/>
    <cellStyle name="出力 2 3 4 2" xfId="550" xr:uid="{00000000-0005-0000-0000-00002A020000}"/>
    <cellStyle name="出力 2 3 4 2 2" xfId="551" xr:uid="{00000000-0005-0000-0000-00002B020000}"/>
    <cellStyle name="出力 2 3 4 3" xfId="552" xr:uid="{00000000-0005-0000-0000-00002C020000}"/>
    <cellStyle name="出力 2 3 5" xfId="553" xr:uid="{00000000-0005-0000-0000-00002D020000}"/>
    <cellStyle name="出力 2 4" xfId="554" xr:uid="{00000000-0005-0000-0000-00002E020000}"/>
    <cellStyle name="出力 2 4 2" xfId="555" xr:uid="{00000000-0005-0000-0000-00002F020000}"/>
    <cellStyle name="出力 2 4 2 2" xfId="556" xr:uid="{00000000-0005-0000-0000-000030020000}"/>
    <cellStyle name="出力 2 4 2 2 2" xfId="557" xr:uid="{00000000-0005-0000-0000-000031020000}"/>
    <cellStyle name="出力 2 4 2 2 2 2" xfId="558" xr:uid="{00000000-0005-0000-0000-000032020000}"/>
    <cellStyle name="出力 2 4 2 2 3" xfId="559" xr:uid="{00000000-0005-0000-0000-000033020000}"/>
    <cellStyle name="出力 2 4 2 3" xfId="560" xr:uid="{00000000-0005-0000-0000-000034020000}"/>
    <cellStyle name="出力 2 4 3" xfId="561" xr:uid="{00000000-0005-0000-0000-000035020000}"/>
    <cellStyle name="出力 2 4 3 2" xfId="562" xr:uid="{00000000-0005-0000-0000-000036020000}"/>
    <cellStyle name="出力 2 4 3 2 2" xfId="563" xr:uid="{00000000-0005-0000-0000-000037020000}"/>
    <cellStyle name="出力 2 4 3 3" xfId="564" xr:uid="{00000000-0005-0000-0000-000038020000}"/>
    <cellStyle name="出力 2 4 4" xfId="565" xr:uid="{00000000-0005-0000-0000-000039020000}"/>
    <cellStyle name="出力 2 5" xfId="566" xr:uid="{00000000-0005-0000-0000-00003A020000}"/>
    <cellStyle name="出力 2 5 2" xfId="567" xr:uid="{00000000-0005-0000-0000-00003B020000}"/>
    <cellStyle name="出力 2 5 2 2" xfId="568" xr:uid="{00000000-0005-0000-0000-00003C020000}"/>
    <cellStyle name="出力 2 5 2 2 2" xfId="569" xr:uid="{00000000-0005-0000-0000-00003D020000}"/>
    <cellStyle name="出力 2 5 2 3" xfId="570" xr:uid="{00000000-0005-0000-0000-00003E020000}"/>
    <cellStyle name="出力 2 5 3" xfId="571" xr:uid="{00000000-0005-0000-0000-00003F020000}"/>
    <cellStyle name="出力 2 6" xfId="572" xr:uid="{00000000-0005-0000-0000-000040020000}"/>
    <cellStyle name="出力 2 6 2" xfId="573" xr:uid="{00000000-0005-0000-0000-000041020000}"/>
    <cellStyle name="出力 2 6 2 2" xfId="574" xr:uid="{00000000-0005-0000-0000-000042020000}"/>
    <cellStyle name="出力 2 6 3" xfId="575" xr:uid="{00000000-0005-0000-0000-000043020000}"/>
    <cellStyle name="出力 2 7" xfId="576" xr:uid="{00000000-0005-0000-0000-000044020000}"/>
    <cellStyle name="状態遷移図" xfId="606" xr:uid="{00000000-0005-0000-0000-000062020000}"/>
    <cellStyle name="説明文 2" xfId="672" xr:uid="{00000000-0005-0000-0000-0000A4020000}"/>
    <cellStyle name="入力 2" xfId="445" xr:uid="{00000000-0005-0000-0000-0000C1010000}"/>
    <cellStyle name="入力 2 2" xfId="446" xr:uid="{00000000-0005-0000-0000-0000C2010000}"/>
    <cellStyle name="入力 2 2 2" xfId="447" xr:uid="{00000000-0005-0000-0000-0000C3010000}"/>
    <cellStyle name="入力 2 2 2 2" xfId="448" xr:uid="{00000000-0005-0000-0000-0000C4010000}"/>
    <cellStyle name="入力 2 2 2 2 2" xfId="449" xr:uid="{00000000-0005-0000-0000-0000C5010000}"/>
    <cellStyle name="入力 2 2 2 2 2 2" xfId="450" xr:uid="{00000000-0005-0000-0000-0000C6010000}"/>
    <cellStyle name="入力 2 2 2 2 2 2 2" xfId="451" xr:uid="{00000000-0005-0000-0000-0000C7010000}"/>
    <cellStyle name="入力 2 2 2 2 2 3" xfId="452" xr:uid="{00000000-0005-0000-0000-0000C8010000}"/>
    <cellStyle name="入力 2 2 2 2 3" xfId="453" xr:uid="{00000000-0005-0000-0000-0000C9010000}"/>
    <cellStyle name="入力 2 2 3" xfId="454" xr:uid="{00000000-0005-0000-0000-0000CA010000}"/>
    <cellStyle name="入力 2 2 3 2" xfId="455" xr:uid="{00000000-0005-0000-0000-0000CB010000}"/>
    <cellStyle name="入力 2 2 3 2 2" xfId="456" xr:uid="{00000000-0005-0000-0000-0000CC010000}"/>
    <cellStyle name="入力 2 2 3 2 2 2" xfId="457" xr:uid="{00000000-0005-0000-0000-0000CD010000}"/>
    <cellStyle name="入力 2 2 3 2 2 2 2" xfId="458" xr:uid="{00000000-0005-0000-0000-0000CE010000}"/>
    <cellStyle name="入力 2 2 3 2 2 3" xfId="459" xr:uid="{00000000-0005-0000-0000-0000CF010000}"/>
    <cellStyle name="入力 2 2 3 2 3" xfId="460" xr:uid="{00000000-0005-0000-0000-0000D0010000}"/>
    <cellStyle name="入力 2 2 3 3" xfId="461" xr:uid="{00000000-0005-0000-0000-0000D1010000}"/>
    <cellStyle name="入力 2 2 3 3 2" xfId="462" xr:uid="{00000000-0005-0000-0000-0000D2010000}"/>
    <cellStyle name="入力 2 2 3 3 2 2" xfId="463" xr:uid="{00000000-0005-0000-0000-0000D3010000}"/>
    <cellStyle name="入力 2 2 3 3 3" xfId="464" xr:uid="{00000000-0005-0000-0000-0000D4010000}"/>
    <cellStyle name="入力 2 2 3 4" xfId="465" xr:uid="{00000000-0005-0000-0000-0000D5010000}"/>
    <cellStyle name="入力 2 3" xfId="466" xr:uid="{00000000-0005-0000-0000-0000D6010000}"/>
    <cellStyle name="入力 2 3 2" xfId="467" xr:uid="{00000000-0005-0000-0000-0000D7010000}"/>
    <cellStyle name="入力 2 3 2 2" xfId="468" xr:uid="{00000000-0005-0000-0000-0000D8010000}"/>
    <cellStyle name="入力 2 3 2 2 2" xfId="469" xr:uid="{00000000-0005-0000-0000-0000D9010000}"/>
    <cellStyle name="入力 2 3 2 2 2 2" xfId="470" xr:uid="{00000000-0005-0000-0000-0000DA010000}"/>
    <cellStyle name="入力 2 3 2 2 2 2 2" xfId="471" xr:uid="{00000000-0005-0000-0000-0000DB010000}"/>
    <cellStyle name="入力 2 3 2 2 2 3" xfId="472" xr:uid="{00000000-0005-0000-0000-0000DC010000}"/>
    <cellStyle name="入力 2 3 2 2 3" xfId="473" xr:uid="{00000000-0005-0000-0000-0000DD010000}"/>
    <cellStyle name="入力 2 3 3" xfId="474" xr:uid="{00000000-0005-0000-0000-0000DE010000}"/>
    <cellStyle name="入力 2 3 3 2" xfId="475" xr:uid="{00000000-0005-0000-0000-0000DF010000}"/>
    <cellStyle name="入力 2 3 3 2 2" xfId="476" xr:uid="{00000000-0005-0000-0000-0000E0010000}"/>
    <cellStyle name="入力 2 3 3 2 2 2" xfId="477" xr:uid="{00000000-0005-0000-0000-0000E1010000}"/>
    <cellStyle name="入力 2 3 3 2 2 2 2" xfId="478" xr:uid="{00000000-0005-0000-0000-0000E2010000}"/>
    <cellStyle name="入力 2 3 3 2 2 3" xfId="479" xr:uid="{00000000-0005-0000-0000-0000E3010000}"/>
    <cellStyle name="入力 2 3 3 2 3" xfId="480" xr:uid="{00000000-0005-0000-0000-0000E4010000}"/>
    <cellStyle name="入力 2 3 3 3" xfId="481" xr:uid="{00000000-0005-0000-0000-0000E5010000}"/>
    <cellStyle name="入力 2 3 3 3 2" xfId="482" xr:uid="{00000000-0005-0000-0000-0000E6010000}"/>
    <cellStyle name="入力 2 3 3 3 2 2" xfId="483" xr:uid="{00000000-0005-0000-0000-0000E7010000}"/>
    <cellStyle name="入力 2 3 3 3 3" xfId="484" xr:uid="{00000000-0005-0000-0000-0000E8010000}"/>
    <cellStyle name="入力 2 3 3 4" xfId="485" xr:uid="{00000000-0005-0000-0000-0000E9010000}"/>
    <cellStyle name="入力 2 4" xfId="486" xr:uid="{00000000-0005-0000-0000-0000EA010000}"/>
    <cellStyle name="入力 2 4 2" xfId="487" xr:uid="{00000000-0005-0000-0000-0000EB010000}"/>
    <cellStyle name="入力 2 4 2 2" xfId="488" xr:uid="{00000000-0005-0000-0000-0000EC010000}"/>
    <cellStyle name="入力 2 4 2 2 2" xfId="489" xr:uid="{00000000-0005-0000-0000-0000ED010000}"/>
    <cellStyle name="入力 2 4 2 2 2 2" xfId="490" xr:uid="{00000000-0005-0000-0000-0000EE010000}"/>
    <cellStyle name="入力 2 4 2 2 3" xfId="491" xr:uid="{00000000-0005-0000-0000-0000EF010000}"/>
    <cellStyle name="入力 2 4 2 3" xfId="492" xr:uid="{00000000-0005-0000-0000-0000F0010000}"/>
    <cellStyle name="入力 2 5" xfId="493" xr:uid="{00000000-0005-0000-0000-0000F1010000}"/>
    <cellStyle name="入力 2 5 2" xfId="494" xr:uid="{00000000-0005-0000-0000-0000F2010000}"/>
    <cellStyle name="入力 2 5 2 2" xfId="495" xr:uid="{00000000-0005-0000-0000-0000F3010000}"/>
    <cellStyle name="入力 2 5 2 2 2" xfId="496" xr:uid="{00000000-0005-0000-0000-0000F4010000}"/>
    <cellStyle name="入力 2 5 2 2 2 2" xfId="497" xr:uid="{00000000-0005-0000-0000-0000F5010000}"/>
    <cellStyle name="入力 2 5 2 2 3" xfId="498" xr:uid="{00000000-0005-0000-0000-0000F6010000}"/>
    <cellStyle name="入力 2 5 2 3" xfId="499" xr:uid="{00000000-0005-0000-0000-0000F7010000}"/>
    <cellStyle name="入力 2 5 3" xfId="500" xr:uid="{00000000-0005-0000-0000-0000F8010000}"/>
    <cellStyle name="入力 2 5 3 2" xfId="501" xr:uid="{00000000-0005-0000-0000-0000F9010000}"/>
    <cellStyle name="入力 2 5 3 2 2" xfId="502" xr:uid="{00000000-0005-0000-0000-0000FA010000}"/>
    <cellStyle name="入力 2 5 3 3" xfId="503" xr:uid="{00000000-0005-0000-0000-0000FB010000}"/>
    <cellStyle name="入力 2 5 4" xfId="504" xr:uid="{00000000-0005-0000-0000-0000FC010000}"/>
    <cellStyle name="標準" xfId="0" builtinId="0"/>
    <cellStyle name="標準 10" xfId="582" xr:uid="{00000000-0005-0000-0000-00004A020000}"/>
    <cellStyle name="標準 11" xfId="583" xr:uid="{00000000-0005-0000-0000-00004B020000}"/>
    <cellStyle name="標準 11 2" xfId="584" xr:uid="{00000000-0005-0000-0000-00004C020000}"/>
    <cellStyle name="標準 12" xfId="585" xr:uid="{00000000-0005-0000-0000-00004D020000}"/>
    <cellStyle name="標準 2" xfId="586" xr:uid="{00000000-0005-0000-0000-00004E020000}"/>
    <cellStyle name="標準 2 2" xfId="587" xr:uid="{00000000-0005-0000-0000-00004F020000}"/>
    <cellStyle name="標準 2 2 2" xfId="588" xr:uid="{00000000-0005-0000-0000-000050020000}"/>
    <cellStyle name="標準 2 2 3" xfId="589" xr:uid="{00000000-0005-0000-0000-000051020000}"/>
    <cellStyle name="標準 2 3" xfId="590" xr:uid="{00000000-0005-0000-0000-000052020000}"/>
    <cellStyle name="標準 2 4" xfId="591" xr:uid="{00000000-0005-0000-0000-000053020000}"/>
    <cellStyle name="標準 2 5" xfId="592" xr:uid="{00000000-0005-0000-0000-000054020000}"/>
    <cellStyle name="標準 2_デモ／空メールエントリーシステム＿メモ" xfId="593" xr:uid="{00000000-0005-0000-0000-000055020000}"/>
    <cellStyle name="標準 3" xfId="594" xr:uid="{00000000-0005-0000-0000-000056020000}"/>
    <cellStyle name="標準 3 2" xfId="595" xr:uid="{00000000-0005-0000-0000-000057020000}"/>
    <cellStyle name="標準 4" xfId="596" xr:uid="{00000000-0005-0000-0000-000058020000}"/>
    <cellStyle name="標準 4 2" xfId="597" xr:uid="{00000000-0005-0000-0000-000059020000}"/>
    <cellStyle name="標準 5" xfId="598" xr:uid="{00000000-0005-0000-0000-00005A020000}"/>
    <cellStyle name="標準 5 2" xfId="599" xr:uid="{00000000-0005-0000-0000-00005B020000}"/>
    <cellStyle name="標準 6" xfId="600" xr:uid="{00000000-0005-0000-0000-00005C020000}"/>
    <cellStyle name="標準 7" xfId="601" xr:uid="{00000000-0005-0000-0000-00005D020000}"/>
    <cellStyle name="標準 8" xfId="602" xr:uid="{00000000-0005-0000-0000-00005E020000}"/>
    <cellStyle name="標準 9" xfId="603" xr:uid="{00000000-0005-0000-0000-00005F020000}"/>
    <cellStyle name="標準_開発計画_110720_v11" xfId="605" xr:uid="{00000000-0005-0000-0000-000061020000}"/>
    <cellStyle name="標準_朝日生命_バースデーキャンペーン_DB設計書_080415_社内_情報活用セミナー_Createテキストデータ設計書_081107-2" xfId="604" xr:uid="{00000000-0005-0000-0000-000060020000}"/>
    <cellStyle name="未定義" xfId="578" xr:uid="{00000000-0005-0000-0000-000046020000}"/>
    <cellStyle name="良い 2" xfId="607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C0"/>
      <rgbColor rgb="FF767171"/>
      <rgbColor rgb="FF800080"/>
      <rgbColor rgb="FF0563C1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B11FD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FF45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19800</xdr:rowOff>
    </xdr:from>
    <xdr:to>
      <xdr:col>52</xdr:col>
      <xdr:colOff>142560</xdr:colOff>
      <xdr:row>34</xdr:row>
      <xdr:rowOff>19800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0109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46</xdr:col>
      <xdr:colOff>88209</xdr:colOff>
      <xdr:row>3</xdr:row>
      <xdr:rowOff>73440</xdr:rowOff>
    </xdr:from>
    <xdr:to>
      <xdr:col>58</xdr:col>
      <xdr:colOff>25929</xdr:colOff>
      <xdr:row>7</xdr:row>
      <xdr:rowOff>111600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347760" y="587880"/>
          <a:ext cx="2353320" cy="723960"/>
        </a:xfrm>
        <a:prstGeom prst="wedgeRectCallout">
          <a:avLst>
            <a:gd name="adj1" fmla="val -81773"/>
            <a:gd name="adj2" fmla="val 33972"/>
          </a:avLst>
        </a:prstGeom>
        <a:solidFill>
          <a:srgbClr val="696969"/>
        </a:solidFill>
        <a:ln w="0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0" strike="noStrike" spc="-1">
              <a:solidFill>
                <a:srgbClr val="FFFFFF"/>
              </a:solidFill>
              <a:latin typeface="メイリオ"/>
              <a:ea typeface="メイリオ"/>
            </a:rPr>
            <a:t>Ctrl</a:t>
          </a:r>
          <a:r>
            <a:rPr lang="ja-JP" sz="1200" b="0" strike="noStrike" spc="-1">
              <a:solidFill>
                <a:srgbClr val="FFFFFF"/>
              </a:solidFill>
              <a:latin typeface="メイリオ"/>
              <a:ea typeface="メイリオ"/>
            </a:rPr>
            <a:t>キー押しながら クリックで</a:t>
          </a:r>
          <a:endParaRPr lang="en-US" sz="1200" b="0" strike="noStrike" spc="-1">
            <a:latin typeface="游明朝"/>
          </a:endParaRPr>
        </a:p>
        <a:p>
          <a:pPr algn="ctr">
            <a:lnSpc>
              <a:spcPct val="100000"/>
            </a:lnSpc>
          </a:pPr>
          <a:r>
            <a:rPr lang="ja-JP" sz="1200" b="0" strike="noStrike" spc="-1">
              <a:solidFill>
                <a:srgbClr val="FFFFFF"/>
              </a:solidFill>
              <a:latin typeface="メイリオ"/>
              <a:ea typeface="メイリオ"/>
            </a:rPr>
            <a:t>該当シートへジャンプ</a:t>
          </a:r>
          <a:endParaRPr lang="en-US" sz="1200" b="0" strike="noStrike" spc="-1">
            <a:latin typeface="游明朝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showGridLines="0"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 ht="19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66" t="s">
        <v>0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66" t="s">
        <v>1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"/>
      <c r="P10" s="4"/>
      <c r="Q10" s="4"/>
      <c r="R10" s="4"/>
      <c r="S10" s="67" t="s">
        <v>2</v>
      </c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4"/>
      <c r="AL10" s="4"/>
      <c r="AM10" s="4"/>
      <c r="AN10" s="4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4"/>
      <c r="Y13" s="4"/>
      <c r="Z13" s="4"/>
      <c r="AA13" s="69"/>
      <c r="AB13" s="69"/>
      <c r="AC13" s="69"/>
      <c r="AD13" s="69"/>
      <c r="AE13" s="69"/>
      <c r="AF13" s="69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4"/>
      <c r="Y14" s="4"/>
      <c r="Z14" s="4"/>
      <c r="AA14" s="2"/>
      <c r="AB14" s="2"/>
      <c r="AC14" s="2"/>
      <c r="AD14" s="2"/>
      <c r="AE14" s="2"/>
      <c r="AF14" s="2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 t="str">
        <f>"第"&amp;TEXT(MAX(更新履歴!A8:I226),"#0.0")&amp;"版"</f>
        <v>第3.1版</v>
      </c>
      <c r="Y15" s="15"/>
      <c r="Z15" s="15"/>
      <c r="AA15" s="72">
        <f>MAX(更新履歴!J8:Q144)</f>
        <v>45313</v>
      </c>
      <c r="AB15" s="72"/>
      <c r="AC15" s="72"/>
      <c r="AD15" s="72"/>
      <c r="AE15" s="72"/>
      <c r="AF15" s="72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6"/>
      <c r="Y17" s="4"/>
      <c r="Z17" s="4"/>
      <c r="AA17" s="73"/>
      <c r="AB17" s="73"/>
      <c r="AC17" s="73"/>
      <c r="AD17" s="73"/>
      <c r="AE17" s="73"/>
      <c r="AF17" s="73"/>
      <c r="AG17" s="17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74" t="s">
        <v>3</v>
      </c>
      <c r="V18" s="74"/>
      <c r="W18" s="74"/>
      <c r="X18" s="74"/>
      <c r="Y18" s="74"/>
      <c r="Z18" s="75" t="s">
        <v>4</v>
      </c>
      <c r="AA18" s="75"/>
      <c r="AB18" s="75"/>
      <c r="AC18" s="75"/>
      <c r="AD18" s="75"/>
      <c r="AE18" s="74" t="s">
        <v>5</v>
      </c>
      <c r="AF18" s="74"/>
      <c r="AG18" s="74"/>
      <c r="AH18" s="74"/>
      <c r="AI18" s="7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70" t="s">
        <v>6</v>
      </c>
      <c r="V19" s="70"/>
      <c r="W19" s="70"/>
      <c r="X19" s="70"/>
      <c r="Y19" s="70"/>
      <c r="Z19" s="18"/>
      <c r="AA19" s="19"/>
      <c r="AB19" s="19"/>
      <c r="AC19" s="19"/>
      <c r="AD19" s="20"/>
      <c r="AE19" s="4"/>
      <c r="AF19" s="4"/>
      <c r="AG19" s="4"/>
      <c r="AH19" s="4"/>
      <c r="AI19" s="21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70"/>
      <c r="V20" s="70"/>
      <c r="W20" s="70"/>
      <c r="X20" s="70"/>
      <c r="Y20" s="70"/>
      <c r="Z20" s="22"/>
      <c r="AA20" s="4"/>
      <c r="AB20" s="4"/>
      <c r="AC20" s="4"/>
      <c r="AD20" s="21"/>
      <c r="AE20" s="4"/>
      <c r="AF20" s="4"/>
      <c r="AG20" s="4"/>
      <c r="AH20" s="4"/>
      <c r="AI20" s="21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70"/>
      <c r="V21" s="70"/>
      <c r="W21" s="70"/>
      <c r="X21" s="70"/>
      <c r="Y21" s="70"/>
      <c r="Z21" s="22"/>
      <c r="AA21" s="4"/>
      <c r="AB21" s="4"/>
      <c r="AC21" s="4"/>
      <c r="AD21" s="21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70"/>
      <c r="V22" s="70"/>
      <c r="W22" s="70"/>
      <c r="X22" s="70"/>
      <c r="Y22" s="70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2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27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S11:AJ11"/>
    <mergeCell ref="AA13:AF13"/>
  </mergeCells>
  <phoneticPr fontId="79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91"/>
  <sheetViews>
    <sheetView showGridLines="0" view="pageBreakPreview" zoomScaleNormal="85" workbookViewId="0">
      <pane ySplit="7" topLeftCell="A73" activePane="bottomLeft" state="frozen"/>
      <selection pane="bottomLeft" sqref="A1:I1"/>
    </sheetView>
  </sheetViews>
  <sheetFormatPr defaultColWidth="2.59765625" defaultRowHeight="18"/>
  <cols>
    <col min="1" max="55" width="2.59765625" style="28"/>
    <col min="56" max="16384" width="2.59765625" style="29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">
        <v>12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 t="str">
        <f>AT8</f>
        <v>臼井</v>
      </c>
      <c r="AK2" s="85"/>
      <c r="AL2" s="85"/>
      <c r="AM2" s="85"/>
      <c r="AN2" s="85"/>
      <c r="AO2" s="86">
        <f>J8</f>
        <v>44258</v>
      </c>
      <c r="AP2" s="86"/>
      <c r="AQ2" s="86"/>
      <c r="AR2" s="86"/>
      <c r="AS2" s="86"/>
      <c r="AT2" s="87" t="s">
        <v>826</v>
      </c>
      <c r="AU2" s="87"/>
      <c r="AV2" s="87"/>
      <c r="AW2" s="87"/>
      <c r="AX2" s="87"/>
      <c r="AY2" s="86">
        <v>45313</v>
      </c>
      <c r="AZ2" s="86"/>
      <c r="BA2" s="86"/>
      <c r="BB2" s="86"/>
      <c r="BC2" s="86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5"/>
      <c r="AL3" s="85"/>
      <c r="AM3" s="85"/>
      <c r="AN3" s="85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86"/>
      <c r="AZ3" s="86"/>
      <c r="BA3" s="86"/>
      <c r="BB3" s="86"/>
      <c r="BC3" s="86"/>
    </row>
    <row r="4" spans="1:55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2"/>
      <c r="N4" s="32"/>
      <c r="O4" s="32"/>
      <c r="Q4" s="33"/>
      <c r="R4" s="33"/>
      <c r="S4" s="33"/>
      <c r="AP4" s="32"/>
      <c r="AQ4" s="32"/>
      <c r="AR4" s="32"/>
      <c r="AS4" s="32"/>
      <c r="AT4" s="32"/>
      <c r="BC4" s="31"/>
    </row>
    <row r="5" spans="1:55" s="34" customFormat="1" ht="13.5" customHeight="1">
      <c r="A5" s="88" t="s">
        <v>14</v>
      </c>
      <c r="B5" s="88"/>
      <c r="C5" s="88"/>
      <c r="D5" s="88"/>
      <c r="E5" s="88"/>
      <c r="F5" s="88"/>
      <c r="G5" s="88"/>
      <c r="H5" s="88"/>
      <c r="I5" s="88"/>
      <c r="J5" s="89" t="s">
        <v>15</v>
      </c>
      <c r="K5" s="89"/>
      <c r="L5" s="89"/>
      <c r="M5" s="89"/>
      <c r="N5" s="89"/>
      <c r="O5" s="89"/>
      <c r="P5" s="89"/>
      <c r="Q5" s="89"/>
      <c r="R5" s="89" t="s">
        <v>16</v>
      </c>
      <c r="S5" s="89"/>
      <c r="T5" s="89"/>
      <c r="U5" s="89"/>
      <c r="V5" s="89" t="s">
        <v>17</v>
      </c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90" t="s">
        <v>18</v>
      </c>
      <c r="AU5" s="90"/>
      <c r="AV5" s="90"/>
      <c r="AW5" s="90"/>
      <c r="AX5" s="90"/>
      <c r="AY5" s="90"/>
      <c r="AZ5" s="90"/>
      <c r="BA5" s="90"/>
      <c r="BB5" s="90"/>
      <c r="BC5" s="90"/>
    </row>
    <row r="6" spans="1:55" s="35" customFormat="1" ht="13.5" customHeight="1">
      <c r="A6" s="88"/>
      <c r="B6" s="88"/>
      <c r="C6" s="88"/>
      <c r="D6" s="88"/>
      <c r="E6" s="88"/>
      <c r="F6" s="88"/>
      <c r="G6" s="88"/>
      <c r="H6" s="88"/>
      <c r="I6" s="88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90"/>
      <c r="AU6" s="90"/>
      <c r="AV6" s="90"/>
      <c r="AW6" s="90"/>
      <c r="AX6" s="90"/>
      <c r="AY6" s="90"/>
      <c r="AZ6" s="90"/>
      <c r="BA6" s="90"/>
      <c r="BB6" s="90"/>
      <c r="BC6" s="90"/>
    </row>
    <row r="7" spans="1:55" s="35" customFormat="1" ht="13.5" customHeight="1">
      <c r="A7" s="88"/>
      <c r="B7" s="88"/>
      <c r="C7" s="88"/>
      <c r="D7" s="88"/>
      <c r="E7" s="88"/>
      <c r="F7" s="88"/>
      <c r="G7" s="88"/>
      <c r="H7" s="88"/>
      <c r="I7" s="88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90"/>
      <c r="AU7" s="90"/>
      <c r="AV7" s="90"/>
      <c r="AW7" s="90"/>
      <c r="AX7" s="90"/>
      <c r="AY7" s="90"/>
      <c r="AZ7" s="90"/>
      <c r="BA7" s="90"/>
      <c r="BB7" s="90"/>
      <c r="BC7" s="90"/>
    </row>
    <row r="8" spans="1:55" s="35" customFormat="1" ht="13.5" customHeight="1">
      <c r="A8" s="91">
        <v>1</v>
      </c>
      <c r="B8" s="91"/>
      <c r="C8" s="91"/>
      <c r="D8" s="91"/>
      <c r="E8" s="91"/>
      <c r="F8" s="91"/>
      <c r="G8" s="91"/>
      <c r="H8" s="91"/>
      <c r="I8" s="91"/>
      <c r="J8" s="92">
        <v>44258</v>
      </c>
      <c r="K8" s="92"/>
      <c r="L8" s="92"/>
      <c r="M8" s="92"/>
      <c r="N8" s="92"/>
      <c r="O8" s="92"/>
      <c r="P8" s="92"/>
      <c r="Q8" s="92"/>
      <c r="R8" s="93" t="s">
        <v>19</v>
      </c>
      <c r="S8" s="93"/>
      <c r="T8" s="93"/>
      <c r="U8" s="93"/>
      <c r="V8" s="94" t="s">
        <v>20</v>
      </c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5" t="s">
        <v>6</v>
      </c>
      <c r="AU8" s="95"/>
      <c r="AV8" s="95"/>
      <c r="AW8" s="95"/>
      <c r="AX8" s="95"/>
      <c r="AY8" s="95"/>
      <c r="AZ8" s="95"/>
      <c r="BA8" s="95"/>
      <c r="BB8" s="95"/>
      <c r="BC8" s="95"/>
    </row>
    <row r="9" spans="1:55" s="35" customFormat="1" ht="13.5" customHeight="1">
      <c r="A9" s="91"/>
      <c r="B9" s="91"/>
      <c r="C9" s="91"/>
      <c r="D9" s="91"/>
      <c r="E9" s="91"/>
      <c r="F9" s="91"/>
      <c r="G9" s="91"/>
      <c r="H9" s="91"/>
      <c r="I9" s="91"/>
      <c r="J9" s="92"/>
      <c r="K9" s="92"/>
      <c r="L9" s="92"/>
      <c r="M9" s="92"/>
      <c r="N9" s="92"/>
      <c r="O9" s="92"/>
      <c r="P9" s="92"/>
      <c r="Q9" s="92"/>
      <c r="R9" s="93"/>
      <c r="S9" s="93"/>
      <c r="T9" s="93"/>
      <c r="U9" s="93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5"/>
      <c r="AU9" s="95"/>
      <c r="AV9" s="95"/>
      <c r="AW9" s="95"/>
      <c r="AX9" s="95"/>
      <c r="AY9" s="95"/>
      <c r="AZ9" s="95"/>
      <c r="BA9" s="95"/>
      <c r="BB9" s="95"/>
      <c r="BC9" s="95"/>
    </row>
    <row r="10" spans="1:55" s="35" customFormat="1" ht="13.5" customHeight="1">
      <c r="A10" s="91"/>
      <c r="B10" s="91"/>
      <c r="C10" s="91"/>
      <c r="D10" s="91"/>
      <c r="E10" s="91"/>
      <c r="F10" s="91"/>
      <c r="G10" s="91"/>
      <c r="H10" s="91"/>
      <c r="I10" s="91"/>
      <c r="J10" s="92"/>
      <c r="K10" s="92"/>
      <c r="L10" s="92"/>
      <c r="M10" s="92"/>
      <c r="N10" s="92"/>
      <c r="O10" s="92"/>
      <c r="P10" s="92"/>
      <c r="Q10" s="92"/>
      <c r="R10" s="93"/>
      <c r="S10" s="93"/>
      <c r="T10" s="93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5"/>
      <c r="AU10" s="95"/>
      <c r="AV10" s="95"/>
      <c r="AW10" s="95"/>
      <c r="AX10" s="95"/>
      <c r="AY10" s="95"/>
      <c r="AZ10" s="95"/>
      <c r="BA10" s="95"/>
      <c r="BB10" s="95"/>
      <c r="BC10" s="95"/>
    </row>
    <row r="11" spans="1:55" s="35" customFormat="1" ht="13.5" customHeight="1">
      <c r="A11" s="96">
        <v>1.1000000000000001</v>
      </c>
      <c r="B11" s="96"/>
      <c r="C11" s="96"/>
      <c r="D11" s="96"/>
      <c r="E11" s="96"/>
      <c r="F11" s="96"/>
      <c r="G11" s="96"/>
      <c r="H11" s="96"/>
      <c r="I11" s="96"/>
      <c r="J11" s="97">
        <v>44294</v>
      </c>
      <c r="K11" s="97"/>
      <c r="L11" s="97"/>
      <c r="M11" s="97"/>
      <c r="N11" s="97"/>
      <c r="O11" s="97"/>
      <c r="P11" s="97"/>
      <c r="Q11" s="97"/>
      <c r="R11" s="98" t="s">
        <v>21</v>
      </c>
      <c r="S11" s="98"/>
      <c r="T11" s="98"/>
      <c r="U11" s="98"/>
      <c r="V11" s="99" t="s">
        <v>22</v>
      </c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100" t="s">
        <v>6</v>
      </c>
      <c r="AU11" s="100"/>
      <c r="AV11" s="100"/>
      <c r="AW11" s="100"/>
      <c r="AX11" s="100"/>
      <c r="AY11" s="100"/>
      <c r="AZ11" s="100"/>
      <c r="BA11" s="100"/>
      <c r="BB11" s="100"/>
      <c r="BC11" s="100"/>
    </row>
    <row r="12" spans="1:55" s="35" customFormat="1" ht="13.5" customHeight="1">
      <c r="A12" s="96"/>
      <c r="B12" s="96"/>
      <c r="C12" s="96"/>
      <c r="D12" s="96"/>
      <c r="E12" s="96"/>
      <c r="F12" s="96"/>
      <c r="G12" s="96"/>
      <c r="H12" s="96"/>
      <c r="I12" s="96"/>
      <c r="J12" s="97"/>
      <c r="K12" s="97"/>
      <c r="L12" s="97"/>
      <c r="M12" s="97"/>
      <c r="N12" s="97"/>
      <c r="O12" s="97"/>
      <c r="P12" s="97"/>
      <c r="Q12" s="97"/>
      <c r="R12" s="98"/>
      <c r="S12" s="98"/>
      <c r="T12" s="98"/>
      <c r="U12" s="98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</row>
    <row r="13" spans="1:55" s="35" customFormat="1" ht="13.5" customHeight="1">
      <c r="A13" s="96"/>
      <c r="B13" s="96"/>
      <c r="C13" s="96"/>
      <c r="D13" s="96"/>
      <c r="E13" s="96"/>
      <c r="F13" s="96"/>
      <c r="G13" s="96"/>
      <c r="H13" s="96"/>
      <c r="I13" s="96"/>
      <c r="J13" s="97"/>
      <c r="K13" s="97"/>
      <c r="L13" s="97"/>
      <c r="M13" s="97"/>
      <c r="N13" s="97"/>
      <c r="O13" s="97"/>
      <c r="P13" s="97"/>
      <c r="Q13" s="97"/>
      <c r="R13" s="98"/>
      <c r="S13" s="98"/>
      <c r="T13" s="98"/>
      <c r="U13" s="98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</row>
    <row r="14" spans="1:55" s="35" customFormat="1" ht="13.5" customHeight="1">
      <c r="A14" s="96"/>
      <c r="B14" s="96"/>
      <c r="C14" s="96"/>
      <c r="D14" s="96"/>
      <c r="E14" s="96"/>
      <c r="F14" s="96"/>
      <c r="G14" s="96"/>
      <c r="H14" s="96"/>
      <c r="I14" s="96"/>
      <c r="J14" s="97"/>
      <c r="K14" s="97"/>
      <c r="L14" s="97"/>
      <c r="M14" s="97"/>
      <c r="N14" s="97"/>
      <c r="O14" s="97"/>
      <c r="P14" s="97"/>
      <c r="Q14" s="97"/>
      <c r="R14" s="98"/>
      <c r="S14" s="98"/>
      <c r="T14" s="98"/>
      <c r="U14" s="98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</row>
    <row r="15" spans="1:55" s="35" customFormat="1" ht="13.5" customHeight="1">
      <c r="A15" s="96"/>
      <c r="B15" s="96"/>
      <c r="C15" s="96"/>
      <c r="D15" s="96"/>
      <c r="E15" s="96"/>
      <c r="F15" s="96"/>
      <c r="G15" s="96"/>
      <c r="H15" s="96"/>
      <c r="I15" s="96"/>
      <c r="J15" s="97"/>
      <c r="K15" s="97"/>
      <c r="L15" s="97"/>
      <c r="M15" s="97"/>
      <c r="N15" s="97"/>
      <c r="O15" s="97"/>
      <c r="P15" s="97"/>
      <c r="Q15" s="97"/>
      <c r="R15" s="98"/>
      <c r="S15" s="98"/>
      <c r="T15" s="98"/>
      <c r="U15" s="98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</row>
    <row r="16" spans="1:55" s="36" customFormat="1" ht="13.5" customHeight="1">
      <c r="A16" s="96">
        <v>0.67609956018518502</v>
      </c>
      <c r="B16" s="96"/>
      <c r="C16" s="96"/>
      <c r="D16" s="96"/>
      <c r="E16" s="96"/>
      <c r="F16" s="96"/>
      <c r="G16" s="96"/>
      <c r="H16" s="96"/>
      <c r="I16" s="96"/>
      <c r="J16" s="97"/>
      <c r="K16" s="97"/>
      <c r="L16" s="97"/>
      <c r="M16" s="97"/>
      <c r="N16" s="97"/>
      <c r="O16" s="97"/>
      <c r="P16" s="97"/>
      <c r="Q16" s="97"/>
      <c r="R16" s="98"/>
      <c r="S16" s="98"/>
      <c r="T16" s="98"/>
      <c r="U16" s="98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</row>
    <row r="17" spans="1:55" s="36" customFormat="1" ht="13.5" customHeight="1">
      <c r="A17" s="96"/>
      <c r="B17" s="96"/>
      <c r="C17" s="96"/>
      <c r="D17" s="96"/>
      <c r="E17" s="96"/>
      <c r="F17" s="96"/>
      <c r="G17" s="96"/>
      <c r="H17" s="96"/>
      <c r="I17" s="96"/>
      <c r="J17" s="97"/>
      <c r="K17" s="97"/>
      <c r="L17" s="97"/>
      <c r="M17" s="97"/>
      <c r="N17" s="97"/>
      <c r="O17" s="97"/>
      <c r="P17" s="97"/>
      <c r="Q17" s="97"/>
      <c r="R17" s="98"/>
      <c r="S17" s="98"/>
      <c r="T17" s="98"/>
      <c r="U17" s="98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</row>
    <row r="18" spans="1:55" s="36" customFormat="1" ht="13.5" customHeight="1">
      <c r="A18" s="96"/>
      <c r="B18" s="96"/>
      <c r="C18" s="96"/>
      <c r="D18" s="96"/>
      <c r="E18" s="96"/>
      <c r="F18" s="96"/>
      <c r="G18" s="96"/>
      <c r="H18" s="96"/>
      <c r="I18" s="96"/>
      <c r="J18" s="97"/>
      <c r="K18" s="97"/>
      <c r="L18" s="97"/>
      <c r="M18" s="97"/>
      <c r="N18" s="97"/>
      <c r="O18" s="97"/>
      <c r="P18" s="97"/>
      <c r="Q18" s="97"/>
      <c r="R18" s="98"/>
      <c r="S18" s="98"/>
      <c r="T18" s="98"/>
      <c r="U18" s="98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</row>
    <row r="19" spans="1:55" s="36" customFormat="1" ht="13.5" customHeight="1">
      <c r="A19" s="96"/>
      <c r="B19" s="96"/>
      <c r="C19" s="96"/>
      <c r="D19" s="96"/>
      <c r="E19" s="96"/>
      <c r="F19" s="96"/>
      <c r="G19" s="96"/>
      <c r="H19" s="96"/>
      <c r="I19" s="96"/>
      <c r="J19" s="97"/>
      <c r="K19" s="97"/>
      <c r="L19" s="97"/>
      <c r="M19" s="97"/>
      <c r="N19" s="97"/>
      <c r="O19" s="97"/>
      <c r="P19" s="97"/>
      <c r="Q19" s="97"/>
      <c r="R19" s="98"/>
      <c r="S19" s="98"/>
      <c r="T19" s="98"/>
      <c r="U19" s="98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</row>
    <row r="20" spans="1:55" s="36" customFormat="1" ht="13.5" customHeight="1">
      <c r="A20" s="96"/>
      <c r="B20" s="96"/>
      <c r="C20" s="96"/>
      <c r="D20" s="96"/>
      <c r="E20" s="96"/>
      <c r="F20" s="96"/>
      <c r="G20" s="96"/>
      <c r="H20" s="96"/>
      <c r="I20" s="96"/>
      <c r="J20" s="97"/>
      <c r="K20" s="97"/>
      <c r="L20" s="97"/>
      <c r="M20" s="97"/>
      <c r="N20" s="97"/>
      <c r="O20" s="97"/>
      <c r="P20" s="97"/>
      <c r="Q20" s="97"/>
      <c r="R20" s="98"/>
      <c r="S20" s="98"/>
      <c r="T20" s="98"/>
      <c r="U20" s="98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</row>
    <row r="21" spans="1:55" s="36" customFormat="1" ht="13.5" customHeight="1">
      <c r="A21" s="96">
        <v>0.64635646990740703</v>
      </c>
      <c r="B21" s="96"/>
      <c r="C21" s="96"/>
      <c r="D21" s="96"/>
      <c r="E21" s="96"/>
      <c r="F21" s="96"/>
      <c r="G21" s="96"/>
      <c r="H21" s="96"/>
      <c r="I21" s="96"/>
      <c r="J21" s="97"/>
      <c r="K21" s="97"/>
      <c r="L21" s="97"/>
      <c r="M21" s="97"/>
      <c r="N21" s="97"/>
      <c r="O21" s="97"/>
      <c r="P21" s="97"/>
      <c r="Q21" s="97"/>
      <c r="R21" s="98"/>
      <c r="S21" s="98"/>
      <c r="T21" s="98"/>
      <c r="U21" s="98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</row>
    <row r="22" spans="1:55" s="35" customFormat="1" ht="13.5" customHeight="1">
      <c r="A22" s="96"/>
      <c r="B22" s="96"/>
      <c r="C22" s="96"/>
      <c r="D22" s="96"/>
      <c r="E22" s="96"/>
      <c r="F22" s="96"/>
      <c r="G22" s="96"/>
      <c r="H22" s="96"/>
      <c r="I22" s="96"/>
      <c r="J22" s="97"/>
      <c r="K22" s="97"/>
      <c r="L22" s="97"/>
      <c r="M22" s="97"/>
      <c r="N22" s="97"/>
      <c r="O22" s="97"/>
      <c r="P22" s="97"/>
      <c r="Q22" s="97"/>
      <c r="R22" s="98"/>
      <c r="S22" s="98"/>
      <c r="T22" s="98"/>
      <c r="U22" s="98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</row>
    <row r="23" spans="1:55" s="35" customFormat="1" ht="13.5" customHeight="1">
      <c r="A23" s="96">
        <v>1.2</v>
      </c>
      <c r="B23" s="96"/>
      <c r="C23" s="96"/>
      <c r="D23" s="96"/>
      <c r="E23" s="96"/>
      <c r="F23" s="96"/>
      <c r="G23" s="96"/>
      <c r="H23" s="96"/>
      <c r="I23" s="96"/>
      <c r="J23" s="97">
        <v>44294</v>
      </c>
      <c r="K23" s="97"/>
      <c r="L23" s="97"/>
      <c r="M23" s="97"/>
      <c r="N23" s="97"/>
      <c r="O23" s="97"/>
      <c r="P23" s="97"/>
      <c r="Q23" s="97"/>
      <c r="R23" s="101" t="s">
        <v>23</v>
      </c>
      <c r="S23" s="101"/>
      <c r="T23" s="101"/>
      <c r="U23" s="101"/>
      <c r="V23" s="102" t="s">
        <v>24</v>
      </c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0" t="s">
        <v>6</v>
      </c>
      <c r="AU23" s="100"/>
      <c r="AV23" s="100"/>
      <c r="AW23" s="100"/>
      <c r="AX23" s="100"/>
      <c r="AY23" s="100"/>
      <c r="AZ23" s="100"/>
      <c r="BA23" s="100"/>
      <c r="BB23" s="100"/>
      <c r="BC23" s="100"/>
    </row>
    <row r="24" spans="1:55" s="35" customFormat="1" ht="13.5" customHeight="1">
      <c r="A24" s="96"/>
      <c r="B24" s="96"/>
      <c r="C24" s="96"/>
      <c r="D24" s="96"/>
      <c r="E24" s="96"/>
      <c r="F24" s="96"/>
      <c r="G24" s="96"/>
      <c r="H24" s="96"/>
      <c r="I24" s="96"/>
      <c r="J24" s="97"/>
      <c r="K24" s="97"/>
      <c r="L24" s="97"/>
      <c r="M24" s="97"/>
      <c r="N24" s="97"/>
      <c r="O24" s="97"/>
      <c r="P24" s="97"/>
      <c r="Q24" s="97"/>
      <c r="R24" s="101"/>
      <c r="S24" s="101"/>
      <c r="T24" s="101"/>
      <c r="U24" s="101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</row>
    <row r="25" spans="1:55" s="35" customFormat="1" ht="13.5" customHeight="1">
      <c r="A25" s="96"/>
      <c r="B25" s="96"/>
      <c r="C25" s="96"/>
      <c r="D25" s="96"/>
      <c r="E25" s="96"/>
      <c r="F25" s="96"/>
      <c r="G25" s="96"/>
      <c r="H25" s="96"/>
      <c r="I25" s="96"/>
      <c r="J25" s="97"/>
      <c r="K25" s="97"/>
      <c r="L25" s="97"/>
      <c r="M25" s="97"/>
      <c r="N25" s="97"/>
      <c r="O25" s="97"/>
      <c r="P25" s="97"/>
      <c r="Q25" s="97"/>
      <c r="R25" s="101"/>
      <c r="S25" s="101"/>
      <c r="T25" s="101"/>
      <c r="U25" s="101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</row>
    <row r="26" spans="1:55" s="35" customFormat="1" ht="13.5" customHeight="1">
      <c r="A26" s="96"/>
      <c r="B26" s="96"/>
      <c r="C26" s="96"/>
      <c r="D26" s="96"/>
      <c r="E26" s="96"/>
      <c r="F26" s="96"/>
      <c r="G26" s="96"/>
      <c r="H26" s="96"/>
      <c r="I26" s="96"/>
      <c r="J26" s="97"/>
      <c r="K26" s="97"/>
      <c r="L26" s="97"/>
      <c r="M26" s="97"/>
      <c r="N26" s="97"/>
      <c r="O26" s="97"/>
      <c r="P26" s="97"/>
      <c r="Q26" s="97"/>
      <c r="R26" s="101"/>
      <c r="S26" s="101"/>
      <c r="T26" s="101"/>
      <c r="U26" s="101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</row>
    <row r="27" spans="1:55" s="35" customFormat="1" ht="13.5" customHeight="1">
      <c r="A27" s="96"/>
      <c r="B27" s="96"/>
      <c r="C27" s="96"/>
      <c r="D27" s="96"/>
      <c r="E27" s="96"/>
      <c r="F27" s="96"/>
      <c r="G27" s="96"/>
      <c r="H27" s="96"/>
      <c r="I27" s="96"/>
      <c r="J27" s="97"/>
      <c r="K27" s="97"/>
      <c r="L27" s="97"/>
      <c r="M27" s="97"/>
      <c r="N27" s="97"/>
      <c r="O27" s="97"/>
      <c r="P27" s="97"/>
      <c r="Q27" s="97"/>
      <c r="R27" s="101"/>
      <c r="S27" s="101"/>
      <c r="T27" s="101"/>
      <c r="U27" s="101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</row>
    <row r="28" spans="1:55" s="35" customFormat="1" ht="13.5" customHeight="1">
      <c r="A28" s="96">
        <v>1.3</v>
      </c>
      <c r="B28" s="96"/>
      <c r="C28" s="96"/>
      <c r="D28" s="96"/>
      <c r="E28" s="96"/>
      <c r="F28" s="96"/>
      <c r="G28" s="96"/>
      <c r="H28" s="96"/>
      <c r="I28" s="96"/>
      <c r="J28" s="97">
        <v>44326</v>
      </c>
      <c r="K28" s="97"/>
      <c r="L28" s="97"/>
      <c r="M28" s="97"/>
      <c r="N28" s="97"/>
      <c r="O28" s="97"/>
      <c r="P28" s="97"/>
      <c r="Q28" s="97"/>
      <c r="R28" s="103" t="s">
        <v>25</v>
      </c>
      <c r="S28" s="103"/>
      <c r="T28" s="103"/>
      <c r="U28" s="103"/>
      <c r="V28" s="104" t="s">
        <v>26</v>
      </c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0" t="s">
        <v>6</v>
      </c>
      <c r="AU28" s="100"/>
      <c r="AV28" s="100"/>
      <c r="AW28" s="100"/>
      <c r="AX28" s="100"/>
      <c r="AY28" s="100"/>
      <c r="AZ28" s="100"/>
      <c r="BA28" s="100"/>
      <c r="BB28" s="100"/>
      <c r="BC28" s="100"/>
    </row>
    <row r="29" spans="1:55" s="35" customFormat="1" ht="13.5" customHeight="1">
      <c r="A29" s="96"/>
      <c r="B29" s="96"/>
      <c r="C29" s="96"/>
      <c r="D29" s="96"/>
      <c r="E29" s="96"/>
      <c r="F29" s="96"/>
      <c r="G29" s="96"/>
      <c r="H29" s="96"/>
      <c r="I29" s="96"/>
      <c r="J29" s="97"/>
      <c r="K29" s="97"/>
      <c r="L29" s="97"/>
      <c r="M29" s="97"/>
      <c r="N29" s="97"/>
      <c r="O29" s="97"/>
      <c r="P29" s="97"/>
      <c r="Q29" s="97"/>
      <c r="R29" s="103"/>
      <c r="S29" s="103"/>
      <c r="T29" s="103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</row>
    <row r="30" spans="1:55" s="35" customFormat="1" ht="13.5" customHeight="1">
      <c r="A30" s="96"/>
      <c r="B30" s="96"/>
      <c r="C30" s="96"/>
      <c r="D30" s="96"/>
      <c r="E30" s="96"/>
      <c r="F30" s="96"/>
      <c r="G30" s="96"/>
      <c r="H30" s="96"/>
      <c r="I30" s="96"/>
      <c r="J30" s="97"/>
      <c r="K30" s="97"/>
      <c r="L30" s="97"/>
      <c r="M30" s="97"/>
      <c r="N30" s="97"/>
      <c r="O30" s="97"/>
      <c r="P30" s="97"/>
      <c r="Q30" s="97"/>
      <c r="R30" s="103"/>
      <c r="S30" s="103"/>
      <c r="T30" s="103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</row>
    <row r="31" spans="1:55" s="35" customFormat="1" ht="13.5" customHeight="1">
      <c r="A31" s="96">
        <v>1.4</v>
      </c>
      <c r="B31" s="96"/>
      <c r="C31" s="96"/>
      <c r="D31" s="96"/>
      <c r="E31" s="96"/>
      <c r="F31" s="96"/>
      <c r="G31" s="96"/>
      <c r="H31" s="96"/>
      <c r="I31" s="96"/>
      <c r="J31" s="97">
        <v>44328</v>
      </c>
      <c r="K31" s="97"/>
      <c r="L31" s="97"/>
      <c r="M31" s="97"/>
      <c r="N31" s="97"/>
      <c r="O31" s="97"/>
      <c r="P31" s="97"/>
      <c r="Q31" s="97"/>
      <c r="R31" s="101" t="s">
        <v>27</v>
      </c>
      <c r="S31" s="101"/>
      <c r="T31" s="101"/>
      <c r="U31" s="101"/>
      <c r="V31" s="102" t="s">
        <v>28</v>
      </c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0" t="s">
        <v>29</v>
      </c>
      <c r="AU31" s="100"/>
      <c r="AV31" s="100"/>
      <c r="AW31" s="100"/>
      <c r="AX31" s="100"/>
      <c r="AY31" s="100"/>
      <c r="AZ31" s="100"/>
      <c r="BA31" s="100"/>
      <c r="BB31" s="100"/>
      <c r="BC31" s="100"/>
    </row>
    <row r="32" spans="1:55" s="35" customFormat="1" ht="13.5" customHeight="1">
      <c r="A32" s="96"/>
      <c r="B32" s="96"/>
      <c r="C32" s="96"/>
      <c r="D32" s="96"/>
      <c r="E32" s="96"/>
      <c r="F32" s="96"/>
      <c r="G32" s="96"/>
      <c r="H32" s="96"/>
      <c r="I32" s="96"/>
      <c r="J32" s="97"/>
      <c r="K32" s="97"/>
      <c r="L32" s="97"/>
      <c r="M32" s="97"/>
      <c r="N32" s="97"/>
      <c r="O32" s="97"/>
      <c r="P32" s="97"/>
      <c r="Q32" s="97"/>
      <c r="R32" s="101"/>
      <c r="S32" s="101"/>
      <c r="T32" s="101"/>
      <c r="U32" s="101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</row>
    <row r="33" spans="1:55" s="35" customFormat="1" ht="13.5" customHeight="1">
      <c r="A33" s="96"/>
      <c r="B33" s="96"/>
      <c r="C33" s="96"/>
      <c r="D33" s="96"/>
      <c r="E33" s="96"/>
      <c r="F33" s="96"/>
      <c r="G33" s="96"/>
      <c r="H33" s="96"/>
      <c r="I33" s="96"/>
      <c r="J33" s="97"/>
      <c r="K33" s="97"/>
      <c r="L33" s="97"/>
      <c r="M33" s="97"/>
      <c r="N33" s="97"/>
      <c r="O33" s="97"/>
      <c r="P33" s="97"/>
      <c r="Q33" s="97"/>
      <c r="R33" s="101"/>
      <c r="S33" s="101"/>
      <c r="T33" s="101"/>
      <c r="U33" s="101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</row>
    <row r="34" spans="1:55" s="35" customFormat="1" ht="13.5" customHeight="1">
      <c r="A34" s="96">
        <v>1.5</v>
      </c>
      <c r="B34" s="96"/>
      <c r="C34" s="96"/>
      <c r="D34" s="96"/>
      <c r="E34" s="96"/>
      <c r="F34" s="96"/>
      <c r="G34" s="96"/>
      <c r="H34" s="96"/>
      <c r="I34" s="96"/>
      <c r="J34" s="97">
        <v>44328</v>
      </c>
      <c r="K34" s="97"/>
      <c r="L34" s="97"/>
      <c r="M34" s="97"/>
      <c r="N34" s="97"/>
      <c r="O34" s="97"/>
      <c r="P34" s="97"/>
      <c r="Q34" s="97"/>
      <c r="R34" s="101" t="s">
        <v>30</v>
      </c>
      <c r="S34" s="101"/>
      <c r="T34" s="101"/>
      <c r="U34" s="101"/>
      <c r="V34" s="105" t="s">
        <v>31</v>
      </c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0" t="s">
        <v>6</v>
      </c>
      <c r="AU34" s="100"/>
      <c r="AV34" s="100"/>
      <c r="AW34" s="100"/>
      <c r="AX34" s="100"/>
      <c r="AY34" s="100"/>
      <c r="AZ34" s="100"/>
      <c r="BA34" s="100"/>
      <c r="BB34" s="100"/>
      <c r="BC34" s="100"/>
    </row>
    <row r="35" spans="1:55" s="35" customFormat="1" ht="13.5" customHeight="1">
      <c r="A35" s="96"/>
      <c r="B35" s="96"/>
      <c r="C35" s="96"/>
      <c r="D35" s="96"/>
      <c r="E35" s="96"/>
      <c r="F35" s="96"/>
      <c r="G35" s="96"/>
      <c r="H35" s="96"/>
      <c r="I35" s="96"/>
      <c r="J35" s="97"/>
      <c r="K35" s="97"/>
      <c r="L35" s="97"/>
      <c r="M35" s="97"/>
      <c r="N35" s="97"/>
      <c r="O35" s="97"/>
      <c r="P35" s="97"/>
      <c r="Q35" s="97"/>
      <c r="R35" s="101"/>
      <c r="S35" s="101"/>
      <c r="T35" s="101"/>
      <c r="U35" s="101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</row>
    <row r="36" spans="1:55" s="35" customFormat="1" ht="13.5" customHeight="1">
      <c r="A36" s="96"/>
      <c r="B36" s="96"/>
      <c r="C36" s="96"/>
      <c r="D36" s="96"/>
      <c r="E36" s="96"/>
      <c r="F36" s="96"/>
      <c r="G36" s="96"/>
      <c r="H36" s="96"/>
      <c r="I36" s="96"/>
      <c r="J36" s="97"/>
      <c r="K36" s="97"/>
      <c r="L36" s="97"/>
      <c r="M36" s="97"/>
      <c r="N36" s="97"/>
      <c r="O36" s="97"/>
      <c r="P36" s="97"/>
      <c r="Q36" s="97"/>
      <c r="R36" s="101"/>
      <c r="S36" s="101"/>
      <c r="T36" s="101"/>
      <c r="U36" s="101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</row>
    <row r="37" spans="1:55" s="35" customFormat="1" ht="13.5" customHeight="1">
      <c r="A37" s="96"/>
      <c r="B37" s="96"/>
      <c r="C37" s="96"/>
      <c r="D37" s="96"/>
      <c r="E37" s="96"/>
      <c r="F37" s="96"/>
      <c r="G37" s="96"/>
      <c r="H37" s="96"/>
      <c r="I37" s="96"/>
      <c r="J37" s="97"/>
      <c r="K37" s="97"/>
      <c r="L37" s="97"/>
      <c r="M37" s="97"/>
      <c r="N37" s="97"/>
      <c r="O37" s="97"/>
      <c r="P37" s="97"/>
      <c r="Q37" s="97"/>
      <c r="R37" s="101"/>
      <c r="S37" s="101"/>
      <c r="T37" s="101"/>
      <c r="U37" s="101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</row>
    <row r="38" spans="1:55" s="35" customFormat="1" ht="13.5" customHeight="1">
      <c r="A38" s="96">
        <v>1.6</v>
      </c>
      <c r="B38" s="96"/>
      <c r="C38" s="96"/>
      <c r="D38" s="96"/>
      <c r="E38" s="96"/>
      <c r="F38" s="96"/>
      <c r="G38" s="96"/>
      <c r="H38" s="96"/>
      <c r="I38" s="96"/>
      <c r="J38" s="97">
        <v>44337</v>
      </c>
      <c r="K38" s="97"/>
      <c r="L38" s="97"/>
      <c r="M38" s="97"/>
      <c r="N38" s="97"/>
      <c r="O38" s="97"/>
      <c r="P38" s="97"/>
      <c r="Q38" s="97"/>
      <c r="R38" s="101" t="s">
        <v>32</v>
      </c>
      <c r="S38" s="101"/>
      <c r="T38" s="101"/>
      <c r="U38" s="101"/>
      <c r="V38" s="102" t="s">
        <v>33</v>
      </c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0" t="s">
        <v>34</v>
      </c>
      <c r="AU38" s="100"/>
      <c r="AV38" s="100"/>
      <c r="AW38" s="100"/>
      <c r="AX38" s="100"/>
      <c r="AY38" s="100"/>
      <c r="AZ38" s="100"/>
      <c r="BA38" s="100"/>
      <c r="BB38" s="100"/>
      <c r="BC38" s="100"/>
    </row>
    <row r="39" spans="1:55" s="35" customFormat="1" ht="13.5" customHeight="1">
      <c r="A39" s="96"/>
      <c r="B39" s="96"/>
      <c r="C39" s="96"/>
      <c r="D39" s="96"/>
      <c r="E39" s="96"/>
      <c r="F39" s="96"/>
      <c r="G39" s="96"/>
      <c r="H39" s="96"/>
      <c r="I39" s="96"/>
      <c r="J39" s="97"/>
      <c r="K39" s="97"/>
      <c r="L39" s="97"/>
      <c r="M39" s="97"/>
      <c r="N39" s="97"/>
      <c r="O39" s="97"/>
      <c r="P39" s="97"/>
      <c r="Q39" s="97"/>
      <c r="R39" s="101"/>
      <c r="S39" s="101"/>
      <c r="T39" s="101"/>
      <c r="U39" s="101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</row>
    <row r="40" spans="1:55" s="35" customFormat="1" ht="13.5" customHeight="1">
      <c r="A40" s="96"/>
      <c r="B40" s="96"/>
      <c r="C40" s="96"/>
      <c r="D40" s="96"/>
      <c r="E40" s="96"/>
      <c r="F40" s="96"/>
      <c r="G40" s="96"/>
      <c r="H40" s="96"/>
      <c r="I40" s="96"/>
      <c r="J40" s="97"/>
      <c r="K40" s="97"/>
      <c r="L40" s="97"/>
      <c r="M40" s="97"/>
      <c r="N40" s="97"/>
      <c r="O40" s="97"/>
      <c r="P40" s="97"/>
      <c r="Q40" s="97"/>
      <c r="R40" s="101"/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</row>
    <row r="41" spans="1:55" s="35" customFormat="1" ht="13.5" customHeight="1">
      <c r="A41" s="96">
        <v>1.7</v>
      </c>
      <c r="B41" s="96"/>
      <c r="C41" s="96"/>
      <c r="D41" s="96"/>
      <c r="E41" s="96"/>
      <c r="F41" s="96"/>
      <c r="G41" s="96"/>
      <c r="H41" s="96"/>
      <c r="I41" s="96"/>
      <c r="J41" s="97">
        <v>44351</v>
      </c>
      <c r="K41" s="97"/>
      <c r="L41" s="97"/>
      <c r="M41" s="97"/>
      <c r="N41" s="97"/>
      <c r="O41" s="97"/>
      <c r="P41" s="97"/>
      <c r="Q41" s="97"/>
      <c r="R41" s="101" t="s">
        <v>35</v>
      </c>
      <c r="S41" s="101"/>
      <c r="T41" s="101"/>
      <c r="U41" s="101"/>
      <c r="V41" s="102" t="s">
        <v>36</v>
      </c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0" t="s">
        <v>6</v>
      </c>
      <c r="AU41" s="100"/>
      <c r="AV41" s="100"/>
      <c r="AW41" s="100"/>
      <c r="AX41" s="100"/>
      <c r="AY41" s="100"/>
      <c r="AZ41" s="100"/>
      <c r="BA41" s="100"/>
      <c r="BB41" s="100"/>
      <c r="BC41" s="100"/>
    </row>
    <row r="42" spans="1:55" s="35" customFormat="1" ht="13.5" customHeight="1">
      <c r="A42" s="96"/>
      <c r="B42" s="96"/>
      <c r="C42" s="96"/>
      <c r="D42" s="96"/>
      <c r="E42" s="96"/>
      <c r="F42" s="96"/>
      <c r="G42" s="96"/>
      <c r="H42" s="96"/>
      <c r="I42" s="96"/>
      <c r="J42" s="97"/>
      <c r="K42" s="97"/>
      <c r="L42" s="97"/>
      <c r="M42" s="97"/>
      <c r="N42" s="97"/>
      <c r="O42" s="97"/>
      <c r="P42" s="97"/>
      <c r="Q42" s="97"/>
      <c r="R42" s="101"/>
      <c r="S42" s="101"/>
      <c r="T42" s="101"/>
      <c r="U42" s="101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</row>
    <row r="43" spans="1:55" s="35" customFormat="1" ht="13.5" customHeight="1">
      <c r="A43" s="96"/>
      <c r="B43" s="96"/>
      <c r="C43" s="96"/>
      <c r="D43" s="96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97"/>
      <c r="R43" s="101"/>
      <c r="S43" s="101"/>
      <c r="T43" s="101"/>
      <c r="U43" s="101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</row>
    <row r="44" spans="1:55" s="35" customFormat="1" ht="13.5" customHeight="1">
      <c r="A44" s="96">
        <v>1.8</v>
      </c>
      <c r="B44" s="96"/>
      <c r="C44" s="96"/>
      <c r="D44" s="96"/>
      <c r="E44" s="96"/>
      <c r="F44" s="96"/>
      <c r="G44" s="96"/>
      <c r="H44" s="96"/>
      <c r="I44" s="96"/>
      <c r="J44" s="97">
        <v>44358</v>
      </c>
      <c r="K44" s="97"/>
      <c r="L44" s="97"/>
      <c r="M44" s="97"/>
      <c r="N44" s="97"/>
      <c r="O44" s="97"/>
      <c r="P44" s="97"/>
      <c r="Q44" s="97"/>
      <c r="R44" s="101" t="s">
        <v>37</v>
      </c>
      <c r="S44" s="101"/>
      <c r="T44" s="101"/>
      <c r="U44" s="101"/>
      <c r="V44" s="102" t="s">
        <v>38</v>
      </c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0" t="s">
        <v>6</v>
      </c>
      <c r="AU44" s="100"/>
      <c r="AV44" s="100"/>
      <c r="AW44" s="100"/>
      <c r="AX44" s="100"/>
      <c r="AY44" s="100"/>
      <c r="AZ44" s="100"/>
      <c r="BA44" s="100"/>
      <c r="BB44" s="100"/>
      <c r="BC44" s="100"/>
    </row>
    <row r="45" spans="1:55" s="35" customFormat="1" ht="13.5" customHeight="1">
      <c r="A45" s="96"/>
      <c r="B45" s="96"/>
      <c r="C45" s="96"/>
      <c r="D45" s="96"/>
      <c r="E45" s="96"/>
      <c r="F45" s="96"/>
      <c r="G45" s="96"/>
      <c r="H45" s="96"/>
      <c r="I45" s="96"/>
      <c r="J45" s="97"/>
      <c r="K45" s="97"/>
      <c r="L45" s="97"/>
      <c r="M45" s="97"/>
      <c r="N45" s="97"/>
      <c r="O45" s="97"/>
      <c r="P45" s="97"/>
      <c r="Q45" s="97"/>
      <c r="R45" s="101"/>
      <c r="S45" s="101"/>
      <c r="T45" s="101"/>
      <c r="U45" s="101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</row>
    <row r="46" spans="1:55" s="35" customFormat="1" ht="13.5" customHeight="1">
      <c r="A46" s="96"/>
      <c r="B46" s="96"/>
      <c r="C46" s="96"/>
      <c r="D46" s="96"/>
      <c r="E46" s="96"/>
      <c r="F46" s="96"/>
      <c r="G46" s="96"/>
      <c r="H46" s="96"/>
      <c r="I46" s="96"/>
      <c r="J46" s="97"/>
      <c r="K46" s="97"/>
      <c r="L46" s="97"/>
      <c r="M46" s="97"/>
      <c r="N46" s="97"/>
      <c r="O46" s="97"/>
      <c r="P46" s="97"/>
      <c r="Q46" s="97"/>
      <c r="R46" s="101"/>
      <c r="S46" s="101"/>
      <c r="T46" s="101"/>
      <c r="U46" s="101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</row>
    <row r="47" spans="1:55" s="35" customFormat="1" ht="13.5" customHeight="1">
      <c r="A47" s="96"/>
      <c r="B47" s="96"/>
      <c r="C47" s="96"/>
      <c r="D47" s="96"/>
      <c r="E47" s="96"/>
      <c r="F47" s="96"/>
      <c r="G47" s="96"/>
      <c r="H47" s="96"/>
      <c r="I47" s="96"/>
      <c r="J47" s="97"/>
      <c r="K47" s="97"/>
      <c r="L47" s="97"/>
      <c r="M47" s="97"/>
      <c r="N47" s="97"/>
      <c r="O47" s="97"/>
      <c r="P47" s="97"/>
      <c r="Q47" s="97"/>
      <c r="R47" s="101"/>
      <c r="S47" s="101"/>
      <c r="T47" s="101"/>
      <c r="U47" s="101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</row>
    <row r="48" spans="1:55" s="35" customFormat="1" ht="13.5" customHeight="1">
      <c r="A48" s="96"/>
      <c r="B48" s="96"/>
      <c r="C48" s="96"/>
      <c r="D48" s="96"/>
      <c r="E48" s="96"/>
      <c r="F48" s="96"/>
      <c r="G48" s="96"/>
      <c r="H48" s="96"/>
      <c r="I48" s="96"/>
      <c r="J48" s="97"/>
      <c r="K48" s="97"/>
      <c r="L48" s="97"/>
      <c r="M48" s="97"/>
      <c r="N48" s="97"/>
      <c r="O48" s="97"/>
      <c r="P48" s="97"/>
      <c r="Q48" s="97"/>
      <c r="R48" s="101"/>
      <c r="S48" s="101"/>
      <c r="T48" s="101"/>
      <c r="U48" s="101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</row>
    <row r="49" spans="1:55" s="35" customFormat="1" ht="13.5" customHeight="1">
      <c r="A49" s="96"/>
      <c r="B49" s="96"/>
      <c r="C49" s="96"/>
      <c r="D49" s="96"/>
      <c r="E49" s="96"/>
      <c r="F49" s="96"/>
      <c r="G49" s="96"/>
      <c r="H49" s="96"/>
      <c r="I49" s="96"/>
      <c r="J49" s="97"/>
      <c r="K49" s="97"/>
      <c r="L49" s="97"/>
      <c r="M49" s="97"/>
      <c r="N49" s="97"/>
      <c r="O49" s="97"/>
      <c r="P49" s="97"/>
      <c r="Q49" s="97"/>
      <c r="R49" s="101"/>
      <c r="S49" s="101"/>
      <c r="T49" s="101"/>
      <c r="U49" s="101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</row>
    <row r="50" spans="1:55" s="35" customFormat="1" ht="13.5" customHeight="1">
      <c r="A50" s="96"/>
      <c r="B50" s="96"/>
      <c r="C50" s="96"/>
      <c r="D50" s="96"/>
      <c r="E50" s="96"/>
      <c r="F50" s="96"/>
      <c r="G50" s="96"/>
      <c r="H50" s="96"/>
      <c r="I50" s="96"/>
      <c r="J50" s="97"/>
      <c r="K50" s="97"/>
      <c r="L50" s="97"/>
      <c r="M50" s="97"/>
      <c r="N50" s="97"/>
      <c r="O50" s="97"/>
      <c r="P50" s="97"/>
      <c r="Q50" s="97"/>
      <c r="R50" s="101"/>
      <c r="S50" s="101"/>
      <c r="T50" s="101"/>
      <c r="U50" s="101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</row>
    <row r="51" spans="1:55" s="35" customFormat="1" ht="13.5" customHeight="1">
      <c r="A51" s="96"/>
      <c r="B51" s="96"/>
      <c r="C51" s="96"/>
      <c r="D51" s="96"/>
      <c r="E51" s="96"/>
      <c r="F51" s="96"/>
      <c r="G51" s="96"/>
      <c r="H51" s="96"/>
      <c r="I51" s="96"/>
      <c r="J51" s="97"/>
      <c r="K51" s="97"/>
      <c r="L51" s="97"/>
      <c r="M51" s="97"/>
      <c r="N51" s="97"/>
      <c r="O51" s="97"/>
      <c r="P51" s="97"/>
      <c r="Q51" s="97"/>
      <c r="R51" s="101"/>
      <c r="S51" s="101"/>
      <c r="T51" s="101"/>
      <c r="U51" s="101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</row>
    <row r="52" spans="1:55" s="35" customFormat="1" ht="13.5" customHeight="1">
      <c r="A52" s="96">
        <v>1.9</v>
      </c>
      <c r="B52" s="96"/>
      <c r="C52" s="96"/>
      <c r="D52" s="96"/>
      <c r="E52" s="96"/>
      <c r="F52" s="96"/>
      <c r="G52" s="96"/>
      <c r="H52" s="96"/>
      <c r="I52" s="96"/>
      <c r="J52" s="97">
        <v>45214</v>
      </c>
      <c r="K52" s="97"/>
      <c r="L52" s="97"/>
      <c r="M52" s="97"/>
      <c r="N52" s="97"/>
      <c r="O52" s="97"/>
      <c r="P52" s="97"/>
      <c r="Q52" s="97"/>
      <c r="R52" s="101" t="s">
        <v>39</v>
      </c>
      <c r="S52" s="101"/>
      <c r="T52" s="101"/>
      <c r="U52" s="101"/>
      <c r="V52" s="102" t="s">
        <v>864</v>
      </c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0" t="s">
        <v>13</v>
      </c>
      <c r="AU52" s="100"/>
      <c r="AV52" s="100"/>
      <c r="AW52" s="100"/>
      <c r="AX52" s="100"/>
      <c r="AY52" s="100"/>
      <c r="AZ52" s="100"/>
      <c r="BA52" s="100"/>
      <c r="BB52" s="100"/>
      <c r="BC52" s="100"/>
    </row>
    <row r="53" spans="1:55" s="35" customFormat="1" ht="13.5" customHeight="1">
      <c r="A53" s="96"/>
      <c r="B53" s="96"/>
      <c r="C53" s="96"/>
      <c r="D53" s="96"/>
      <c r="E53" s="96"/>
      <c r="F53" s="96"/>
      <c r="G53" s="96"/>
      <c r="H53" s="96"/>
      <c r="I53" s="96"/>
      <c r="J53" s="97"/>
      <c r="K53" s="97"/>
      <c r="L53" s="97"/>
      <c r="M53" s="97"/>
      <c r="N53" s="97"/>
      <c r="O53" s="97"/>
      <c r="P53" s="97"/>
      <c r="Q53" s="97"/>
      <c r="R53" s="101"/>
      <c r="S53" s="101"/>
      <c r="T53" s="101"/>
      <c r="U53" s="101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</row>
    <row r="54" spans="1:55" s="35" customFormat="1" ht="13.5" customHeight="1">
      <c r="A54" s="96"/>
      <c r="B54" s="96"/>
      <c r="C54" s="96"/>
      <c r="D54" s="96"/>
      <c r="E54" s="96"/>
      <c r="F54" s="96"/>
      <c r="G54" s="96"/>
      <c r="H54" s="96"/>
      <c r="I54" s="96"/>
      <c r="J54" s="97"/>
      <c r="K54" s="97"/>
      <c r="L54" s="97"/>
      <c r="M54" s="97"/>
      <c r="N54" s="97"/>
      <c r="O54" s="97"/>
      <c r="P54" s="97"/>
      <c r="Q54" s="97"/>
      <c r="R54" s="101"/>
      <c r="S54" s="101"/>
      <c r="T54" s="101"/>
      <c r="U54" s="101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</row>
    <row r="55" spans="1:55" s="35" customFormat="1" ht="13.5" customHeight="1">
      <c r="A55" s="96">
        <v>2</v>
      </c>
      <c r="B55" s="96"/>
      <c r="C55" s="96"/>
      <c r="D55" s="96"/>
      <c r="E55" s="96"/>
      <c r="F55" s="96"/>
      <c r="G55" s="96"/>
      <c r="H55" s="96"/>
      <c r="I55" s="96"/>
      <c r="J55" s="97">
        <v>45215</v>
      </c>
      <c r="K55" s="97"/>
      <c r="L55" s="97"/>
      <c r="M55" s="97"/>
      <c r="N55" s="97"/>
      <c r="O55" s="97"/>
      <c r="P55" s="97"/>
      <c r="Q55" s="97"/>
      <c r="R55" s="101" t="s">
        <v>32</v>
      </c>
      <c r="S55" s="101"/>
      <c r="T55" s="101"/>
      <c r="U55" s="101"/>
      <c r="V55" s="102" t="s">
        <v>863</v>
      </c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0" t="s">
        <v>13</v>
      </c>
      <c r="AU55" s="100"/>
      <c r="AV55" s="100"/>
      <c r="AW55" s="100"/>
      <c r="AX55" s="100"/>
      <c r="AY55" s="100"/>
      <c r="AZ55" s="100"/>
      <c r="BA55" s="100"/>
      <c r="BB55" s="100"/>
      <c r="BC55" s="100"/>
    </row>
    <row r="56" spans="1:55" s="35" customFormat="1" ht="13.5" customHeight="1">
      <c r="A56" s="96"/>
      <c r="B56" s="96"/>
      <c r="C56" s="96"/>
      <c r="D56" s="96"/>
      <c r="E56" s="96"/>
      <c r="F56" s="96"/>
      <c r="G56" s="96"/>
      <c r="H56" s="96"/>
      <c r="I56" s="96"/>
      <c r="J56" s="97"/>
      <c r="K56" s="97"/>
      <c r="L56" s="97"/>
      <c r="M56" s="97"/>
      <c r="N56" s="97"/>
      <c r="O56" s="97"/>
      <c r="P56" s="97"/>
      <c r="Q56" s="97"/>
      <c r="R56" s="101"/>
      <c r="S56" s="101"/>
      <c r="T56" s="101"/>
      <c r="U56" s="101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</row>
    <row r="57" spans="1:55" s="35" customFormat="1" ht="13.5" customHeight="1">
      <c r="A57" s="96"/>
      <c r="B57" s="96"/>
      <c r="C57" s="96"/>
      <c r="D57" s="96"/>
      <c r="E57" s="96"/>
      <c r="F57" s="96"/>
      <c r="G57" s="96"/>
      <c r="H57" s="96"/>
      <c r="I57" s="96"/>
      <c r="J57" s="97"/>
      <c r="K57" s="97"/>
      <c r="L57" s="97"/>
      <c r="M57" s="97"/>
      <c r="N57" s="97"/>
      <c r="O57" s="97"/>
      <c r="P57" s="97"/>
      <c r="Q57" s="97"/>
      <c r="R57" s="101"/>
      <c r="S57" s="101"/>
      <c r="T57" s="101"/>
      <c r="U57" s="101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</row>
    <row r="58" spans="1:55" s="35" customFormat="1" ht="13.5" customHeight="1">
      <c r="A58" s="96">
        <v>2.1</v>
      </c>
      <c r="B58" s="96"/>
      <c r="C58" s="96"/>
      <c r="D58" s="96"/>
      <c r="E58" s="96"/>
      <c r="F58" s="96"/>
      <c r="G58" s="96"/>
      <c r="H58" s="96"/>
      <c r="I58" s="96"/>
      <c r="J58" s="97">
        <v>45216</v>
      </c>
      <c r="K58" s="97"/>
      <c r="L58" s="97"/>
      <c r="M58" s="97"/>
      <c r="N58" s="97"/>
      <c r="O58" s="97"/>
      <c r="P58" s="97"/>
      <c r="Q58" s="97"/>
      <c r="R58" s="101" t="s">
        <v>40</v>
      </c>
      <c r="S58" s="101"/>
      <c r="T58" s="101"/>
      <c r="U58" s="101"/>
      <c r="V58" s="102" t="s">
        <v>862</v>
      </c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0" t="s">
        <v>13</v>
      </c>
      <c r="AU58" s="100"/>
      <c r="AV58" s="100"/>
      <c r="AW58" s="100"/>
      <c r="AX58" s="100"/>
      <c r="AY58" s="100"/>
      <c r="AZ58" s="100"/>
      <c r="BA58" s="100"/>
      <c r="BB58" s="100"/>
      <c r="BC58" s="100"/>
    </row>
    <row r="59" spans="1:55" s="35" customFormat="1" ht="13.5" customHeight="1">
      <c r="A59" s="96"/>
      <c r="B59" s="96"/>
      <c r="C59" s="96"/>
      <c r="D59" s="96"/>
      <c r="E59" s="96"/>
      <c r="F59" s="96"/>
      <c r="G59" s="96"/>
      <c r="H59" s="96"/>
      <c r="I59" s="96"/>
      <c r="J59" s="97"/>
      <c r="K59" s="97"/>
      <c r="L59" s="97"/>
      <c r="M59" s="97"/>
      <c r="N59" s="97"/>
      <c r="O59" s="97"/>
      <c r="P59" s="97"/>
      <c r="Q59" s="97"/>
      <c r="R59" s="101"/>
      <c r="S59" s="101"/>
      <c r="T59" s="101"/>
      <c r="U59" s="101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</row>
    <row r="60" spans="1:55" s="35" customFormat="1" ht="13.5" customHeight="1">
      <c r="A60" s="96"/>
      <c r="B60" s="96"/>
      <c r="C60" s="96"/>
      <c r="D60" s="96"/>
      <c r="E60" s="96"/>
      <c r="F60" s="96"/>
      <c r="G60" s="96"/>
      <c r="H60" s="96"/>
      <c r="I60" s="96"/>
      <c r="J60" s="97"/>
      <c r="K60" s="97"/>
      <c r="L60" s="97"/>
      <c r="M60" s="97"/>
      <c r="N60" s="97"/>
      <c r="O60" s="97"/>
      <c r="P60" s="97"/>
      <c r="Q60" s="97"/>
      <c r="R60" s="101"/>
      <c r="S60" s="101"/>
      <c r="T60" s="101"/>
      <c r="U60" s="101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</row>
    <row r="61" spans="1:55" s="35" customFormat="1" ht="13.5" customHeight="1">
      <c r="A61" s="96">
        <v>2.2000000000000002</v>
      </c>
      <c r="B61" s="96"/>
      <c r="C61" s="96"/>
      <c r="D61" s="96"/>
      <c r="E61" s="96"/>
      <c r="F61" s="96"/>
      <c r="G61" s="96"/>
      <c r="H61" s="96"/>
      <c r="I61" s="96"/>
      <c r="J61" s="97">
        <v>45222</v>
      </c>
      <c r="K61" s="97"/>
      <c r="L61" s="97"/>
      <c r="M61" s="97"/>
      <c r="N61" s="97"/>
      <c r="O61" s="97"/>
      <c r="P61" s="97"/>
      <c r="Q61" s="97"/>
      <c r="R61" s="101" t="s">
        <v>41</v>
      </c>
      <c r="S61" s="101"/>
      <c r="T61" s="101"/>
      <c r="U61" s="101"/>
      <c r="V61" s="102" t="s">
        <v>859</v>
      </c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0" t="s">
        <v>13</v>
      </c>
      <c r="AU61" s="100"/>
      <c r="AV61" s="100"/>
      <c r="AW61" s="100"/>
      <c r="AX61" s="100"/>
      <c r="AY61" s="100"/>
      <c r="AZ61" s="100"/>
      <c r="BA61" s="100"/>
      <c r="BB61" s="100"/>
      <c r="BC61" s="100"/>
    </row>
    <row r="62" spans="1:55" s="35" customFormat="1" ht="13.5" customHeight="1">
      <c r="A62" s="96"/>
      <c r="B62" s="96"/>
      <c r="C62" s="96"/>
      <c r="D62" s="96"/>
      <c r="E62" s="96"/>
      <c r="F62" s="96"/>
      <c r="G62" s="96"/>
      <c r="H62" s="96"/>
      <c r="I62" s="96"/>
      <c r="J62" s="97"/>
      <c r="K62" s="97"/>
      <c r="L62" s="97"/>
      <c r="M62" s="97"/>
      <c r="N62" s="97"/>
      <c r="O62" s="97"/>
      <c r="P62" s="97"/>
      <c r="Q62" s="97"/>
      <c r="R62" s="101"/>
      <c r="S62" s="101"/>
      <c r="T62" s="101"/>
      <c r="U62" s="101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</row>
    <row r="63" spans="1:55" s="35" customFormat="1" ht="13.5" customHeight="1">
      <c r="A63" s="96"/>
      <c r="B63" s="96"/>
      <c r="C63" s="96"/>
      <c r="D63" s="96"/>
      <c r="E63" s="96"/>
      <c r="F63" s="96"/>
      <c r="G63" s="96"/>
      <c r="H63" s="96"/>
      <c r="I63" s="96"/>
      <c r="J63" s="97"/>
      <c r="K63" s="97"/>
      <c r="L63" s="97"/>
      <c r="M63" s="97"/>
      <c r="N63" s="97"/>
      <c r="O63" s="97"/>
      <c r="P63" s="97"/>
      <c r="Q63" s="97"/>
      <c r="R63" s="101"/>
      <c r="S63" s="101"/>
      <c r="T63" s="101"/>
      <c r="U63" s="101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</row>
    <row r="64" spans="1:55" s="35" customFormat="1" ht="13.5" customHeight="1">
      <c r="A64" s="96">
        <v>2.2999999999999998</v>
      </c>
      <c r="B64" s="96"/>
      <c r="C64" s="96"/>
      <c r="D64" s="96"/>
      <c r="E64" s="96"/>
      <c r="F64" s="96"/>
      <c r="G64" s="96"/>
      <c r="H64" s="96"/>
      <c r="I64" s="96"/>
      <c r="J64" s="97">
        <v>45225</v>
      </c>
      <c r="K64" s="97"/>
      <c r="L64" s="97"/>
      <c r="M64" s="97"/>
      <c r="N64" s="97"/>
      <c r="O64" s="97"/>
      <c r="P64" s="97"/>
      <c r="Q64" s="97"/>
      <c r="R64" s="101" t="s">
        <v>42</v>
      </c>
      <c r="S64" s="101"/>
      <c r="T64" s="101"/>
      <c r="U64" s="101"/>
      <c r="V64" s="102" t="s">
        <v>861</v>
      </c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0" t="s">
        <v>13</v>
      </c>
      <c r="AU64" s="100"/>
      <c r="AV64" s="100"/>
      <c r="AW64" s="100"/>
      <c r="AX64" s="100"/>
      <c r="AY64" s="100"/>
      <c r="AZ64" s="100"/>
      <c r="BA64" s="100"/>
      <c r="BB64" s="100"/>
      <c r="BC64" s="100"/>
    </row>
    <row r="65" spans="1:55" s="35" customFormat="1" ht="13.5" customHeight="1">
      <c r="A65" s="96"/>
      <c r="B65" s="96"/>
      <c r="C65" s="96"/>
      <c r="D65" s="96"/>
      <c r="E65" s="96"/>
      <c r="F65" s="96"/>
      <c r="G65" s="96"/>
      <c r="H65" s="96"/>
      <c r="I65" s="96"/>
      <c r="J65" s="97"/>
      <c r="K65" s="97"/>
      <c r="L65" s="97"/>
      <c r="M65" s="97"/>
      <c r="N65" s="97"/>
      <c r="O65" s="97"/>
      <c r="P65" s="97"/>
      <c r="Q65" s="97"/>
      <c r="R65" s="101"/>
      <c r="S65" s="101"/>
      <c r="T65" s="101"/>
      <c r="U65" s="101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</row>
    <row r="66" spans="1:55" s="35" customFormat="1" ht="13.5" customHeight="1">
      <c r="A66" s="96"/>
      <c r="B66" s="96"/>
      <c r="C66" s="96"/>
      <c r="D66" s="96"/>
      <c r="E66" s="96"/>
      <c r="F66" s="96"/>
      <c r="G66" s="96"/>
      <c r="H66" s="96"/>
      <c r="I66" s="96"/>
      <c r="J66" s="97"/>
      <c r="K66" s="97"/>
      <c r="L66" s="97"/>
      <c r="M66" s="97"/>
      <c r="N66" s="97"/>
      <c r="O66" s="97"/>
      <c r="P66" s="97"/>
      <c r="Q66" s="97"/>
      <c r="R66" s="101"/>
      <c r="S66" s="101"/>
      <c r="T66" s="101"/>
      <c r="U66" s="101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</row>
    <row r="67" spans="1:55" s="35" customFormat="1" ht="13.5" customHeight="1">
      <c r="A67" s="96">
        <v>2.4</v>
      </c>
      <c r="B67" s="96"/>
      <c r="C67" s="96"/>
      <c r="D67" s="96"/>
      <c r="E67" s="96"/>
      <c r="F67" s="96"/>
      <c r="G67" s="96"/>
      <c r="H67" s="96"/>
      <c r="I67" s="96"/>
      <c r="J67" s="97">
        <v>45230</v>
      </c>
      <c r="K67" s="97"/>
      <c r="L67" s="97"/>
      <c r="M67" s="97"/>
      <c r="N67" s="97"/>
      <c r="O67" s="97"/>
      <c r="P67" s="97"/>
      <c r="Q67" s="97"/>
      <c r="R67" s="101" t="s">
        <v>43</v>
      </c>
      <c r="S67" s="101"/>
      <c r="T67" s="101"/>
      <c r="U67" s="101"/>
      <c r="V67" s="102" t="s">
        <v>860</v>
      </c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0" t="s">
        <v>13</v>
      </c>
      <c r="AU67" s="100"/>
      <c r="AV67" s="100"/>
      <c r="AW67" s="100"/>
      <c r="AX67" s="100"/>
      <c r="AY67" s="100"/>
      <c r="AZ67" s="100"/>
      <c r="BA67" s="100"/>
      <c r="BB67" s="100"/>
      <c r="BC67" s="100"/>
    </row>
    <row r="68" spans="1:55" s="35" customFormat="1" ht="13.5" customHeight="1">
      <c r="A68" s="96"/>
      <c r="B68" s="96"/>
      <c r="C68" s="96"/>
      <c r="D68" s="96"/>
      <c r="E68" s="96"/>
      <c r="F68" s="96"/>
      <c r="G68" s="96"/>
      <c r="H68" s="96"/>
      <c r="I68" s="96"/>
      <c r="J68" s="97"/>
      <c r="K68" s="97"/>
      <c r="L68" s="97"/>
      <c r="M68" s="97"/>
      <c r="N68" s="97"/>
      <c r="O68" s="97"/>
      <c r="P68" s="97"/>
      <c r="Q68" s="97"/>
      <c r="R68" s="101"/>
      <c r="S68" s="101"/>
      <c r="T68" s="101"/>
      <c r="U68" s="101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</row>
    <row r="69" spans="1:55" s="35" customFormat="1" ht="13.5" customHeight="1">
      <c r="A69" s="96"/>
      <c r="B69" s="96"/>
      <c r="C69" s="96"/>
      <c r="D69" s="96"/>
      <c r="E69" s="96"/>
      <c r="F69" s="96"/>
      <c r="G69" s="96"/>
      <c r="H69" s="96"/>
      <c r="I69" s="96"/>
      <c r="J69" s="97"/>
      <c r="K69" s="97"/>
      <c r="L69" s="97"/>
      <c r="M69" s="97"/>
      <c r="N69" s="97"/>
      <c r="O69" s="97"/>
      <c r="P69" s="97"/>
      <c r="Q69" s="97"/>
      <c r="R69" s="101"/>
      <c r="S69" s="101"/>
      <c r="T69" s="101"/>
      <c r="U69" s="101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</row>
    <row r="70" spans="1:55" s="35" customFormat="1" ht="13.5" customHeight="1">
      <c r="A70" s="96">
        <v>2.5</v>
      </c>
      <c r="B70" s="96"/>
      <c r="C70" s="96"/>
      <c r="D70" s="96"/>
      <c r="E70" s="96"/>
      <c r="F70" s="96"/>
      <c r="G70" s="96"/>
      <c r="H70" s="96"/>
      <c r="I70" s="96"/>
      <c r="J70" s="97">
        <v>45236</v>
      </c>
      <c r="K70" s="97"/>
      <c r="L70" s="97"/>
      <c r="M70" s="97"/>
      <c r="N70" s="97"/>
      <c r="O70" s="97"/>
      <c r="P70" s="97"/>
      <c r="Q70" s="97"/>
      <c r="R70" s="101" t="s">
        <v>848</v>
      </c>
      <c r="S70" s="101"/>
      <c r="T70" s="101"/>
      <c r="U70" s="101"/>
      <c r="V70" s="102" t="s">
        <v>860</v>
      </c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0" t="s">
        <v>13</v>
      </c>
      <c r="AU70" s="100"/>
      <c r="AV70" s="100"/>
      <c r="AW70" s="100"/>
      <c r="AX70" s="100"/>
      <c r="AY70" s="100"/>
      <c r="AZ70" s="100"/>
      <c r="BA70" s="100"/>
      <c r="BB70" s="100"/>
      <c r="BC70" s="100"/>
    </row>
    <row r="71" spans="1:55" s="35" customFormat="1" ht="13.5" customHeight="1">
      <c r="A71" s="96"/>
      <c r="B71" s="96"/>
      <c r="C71" s="96"/>
      <c r="D71" s="96"/>
      <c r="E71" s="96"/>
      <c r="F71" s="96"/>
      <c r="G71" s="96"/>
      <c r="H71" s="96"/>
      <c r="I71" s="96"/>
      <c r="J71" s="97"/>
      <c r="K71" s="97"/>
      <c r="L71" s="97"/>
      <c r="M71" s="97"/>
      <c r="N71" s="97"/>
      <c r="O71" s="97"/>
      <c r="P71" s="97"/>
      <c r="Q71" s="97"/>
      <c r="R71" s="101"/>
      <c r="S71" s="101"/>
      <c r="T71" s="101"/>
      <c r="U71" s="101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</row>
    <row r="72" spans="1:55" s="35" customFormat="1" ht="13.5" customHeight="1">
      <c r="A72" s="96"/>
      <c r="B72" s="96"/>
      <c r="C72" s="96"/>
      <c r="D72" s="96"/>
      <c r="E72" s="96"/>
      <c r="F72" s="96"/>
      <c r="G72" s="96"/>
      <c r="H72" s="96"/>
      <c r="I72" s="96"/>
      <c r="J72" s="97"/>
      <c r="K72" s="97"/>
      <c r="L72" s="97"/>
      <c r="M72" s="97"/>
      <c r="N72" s="97"/>
      <c r="O72" s="97"/>
      <c r="P72" s="97"/>
      <c r="Q72" s="97"/>
      <c r="R72" s="101"/>
      <c r="S72" s="101"/>
      <c r="T72" s="101"/>
      <c r="U72" s="101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</row>
    <row r="73" spans="1:55" s="35" customFormat="1" ht="13.5" customHeight="1">
      <c r="A73" s="96">
        <v>2.6</v>
      </c>
      <c r="B73" s="96"/>
      <c r="C73" s="96"/>
      <c r="D73" s="96"/>
      <c r="E73" s="96"/>
      <c r="F73" s="96"/>
      <c r="G73" s="96"/>
      <c r="H73" s="96"/>
      <c r="I73" s="96"/>
      <c r="J73" s="97">
        <v>45244</v>
      </c>
      <c r="K73" s="97"/>
      <c r="L73" s="97"/>
      <c r="M73" s="97"/>
      <c r="N73" s="97"/>
      <c r="O73" s="97"/>
      <c r="P73" s="97"/>
      <c r="Q73" s="97"/>
      <c r="R73" s="101" t="s">
        <v>858</v>
      </c>
      <c r="S73" s="101"/>
      <c r="T73" s="101"/>
      <c r="U73" s="101"/>
      <c r="V73" s="102" t="s">
        <v>859</v>
      </c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0" t="s">
        <v>13</v>
      </c>
      <c r="AU73" s="100"/>
      <c r="AV73" s="100"/>
      <c r="AW73" s="100"/>
      <c r="AX73" s="100"/>
      <c r="AY73" s="100"/>
      <c r="AZ73" s="100"/>
      <c r="BA73" s="100"/>
      <c r="BB73" s="100"/>
      <c r="BC73" s="100"/>
    </row>
    <row r="74" spans="1:55" s="35" customFormat="1" ht="13.5" customHeight="1">
      <c r="A74" s="96"/>
      <c r="B74" s="96"/>
      <c r="C74" s="96"/>
      <c r="D74" s="96"/>
      <c r="E74" s="96"/>
      <c r="F74" s="96"/>
      <c r="G74" s="96"/>
      <c r="H74" s="96"/>
      <c r="I74" s="96"/>
      <c r="J74" s="97"/>
      <c r="K74" s="97"/>
      <c r="L74" s="97"/>
      <c r="M74" s="97"/>
      <c r="N74" s="97"/>
      <c r="O74" s="97"/>
      <c r="P74" s="97"/>
      <c r="Q74" s="97"/>
      <c r="R74" s="101"/>
      <c r="S74" s="101"/>
      <c r="T74" s="101"/>
      <c r="U74" s="101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</row>
    <row r="75" spans="1:55" s="35" customFormat="1" ht="13.5" customHeight="1">
      <c r="A75" s="96"/>
      <c r="B75" s="96"/>
      <c r="C75" s="96"/>
      <c r="D75" s="96"/>
      <c r="E75" s="96"/>
      <c r="F75" s="96"/>
      <c r="G75" s="96"/>
      <c r="H75" s="96"/>
      <c r="I75" s="96"/>
      <c r="J75" s="97"/>
      <c r="K75" s="97"/>
      <c r="L75" s="97"/>
      <c r="M75" s="97"/>
      <c r="N75" s="97"/>
      <c r="O75" s="97"/>
      <c r="P75" s="97"/>
      <c r="Q75" s="97"/>
      <c r="R75" s="101"/>
      <c r="S75" s="101"/>
      <c r="T75" s="101"/>
      <c r="U75" s="101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</row>
    <row r="76" spans="1:55" s="35" customFormat="1" ht="13.5" customHeight="1">
      <c r="A76" s="96">
        <v>2.7</v>
      </c>
      <c r="B76" s="96"/>
      <c r="C76" s="96"/>
      <c r="D76" s="96"/>
      <c r="E76" s="96"/>
      <c r="F76" s="96"/>
      <c r="G76" s="96"/>
      <c r="H76" s="96"/>
      <c r="I76" s="96"/>
      <c r="J76" s="97">
        <v>45250</v>
      </c>
      <c r="K76" s="97"/>
      <c r="L76" s="97"/>
      <c r="M76" s="97"/>
      <c r="N76" s="97"/>
      <c r="O76" s="97"/>
      <c r="P76" s="97"/>
      <c r="Q76" s="97"/>
      <c r="R76" s="101" t="s">
        <v>827</v>
      </c>
      <c r="S76" s="101"/>
      <c r="T76" s="101"/>
      <c r="U76" s="101"/>
      <c r="V76" s="102" t="s">
        <v>857</v>
      </c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0" t="s">
        <v>13</v>
      </c>
      <c r="AU76" s="100"/>
      <c r="AV76" s="100"/>
      <c r="AW76" s="100"/>
      <c r="AX76" s="100"/>
      <c r="AY76" s="100"/>
      <c r="AZ76" s="100"/>
      <c r="BA76" s="100"/>
      <c r="BB76" s="100"/>
      <c r="BC76" s="100"/>
    </row>
    <row r="77" spans="1:55" s="35" customFormat="1" ht="13.5" customHeight="1">
      <c r="A77" s="96"/>
      <c r="B77" s="96"/>
      <c r="C77" s="96"/>
      <c r="D77" s="96"/>
      <c r="E77" s="96"/>
      <c r="F77" s="96"/>
      <c r="G77" s="96"/>
      <c r="H77" s="96"/>
      <c r="I77" s="96"/>
      <c r="J77" s="97"/>
      <c r="K77" s="97"/>
      <c r="L77" s="97"/>
      <c r="M77" s="97"/>
      <c r="N77" s="97"/>
      <c r="O77" s="97"/>
      <c r="P77" s="97"/>
      <c r="Q77" s="97"/>
      <c r="R77" s="101"/>
      <c r="S77" s="101"/>
      <c r="T77" s="101"/>
      <c r="U77" s="101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</row>
    <row r="78" spans="1:55" s="35" customFormat="1" ht="13.5" customHeight="1">
      <c r="A78" s="96"/>
      <c r="B78" s="96"/>
      <c r="C78" s="96"/>
      <c r="D78" s="96"/>
      <c r="E78" s="96"/>
      <c r="F78" s="96"/>
      <c r="G78" s="96"/>
      <c r="H78" s="96"/>
      <c r="I78" s="96"/>
      <c r="J78" s="97"/>
      <c r="K78" s="97"/>
      <c r="L78" s="97"/>
      <c r="M78" s="97"/>
      <c r="N78" s="97"/>
      <c r="O78" s="97"/>
      <c r="P78" s="97"/>
      <c r="Q78" s="97"/>
      <c r="R78" s="101"/>
      <c r="S78" s="101"/>
      <c r="T78" s="101"/>
      <c r="U78" s="101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</row>
    <row r="79" spans="1:55" s="35" customFormat="1" ht="13.5" customHeight="1">
      <c r="A79" s="96">
        <v>2.8</v>
      </c>
      <c r="B79" s="96"/>
      <c r="C79" s="96"/>
      <c r="D79" s="96"/>
      <c r="E79" s="96"/>
      <c r="F79" s="96"/>
      <c r="G79" s="96"/>
      <c r="H79" s="96"/>
      <c r="I79" s="96"/>
      <c r="J79" s="97">
        <v>45254</v>
      </c>
      <c r="K79" s="97"/>
      <c r="L79" s="97"/>
      <c r="M79" s="97"/>
      <c r="N79" s="97"/>
      <c r="O79" s="97"/>
      <c r="P79" s="97"/>
      <c r="Q79" s="97"/>
      <c r="R79" s="101" t="s">
        <v>829</v>
      </c>
      <c r="S79" s="101"/>
      <c r="T79" s="101"/>
      <c r="U79" s="101"/>
      <c r="V79" s="102" t="s">
        <v>856</v>
      </c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0" t="s">
        <v>13</v>
      </c>
      <c r="AU79" s="100"/>
      <c r="AV79" s="100"/>
      <c r="AW79" s="100"/>
      <c r="AX79" s="100"/>
      <c r="AY79" s="100"/>
      <c r="AZ79" s="100"/>
      <c r="BA79" s="100"/>
      <c r="BB79" s="100"/>
      <c r="BC79" s="100"/>
    </row>
    <row r="80" spans="1:55" s="35" customFormat="1" ht="13.5" customHeight="1">
      <c r="A80" s="96"/>
      <c r="B80" s="96"/>
      <c r="C80" s="96"/>
      <c r="D80" s="96"/>
      <c r="E80" s="96"/>
      <c r="F80" s="96"/>
      <c r="G80" s="96"/>
      <c r="H80" s="96"/>
      <c r="I80" s="96"/>
      <c r="J80" s="97"/>
      <c r="K80" s="97"/>
      <c r="L80" s="97"/>
      <c r="M80" s="97"/>
      <c r="N80" s="97"/>
      <c r="O80" s="97"/>
      <c r="P80" s="97"/>
      <c r="Q80" s="97"/>
      <c r="R80" s="101"/>
      <c r="S80" s="101"/>
      <c r="T80" s="101"/>
      <c r="U80" s="101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</row>
    <row r="81" spans="1:55" s="35" customFormat="1" ht="13.5" customHeight="1">
      <c r="A81" s="96"/>
      <c r="B81" s="96"/>
      <c r="C81" s="96"/>
      <c r="D81" s="96"/>
      <c r="E81" s="96"/>
      <c r="F81" s="96"/>
      <c r="G81" s="96"/>
      <c r="H81" s="96"/>
      <c r="I81" s="96"/>
      <c r="J81" s="97"/>
      <c r="K81" s="97"/>
      <c r="L81" s="97"/>
      <c r="M81" s="97"/>
      <c r="N81" s="97"/>
      <c r="O81" s="97"/>
      <c r="P81" s="97"/>
      <c r="Q81" s="97"/>
      <c r="R81" s="101"/>
      <c r="S81" s="101"/>
      <c r="T81" s="101"/>
      <c r="U81" s="101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</row>
    <row r="82" spans="1:55" s="35" customFormat="1" ht="13.5" customHeight="1">
      <c r="A82" s="96">
        <v>2.9</v>
      </c>
      <c r="B82" s="96"/>
      <c r="C82" s="96"/>
      <c r="D82" s="96"/>
      <c r="E82" s="96"/>
      <c r="F82" s="96"/>
      <c r="G82" s="96"/>
      <c r="H82" s="96"/>
      <c r="I82" s="96"/>
      <c r="J82" s="97">
        <v>45257</v>
      </c>
      <c r="K82" s="97"/>
      <c r="L82" s="97"/>
      <c r="M82" s="97"/>
      <c r="N82" s="97"/>
      <c r="O82" s="97"/>
      <c r="P82" s="97"/>
      <c r="Q82" s="97"/>
      <c r="R82" s="101" t="s">
        <v>834</v>
      </c>
      <c r="S82" s="101"/>
      <c r="T82" s="101"/>
      <c r="U82" s="101"/>
      <c r="V82" s="102" t="s">
        <v>856</v>
      </c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0" t="s">
        <v>13</v>
      </c>
      <c r="AU82" s="100"/>
      <c r="AV82" s="100"/>
      <c r="AW82" s="100"/>
      <c r="AX82" s="100"/>
      <c r="AY82" s="100"/>
      <c r="AZ82" s="100"/>
      <c r="BA82" s="100"/>
      <c r="BB82" s="100"/>
      <c r="BC82" s="100"/>
    </row>
    <row r="83" spans="1:55" s="35" customFormat="1" ht="13.5" customHeight="1">
      <c r="A83" s="96"/>
      <c r="B83" s="96"/>
      <c r="C83" s="96"/>
      <c r="D83" s="96"/>
      <c r="E83" s="96"/>
      <c r="F83" s="96"/>
      <c r="G83" s="96"/>
      <c r="H83" s="96"/>
      <c r="I83" s="96"/>
      <c r="J83" s="97"/>
      <c r="K83" s="97"/>
      <c r="L83" s="97"/>
      <c r="M83" s="97"/>
      <c r="N83" s="97"/>
      <c r="O83" s="97"/>
      <c r="P83" s="97"/>
      <c r="Q83" s="97"/>
      <c r="R83" s="101"/>
      <c r="S83" s="101"/>
      <c r="T83" s="101"/>
      <c r="U83" s="101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</row>
    <row r="84" spans="1:55" s="35" customFormat="1" ht="13.5" customHeight="1">
      <c r="A84" s="96"/>
      <c r="B84" s="96"/>
      <c r="C84" s="96"/>
      <c r="D84" s="96"/>
      <c r="E84" s="96"/>
      <c r="F84" s="96"/>
      <c r="G84" s="96"/>
      <c r="H84" s="96"/>
      <c r="I84" s="96"/>
      <c r="J84" s="97"/>
      <c r="K84" s="97"/>
      <c r="L84" s="97"/>
      <c r="M84" s="97"/>
      <c r="N84" s="97"/>
      <c r="O84" s="97"/>
      <c r="P84" s="97"/>
      <c r="Q84" s="97"/>
      <c r="R84" s="101"/>
      <c r="S84" s="101"/>
      <c r="T84" s="101"/>
      <c r="U84" s="101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</row>
    <row r="85" spans="1:55" s="35" customFormat="1" ht="13.5" customHeight="1">
      <c r="A85" s="96">
        <v>3</v>
      </c>
      <c r="B85" s="96"/>
      <c r="C85" s="96"/>
      <c r="D85" s="96"/>
      <c r="E85" s="96"/>
      <c r="F85" s="96"/>
      <c r="G85" s="96"/>
      <c r="H85" s="96"/>
      <c r="I85" s="96"/>
      <c r="J85" s="97">
        <v>45260</v>
      </c>
      <c r="K85" s="97"/>
      <c r="L85" s="97"/>
      <c r="M85" s="97"/>
      <c r="N85" s="97"/>
      <c r="O85" s="97"/>
      <c r="P85" s="97"/>
      <c r="Q85" s="97"/>
      <c r="R85" s="101" t="s">
        <v>837</v>
      </c>
      <c r="S85" s="101"/>
      <c r="T85" s="101"/>
      <c r="U85" s="101"/>
      <c r="V85" s="102" t="s">
        <v>855</v>
      </c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0" t="s">
        <v>13</v>
      </c>
      <c r="AU85" s="100"/>
      <c r="AV85" s="100"/>
      <c r="AW85" s="100"/>
      <c r="AX85" s="100"/>
      <c r="AY85" s="100"/>
      <c r="AZ85" s="100"/>
      <c r="BA85" s="100"/>
      <c r="BB85" s="100"/>
      <c r="BC85" s="100"/>
    </row>
    <row r="86" spans="1:55" s="35" customFormat="1" ht="13.5" customHeight="1">
      <c r="A86" s="96"/>
      <c r="B86" s="96"/>
      <c r="C86" s="96"/>
      <c r="D86" s="96"/>
      <c r="E86" s="96"/>
      <c r="F86" s="96"/>
      <c r="G86" s="96"/>
      <c r="H86" s="96"/>
      <c r="I86" s="96"/>
      <c r="J86" s="97"/>
      <c r="K86" s="97"/>
      <c r="L86" s="97"/>
      <c r="M86" s="97"/>
      <c r="N86" s="97"/>
      <c r="O86" s="97"/>
      <c r="P86" s="97"/>
      <c r="Q86" s="97"/>
      <c r="R86" s="101"/>
      <c r="S86" s="101"/>
      <c r="T86" s="101"/>
      <c r="U86" s="101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</row>
    <row r="87" spans="1:55" s="35" customFormat="1" ht="13.5" customHeight="1">
      <c r="A87" s="96"/>
      <c r="B87" s="96"/>
      <c r="C87" s="96"/>
      <c r="D87" s="96"/>
      <c r="E87" s="96"/>
      <c r="F87" s="96"/>
      <c r="G87" s="96"/>
      <c r="H87" s="96"/>
      <c r="I87" s="96"/>
      <c r="J87" s="97"/>
      <c r="K87" s="97"/>
      <c r="L87" s="97"/>
      <c r="M87" s="97"/>
      <c r="N87" s="97"/>
      <c r="O87" s="97"/>
      <c r="P87" s="97"/>
      <c r="Q87" s="97"/>
      <c r="R87" s="101"/>
      <c r="S87" s="101"/>
      <c r="T87" s="101"/>
      <c r="U87" s="101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</row>
    <row r="88" spans="1:55" s="35" customFormat="1" ht="13.5" customHeight="1">
      <c r="A88" s="96">
        <v>3.1</v>
      </c>
      <c r="B88" s="96"/>
      <c r="C88" s="96"/>
      <c r="D88" s="96"/>
      <c r="E88" s="96"/>
      <c r="F88" s="96"/>
      <c r="G88" s="96"/>
      <c r="H88" s="96"/>
      <c r="I88" s="96"/>
      <c r="J88" s="97">
        <v>45313</v>
      </c>
      <c r="K88" s="97"/>
      <c r="L88" s="97"/>
      <c r="M88" s="97"/>
      <c r="N88" s="97"/>
      <c r="O88" s="97"/>
      <c r="P88" s="97"/>
      <c r="Q88" s="97"/>
      <c r="R88" s="101" t="s">
        <v>837</v>
      </c>
      <c r="S88" s="101"/>
      <c r="T88" s="101"/>
      <c r="U88" s="101"/>
      <c r="V88" s="102" t="s">
        <v>878</v>
      </c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0" t="s">
        <v>13</v>
      </c>
      <c r="AU88" s="100"/>
      <c r="AV88" s="100"/>
      <c r="AW88" s="100"/>
      <c r="AX88" s="100"/>
      <c r="AY88" s="100"/>
      <c r="AZ88" s="100"/>
      <c r="BA88" s="100"/>
      <c r="BB88" s="100"/>
      <c r="BC88" s="100"/>
    </row>
    <row r="89" spans="1:55" s="35" customFormat="1" ht="13.5" customHeight="1">
      <c r="A89" s="96"/>
      <c r="B89" s="96"/>
      <c r="C89" s="96"/>
      <c r="D89" s="96"/>
      <c r="E89" s="96"/>
      <c r="F89" s="96"/>
      <c r="G89" s="96"/>
      <c r="H89" s="96"/>
      <c r="I89" s="96"/>
      <c r="J89" s="97"/>
      <c r="K89" s="97"/>
      <c r="L89" s="97"/>
      <c r="M89" s="97"/>
      <c r="N89" s="97"/>
      <c r="O89" s="97"/>
      <c r="P89" s="97"/>
      <c r="Q89" s="97"/>
      <c r="R89" s="101"/>
      <c r="S89" s="101"/>
      <c r="T89" s="101"/>
      <c r="U89" s="101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</row>
    <row r="90" spans="1:55" s="35" customFormat="1" ht="13.5" customHeight="1">
      <c r="A90" s="96"/>
      <c r="B90" s="96"/>
      <c r="C90" s="96"/>
      <c r="D90" s="96"/>
      <c r="E90" s="96"/>
      <c r="F90" s="96"/>
      <c r="G90" s="96"/>
      <c r="H90" s="96"/>
      <c r="I90" s="96"/>
      <c r="J90" s="97"/>
      <c r="K90" s="97"/>
      <c r="L90" s="97"/>
      <c r="M90" s="97"/>
      <c r="N90" s="97"/>
      <c r="O90" s="97"/>
      <c r="P90" s="97"/>
      <c r="Q90" s="97"/>
      <c r="R90" s="101"/>
      <c r="S90" s="101"/>
      <c r="T90" s="101"/>
      <c r="U90" s="101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</row>
    <row r="91" spans="1:55" s="35" customFormat="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7"/>
      <c r="K91" s="107"/>
      <c r="L91" s="107"/>
      <c r="M91" s="107"/>
      <c r="N91" s="107"/>
      <c r="O91" s="107"/>
      <c r="P91" s="107"/>
      <c r="Q91" s="107"/>
      <c r="R91" s="108"/>
      <c r="S91" s="108"/>
      <c r="T91" s="108"/>
      <c r="U91" s="108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</row>
  </sheetData>
  <mergeCells count="134">
    <mergeCell ref="A91:I91"/>
    <mergeCell ref="J91:Q91"/>
    <mergeCell ref="R91:U91"/>
    <mergeCell ref="V91:AS91"/>
    <mergeCell ref="AT91:BC91"/>
    <mergeCell ref="J76:Q78"/>
    <mergeCell ref="R76:U78"/>
    <mergeCell ref="V76:AS78"/>
    <mergeCell ref="AT76:BC78"/>
    <mergeCell ref="V88:AS90"/>
    <mergeCell ref="A85:I87"/>
    <mergeCell ref="J85:Q87"/>
    <mergeCell ref="R85:U87"/>
    <mergeCell ref="V85:AS87"/>
    <mergeCell ref="AT85:BC87"/>
    <mergeCell ref="AT88:BC90"/>
    <mergeCell ref="A82:I84"/>
    <mergeCell ref="J82:Q84"/>
    <mergeCell ref="R82:U84"/>
    <mergeCell ref="V82:AS84"/>
    <mergeCell ref="AT82:BC84"/>
    <mergeCell ref="A88:I90"/>
    <mergeCell ref="J88:Q90"/>
    <mergeCell ref="R88:U90"/>
    <mergeCell ref="A70:I72"/>
    <mergeCell ref="J70:Q72"/>
    <mergeCell ref="R70:U72"/>
    <mergeCell ref="V70:AS72"/>
    <mergeCell ref="AT70:BC72"/>
    <mergeCell ref="A79:I81"/>
    <mergeCell ref="J79:Q81"/>
    <mergeCell ref="R79:U81"/>
    <mergeCell ref="V79:AS81"/>
    <mergeCell ref="AT79:BC81"/>
    <mergeCell ref="A73:I75"/>
    <mergeCell ref="J73:Q75"/>
    <mergeCell ref="R73:U75"/>
    <mergeCell ref="V73:AS75"/>
    <mergeCell ref="AT73:BC75"/>
    <mergeCell ref="A76:I78"/>
    <mergeCell ref="A64:I66"/>
    <mergeCell ref="J64:Q66"/>
    <mergeCell ref="R64:U66"/>
    <mergeCell ref="V64:AS66"/>
    <mergeCell ref="AT64:BC66"/>
    <mergeCell ref="A67:I69"/>
    <mergeCell ref="J67:Q69"/>
    <mergeCell ref="R67:U69"/>
    <mergeCell ref="V67:AS69"/>
    <mergeCell ref="AT67:BC69"/>
    <mergeCell ref="A58:I60"/>
    <mergeCell ref="J58:Q60"/>
    <mergeCell ref="R58:U60"/>
    <mergeCell ref="V58:AS60"/>
    <mergeCell ref="AT58:BC60"/>
    <mergeCell ref="A61:I63"/>
    <mergeCell ref="J61:Q63"/>
    <mergeCell ref="R61:U63"/>
    <mergeCell ref="V61:AS63"/>
    <mergeCell ref="AT61:BC63"/>
    <mergeCell ref="A52:I54"/>
    <mergeCell ref="J52:Q54"/>
    <mergeCell ref="R52:U54"/>
    <mergeCell ref="V52:AS54"/>
    <mergeCell ref="AT52:BC54"/>
    <mergeCell ref="A55:I57"/>
    <mergeCell ref="J55:Q57"/>
    <mergeCell ref="R55:U57"/>
    <mergeCell ref="V55:AS57"/>
    <mergeCell ref="AT55:BC57"/>
    <mergeCell ref="A41:I43"/>
    <mergeCell ref="J41:Q43"/>
    <mergeCell ref="R41:U43"/>
    <mergeCell ref="V41:AS43"/>
    <mergeCell ref="AT41:BC43"/>
    <mergeCell ref="A44:I51"/>
    <mergeCell ref="J44:Q51"/>
    <mergeCell ref="R44:U51"/>
    <mergeCell ref="V44:AS51"/>
    <mergeCell ref="AT44:BC51"/>
    <mergeCell ref="A34:I37"/>
    <mergeCell ref="J34:Q37"/>
    <mergeCell ref="R34:U37"/>
    <mergeCell ref="V34:AS37"/>
    <mergeCell ref="AT34:BC37"/>
    <mergeCell ref="A38:I40"/>
    <mergeCell ref="J38:Q40"/>
    <mergeCell ref="R38:U40"/>
    <mergeCell ref="V38:AS40"/>
    <mergeCell ref="AT38:BC40"/>
    <mergeCell ref="A28:I30"/>
    <mergeCell ref="J28:Q30"/>
    <mergeCell ref="R28:U30"/>
    <mergeCell ref="V28:AS30"/>
    <mergeCell ref="AT28:BC30"/>
    <mergeCell ref="A31:I33"/>
    <mergeCell ref="J31:Q33"/>
    <mergeCell ref="R31:U33"/>
    <mergeCell ref="V31:AS33"/>
    <mergeCell ref="AT31:BC33"/>
    <mergeCell ref="A11:I22"/>
    <mergeCell ref="J11:Q22"/>
    <mergeCell ref="R11:U22"/>
    <mergeCell ref="V11:AS22"/>
    <mergeCell ref="AT11:BC22"/>
    <mergeCell ref="A23:I27"/>
    <mergeCell ref="J23:Q27"/>
    <mergeCell ref="R23:U27"/>
    <mergeCell ref="V23:AS27"/>
    <mergeCell ref="AT23:BC27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23611111111111099" right="0.23611111111111099" top="0.74861111111111101" bottom="0.74861111111111101" header="0.31527777777777799" footer="0.31527777777777799"/>
  <pageSetup paperSize="9" scale="69" orientation="landscape" horizontalDpi="300" verticalDpi="300" r:id="rId1"/>
  <headerFooter>
    <oddHeader>&amp;C&amp;F</oddHeader>
    <oddFooter>&amp;C&amp;8&amp;P / &amp;N ページ</oddFooter>
  </headerFooter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0"/>
  <sheetViews>
    <sheetView showGridLines="0" view="pageBreakPreview" zoomScaleNormal="100" workbookViewId="0">
      <pane ySplit="8" topLeftCell="A9" activePane="bottomLeft" state="frozen"/>
      <selection pane="bottomLeft" sqref="A1:I1"/>
    </sheetView>
  </sheetViews>
  <sheetFormatPr defaultColWidth="2.59765625" defaultRowHeight="18"/>
  <cols>
    <col min="1" max="55" width="2.59765625" style="37"/>
  </cols>
  <sheetData>
    <row r="1" spans="1:55" s="3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7" t="s">
        <v>826</v>
      </c>
      <c r="AU2" s="87"/>
      <c r="AV2" s="87"/>
      <c r="AW2" s="87"/>
      <c r="AX2" s="87"/>
      <c r="AY2" s="86">
        <v>45313</v>
      </c>
      <c r="AZ2" s="86"/>
      <c r="BA2" s="86"/>
      <c r="BB2" s="86"/>
      <c r="BC2" s="86"/>
    </row>
    <row r="3" spans="1:55" s="3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86"/>
      <c r="AZ3" s="86"/>
      <c r="BA3" s="86"/>
      <c r="BB3" s="86"/>
      <c r="BC3" s="86"/>
    </row>
    <row r="4" spans="1:55" s="38" customFormat="1" ht="13.5" customHeight="1"/>
    <row r="5" spans="1:55" s="38" customFormat="1" ht="13.5" customHeight="1">
      <c r="B5" s="39" t="s">
        <v>45</v>
      </c>
    </row>
    <row r="6" spans="1:55" s="38" customFormat="1" ht="13.5" customHeight="1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</row>
    <row r="7" spans="1:55" s="38" customFormat="1" ht="13.5" customHeight="1">
      <c r="C7" s="111" t="s">
        <v>46</v>
      </c>
      <c r="D7" s="111"/>
      <c r="E7" s="111" t="s">
        <v>47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40"/>
      <c r="AQ7" s="40"/>
      <c r="AR7" s="40"/>
      <c r="AS7" s="40"/>
      <c r="AT7" s="40"/>
      <c r="AU7" s="40"/>
      <c r="AV7" s="40"/>
      <c r="AW7" s="40"/>
      <c r="AX7" s="40"/>
    </row>
    <row r="8" spans="1:55" s="38" customFormat="1" ht="13.5" customHeight="1">
      <c r="C8" s="111"/>
      <c r="D8" s="111"/>
      <c r="E8" s="111" t="s">
        <v>48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 t="s">
        <v>49</v>
      </c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40"/>
      <c r="AQ8" s="40"/>
      <c r="AR8" s="40"/>
      <c r="AS8" s="40"/>
      <c r="AT8" s="40"/>
      <c r="AU8" s="40"/>
      <c r="AV8" s="40"/>
      <c r="AW8" s="40"/>
      <c r="AX8" s="40"/>
    </row>
    <row r="9" spans="1:55" s="38" customFormat="1" ht="13.5" customHeight="1">
      <c r="C9" s="112">
        <f t="shared" ref="C9:C42" si="0">ROW()-8</f>
        <v>1</v>
      </c>
      <c r="D9" s="112"/>
      <c r="E9" s="113" t="str">
        <f>HYPERLINK("#勤怠管理画面用!A1","勤怠管理画面用")</f>
        <v>勤怠管理画面用</v>
      </c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 t="s">
        <v>50</v>
      </c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Q9" s="41"/>
      <c r="AV9" s="42"/>
    </row>
    <row r="10" spans="1:55" s="38" customFormat="1" ht="13.5" customHeight="1">
      <c r="C10" s="115">
        <f t="shared" si="0"/>
        <v>2</v>
      </c>
      <c r="D10" s="115"/>
      <c r="E10" s="113" t="str">
        <f>HYPERLINK("#契約内容!A1","契約内容")</f>
        <v>契約内容</v>
      </c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6" t="s">
        <v>51</v>
      </c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Q10" s="41"/>
      <c r="AV10" s="42"/>
    </row>
    <row r="11" spans="1:55" s="38" customFormat="1" ht="13.5" customHeight="1">
      <c r="C11" s="115">
        <f t="shared" si="0"/>
        <v>3</v>
      </c>
      <c r="D11" s="115"/>
      <c r="E11" s="113" t="str">
        <f>HYPERLINK("#契約同意!A1","契約同意")</f>
        <v>契約同意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6" t="s">
        <v>52</v>
      </c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Q11" s="41"/>
      <c r="AV11" s="42"/>
    </row>
    <row r="12" spans="1:55" s="38" customFormat="1" ht="13.5" customHeight="1">
      <c r="C12" s="115">
        <f t="shared" si="0"/>
        <v>4</v>
      </c>
      <c r="D12" s="115"/>
      <c r="E12" s="117" t="str">
        <f>HYPERLINK("#カテゴリ!A1","カテゴリ")</f>
        <v>カテゴリ</v>
      </c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6" t="s">
        <v>809</v>
      </c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Q12" s="43"/>
      <c r="AR12" s="43"/>
      <c r="AS12" s="43"/>
      <c r="AT12" s="43"/>
      <c r="AU12" s="43"/>
      <c r="AV12" s="42"/>
    </row>
    <row r="13" spans="1:55" s="38" customFormat="1" ht="13.5" customHeight="1">
      <c r="C13" s="115">
        <f t="shared" si="0"/>
        <v>5</v>
      </c>
      <c r="D13" s="115"/>
      <c r="E13" s="113" t="str">
        <f>HYPERLINK("#企業!A1","企業")</f>
        <v>企業</v>
      </c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6" t="s">
        <v>53</v>
      </c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Q13" s="43"/>
      <c r="AR13" s="43"/>
      <c r="AS13" s="43"/>
      <c r="AT13" s="43"/>
      <c r="AU13" s="43"/>
      <c r="AV13" s="42"/>
    </row>
    <row r="14" spans="1:55" s="38" customFormat="1" ht="13.5" customHeight="1">
      <c r="C14" s="115">
        <f t="shared" si="0"/>
        <v>6</v>
      </c>
      <c r="D14" s="115"/>
      <c r="E14" s="117" t="str">
        <f>HYPERLINK("#企業コース!A1","企業コース")</f>
        <v>企業コース</v>
      </c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6" t="s">
        <v>835</v>
      </c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Q14" s="43"/>
      <c r="AR14" s="43"/>
      <c r="AS14" s="43"/>
      <c r="AT14" s="43"/>
      <c r="AU14" s="43"/>
      <c r="AV14" s="42"/>
    </row>
    <row r="15" spans="1:55" s="38" customFormat="1" ht="13.5" customHeight="1">
      <c r="C15" s="115">
        <f t="shared" si="0"/>
        <v>7</v>
      </c>
      <c r="D15" s="115"/>
      <c r="E15" s="113" t="str">
        <f>HYPERLINK("#コース!A1","コース")</f>
        <v>コース</v>
      </c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6" t="s">
        <v>54</v>
      </c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Q15" s="43"/>
      <c r="AR15" s="43"/>
      <c r="AS15" s="43"/>
      <c r="AT15" s="43"/>
      <c r="AU15" s="43"/>
      <c r="AV15" s="42"/>
    </row>
    <row r="16" spans="1:55" s="38" customFormat="1" ht="13.5" customHeight="1">
      <c r="C16" s="112">
        <f t="shared" si="0"/>
        <v>8</v>
      </c>
      <c r="D16" s="112"/>
      <c r="E16" s="113" t="str">
        <f>HYPERLINK("#コース情報サービス カテゴリ!A1","コース情報サービス カテゴリ")</f>
        <v>コース情報サービス カテゴリ</v>
      </c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6" t="s">
        <v>55</v>
      </c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</row>
    <row r="17" spans="3:42" s="38" customFormat="1" ht="13.5" customHeight="1">
      <c r="C17" s="112">
        <f t="shared" si="0"/>
        <v>9</v>
      </c>
      <c r="D17" s="112"/>
      <c r="E17" s="113" t="str">
        <f>HYPERLINK("#コース情報サービス コース!A1","コース情報サービス コース")</f>
        <v>コース情報サービス コース</v>
      </c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6" t="s">
        <v>56</v>
      </c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</row>
    <row r="18" spans="3:42" s="38" customFormat="1" ht="13.5" customHeight="1">
      <c r="C18" s="112">
        <f t="shared" si="0"/>
        <v>10</v>
      </c>
      <c r="D18" s="112"/>
      <c r="E18" s="113" t="str">
        <f>HYPERLINK("#コース情報サービス セクション!A1","コース情報サービス セクション")</f>
        <v>コース情報サービス セクション</v>
      </c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6" t="s">
        <v>57</v>
      </c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</row>
    <row r="19" spans="3:42" s="43" customFormat="1" ht="13.5" customHeight="1">
      <c r="C19" s="115">
        <f t="shared" si="0"/>
        <v>11</v>
      </c>
      <c r="D19" s="115"/>
      <c r="E19" s="113" t="str">
        <f>HYPERLINK("#コース・紐付き教材件数!A1","コース・紐付き教材件数")</f>
        <v>コース・紐付き教材件数</v>
      </c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6" t="s">
        <v>58</v>
      </c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38"/>
    </row>
    <row r="20" spans="3:42" s="38" customFormat="1" ht="13.5" customHeight="1">
      <c r="C20" s="112">
        <f t="shared" si="0"/>
        <v>12</v>
      </c>
      <c r="D20" s="112"/>
      <c r="E20" s="113" t="str">
        <f>HYPERLINK("#コース教材紐づけ!A1","コース教材紐づけ")</f>
        <v>コース教材紐づけ</v>
      </c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6" t="s">
        <v>59</v>
      </c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</row>
    <row r="21" spans="3:42" s="38" customFormat="1" ht="13.5" customHeight="1">
      <c r="C21" s="112">
        <f t="shared" si="0"/>
        <v>13</v>
      </c>
      <c r="D21" s="112"/>
      <c r="E21" s="113" t="str">
        <f>HYPERLINK("#コースレポート!A1","コースレポート")</f>
        <v>コースレポート</v>
      </c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6" t="s">
        <v>60</v>
      </c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</row>
    <row r="22" spans="3:42" s="38" customFormat="1" ht="13.5" customHeight="1">
      <c r="C22" s="112">
        <f t="shared" si="0"/>
        <v>14</v>
      </c>
      <c r="D22" s="112"/>
      <c r="E22" s="113" t="str">
        <f>HYPERLINK("#レポート詳細!A1","レポート詳細")</f>
        <v>レポート詳細</v>
      </c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6" t="s">
        <v>61</v>
      </c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</row>
    <row r="23" spans="3:42" s="38" customFormat="1" ht="13.5" customHeight="1">
      <c r="C23" s="112">
        <f t="shared" si="0"/>
        <v>15</v>
      </c>
      <c r="D23" s="112"/>
      <c r="E23" s="113" t="str">
        <f>HYPERLINK("#レポートダウンロード!A1","レポートダウンロード")</f>
        <v>レポートダウンロード</v>
      </c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6" t="s">
        <v>62</v>
      </c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</row>
    <row r="24" spans="3:42" s="38" customFormat="1" ht="13.5" customHeight="1">
      <c r="C24" s="112">
        <f t="shared" si="0"/>
        <v>16</v>
      </c>
      <c r="D24" s="112"/>
      <c r="E24" s="113" t="str">
        <f>HYPERLINK("#レポート!A1","レポート")</f>
        <v>レポート</v>
      </c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6" t="s">
        <v>63</v>
      </c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</row>
    <row r="25" spans="3:42" s="38" customFormat="1" ht="13.5" customHeight="1">
      <c r="C25" s="112">
        <f t="shared" si="0"/>
        <v>17</v>
      </c>
      <c r="D25" s="112"/>
      <c r="E25" s="113" t="str">
        <f>HYPERLINK("#レポートフィードバック!A1","レポートフィードバック")</f>
        <v>レポートフィードバック</v>
      </c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6" t="s">
        <v>64</v>
      </c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</row>
    <row r="26" spans="3:42" s="38" customFormat="1" ht="13.5" customHeight="1">
      <c r="C26" s="112">
        <f t="shared" si="0"/>
        <v>18</v>
      </c>
      <c r="D26" s="112"/>
      <c r="E26" s="113" t="str">
        <f>HYPERLINK("#成果物サービス!A1","成果物サービス")</f>
        <v>成果物サービス</v>
      </c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6" t="s">
        <v>65</v>
      </c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</row>
    <row r="27" spans="3:42" s="38" customFormat="1" ht="13.5" customHeight="1">
      <c r="C27" s="112">
        <f t="shared" si="0"/>
        <v>19</v>
      </c>
      <c r="D27" s="112"/>
      <c r="E27" s="113" t="str">
        <f>HYPERLINK("#成果物詳細!A1","成果物詳細")</f>
        <v>成果物詳細</v>
      </c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6" t="s">
        <v>66</v>
      </c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</row>
    <row r="28" spans="3:42" s="38" customFormat="1" ht="13.5" customHeight="1">
      <c r="C28" s="115">
        <f t="shared" si="0"/>
        <v>20</v>
      </c>
      <c r="D28" s="115"/>
      <c r="E28" s="113" t="str">
        <f>HYPERLINK("#評価レポート!A1","評価レポート")</f>
        <v>評価レポート</v>
      </c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6" t="s">
        <v>67</v>
      </c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</row>
    <row r="29" spans="3:42" s="38" customFormat="1" ht="13.5" customHeight="1">
      <c r="C29" s="115">
        <f t="shared" si="0"/>
        <v>21</v>
      </c>
      <c r="D29" s="115"/>
      <c r="E29" s="113" t="str">
        <f>HYPERLINK("#評価レポート結果詳細!A1","評価レポート結果詳細")</f>
        <v>評価レポート結果詳細</v>
      </c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6" t="s">
        <v>68</v>
      </c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</row>
    <row r="30" spans="3:42" s="38" customFormat="1" ht="13.5" customHeight="1">
      <c r="C30" s="112">
        <f t="shared" si="0"/>
        <v>22</v>
      </c>
      <c r="D30" s="112"/>
      <c r="E30" s="113" t="str">
        <f>HYPERLINK("#試験詳細!A1","試験詳細")</f>
        <v>試験詳細</v>
      </c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6" t="s">
        <v>69</v>
      </c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</row>
    <row r="31" spans="3:42" s="38" customFormat="1" ht="13.5" customHeight="1">
      <c r="C31" s="115">
        <f t="shared" si="0"/>
        <v>23</v>
      </c>
      <c r="D31" s="115"/>
      <c r="E31" s="113" t="str">
        <f>HYPERLINK("#試験!A1","試験")</f>
        <v>試験</v>
      </c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6" t="s">
        <v>70</v>
      </c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</row>
    <row r="32" spans="3:42" s="38" customFormat="1" ht="13.5" customHeight="1">
      <c r="C32" s="112">
        <f t="shared" si="0"/>
        <v>24</v>
      </c>
      <c r="D32" s="112"/>
      <c r="E32" s="113" t="str">
        <f>HYPERLINK("#試験問題!A1","試験問題")</f>
        <v>試験問題</v>
      </c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6" t="s">
        <v>71</v>
      </c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</row>
    <row r="33" spans="3:43" s="38" customFormat="1" ht="13.5" customHeight="1">
      <c r="C33" s="112">
        <f t="shared" si="0"/>
        <v>25</v>
      </c>
      <c r="D33" s="112"/>
      <c r="E33" s="113" t="str">
        <f>HYPERLINK("#試験結果詳細!A1","試験結果詳細")</f>
        <v>試験結果詳細</v>
      </c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6" t="s">
        <v>72</v>
      </c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</row>
    <row r="34" spans="3:43" s="38" customFormat="1" ht="13.5" customHeight="1">
      <c r="C34" s="112">
        <f t="shared" si="0"/>
        <v>26</v>
      </c>
      <c r="D34" s="112"/>
      <c r="E34" s="113" t="str">
        <f>HYPERLINK("#試験結果!A1","試験結果")</f>
        <v>試験結果</v>
      </c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6" t="s">
        <v>73</v>
      </c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</row>
    <row r="35" spans="3:43" s="38" customFormat="1" ht="13.5" customHeight="1">
      <c r="C35" s="112">
        <f t="shared" si="0"/>
        <v>27</v>
      </c>
      <c r="D35" s="112"/>
      <c r="E35" s="113" t="str">
        <f>HYPERLINK("#よくある質問カテゴリ!A1","よくある質問カテゴリ")</f>
        <v>よくある質問カテゴリ</v>
      </c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6" t="s">
        <v>74</v>
      </c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</row>
    <row r="36" spans="3:43" s="38" customFormat="1" ht="13.5" customHeight="1">
      <c r="C36" s="112">
        <f t="shared" si="0"/>
        <v>28</v>
      </c>
      <c r="D36" s="112"/>
      <c r="E36" s="113" t="str">
        <f>HYPERLINK("#よくある質問!A1","よくある質問")</f>
        <v>よくある質問</v>
      </c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6" t="s">
        <v>75</v>
      </c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</row>
    <row r="37" spans="3:43" s="38" customFormat="1" ht="13.5" customHeight="1">
      <c r="C37" s="112">
        <f t="shared" si="0"/>
        <v>29</v>
      </c>
      <c r="D37" s="112"/>
      <c r="E37" s="113" t="str">
        <f>HYPERLINK("#ファイルダウンロード!A1","ファイルダウンロード")</f>
        <v>ファイルダウンロード</v>
      </c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6" t="s">
        <v>76</v>
      </c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</row>
    <row r="38" spans="3:43" s="38" customFormat="1" ht="13.5" customHeight="1">
      <c r="C38" s="112">
        <f t="shared" si="0"/>
        <v>30</v>
      </c>
      <c r="D38" s="112"/>
      <c r="E38" s="113" t="str">
        <f>HYPERLINK("#ファイル!A1","ファイル")</f>
        <v>ファイル</v>
      </c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6" t="s">
        <v>77</v>
      </c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</row>
    <row r="39" spans="3:43" s="38" customFormat="1" ht="13.5" customHeight="1">
      <c r="C39" s="112">
        <f t="shared" si="0"/>
        <v>31</v>
      </c>
      <c r="D39" s="112"/>
      <c r="E39" s="113" t="str">
        <f>HYPERLINK("#ファイルリストユーザー!A1","ファイルリストユーザー")</f>
        <v>ファイルリストユーザー</v>
      </c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6" t="s">
        <v>78</v>
      </c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</row>
    <row r="40" spans="3:43" s="38" customFormat="1" ht="13.5" customHeight="1">
      <c r="C40" s="112">
        <f t="shared" si="0"/>
        <v>32</v>
      </c>
      <c r="D40" s="112"/>
      <c r="E40" s="113" t="str">
        <f>HYPERLINK("#ファイル共有!A1","ファイル共有")</f>
        <v>ファイル共有</v>
      </c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6" t="s">
        <v>79</v>
      </c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</row>
    <row r="41" spans="3:43" s="38" customFormat="1" ht="13.5" customHeight="1">
      <c r="C41" s="115">
        <f t="shared" si="0"/>
        <v>33</v>
      </c>
      <c r="D41" s="115"/>
      <c r="E41" s="113" t="str">
        <f>HYPERLINK("#ジャンル!A1","ジャンル")</f>
        <v>ジャンル</v>
      </c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6" t="s">
        <v>80</v>
      </c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</row>
    <row r="42" spans="3:43" s="38" customFormat="1" ht="13.5" customHeight="1">
      <c r="C42" s="115">
        <f t="shared" si="0"/>
        <v>34</v>
      </c>
      <c r="D42" s="115"/>
      <c r="E42" s="113" t="str">
        <f>HYPERLINK("#ジャンル詳細!A1","ジャンル詳細")</f>
        <v>ジャンル詳細</v>
      </c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6" t="s">
        <v>81</v>
      </c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</row>
    <row r="43" spans="3:43" s="38" customFormat="1" ht="13.5" customHeight="1">
      <c r="C43" s="112">
        <f t="shared" ref="C43:C80" si="1">ROW()-8</f>
        <v>35</v>
      </c>
      <c r="D43" s="112"/>
      <c r="E43" s="113" t="str">
        <f>HYPERLINK("#お知らせ!A1","お知らせ")</f>
        <v>お知らせ</v>
      </c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6" t="s">
        <v>82</v>
      </c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</row>
    <row r="44" spans="3:43" s="38" customFormat="1" ht="13.5" customHeight="1">
      <c r="C44" s="112">
        <f t="shared" si="1"/>
        <v>36</v>
      </c>
      <c r="D44" s="112"/>
      <c r="E44" s="113" t="str">
        <f>HYPERLINK("#理解度!A1","理解度")</f>
        <v>理解度</v>
      </c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6" t="s">
        <v>83</v>
      </c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</row>
    <row r="45" spans="3:43" s="38" customFormat="1" ht="13.5" customHeight="1">
      <c r="C45" s="112">
        <f t="shared" si="1"/>
        <v>37</v>
      </c>
      <c r="D45" s="112"/>
      <c r="E45" s="113" t="str">
        <f>HYPERLINK("#ユーザー詳細!A1","ユーザー詳細")</f>
        <v>ユーザー詳細</v>
      </c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6" t="s">
        <v>84</v>
      </c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</row>
    <row r="46" spans="3:43" s="38" customFormat="1" ht="13.5" customHeight="1">
      <c r="C46" s="112">
        <f t="shared" si="1"/>
        <v>38</v>
      </c>
      <c r="D46" s="112"/>
      <c r="E46" s="113" t="str">
        <f>HYPERLINK("#ログイン情報!A1","ログイン情報")</f>
        <v>ログイン情報</v>
      </c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6" t="s">
        <v>85</v>
      </c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</row>
    <row r="47" spans="3:43" s="38" customFormat="1" ht="13.5" customHeight="1">
      <c r="C47" s="115">
        <f t="shared" si="1"/>
        <v>39</v>
      </c>
      <c r="D47" s="115"/>
      <c r="E47" s="113" t="str">
        <f>HYPERLINK("#メール送信キュー!A1","メール送信キュー")</f>
        <v>メール送信キュー</v>
      </c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6" t="s">
        <v>86</v>
      </c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Q47" s="43"/>
    </row>
    <row r="48" spans="3:43" s="38" customFormat="1" ht="13.5" customHeight="1">
      <c r="C48" s="115">
        <f t="shared" si="1"/>
        <v>40</v>
      </c>
      <c r="D48" s="115"/>
      <c r="E48" s="113" t="str">
        <f>HYPERLINK("#メールテンプレート!A1","メールテンプレート")</f>
        <v>メールテンプレート</v>
      </c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6" t="s">
        <v>87</v>
      </c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Q48" s="43"/>
    </row>
    <row r="49" spans="3:44" s="38" customFormat="1" ht="13.5" customHeight="1">
      <c r="C49" s="115">
        <f t="shared" si="1"/>
        <v>41</v>
      </c>
      <c r="D49" s="115"/>
      <c r="E49" s="113" t="str">
        <f>HYPERLINK("#面談!A1","面談")</f>
        <v>面談</v>
      </c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6" t="s">
        <v>88</v>
      </c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Q49" s="43"/>
    </row>
    <row r="50" spans="3:44" s="38" customFormat="1" ht="13.5" customHeight="1">
      <c r="C50" s="115">
        <f t="shared" si="1"/>
        <v>42</v>
      </c>
      <c r="D50" s="115"/>
      <c r="E50" s="113" t="str">
        <f>HYPERLINK("#面談詳細!A1","面談詳細")</f>
        <v>面談詳細</v>
      </c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6" t="s">
        <v>89</v>
      </c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Q50" s="43"/>
    </row>
    <row r="51" spans="3:44" s="38" customFormat="1" ht="13.5" customHeight="1">
      <c r="C51" s="115">
        <f t="shared" si="1"/>
        <v>43</v>
      </c>
      <c r="D51" s="115"/>
      <c r="E51" s="113" t="str">
        <f>HYPERLINK("#面談ダウンロード!A1","面談ダウンロード")</f>
        <v>面談ダウンロード</v>
      </c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6" t="s">
        <v>90</v>
      </c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Q51" s="43"/>
    </row>
    <row r="52" spans="3:44" s="38" customFormat="1" ht="13.5" customHeight="1">
      <c r="C52" s="115">
        <f t="shared" si="1"/>
        <v>44</v>
      </c>
      <c r="D52" s="115"/>
      <c r="E52" s="113" t="str">
        <f>HYPERLINK("#面談ファイル!A1","面談ファイル")</f>
        <v>面談ファイル</v>
      </c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6" t="s">
        <v>91</v>
      </c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Q52" s="43"/>
    </row>
    <row r="53" spans="3:44" s="38" customFormat="1" ht="13.5" customHeight="1">
      <c r="C53" s="112">
        <f t="shared" si="1"/>
        <v>45</v>
      </c>
      <c r="D53" s="112"/>
      <c r="E53" s="113" t="str">
        <f>HYPERLINK("#動画カテゴリ!A1","動画カテゴリ")</f>
        <v>動画カテゴリ</v>
      </c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6" t="s">
        <v>92</v>
      </c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</row>
    <row r="54" spans="3:44" s="38" customFormat="1" ht="13.5" customHeight="1">
      <c r="C54" s="112">
        <f t="shared" si="1"/>
        <v>46</v>
      </c>
      <c r="D54" s="112"/>
      <c r="E54" s="113" t="str">
        <f>HYPERLINK("#動画情報!A1","動画情報")</f>
        <v>動画情報</v>
      </c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6" t="s">
        <v>93</v>
      </c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</row>
    <row r="55" spans="3:44" s="38" customFormat="1" ht="13.5" customHeight="1">
      <c r="C55" s="115">
        <f t="shared" si="1"/>
        <v>47</v>
      </c>
      <c r="D55" s="115"/>
      <c r="E55" s="113" t="str">
        <f>HYPERLINK("#マイアカウント!A1","マイアカウント")</f>
        <v>マイアカウント</v>
      </c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6" t="s">
        <v>94</v>
      </c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Q55" s="43"/>
      <c r="AR55" s="43"/>
    </row>
    <row r="56" spans="3:44" s="38" customFormat="1" ht="13.5" customHeight="1">
      <c r="C56" s="112">
        <f t="shared" si="1"/>
        <v>48</v>
      </c>
      <c r="D56" s="112"/>
      <c r="E56" s="113" t="str">
        <f>HYPERLINK("#オペレーター!A1","オペレーター")</f>
        <v>オペレーター</v>
      </c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6" t="s">
        <v>95</v>
      </c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</row>
    <row r="57" spans="3:44" s="38" customFormat="1" ht="13.5" customHeight="1">
      <c r="C57" s="115">
        <f t="shared" si="1"/>
        <v>49</v>
      </c>
      <c r="D57" s="115"/>
      <c r="E57" s="113" t="str">
        <f>HYPERLINK("#成果報告会!A1","成果報告会")</f>
        <v>成果報告会</v>
      </c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8" t="s">
        <v>96</v>
      </c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</row>
    <row r="58" spans="3:44" s="38" customFormat="1" ht="13.5" customHeight="1">
      <c r="C58" s="115">
        <f t="shared" si="1"/>
        <v>50</v>
      </c>
      <c r="D58" s="115"/>
      <c r="E58" s="113" t="str">
        <f>HYPERLINK("#成果報告会詳細!A1","成果報告会詳細")</f>
        <v>成果報告会詳細</v>
      </c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8" t="s">
        <v>97</v>
      </c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</row>
    <row r="59" spans="3:44" s="38" customFormat="1" ht="13.5" customHeight="1">
      <c r="C59" s="115">
        <f t="shared" si="1"/>
        <v>51</v>
      </c>
      <c r="D59" s="115"/>
      <c r="E59" s="117" t="str">
        <f>HYPERLINK("#成果報告会チーム詳細!A1","成果報告会チーム詳細")</f>
        <v>成果報告会チーム詳細</v>
      </c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8" t="s">
        <v>877</v>
      </c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</row>
    <row r="60" spans="3:44" s="38" customFormat="1" ht="13.5" customHeight="1">
      <c r="C60" s="115">
        <f t="shared" si="1"/>
        <v>52</v>
      </c>
      <c r="D60" s="115"/>
      <c r="E60" s="113" t="str">
        <f>HYPERLINK("#会場!A1","会場")</f>
        <v>会場</v>
      </c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6" t="s">
        <v>98</v>
      </c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Q60" s="43"/>
      <c r="AR60" s="43"/>
    </row>
    <row r="61" spans="3:44" s="38" customFormat="1" ht="13.5" customHeight="1">
      <c r="C61" s="115">
        <f t="shared" si="1"/>
        <v>53</v>
      </c>
      <c r="D61" s="115"/>
      <c r="E61" s="113" t="str">
        <f>HYPERLINK("#会場アサイン情報!A1","会場アサイン情報")</f>
        <v>会場アサイン情報</v>
      </c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6" t="s">
        <v>99</v>
      </c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Q61" s="43"/>
      <c r="AR61" s="43"/>
    </row>
    <row r="62" spans="3:44" s="38" customFormat="1" ht="13.5" customHeight="1">
      <c r="C62" s="112">
        <f t="shared" si="1"/>
        <v>54</v>
      </c>
      <c r="D62" s="112"/>
      <c r="E62" s="113" t="str">
        <f>HYPERLINK("#問題!A1","問題")</f>
        <v>問題</v>
      </c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6" t="s">
        <v>100</v>
      </c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</row>
    <row r="63" spans="3:44" s="38" customFormat="1" ht="13.5" customHeight="1">
      <c r="C63" s="115">
        <f t="shared" si="1"/>
        <v>55</v>
      </c>
      <c r="D63" s="115"/>
      <c r="E63" s="117" t="str">
        <f>HYPERLINK("#改修履歴!A1","改修履歴")</f>
        <v>改修履歴</v>
      </c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6" t="s">
        <v>101</v>
      </c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Q63" s="43"/>
      <c r="AR63" s="43"/>
    </row>
    <row r="64" spans="3:44" s="38" customFormat="1" ht="13.5" customHeight="1">
      <c r="C64" s="112">
        <f t="shared" si="1"/>
        <v>56</v>
      </c>
      <c r="D64" s="112"/>
      <c r="E64" s="113" t="str">
        <f>HYPERLINK("#セクションサービスレポート!A1","セクションサービスレポート")</f>
        <v>セクションサービスレポート</v>
      </c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6" t="s">
        <v>102</v>
      </c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</row>
    <row r="65" spans="3:44" s="38" customFormat="1" ht="13.5" customHeight="1">
      <c r="C65" s="112">
        <f t="shared" si="1"/>
        <v>57</v>
      </c>
      <c r="D65" s="112"/>
      <c r="E65" s="113" t="str">
        <f>HYPERLINK("#セクションサービス成果物!A1","セクションサービス成果物")</f>
        <v>セクションサービス成果物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6" t="s">
        <v>103</v>
      </c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</row>
    <row r="66" spans="3:44" s="38" customFormat="1" ht="13.5" customHeight="1">
      <c r="C66" s="112">
        <f t="shared" si="1"/>
        <v>58</v>
      </c>
      <c r="D66" s="112"/>
      <c r="E66" s="113" t="str">
        <f>HYPERLINK("#セクションサービス成果物セクション!A1","セクションサービス成果物セクション")</f>
        <v>セクションサービス成果物セクション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6" t="s">
        <v>104</v>
      </c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</row>
    <row r="67" spans="3:44" s="38" customFormat="1" ht="13.5" customHeight="1">
      <c r="C67" s="112">
        <f t="shared" si="1"/>
        <v>59</v>
      </c>
      <c r="D67" s="112"/>
      <c r="E67" s="113" t="str">
        <f>HYPERLINK("#セクションサービス試験!A1","セクションサービス試験")</f>
        <v>セクションサービス試験</v>
      </c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6" t="s">
        <v>105</v>
      </c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</row>
    <row r="68" spans="3:44" s="38" customFormat="1" ht="13.5" customHeight="1">
      <c r="C68" s="112">
        <f t="shared" si="1"/>
        <v>60</v>
      </c>
      <c r="D68" s="112"/>
      <c r="E68" s="113" t="str">
        <f>HYPERLINK("#セクションサービスファイルダウンロード!A1","セクションサービスファイルダウンロード")</f>
        <v>セクションサービスファイルダウンロード</v>
      </c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6" t="s">
        <v>106</v>
      </c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</row>
    <row r="69" spans="3:44" s="38" customFormat="1" ht="13.5" customHeight="1">
      <c r="C69" s="112">
        <f t="shared" si="1"/>
        <v>61</v>
      </c>
      <c r="D69" s="112"/>
      <c r="E69" s="113" t="str">
        <f>HYPERLINK("#セクションファイル!A1","セクションファイル")</f>
        <v>セクションファイル</v>
      </c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6" t="s">
        <v>107</v>
      </c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</row>
    <row r="70" spans="3:44" s="38" customFormat="1" ht="13.5" customHeight="1">
      <c r="C70" s="112">
        <f t="shared" si="1"/>
        <v>62</v>
      </c>
      <c r="D70" s="112"/>
      <c r="E70" s="113" t="str">
        <f>HYPERLINK("#セクションサービス!A1","セクションサービス")</f>
        <v>セクションサービス</v>
      </c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6" t="s">
        <v>108</v>
      </c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</row>
    <row r="71" spans="3:44" s="38" customFormat="1" ht="13.5" customHeight="1">
      <c r="C71" s="112">
        <f t="shared" si="1"/>
        <v>63</v>
      </c>
      <c r="D71" s="112"/>
      <c r="E71" s="113" t="str">
        <f>HYPERLINK("#ファイル共有ユーザー!A1","ファイル共有ユーザー")</f>
        <v>ファイル共有ユーザー</v>
      </c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6" t="s">
        <v>109</v>
      </c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</row>
    <row r="72" spans="3:44" s="38" customFormat="1" ht="13.5" customHeight="1">
      <c r="C72" s="112">
        <f t="shared" si="1"/>
        <v>64</v>
      </c>
      <c r="D72" s="112"/>
      <c r="E72" s="113" t="str">
        <f>HYPERLINK("#受講生!A1","受講生")</f>
        <v>受講生</v>
      </c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6" t="s">
        <v>110</v>
      </c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</row>
    <row r="73" spans="3:44" s="38" customFormat="1" ht="13.5" customHeight="1">
      <c r="C73" s="112">
        <f t="shared" si="1"/>
        <v>65</v>
      </c>
      <c r="D73" s="112"/>
      <c r="E73" s="113" t="str">
        <f>HYPERLINK("#勤怠情報!A1","勤怠情報")</f>
        <v>勤怠情報</v>
      </c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6" t="s">
        <v>111</v>
      </c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</row>
    <row r="74" spans="3:44" s="38" customFormat="1" ht="13.5" customHeight="1">
      <c r="C74" s="112">
        <f t="shared" si="1"/>
        <v>66</v>
      </c>
      <c r="D74" s="112"/>
      <c r="E74" s="113" t="str">
        <f>HYPERLINK("#助成金カテゴリ!A1","助成金カテゴリ")</f>
        <v>助成金カテゴリ</v>
      </c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6" t="s">
        <v>112</v>
      </c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</row>
    <row r="75" spans="3:44" s="38" customFormat="1" ht="13.5" customHeight="1">
      <c r="C75" s="115">
        <f t="shared" si="1"/>
        <v>67</v>
      </c>
      <c r="D75" s="115"/>
      <c r="E75" s="113" t="str">
        <f>HYPERLINK("#引継面談_会場見学スケジュール!A1","引継面談／会場見学スケジュール")</f>
        <v>引継面談／会場見学スケジュール</v>
      </c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6" t="s">
        <v>113</v>
      </c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Q75" s="43"/>
      <c r="AR75" s="43"/>
    </row>
    <row r="76" spans="3:44" s="38" customFormat="1" ht="13.5" customHeight="1">
      <c r="C76" s="115">
        <f t="shared" si="1"/>
        <v>68</v>
      </c>
      <c r="D76" s="115"/>
      <c r="E76" s="113" t="str">
        <f>HYPERLINK("#引継面談_会場見学スケジュール詳細!A1","引継面談／会場見学スケジュール詳細")</f>
        <v>引継面談／会場見学スケジュール詳細</v>
      </c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6" t="s">
        <v>114</v>
      </c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Q76" s="43"/>
      <c r="AR76" s="43"/>
    </row>
    <row r="77" spans="3:44" s="38" customFormat="1" ht="13.5" customHeight="1">
      <c r="C77" s="115">
        <f t="shared" si="1"/>
        <v>69</v>
      </c>
      <c r="D77" s="115"/>
      <c r="E77" s="113" t="str">
        <f>HYPERLINK("#ユーザー勤怠情報!A1","ユーザー勤怠情報")</f>
        <v>ユーザー勤怠情報</v>
      </c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6" t="s">
        <v>115</v>
      </c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Q77" s="43"/>
      <c r="AR77" s="43"/>
    </row>
    <row r="78" spans="3:44" s="38" customFormat="1" ht="13.5" customHeight="1">
      <c r="C78" s="112">
        <f t="shared" si="1"/>
        <v>70</v>
      </c>
      <c r="D78" s="112"/>
      <c r="E78" s="113" t="str">
        <f>HYPERLINK("#ユーザー基本情報!A1","ユーザー基本情報")</f>
        <v>ユーザー基本情報</v>
      </c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6" t="s">
        <v>116</v>
      </c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</row>
    <row r="79" spans="3:44" s="38" customFormat="1" ht="13.5" customHeight="1">
      <c r="C79" s="115">
        <f t="shared" si="1"/>
        <v>71</v>
      </c>
      <c r="D79" s="115"/>
      <c r="E79" s="113" t="str">
        <f>HYPERLINK("#ユーザーレポート情報!A1","ユーザーレポート情報")</f>
        <v>ユーザーレポート情報</v>
      </c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6" t="s">
        <v>117</v>
      </c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Q79" s="43"/>
      <c r="AR79" s="43"/>
    </row>
    <row r="80" spans="3:44" s="38" customFormat="1" ht="13.5" customHeight="1">
      <c r="C80" s="112">
        <f t="shared" si="1"/>
        <v>72</v>
      </c>
      <c r="D80" s="112"/>
      <c r="E80" s="113" t="str">
        <f>HYPERLINK("#ワークシート!A1","ワークシート")</f>
        <v>ワークシート</v>
      </c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6" t="s">
        <v>118</v>
      </c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</row>
    <row r="81" spans="3:41" s="38" customFormat="1" ht="13.5" customHeight="1">
      <c r="C81" s="112"/>
      <c r="D81" s="112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</row>
    <row r="82" spans="3:41" s="38" customFormat="1" ht="13.5" customHeight="1">
      <c r="C82" s="112"/>
      <c r="D82" s="112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</row>
    <row r="83" spans="3:41" s="38" customFormat="1" ht="13.5" customHeight="1">
      <c r="C83" s="112"/>
      <c r="D83" s="112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</row>
    <row r="84" spans="3:41" s="38" customFormat="1" ht="13.5" customHeight="1">
      <c r="C84" s="112"/>
      <c r="D84" s="112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</row>
    <row r="85" spans="3:41" s="38" customFormat="1" ht="13.5" customHeight="1">
      <c r="C85" s="112"/>
      <c r="D85" s="112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</row>
    <row r="86" spans="3:41" s="38" customFormat="1" ht="13.5" customHeight="1">
      <c r="C86" s="112"/>
      <c r="D86" s="112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</row>
    <row r="87" spans="3:41" s="38" customFormat="1" ht="13.5" customHeight="1">
      <c r="C87" s="112"/>
      <c r="D87" s="112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</row>
    <row r="88" spans="3:41" s="38" customFormat="1" ht="13.5" customHeight="1">
      <c r="C88" s="112"/>
      <c r="D88" s="112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</row>
    <row r="89" spans="3:41" s="38" customFormat="1" ht="13.5" customHeight="1">
      <c r="C89" s="112"/>
      <c r="D89" s="112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</row>
    <row r="90" spans="3:41" s="38" customFormat="1" ht="13.5" customHeight="1">
      <c r="C90" s="112"/>
      <c r="D90" s="112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</row>
    <row r="91" spans="3:41" ht="13.5" customHeight="1"/>
    <row r="92" spans="3:41" ht="13.5" customHeight="1"/>
    <row r="93" spans="3:41" ht="13.5" customHeight="1"/>
    <row r="94" spans="3:41" ht="13.5" customHeight="1"/>
    <row r="95" spans="3:41" ht="13.5" customHeight="1"/>
    <row r="96" spans="3:41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</sheetData>
  <mergeCells count="264">
    <mergeCell ref="C82:D82"/>
    <mergeCell ref="E82:S82"/>
    <mergeCell ref="T82:AO82"/>
    <mergeCell ref="C77:D77"/>
    <mergeCell ref="E77:S77"/>
    <mergeCell ref="T77:AO77"/>
    <mergeCell ref="C78:D78"/>
    <mergeCell ref="E78:S78"/>
    <mergeCell ref="T78:AO78"/>
    <mergeCell ref="C79:D79"/>
    <mergeCell ref="E79:S79"/>
    <mergeCell ref="T79:AO79"/>
    <mergeCell ref="C89:D89"/>
    <mergeCell ref="E89:S89"/>
    <mergeCell ref="T89:AO89"/>
    <mergeCell ref="C90:D90"/>
    <mergeCell ref="E90:S90"/>
    <mergeCell ref="T90:AO90"/>
    <mergeCell ref="C88:D88"/>
    <mergeCell ref="E88:S88"/>
    <mergeCell ref="T88:AO88"/>
    <mergeCell ref="C80:D80"/>
    <mergeCell ref="E80:S80"/>
    <mergeCell ref="T80:AO80"/>
    <mergeCell ref="C81:D81"/>
    <mergeCell ref="E81:S81"/>
    <mergeCell ref="T81:AO81"/>
    <mergeCell ref="C58:D58"/>
    <mergeCell ref="E58:S58"/>
    <mergeCell ref="T58:AO58"/>
    <mergeCell ref="C86:D86"/>
    <mergeCell ref="E86:S86"/>
    <mergeCell ref="T86:AO86"/>
    <mergeCell ref="C87:D87"/>
    <mergeCell ref="E87:S87"/>
    <mergeCell ref="T87:AO87"/>
    <mergeCell ref="C83:D83"/>
    <mergeCell ref="E83:S83"/>
    <mergeCell ref="T83:AO83"/>
    <mergeCell ref="C84:D84"/>
    <mergeCell ref="E84:S84"/>
    <mergeCell ref="T84:AO84"/>
    <mergeCell ref="C85:D85"/>
    <mergeCell ref="E85:S85"/>
    <mergeCell ref="T85:AO85"/>
    <mergeCell ref="C74:D74"/>
    <mergeCell ref="E74:S74"/>
    <mergeCell ref="T74:AO74"/>
    <mergeCell ref="C75:D75"/>
    <mergeCell ref="E75:S75"/>
    <mergeCell ref="T75:AO75"/>
    <mergeCell ref="C76:D76"/>
    <mergeCell ref="E76:S76"/>
    <mergeCell ref="T76:AO76"/>
    <mergeCell ref="C71:D71"/>
    <mergeCell ref="E71:S71"/>
    <mergeCell ref="T71:AO71"/>
    <mergeCell ref="C72:D72"/>
    <mergeCell ref="E72:S72"/>
    <mergeCell ref="T72:AO72"/>
    <mergeCell ref="C73:D73"/>
    <mergeCell ref="E73:S73"/>
    <mergeCell ref="T73:AO73"/>
    <mergeCell ref="C68:D68"/>
    <mergeCell ref="E68:S68"/>
    <mergeCell ref="T68:AO68"/>
    <mergeCell ref="C69:D69"/>
    <mergeCell ref="E69:S69"/>
    <mergeCell ref="T69:AO69"/>
    <mergeCell ref="C70:D70"/>
    <mergeCell ref="E70:S70"/>
    <mergeCell ref="T70:AO70"/>
    <mergeCell ref="C65:D65"/>
    <mergeCell ref="E65:S65"/>
    <mergeCell ref="T65:AO65"/>
    <mergeCell ref="C66:D66"/>
    <mergeCell ref="E66:S66"/>
    <mergeCell ref="T66:AO66"/>
    <mergeCell ref="C67:D67"/>
    <mergeCell ref="E67:S67"/>
    <mergeCell ref="T67:AO67"/>
    <mergeCell ref="C62:D62"/>
    <mergeCell ref="E62:S62"/>
    <mergeCell ref="T62:AO62"/>
    <mergeCell ref="C63:D63"/>
    <mergeCell ref="E63:S63"/>
    <mergeCell ref="T63:AO63"/>
    <mergeCell ref="C64:D64"/>
    <mergeCell ref="E64:S64"/>
    <mergeCell ref="T64:AO64"/>
    <mergeCell ref="C59:D59"/>
    <mergeCell ref="E59:S59"/>
    <mergeCell ref="T59:AO59"/>
    <mergeCell ref="C60:D60"/>
    <mergeCell ref="E60:S60"/>
    <mergeCell ref="T60:AO60"/>
    <mergeCell ref="C61:D61"/>
    <mergeCell ref="E61:S61"/>
    <mergeCell ref="T61:AO61"/>
    <mergeCell ref="C55:D55"/>
    <mergeCell ref="E55:S55"/>
    <mergeCell ref="T55:AO55"/>
    <mergeCell ref="C56:D56"/>
    <mergeCell ref="E56:S56"/>
    <mergeCell ref="T56:AO56"/>
    <mergeCell ref="C57:D57"/>
    <mergeCell ref="E57:S57"/>
    <mergeCell ref="T57:AO57"/>
    <mergeCell ref="C52:D52"/>
    <mergeCell ref="E52:S52"/>
    <mergeCell ref="T52:AO52"/>
    <mergeCell ref="C53:D53"/>
    <mergeCell ref="E53:S53"/>
    <mergeCell ref="T53:AO53"/>
    <mergeCell ref="C54:D54"/>
    <mergeCell ref="E54:S54"/>
    <mergeCell ref="T54:AO54"/>
    <mergeCell ref="C49:D49"/>
    <mergeCell ref="E49:S49"/>
    <mergeCell ref="T49:AO49"/>
    <mergeCell ref="C50:D50"/>
    <mergeCell ref="E50:S50"/>
    <mergeCell ref="T50:AO50"/>
    <mergeCell ref="C51:D51"/>
    <mergeCell ref="E51:S51"/>
    <mergeCell ref="T51:AO51"/>
    <mergeCell ref="C46:D46"/>
    <mergeCell ref="E46:S46"/>
    <mergeCell ref="T46:AO46"/>
    <mergeCell ref="C47:D47"/>
    <mergeCell ref="E47:S47"/>
    <mergeCell ref="T47:AO47"/>
    <mergeCell ref="C48:D48"/>
    <mergeCell ref="E48:S48"/>
    <mergeCell ref="T48:AO48"/>
    <mergeCell ref="C43:D43"/>
    <mergeCell ref="E43:S43"/>
    <mergeCell ref="T43:AO43"/>
    <mergeCell ref="C44:D44"/>
    <mergeCell ref="E44:S44"/>
    <mergeCell ref="T44:AO44"/>
    <mergeCell ref="C45:D45"/>
    <mergeCell ref="E45:S45"/>
    <mergeCell ref="T45:AO45"/>
    <mergeCell ref="C40:D40"/>
    <mergeCell ref="E40:S40"/>
    <mergeCell ref="T40:AO40"/>
    <mergeCell ref="C41:D41"/>
    <mergeCell ref="E41:S41"/>
    <mergeCell ref="T41:AO41"/>
    <mergeCell ref="C42:D42"/>
    <mergeCell ref="E42:S42"/>
    <mergeCell ref="T42:AO42"/>
    <mergeCell ref="C37:D37"/>
    <mergeCell ref="E37:S37"/>
    <mergeCell ref="T37:AO37"/>
    <mergeCell ref="C38:D38"/>
    <mergeCell ref="E38:S38"/>
    <mergeCell ref="T38:AO38"/>
    <mergeCell ref="C39:D39"/>
    <mergeCell ref="E39:S39"/>
    <mergeCell ref="T39:AO39"/>
    <mergeCell ref="C34:D34"/>
    <mergeCell ref="E34:S34"/>
    <mergeCell ref="T34:AO34"/>
    <mergeCell ref="C35:D35"/>
    <mergeCell ref="E35:S35"/>
    <mergeCell ref="T35:AO35"/>
    <mergeCell ref="C36:D36"/>
    <mergeCell ref="E36:S36"/>
    <mergeCell ref="T36:AO36"/>
    <mergeCell ref="C31:D31"/>
    <mergeCell ref="E31:S31"/>
    <mergeCell ref="T31:AO31"/>
    <mergeCell ref="C32:D32"/>
    <mergeCell ref="E32:S32"/>
    <mergeCell ref="T32:AO32"/>
    <mergeCell ref="C33:D33"/>
    <mergeCell ref="E33:S33"/>
    <mergeCell ref="T33:AO33"/>
    <mergeCell ref="C28:D28"/>
    <mergeCell ref="E28:S28"/>
    <mergeCell ref="T28:AO28"/>
    <mergeCell ref="C29:D29"/>
    <mergeCell ref="E29:S29"/>
    <mergeCell ref="T29:AO29"/>
    <mergeCell ref="C30:D30"/>
    <mergeCell ref="E30:S30"/>
    <mergeCell ref="T30:AO30"/>
    <mergeCell ref="C25:D25"/>
    <mergeCell ref="E25:S25"/>
    <mergeCell ref="T25:AO25"/>
    <mergeCell ref="C26:D26"/>
    <mergeCell ref="E26:S26"/>
    <mergeCell ref="T26:AO26"/>
    <mergeCell ref="C27:D27"/>
    <mergeCell ref="E27:S27"/>
    <mergeCell ref="T27:AO27"/>
    <mergeCell ref="C22:D22"/>
    <mergeCell ref="E22:S22"/>
    <mergeCell ref="T22:AO22"/>
    <mergeCell ref="C23:D23"/>
    <mergeCell ref="E23:S23"/>
    <mergeCell ref="T23:AO23"/>
    <mergeCell ref="C24:D24"/>
    <mergeCell ref="E24:S24"/>
    <mergeCell ref="T24:AO24"/>
    <mergeCell ref="C19:D19"/>
    <mergeCell ref="E19:S19"/>
    <mergeCell ref="T19:AO19"/>
    <mergeCell ref="C20:D20"/>
    <mergeCell ref="E20:S20"/>
    <mergeCell ref="T20:AO20"/>
    <mergeCell ref="C21:D21"/>
    <mergeCell ref="E21:S21"/>
    <mergeCell ref="T21:AO21"/>
    <mergeCell ref="C16:D16"/>
    <mergeCell ref="E16:S16"/>
    <mergeCell ref="T16:AO16"/>
    <mergeCell ref="C17:D17"/>
    <mergeCell ref="E17:S17"/>
    <mergeCell ref="T17:AO17"/>
    <mergeCell ref="C18:D18"/>
    <mergeCell ref="E18:S18"/>
    <mergeCell ref="T18:AO18"/>
    <mergeCell ref="C11:D11"/>
    <mergeCell ref="E11:S11"/>
    <mergeCell ref="T11:AO11"/>
    <mergeCell ref="C14:D14"/>
    <mergeCell ref="E14:S14"/>
    <mergeCell ref="T14:AO14"/>
    <mergeCell ref="C15:D15"/>
    <mergeCell ref="E15:S15"/>
    <mergeCell ref="T15:AO15"/>
    <mergeCell ref="C13:D13"/>
    <mergeCell ref="E13:S13"/>
    <mergeCell ref="T13:AO13"/>
    <mergeCell ref="C12:D12"/>
    <mergeCell ref="E12:S12"/>
    <mergeCell ref="T12:AO12"/>
    <mergeCell ref="C7:D8"/>
    <mergeCell ref="E7:AO7"/>
    <mergeCell ref="E8:S8"/>
    <mergeCell ref="T8:AO8"/>
    <mergeCell ref="C9:D9"/>
    <mergeCell ref="E9:S9"/>
    <mergeCell ref="T9:AO9"/>
    <mergeCell ref="C10:D10"/>
    <mergeCell ref="E10:S10"/>
    <mergeCell ref="T10:AO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23611111111111099" right="0.23611111111111099" top="0.74861111111111101" bottom="0.74861111111111101" header="0.31527777777777799" footer="0.31527777777777799"/>
  <pageSetup paperSize="9" scale="43" orientation="landscape" horizontalDpi="300" verticalDpi="300" r:id="rId1"/>
  <headerFooter>
    <oddHeader>&amp;C&amp;F</oddHeader>
    <oddFooter>&amp;C&amp;8&amp;P / &amp;N ページ</oddFooter>
  </headerFooter>
  <rowBreaks count="1" manualBreakCount="1">
    <brk id="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5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122">
        <v>44294</v>
      </c>
      <c r="AP2" s="122"/>
      <c r="AQ2" s="122"/>
      <c r="AR2" s="122"/>
      <c r="AS2" s="122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122"/>
      <c r="AP3" s="122"/>
      <c r="AQ3" s="122"/>
      <c r="AR3" s="122"/>
      <c r="AS3" s="122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5" t="s">
        <v>120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25" t="s">
        <v>50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111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26" t="s">
        <v>126</v>
      </c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 t="s">
        <v>127</v>
      </c>
      <c r="P11" s="126"/>
      <c r="Q11" s="126"/>
      <c r="R11" s="126"/>
      <c r="S11" s="126"/>
      <c r="T11" s="126"/>
      <c r="U11" s="126"/>
      <c r="V11" s="126"/>
      <c r="W11" s="126"/>
      <c r="X11" s="126"/>
      <c r="Y11" s="126" t="s">
        <v>128</v>
      </c>
      <c r="Z11" s="126"/>
      <c r="AA11" s="126"/>
      <c r="AB11" s="126"/>
      <c r="AC11" s="126"/>
      <c r="AD11" s="126"/>
      <c r="AE11" s="126"/>
      <c r="AF11" s="126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26" t="s">
        <v>130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 t="s">
        <v>131</v>
      </c>
      <c r="P12" s="126"/>
      <c r="Q12" s="126"/>
      <c r="R12" s="126"/>
      <c r="S12" s="126"/>
      <c r="T12" s="126"/>
      <c r="U12" s="126"/>
      <c r="V12" s="126"/>
      <c r="W12" s="126"/>
      <c r="X12" s="126"/>
      <c r="Y12" s="126" t="s">
        <v>132</v>
      </c>
      <c r="Z12" s="126"/>
      <c r="AA12" s="126"/>
      <c r="AB12" s="126"/>
      <c r="AC12" s="126"/>
      <c r="AD12" s="126"/>
      <c r="AE12" s="126"/>
      <c r="AF12" s="126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26" t="s">
        <v>133</v>
      </c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 t="s">
        <v>134</v>
      </c>
      <c r="P13" s="126"/>
      <c r="Q13" s="126"/>
      <c r="R13" s="126"/>
      <c r="S13" s="126"/>
      <c r="T13" s="126"/>
      <c r="U13" s="126"/>
      <c r="V13" s="126"/>
      <c r="W13" s="126"/>
      <c r="X13" s="126"/>
      <c r="Y13" s="126" t="s">
        <v>132</v>
      </c>
      <c r="Z13" s="126"/>
      <c r="AA13" s="126"/>
      <c r="AB13" s="126"/>
      <c r="AC13" s="126"/>
      <c r="AD13" s="126"/>
      <c r="AE13" s="126"/>
      <c r="AF13" s="126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</row>
    <row r="15" spans="1:5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</row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13</v>
      </c>
      <c r="AK2" s="87"/>
      <c r="AL2" s="87"/>
      <c r="AM2" s="87"/>
      <c r="AN2" s="87"/>
      <c r="AO2" s="123">
        <v>45222</v>
      </c>
      <c r="AP2" s="123"/>
      <c r="AQ2" s="123"/>
      <c r="AR2" s="123"/>
      <c r="AS2" s="123"/>
      <c r="AT2" s="87" t="s">
        <v>13</v>
      </c>
      <c r="AU2" s="87"/>
      <c r="AV2" s="87"/>
      <c r="AW2" s="87"/>
      <c r="AX2" s="87"/>
      <c r="AY2" s="123">
        <v>45225</v>
      </c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123"/>
      <c r="AP3" s="123"/>
      <c r="AQ3" s="123"/>
      <c r="AR3" s="123"/>
      <c r="AS3" s="123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5" t="s">
        <v>42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28" t="s">
        <v>51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31">
        <v>1</v>
      </c>
      <c r="C11" s="131"/>
      <c r="D11" s="132" t="s">
        <v>135</v>
      </c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 t="s">
        <v>136</v>
      </c>
      <c r="P11" s="132"/>
      <c r="Q11" s="132"/>
      <c r="R11" s="132"/>
      <c r="S11" s="132"/>
      <c r="T11" s="132"/>
      <c r="U11" s="132"/>
      <c r="V11" s="132"/>
      <c r="W11" s="132"/>
      <c r="X11" s="132"/>
      <c r="Y11" s="133" t="s">
        <v>137</v>
      </c>
      <c r="Z11" s="133"/>
      <c r="AA11" s="133"/>
      <c r="AB11" s="133"/>
      <c r="AC11" s="133"/>
      <c r="AD11" s="133"/>
      <c r="AE11" s="133"/>
      <c r="AF11" s="133"/>
      <c r="AG11" s="129" t="s">
        <v>129</v>
      </c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 t="s">
        <v>846</v>
      </c>
      <c r="AX11" s="129"/>
      <c r="AY11" s="129"/>
      <c r="AZ11" s="129"/>
      <c r="BA11" s="129"/>
      <c r="BB11" s="129"/>
    </row>
    <row r="12" spans="1:55" s="46" customFormat="1" ht="13.5" customHeight="1">
      <c r="B12" s="127">
        <v>2</v>
      </c>
      <c r="C12" s="127"/>
      <c r="D12" s="114" t="s">
        <v>138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139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137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42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140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132</v>
      </c>
      <c r="Z13" s="130"/>
      <c r="AA13" s="130"/>
      <c r="AB13" s="130"/>
      <c r="AC13" s="130"/>
      <c r="AD13" s="130"/>
      <c r="AE13" s="130"/>
      <c r="AF13" s="130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4</v>
      </c>
      <c r="C14" s="127"/>
      <c r="D14" s="114" t="s">
        <v>141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142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132</v>
      </c>
      <c r="Z14" s="130"/>
      <c r="AA14" s="130"/>
      <c r="AB14" s="130"/>
      <c r="AC14" s="130"/>
      <c r="AD14" s="130"/>
      <c r="AE14" s="130"/>
      <c r="AF14" s="130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5</v>
      </c>
      <c r="C15" s="127"/>
      <c r="D15" s="114" t="s">
        <v>143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144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132</v>
      </c>
      <c r="Z15" s="130"/>
      <c r="AA15" s="130"/>
      <c r="AB15" s="130"/>
      <c r="AC15" s="130"/>
      <c r="AD15" s="130"/>
      <c r="AE15" s="130"/>
      <c r="AF15" s="130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6</v>
      </c>
      <c r="C16" s="127"/>
      <c r="D16" s="114" t="s">
        <v>145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146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132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14" t="s">
        <v>147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148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132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s="46" customFormat="1" ht="13.5" customHeight="1">
      <c r="B18" s="127">
        <v>8</v>
      </c>
      <c r="C18" s="127"/>
      <c r="D18" s="114" t="s">
        <v>149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150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30" t="s">
        <v>132</v>
      </c>
      <c r="Z18" s="130"/>
      <c r="AA18" s="130"/>
      <c r="AB18" s="130"/>
      <c r="AC18" s="130"/>
      <c r="AD18" s="130"/>
      <c r="AE18" s="130"/>
      <c r="AF18" s="130"/>
      <c r="AG18" s="118" t="s">
        <v>129</v>
      </c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26" t="s">
        <v>129</v>
      </c>
      <c r="AX18" s="126"/>
      <c r="AY18" s="126"/>
      <c r="AZ18" s="126"/>
      <c r="BA18" s="126"/>
      <c r="BB18" s="126"/>
    </row>
    <row r="19" spans="2:54" s="46" customFormat="1" ht="13.5" customHeight="1">
      <c r="B19" s="127">
        <v>9</v>
      </c>
      <c r="C19" s="127"/>
      <c r="D19" s="114" t="s">
        <v>151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152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30" t="s">
        <v>132</v>
      </c>
      <c r="Z19" s="130"/>
      <c r="AA19" s="130"/>
      <c r="AB19" s="130"/>
      <c r="AC19" s="130"/>
      <c r="AD19" s="130"/>
      <c r="AE19" s="130"/>
      <c r="AF19" s="130"/>
      <c r="AG19" s="118" t="s">
        <v>129</v>
      </c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26" t="s">
        <v>129</v>
      </c>
      <c r="AX19" s="126"/>
      <c r="AY19" s="126"/>
      <c r="AZ19" s="126"/>
      <c r="BA19" s="126"/>
      <c r="BB19" s="126"/>
    </row>
    <row r="20" spans="2:54" s="46" customFormat="1" ht="13.5" customHeight="1">
      <c r="B20" s="127">
        <v>10</v>
      </c>
      <c r="C20" s="127"/>
      <c r="D20" s="114" t="s">
        <v>153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154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30" t="s">
        <v>132</v>
      </c>
      <c r="Z20" s="130"/>
      <c r="AA20" s="130"/>
      <c r="AB20" s="130"/>
      <c r="AC20" s="130"/>
      <c r="AD20" s="130"/>
      <c r="AE20" s="130"/>
      <c r="AF20" s="130"/>
      <c r="AG20" s="118" t="s">
        <v>129</v>
      </c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26" t="s">
        <v>129</v>
      </c>
      <c r="AX20" s="126"/>
      <c r="AY20" s="126"/>
      <c r="AZ20" s="126"/>
      <c r="BA20" s="126"/>
      <c r="BB20" s="126"/>
    </row>
    <row r="21" spans="2:54" s="46" customFormat="1" ht="13.5" customHeight="1">
      <c r="B21" s="127">
        <v>11</v>
      </c>
      <c r="C21" s="127"/>
      <c r="D21" s="114" t="s">
        <v>155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 t="s">
        <v>156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30" t="s">
        <v>132</v>
      </c>
      <c r="Z21" s="130"/>
      <c r="AA21" s="130"/>
      <c r="AB21" s="130"/>
      <c r="AC21" s="130"/>
      <c r="AD21" s="130"/>
      <c r="AE21" s="130"/>
      <c r="AF21" s="130"/>
      <c r="AG21" s="118" t="s">
        <v>129</v>
      </c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26" t="s">
        <v>129</v>
      </c>
      <c r="AX21" s="126"/>
      <c r="AY21" s="126"/>
      <c r="AZ21" s="126"/>
      <c r="BA21" s="126"/>
      <c r="BB21" s="126"/>
    </row>
    <row r="22" spans="2:54" s="46" customFormat="1" ht="13.5" customHeight="1">
      <c r="B22" s="127">
        <v>12</v>
      </c>
      <c r="C22" s="127"/>
      <c r="D22" s="114" t="s">
        <v>157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 t="s">
        <v>158</v>
      </c>
      <c r="P22" s="114"/>
      <c r="Q22" s="114"/>
      <c r="R22" s="114"/>
      <c r="S22" s="114"/>
      <c r="T22" s="114"/>
      <c r="U22" s="114"/>
      <c r="V22" s="114"/>
      <c r="W22" s="114"/>
      <c r="X22" s="114"/>
      <c r="Y22" s="130" t="s">
        <v>132</v>
      </c>
      <c r="Z22" s="130"/>
      <c r="AA22" s="130"/>
      <c r="AB22" s="130"/>
      <c r="AC22" s="130"/>
      <c r="AD22" s="130"/>
      <c r="AE22" s="130"/>
      <c r="AF22" s="130"/>
      <c r="AG22" s="118" t="s">
        <v>129</v>
      </c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26" t="s">
        <v>129</v>
      </c>
      <c r="AX22" s="126"/>
      <c r="AY22" s="126"/>
      <c r="AZ22" s="126"/>
      <c r="BA22" s="126"/>
      <c r="BB22" s="126"/>
    </row>
  </sheetData>
  <mergeCells count="98">
    <mergeCell ref="AW21:BB21"/>
    <mergeCell ref="B22:C22"/>
    <mergeCell ref="D22:N22"/>
    <mergeCell ref="O22:X22"/>
    <mergeCell ref="Y22:AF22"/>
    <mergeCell ref="AG22:AV22"/>
    <mergeCell ref="AW22:BB22"/>
    <mergeCell ref="B21:C21"/>
    <mergeCell ref="D21:N21"/>
    <mergeCell ref="O21:X21"/>
    <mergeCell ref="Y21:AF21"/>
    <mergeCell ref="AG21:AV21"/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13</v>
      </c>
      <c r="AK2" s="87"/>
      <c r="AL2" s="87"/>
      <c r="AM2" s="87"/>
      <c r="AN2" s="87"/>
      <c r="AO2" s="123">
        <v>45222</v>
      </c>
      <c r="AP2" s="123"/>
      <c r="AQ2" s="123"/>
      <c r="AR2" s="123"/>
      <c r="AS2" s="123"/>
      <c r="AT2" s="87" t="s">
        <v>13</v>
      </c>
      <c r="AU2" s="87"/>
      <c r="AV2" s="87"/>
      <c r="AW2" s="87"/>
      <c r="AX2" s="87"/>
      <c r="AY2" s="123">
        <v>45230</v>
      </c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123"/>
      <c r="AP3" s="123"/>
      <c r="AQ3" s="123"/>
      <c r="AR3" s="123"/>
      <c r="AS3" s="123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5" t="s">
        <v>159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28" t="s">
        <v>52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135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136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143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144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132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31">
        <v>3</v>
      </c>
      <c r="C13" s="131"/>
      <c r="D13" s="132" t="s">
        <v>160</v>
      </c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 t="s">
        <v>161</v>
      </c>
      <c r="P13" s="132"/>
      <c r="Q13" s="132"/>
      <c r="R13" s="132"/>
      <c r="S13" s="132"/>
      <c r="T13" s="132"/>
      <c r="U13" s="132"/>
      <c r="V13" s="132"/>
      <c r="W13" s="132"/>
      <c r="X13" s="132"/>
      <c r="Y13" s="133" t="s">
        <v>137</v>
      </c>
      <c r="Z13" s="133"/>
      <c r="AA13" s="133"/>
      <c r="AB13" s="133"/>
      <c r="AC13" s="133"/>
      <c r="AD13" s="133"/>
      <c r="AE13" s="133"/>
      <c r="AF13" s="133"/>
      <c r="AG13" s="129" t="s">
        <v>129</v>
      </c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 t="s">
        <v>847</v>
      </c>
      <c r="AX13" s="129"/>
      <c r="AY13" s="129"/>
      <c r="AZ13" s="129"/>
      <c r="BA13" s="129"/>
      <c r="BB13" s="129"/>
    </row>
    <row r="14" spans="1:55" s="46" customFormat="1" ht="13.5" customHeight="1">
      <c r="B14" s="131">
        <v>4</v>
      </c>
      <c r="C14" s="131"/>
      <c r="D14" s="132" t="s">
        <v>162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 t="s">
        <v>163</v>
      </c>
      <c r="P14" s="132"/>
      <c r="Q14" s="132"/>
      <c r="R14" s="132"/>
      <c r="S14" s="132"/>
      <c r="T14" s="132"/>
      <c r="U14" s="132"/>
      <c r="V14" s="132"/>
      <c r="W14" s="132"/>
      <c r="X14" s="132"/>
      <c r="Y14" s="133" t="s">
        <v>137</v>
      </c>
      <c r="Z14" s="133"/>
      <c r="AA14" s="133"/>
      <c r="AB14" s="133"/>
      <c r="AC14" s="133"/>
      <c r="AD14" s="133"/>
      <c r="AE14" s="133"/>
      <c r="AF14" s="133"/>
      <c r="AG14" s="129" t="s">
        <v>129</v>
      </c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 t="s">
        <v>847</v>
      </c>
      <c r="AX14" s="129"/>
      <c r="AY14" s="129"/>
      <c r="AZ14" s="129"/>
      <c r="BA14" s="129"/>
      <c r="BB14" s="129"/>
    </row>
    <row r="15" spans="1:55" s="46" customFormat="1" ht="13.5" customHeight="1">
      <c r="B15" s="131">
        <v>5</v>
      </c>
      <c r="C15" s="131"/>
      <c r="D15" s="132" t="s">
        <v>164</v>
      </c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 t="s">
        <v>165</v>
      </c>
      <c r="P15" s="132"/>
      <c r="Q15" s="132"/>
      <c r="R15" s="132"/>
      <c r="S15" s="132"/>
      <c r="T15" s="132"/>
      <c r="U15" s="132"/>
      <c r="V15" s="132"/>
      <c r="W15" s="132"/>
      <c r="X15" s="132"/>
      <c r="Y15" s="133" t="s">
        <v>137</v>
      </c>
      <c r="Z15" s="133"/>
      <c r="AA15" s="133"/>
      <c r="AB15" s="133"/>
      <c r="AC15" s="133"/>
      <c r="AD15" s="133"/>
      <c r="AE15" s="133"/>
      <c r="AF15" s="133"/>
      <c r="AG15" s="129" t="s">
        <v>129</v>
      </c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 t="s">
        <v>847</v>
      </c>
      <c r="AX15" s="129"/>
      <c r="AY15" s="129"/>
      <c r="AZ15" s="129"/>
      <c r="BA15" s="129"/>
      <c r="BB15" s="129"/>
    </row>
    <row r="16" spans="1:55" s="46" customFormat="1" ht="13.5" customHeight="1">
      <c r="B16" s="127">
        <v>6</v>
      </c>
      <c r="C16" s="127"/>
      <c r="D16" s="114" t="s">
        <v>153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154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132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14" t="s">
        <v>155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156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132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s="46" customFormat="1" ht="13.5" customHeight="1">
      <c r="B18" s="127">
        <v>8</v>
      </c>
      <c r="C18" s="127"/>
      <c r="D18" s="114" t="s">
        <v>157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158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30" t="s">
        <v>132</v>
      </c>
      <c r="Z18" s="130"/>
      <c r="AA18" s="130"/>
      <c r="AB18" s="130"/>
      <c r="AC18" s="130"/>
      <c r="AD18" s="130"/>
      <c r="AE18" s="130"/>
      <c r="AF18" s="130"/>
      <c r="AG18" s="118" t="s">
        <v>129</v>
      </c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26" t="s">
        <v>129</v>
      </c>
      <c r="AX18" s="126"/>
      <c r="AY18" s="126"/>
      <c r="AZ18" s="126"/>
      <c r="BA18" s="126"/>
      <c r="BB18" s="126"/>
    </row>
  </sheetData>
  <mergeCells count="74"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B20F-C5EF-4849-9E0D-00FFFFB9F506}">
  <dimension ref="A1:AMJ15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 thickBo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 t="s">
        <v>13</v>
      </c>
      <c r="AK2" s="85"/>
      <c r="AL2" s="85"/>
      <c r="AM2" s="85"/>
      <c r="AN2" s="85"/>
      <c r="AO2" s="123">
        <v>45250</v>
      </c>
      <c r="AP2" s="123"/>
      <c r="AQ2" s="123"/>
      <c r="AR2" s="123"/>
      <c r="AS2" s="123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 thickBo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5"/>
      <c r="AL3" s="85"/>
      <c r="AM3" s="85"/>
      <c r="AN3" s="85"/>
      <c r="AO3" s="123"/>
      <c r="AP3" s="123"/>
      <c r="AQ3" s="123"/>
      <c r="AR3" s="123"/>
      <c r="AS3" s="123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ht="12.75" customHeight="1">
      <c r="B5" s="124" t="s">
        <v>119</v>
      </c>
      <c r="C5" s="124"/>
      <c r="D5" s="124"/>
      <c r="E5" s="124"/>
      <c r="F5" s="124"/>
      <c r="G5" s="124"/>
      <c r="H5" s="128" t="s">
        <v>810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8" t="s">
        <v>809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/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/>
      <c r="AH9" s="134"/>
      <c r="AI9" s="134" t="s">
        <v>124</v>
      </c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s="44" customFormat="1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s="44" customFormat="1" ht="12.6" customHeight="1">
      <c r="B11" s="135">
        <v>1</v>
      </c>
      <c r="C11" s="135"/>
      <c r="D11" s="136" t="s">
        <v>811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 t="s">
        <v>812</v>
      </c>
      <c r="P11" s="136"/>
      <c r="Q11" s="136"/>
      <c r="R11" s="136"/>
      <c r="S11" s="136"/>
      <c r="T11" s="136"/>
      <c r="U11" s="136"/>
      <c r="V11" s="136"/>
      <c r="W11" s="136"/>
      <c r="X11" s="136"/>
      <c r="Y11" s="136" t="s">
        <v>813</v>
      </c>
      <c r="Z11" s="136"/>
      <c r="AA11" s="136"/>
      <c r="AB11" s="136"/>
      <c r="AC11" s="136"/>
      <c r="AD11" s="136"/>
      <c r="AE11" s="136"/>
      <c r="AF11" s="136"/>
      <c r="AG11" s="136"/>
      <c r="AH11" s="136"/>
      <c r="AI11" s="130" t="s">
        <v>129</v>
      </c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s="44" customFormat="1" ht="12.6" customHeight="1">
      <c r="B12" s="135">
        <v>2</v>
      </c>
      <c r="C12" s="135"/>
      <c r="D12" s="136" t="s">
        <v>222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 t="s">
        <v>223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 t="s">
        <v>132</v>
      </c>
      <c r="Z12" s="136"/>
      <c r="AA12" s="136"/>
      <c r="AB12" s="136"/>
      <c r="AC12" s="136"/>
      <c r="AD12" s="136"/>
      <c r="AE12" s="136"/>
      <c r="AF12" s="136"/>
      <c r="AG12" s="136"/>
      <c r="AH12" s="136"/>
      <c r="AI12" s="130" t="s">
        <v>129</v>
      </c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s="44" customFormat="1" ht="12.6" customHeight="1">
      <c r="B13" s="135">
        <v>3</v>
      </c>
      <c r="C13" s="135"/>
      <c r="D13" s="136" t="s">
        <v>224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 t="s">
        <v>225</v>
      </c>
      <c r="P13" s="136"/>
      <c r="Q13" s="136"/>
      <c r="R13" s="136"/>
      <c r="S13" s="136"/>
      <c r="T13" s="136"/>
      <c r="U13" s="136"/>
      <c r="V13" s="136"/>
      <c r="W13" s="136"/>
      <c r="X13" s="136"/>
      <c r="Y13" s="136" t="s">
        <v>132</v>
      </c>
      <c r="Z13" s="136"/>
      <c r="AA13" s="136"/>
      <c r="AB13" s="136"/>
      <c r="AC13" s="136"/>
      <c r="AD13" s="136"/>
      <c r="AE13" s="136"/>
      <c r="AF13" s="136"/>
      <c r="AG13" s="136"/>
      <c r="AH13" s="136"/>
      <c r="AI13" s="130" t="s">
        <v>129</v>
      </c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s="44" customFormat="1" ht="12.6" customHeight="1">
      <c r="B14" s="135">
        <v>4</v>
      </c>
      <c r="C14" s="135"/>
      <c r="D14" s="136" t="s">
        <v>814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 t="s">
        <v>815</v>
      </c>
      <c r="P14" s="136"/>
      <c r="Q14" s="136"/>
      <c r="R14" s="136"/>
      <c r="S14" s="136"/>
      <c r="T14" s="136"/>
      <c r="U14" s="136"/>
      <c r="V14" s="136"/>
      <c r="W14" s="136"/>
      <c r="X14" s="136"/>
      <c r="Y14" s="136" t="s">
        <v>813</v>
      </c>
      <c r="Z14" s="136"/>
      <c r="AA14" s="136"/>
      <c r="AB14" s="136"/>
      <c r="AC14" s="136"/>
      <c r="AD14" s="136"/>
      <c r="AE14" s="136"/>
      <c r="AF14" s="136"/>
      <c r="AG14" s="136"/>
      <c r="AH14" s="136"/>
      <c r="AI14" s="130" t="s">
        <v>129</v>
      </c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s="44" customFormat="1" ht="12.75" customHeight="1"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</row>
  </sheetData>
  <mergeCells count="50">
    <mergeCell ref="O12:X12"/>
    <mergeCell ref="Y12:AH12"/>
    <mergeCell ref="AI12:AV12"/>
    <mergeCell ref="B11:C11"/>
    <mergeCell ref="D11:N11"/>
    <mergeCell ref="O11:X11"/>
    <mergeCell ref="Y11:AH11"/>
    <mergeCell ref="AI11:AV11"/>
    <mergeCell ref="AW11:BB11"/>
    <mergeCell ref="B14:C14"/>
    <mergeCell ref="D14:N14"/>
    <mergeCell ref="O14:X14"/>
    <mergeCell ref="Y14:AH14"/>
    <mergeCell ref="AI14:AV14"/>
    <mergeCell ref="AW14:BB14"/>
    <mergeCell ref="AW12:BB12"/>
    <mergeCell ref="B13:C13"/>
    <mergeCell ref="D13:N13"/>
    <mergeCell ref="O13:X13"/>
    <mergeCell ref="Y13:AH13"/>
    <mergeCell ref="AI13:AV13"/>
    <mergeCell ref="AW13:BB13"/>
    <mergeCell ref="B12:C12"/>
    <mergeCell ref="D12:N1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5:G6"/>
    <mergeCell ref="H5:W5"/>
    <mergeCell ref="H6:W6"/>
    <mergeCell ref="B7:G7"/>
    <mergeCell ref="H7:W7"/>
    <mergeCell ref="AW9:BB10"/>
    <mergeCell ref="D10:N10"/>
    <mergeCell ref="O10:X10"/>
    <mergeCell ref="B9:C10"/>
    <mergeCell ref="D9:X9"/>
    <mergeCell ref="Y9:AH10"/>
    <mergeCell ref="AI9:AV10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35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7" width="2.59765625" style="44"/>
    <col min="8" max="8" width="14.5" style="44" customWidth="1"/>
    <col min="9" max="24" width="2.59765625" style="44"/>
    <col min="25" max="25" width="14.19921875" style="44" customWidth="1"/>
    <col min="26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44294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5" t="s">
        <v>166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37" t="s">
        <v>53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160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161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145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146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132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167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168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132</v>
      </c>
      <c r="Z13" s="130"/>
      <c r="AA13" s="130"/>
      <c r="AB13" s="130"/>
      <c r="AC13" s="130"/>
      <c r="AD13" s="130"/>
      <c r="AE13" s="130"/>
      <c r="AF13" s="130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4</v>
      </c>
      <c r="C14" s="127"/>
      <c r="D14" s="114" t="s">
        <v>169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170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132</v>
      </c>
      <c r="Z14" s="130"/>
      <c r="AA14" s="130"/>
      <c r="AB14" s="130"/>
      <c r="AC14" s="130"/>
      <c r="AD14" s="130"/>
      <c r="AE14" s="130"/>
      <c r="AF14" s="130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5</v>
      </c>
      <c r="C15" s="127"/>
      <c r="D15" s="114" t="s">
        <v>171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172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132</v>
      </c>
      <c r="Z15" s="130"/>
      <c r="AA15" s="130"/>
      <c r="AB15" s="130"/>
      <c r="AC15" s="130"/>
      <c r="AD15" s="130"/>
      <c r="AE15" s="130"/>
      <c r="AF15" s="130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6</v>
      </c>
      <c r="C16" s="127"/>
      <c r="D16" s="114" t="s">
        <v>173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174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132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14" t="s">
        <v>175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176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132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s="46" customFormat="1" ht="13.5" customHeight="1">
      <c r="B18" s="127">
        <v>8</v>
      </c>
      <c r="C18" s="127"/>
      <c r="D18" s="114" t="s">
        <v>177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178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30" t="s">
        <v>137</v>
      </c>
      <c r="Z18" s="130"/>
      <c r="AA18" s="130"/>
      <c r="AB18" s="130"/>
      <c r="AC18" s="130"/>
      <c r="AD18" s="130"/>
      <c r="AE18" s="130"/>
      <c r="AF18" s="130"/>
      <c r="AG18" s="118" t="s">
        <v>129</v>
      </c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26" t="s">
        <v>129</v>
      </c>
      <c r="AX18" s="126"/>
      <c r="AY18" s="126"/>
      <c r="AZ18" s="126"/>
      <c r="BA18" s="126"/>
      <c r="BB18" s="126"/>
    </row>
    <row r="19" spans="2:54" s="46" customFormat="1" ht="13.5" customHeight="1">
      <c r="B19" s="127">
        <v>9</v>
      </c>
      <c r="C19" s="127"/>
      <c r="D19" s="114" t="s">
        <v>179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180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30" t="s">
        <v>132</v>
      </c>
      <c r="Z19" s="130"/>
      <c r="AA19" s="130"/>
      <c r="AB19" s="130"/>
      <c r="AC19" s="130"/>
      <c r="AD19" s="130"/>
      <c r="AE19" s="130"/>
      <c r="AF19" s="130"/>
      <c r="AG19" s="118" t="s">
        <v>129</v>
      </c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26" t="s">
        <v>129</v>
      </c>
      <c r="AX19" s="126"/>
      <c r="AY19" s="126"/>
      <c r="AZ19" s="126"/>
      <c r="BA19" s="126"/>
      <c r="BB19" s="126"/>
    </row>
    <row r="20" spans="2:54" s="46" customFormat="1" ht="13.5" customHeight="1">
      <c r="B20" s="127">
        <v>10</v>
      </c>
      <c r="C20" s="127"/>
      <c r="D20" s="114" t="s">
        <v>181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182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30" t="s">
        <v>132</v>
      </c>
      <c r="Z20" s="130"/>
      <c r="AA20" s="130"/>
      <c r="AB20" s="130"/>
      <c r="AC20" s="130"/>
      <c r="AD20" s="130"/>
      <c r="AE20" s="130"/>
      <c r="AF20" s="130"/>
      <c r="AG20" s="118" t="s">
        <v>129</v>
      </c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26" t="s">
        <v>129</v>
      </c>
      <c r="AX20" s="126"/>
      <c r="AY20" s="126"/>
      <c r="AZ20" s="126"/>
      <c r="BA20" s="126"/>
      <c r="BB20" s="126"/>
    </row>
    <row r="21" spans="2:54" s="46" customFormat="1" ht="13.5" customHeight="1">
      <c r="B21" s="127">
        <v>11</v>
      </c>
      <c r="C21" s="127"/>
      <c r="D21" s="114" t="s">
        <v>183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 t="s">
        <v>184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30" t="s">
        <v>132</v>
      </c>
      <c r="Z21" s="130"/>
      <c r="AA21" s="130"/>
      <c r="AB21" s="130"/>
      <c r="AC21" s="130"/>
      <c r="AD21" s="130"/>
      <c r="AE21" s="130"/>
      <c r="AF21" s="130"/>
      <c r="AG21" s="118" t="s">
        <v>129</v>
      </c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26" t="s">
        <v>129</v>
      </c>
      <c r="AX21" s="126"/>
      <c r="AY21" s="126"/>
      <c r="AZ21" s="126"/>
      <c r="BA21" s="126"/>
      <c r="BB21" s="126"/>
    </row>
    <row r="22" spans="2:54" s="46" customFormat="1" ht="13.5" customHeight="1">
      <c r="B22" s="127">
        <v>12</v>
      </c>
      <c r="C22" s="127"/>
      <c r="D22" s="114" t="s">
        <v>185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 t="s">
        <v>186</v>
      </c>
      <c r="P22" s="114"/>
      <c r="Q22" s="114"/>
      <c r="R22" s="114"/>
      <c r="S22" s="114"/>
      <c r="T22" s="114"/>
      <c r="U22" s="114"/>
      <c r="V22" s="114"/>
      <c r="W22" s="114"/>
      <c r="X22" s="114"/>
      <c r="Y22" s="130" t="s">
        <v>132</v>
      </c>
      <c r="Z22" s="130"/>
      <c r="AA22" s="130"/>
      <c r="AB22" s="130"/>
      <c r="AC22" s="130"/>
      <c r="AD22" s="130"/>
      <c r="AE22" s="130"/>
      <c r="AF22" s="130"/>
      <c r="AG22" s="118" t="s">
        <v>129</v>
      </c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26" t="s">
        <v>129</v>
      </c>
      <c r="AX22" s="126"/>
      <c r="AY22" s="126"/>
      <c r="AZ22" s="126"/>
      <c r="BA22" s="126"/>
      <c r="BB22" s="126"/>
    </row>
    <row r="23" spans="2:54" s="46" customFormat="1" ht="13.5" customHeight="1">
      <c r="B23" s="127">
        <v>13</v>
      </c>
      <c r="C23" s="127"/>
      <c r="D23" s="114" t="s">
        <v>187</v>
      </c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 t="s">
        <v>188</v>
      </c>
      <c r="P23" s="114"/>
      <c r="Q23" s="114"/>
      <c r="R23" s="114"/>
      <c r="S23" s="114"/>
      <c r="T23" s="114"/>
      <c r="U23" s="114"/>
      <c r="V23" s="114"/>
      <c r="W23" s="114"/>
      <c r="X23" s="114"/>
      <c r="Y23" s="130" t="s">
        <v>132</v>
      </c>
      <c r="Z23" s="130"/>
      <c r="AA23" s="130"/>
      <c r="AB23" s="130"/>
      <c r="AC23" s="130"/>
      <c r="AD23" s="130"/>
      <c r="AE23" s="130"/>
      <c r="AF23" s="130"/>
      <c r="AG23" s="118" t="s">
        <v>129</v>
      </c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26" t="s">
        <v>129</v>
      </c>
      <c r="AX23" s="126"/>
      <c r="AY23" s="126"/>
      <c r="AZ23" s="126"/>
      <c r="BA23" s="126"/>
      <c r="BB23" s="126"/>
    </row>
    <row r="24" spans="2:54" s="46" customFormat="1" ht="13.5" customHeight="1">
      <c r="B24" s="127">
        <v>14</v>
      </c>
      <c r="C24" s="127"/>
      <c r="D24" s="114" t="s">
        <v>189</v>
      </c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 t="s">
        <v>190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30" t="s">
        <v>132</v>
      </c>
      <c r="Z24" s="130"/>
      <c r="AA24" s="130"/>
      <c r="AB24" s="130"/>
      <c r="AC24" s="130"/>
      <c r="AD24" s="130"/>
      <c r="AE24" s="130"/>
      <c r="AF24" s="130"/>
      <c r="AG24" s="118" t="s">
        <v>129</v>
      </c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26" t="s">
        <v>129</v>
      </c>
      <c r="AX24" s="126"/>
      <c r="AY24" s="126"/>
      <c r="AZ24" s="126"/>
      <c r="BA24" s="126"/>
      <c r="BB24" s="126"/>
    </row>
    <row r="25" spans="2:54" s="46" customFormat="1" ht="13.5" customHeight="1">
      <c r="B25" s="127">
        <v>15</v>
      </c>
      <c r="C25" s="127"/>
      <c r="D25" s="114" t="s">
        <v>191</v>
      </c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 t="s">
        <v>192</v>
      </c>
      <c r="P25" s="114"/>
      <c r="Q25" s="114"/>
      <c r="R25" s="114"/>
      <c r="S25" s="114"/>
      <c r="T25" s="114"/>
      <c r="U25" s="114"/>
      <c r="V25" s="114"/>
      <c r="W25" s="114"/>
      <c r="X25" s="114"/>
      <c r="Y25" s="130" t="s">
        <v>132</v>
      </c>
      <c r="Z25" s="130"/>
      <c r="AA25" s="130"/>
      <c r="AB25" s="130"/>
      <c r="AC25" s="130"/>
      <c r="AD25" s="130"/>
      <c r="AE25" s="130"/>
      <c r="AF25" s="130"/>
      <c r="AG25" s="118" t="s">
        <v>129</v>
      </c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26" t="s">
        <v>129</v>
      </c>
      <c r="AX25" s="126"/>
      <c r="AY25" s="126"/>
      <c r="AZ25" s="126"/>
      <c r="BA25" s="126"/>
      <c r="BB25" s="126"/>
    </row>
    <row r="26" spans="2:54" s="46" customFormat="1" ht="13.5" customHeight="1">
      <c r="B26" s="127">
        <v>16</v>
      </c>
      <c r="C26" s="127"/>
      <c r="D26" s="114" t="s">
        <v>149</v>
      </c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 t="s">
        <v>150</v>
      </c>
      <c r="P26" s="114"/>
      <c r="Q26" s="114"/>
      <c r="R26" s="114"/>
      <c r="S26" s="114"/>
      <c r="T26" s="114"/>
      <c r="U26" s="114"/>
      <c r="V26" s="114"/>
      <c r="W26" s="114"/>
      <c r="X26" s="114"/>
      <c r="Y26" s="130" t="s">
        <v>132</v>
      </c>
      <c r="Z26" s="130"/>
      <c r="AA26" s="130"/>
      <c r="AB26" s="130"/>
      <c r="AC26" s="130"/>
      <c r="AD26" s="130"/>
      <c r="AE26" s="130"/>
      <c r="AF26" s="130"/>
      <c r="AG26" s="118" t="s">
        <v>129</v>
      </c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26" t="s">
        <v>129</v>
      </c>
      <c r="AX26" s="126"/>
      <c r="AY26" s="126"/>
      <c r="AZ26" s="126"/>
      <c r="BA26" s="126"/>
      <c r="BB26" s="126"/>
    </row>
    <row r="27" spans="2:54" s="46" customFormat="1" ht="13.5" customHeight="1">
      <c r="B27" s="127">
        <v>17</v>
      </c>
      <c r="C27" s="127"/>
      <c r="D27" s="114" t="s">
        <v>193</v>
      </c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 t="s">
        <v>194</v>
      </c>
      <c r="P27" s="114"/>
      <c r="Q27" s="114"/>
      <c r="R27" s="114"/>
      <c r="S27" s="114"/>
      <c r="T27" s="114"/>
      <c r="U27" s="114"/>
      <c r="V27" s="114"/>
      <c r="W27" s="114"/>
      <c r="X27" s="114"/>
      <c r="Y27" s="130" t="s">
        <v>137</v>
      </c>
      <c r="Z27" s="130"/>
      <c r="AA27" s="130"/>
      <c r="AB27" s="130"/>
      <c r="AC27" s="130"/>
      <c r="AD27" s="130"/>
      <c r="AE27" s="130"/>
      <c r="AF27" s="130"/>
      <c r="AG27" s="118" t="s">
        <v>129</v>
      </c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26" t="s">
        <v>129</v>
      </c>
      <c r="AX27" s="126"/>
      <c r="AY27" s="126"/>
      <c r="AZ27" s="126"/>
      <c r="BA27" s="126"/>
      <c r="BB27" s="126"/>
    </row>
    <row r="28" spans="2:54" s="46" customFormat="1" ht="13.5" customHeight="1">
      <c r="B28" s="127">
        <v>18</v>
      </c>
      <c r="C28" s="127"/>
      <c r="D28" s="114" t="s">
        <v>195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 t="s">
        <v>196</v>
      </c>
      <c r="P28" s="114"/>
      <c r="Q28" s="114"/>
      <c r="R28" s="114"/>
      <c r="S28" s="114"/>
      <c r="T28" s="114"/>
      <c r="U28" s="114"/>
      <c r="V28" s="114"/>
      <c r="W28" s="114"/>
      <c r="X28" s="114"/>
      <c r="Y28" s="130" t="s">
        <v>137</v>
      </c>
      <c r="Z28" s="130"/>
      <c r="AA28" s="130"/>
      <c r="AB28" s="130"/>
      <c r="AC28" s="130"/>
      <c r="AD28" s="130"/>
      <c r="AE28" s="130"/>
      <c r="AF28" s="130"/>
      <c r="AG28" s="118" t="s">
        <v>129</v>
      </c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26" t="s">
        <v>129</v>
      </c>
      <c r="AX28" s="126"/>
      <c r="AY28" s="126"/>
      <c r="AZ28" s="126"/>
      <c r="BA28" s="126"/>
      <c r="BB28" s="126"/>
    </row>
    <row r="29" spans="2:54" s="46" customFormat="1" ht="13.5" customHeight="1">
      <c r="B29" s="127">
        <v>19</v>
      </c>
      <c r="C29" s="127"/>
      <c r="D29" s="114" t="s">
        <v>197</v>
      </c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 t="s">
        <v>198</v>
      </c>
      <c r="P29" s="114"/>
      <c r="Q29" s="114"/>
      <c r="R29" s="114"/>
      <c r="S29" s="114"/>
      <c r="T29" s="114"/>
      <c r="U29" s="114"/>
      <c r="V29" s="114"/>
      <c r="W29" s="114"/>
      <c r="X29" s="114"/>
      <c r="Y29" s="130" t="s">
        <v>132</v>
      </c>
      <c r="Z29" s="130"/>
      <c r="AA29" s="130"/>
      <c r="AB29" s="130"/>
      <c r="AC29" s="130"/>
      <c r="AD29" s="130"/>
      <c r="AE29" s="130"/>
      <c r="AF29" s="130"/>
      <c r="AG29" s="118" t="s">
        <v>129</v>
      </c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26" t="s">
        <v>129</v>
      </c>
      <c r="AX29" s="126"/>
      <c r="AY29" s="126"/>
      <c r="AZ29" s="126"/>
      <c r="BA29" s="126"/>
      <c r="BB29" s="126"/>
    </row>
    <row r="30" spans="2:54" s="46" customFormat="1" ht="13.5" customHeight="1">
      <c r="B30" s="127">
        <v>20</v>
      </c>
      <c r="C30" s="127"/>
      <c r="D30" s="114" t="s">
        <v>199</v>
      </c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 t="s">
        <v>200</v>
      </c>
      <c r="P30" s="114"/>
      <c r="Q30" s="114"/>
      <c r="R30" s="114"/>
      <c r="S30" s="114"/>
      <c r="T30" s="114"/>
      <c r="U30" s="114"/>
      <c r="V30" s="114"/>
      <c r="W30" s="114"/>
      <c r="X30" s="114"/>
      <c r="Y30" s="130" t="s">
        <v>132</v>
      </c>
      <c r="Z30" s="130"/>
      <c r="AA30" s="130"/>
      <c r="AB30" s="130"/>
      <c r="AC30" s="130"/>
      <c r="AD30" s="130"/>
      <c r="AE30" s="130"/>
      <c r="AF30" s="130"/>
      <c r="AG30" s="118" t="s">
        <v>129</v>
      </c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26" t="s">
        <v>129</v>
      </c>
      <c r="AX30" s="126"/>
      <c r="AY30" s="126"/>
      <c r="AZ30" s="126"/>
      <c r="BA30" s="126"/>
      <c r="BB30" s="126"/>
    </row>
    <row r="31" spans="2:54" s="46" customFormat="1" ht="13.5" customHeight="1">
      <c r="B31" s="127">
        <v>21</v>
      </c>
      <c r="C31" s="127"/>
      <c r="D31" s="114" t="s">
        <v>201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 t="s">
        <v>202</v>
      </c>
      <c r="P31" s="114"/>
      <c r="Q31" s="114"/>
      <c r="R31" s="114"/>
      <c r="S31" s="114"/>
      <c r="T31" s="114"/>
      <c r="U31" s="114"/>
      <c r="V31" s="114"/>
      <c r="W31" s="114"/>
      <c r="X31" s="114"/>
      <c r="Y31" s="130" t="s">
        <v>132</v>
      </c>
      <c r="Z31" s="130"/>
      <c r="AA31" s="130"/>
      <c r="AB31" s="130"/>
      <c r="AC31" s="130"/>
      <c r="AD31" s="130"/>
      <c r="AE31" s="130"/>
      <c r="AF31" s="130"/>
      <c r="AG31" s="118" t="s">
        <v>129</v>
      </c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26" t="s">
        <v>129</v>
      </c>
      <c r="AX31" s="126"/>
      <c r="AY31" s="126"/>
      <c r="AZ31" s="126"/>
      <c r="BA31" s="126"/>
      <c r="BB31" s="126"/>
    </row>
    <row r="32" spans="2:54" s="46" customFormat="1" ht="13.5" customHeight="1">
      <c r="B32" s="127">
        <v>22</v>
      </c>
      <c r="C32" s="127"/>
      <c r="D32" s="114" t="s">
        <v>203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 t="s">
        <v>204</v>
      </c>
      <c r="P32" s="114"/>
      <c r="Q32" s="114"/>
      <c r="R32" s="114"/>
      <c r="S32" s="114"/>
      <c r="T32" s="114"/>
      <c r="U32" s="114"/>
      <c r="V32" s="114"/>
      <c r="W32" s="114"/>
      <c r="X32" s="114"/>
      <c r="Y32" s="130" t="s">
        <v>132</v>
      </c>
      <c r="Z32" s="130"/>
      <c r="AA32" s="130"/>
      <c r="AB32" s="130"/>
      <c r="AC32" s="130"/>
      <c r="AD32" s="130"/>
      <c r="AE32" s="130"/>
      <c r="AF32" s="130"/>
      <c r="AG32" s="118" t="s">
        <v>129</v>
      </c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26" t="s">
        <v>129</v>
      </c>
      <c r="AX32" s="126"/>
      <c r="AY32" s="126"/>
      <c r="AZ32" s="126"/>
      <c r="BA32" s="126"/>
      <c r="BB32" s="126"/>
    </row>
    <row r="33" spans="2:54" s="46" customFormat="1" ht="13.5" customHeight="1">
      <c r="B33" s="127">
        <v>23</v>
      </c>
      <c r="C33" s="127"/>
      <c r="D33" s="114" t="s">
        <v>151</v>
      </c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 t="s">
        <v>152</v>
      </c>
      <c r="P33" s="114"/>
      <c r="Q33" s="114"/>
      <c r="R33" s="114"/>
      <c r="S33" s="114"/>
      <c r="T33" s="114"/>
      <c r="U33" s="114"/>
      <c r="V33" s="114"/>
      <c r="W33" s="114"/>
      <c r="X33" s="114"/>
      <c r="Y33" s="130" t="s">
        <v>132</v>
      </c>
      <c r="Z33" s="130"/>
      <c r="AA33" s="130"/>
      <c r="AB33" s="130"/>
      <c r="AC33" s="130"/>
      <c r="AD33" s="130"/>
      <c r="AE33" s="130"/>
      <c r="AF33" s="130"/>
      <c r="AG33" s="118" t="s">
        <v>129</v>
      </c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26" t="s">
        <v>129</v>
      </c>
      <c r="AX33" s="126"/>
      <c r="AY33" s="126"/>
      <c r="AZ33" s="126"/>
      <c r="BA33" s="126"/>
      <c r="BB33" s="126"/>
    </row>
    <row r="34" spans="2:54" s="46" customFormat="1" ht="13.5" customHeight="1">
      <c r="B34" s="127">
        <v>24</v>
      </c>
      <c r="C34" s="127"/>
      <c r="D34" s="114" t="s">
        <v>205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 t="s">
        <v>206</v>
      </c>
      <c r="P34" s="114"/>
      <c r="Q34" s="114"/>
      <c r="R34" s="114"/>
      <c r="S34" s="114"/>
      <c r="T34" s="114"/>
      <c r="U34" s="114"/>
      <c r="V34" s="114"/>
      <c r="W34" s="114"/>
      <c r="X34" s="114"/>
      <c r="Y34" s="130" t="s">
        <v>207</v>
      </c>
      <c r="Z34" s="130"/>
      <c r="AA34" s="130"/>
      <c r="AB34" s="130"/>
      <c r="AC34" s="130"/>
      <c r="AD34" s="130"/>
      <c r="AE34" s="130"/>
      <c r="AF34" s="130"/>
      <c r="AG34" s="118" t="s">
        <v>129</v>
      </c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26" t="s">
        <v>129</v>
      </c>
      <c r="AX34" s="126"/>
      <c r="AY34" s="126"/>
      <c r="AZ34" s="126"/>
      <c r="BA34" s="126"/>
      <c r="BB34" s="126"/>
    </row>
    <row r="35" spans="2:54">
      <c r="B35" s="127">
        <v>25</v>
      </c>
      <c r="C35" s="127"/>
      <c r="D35" s="114" t="s">
        <v>208</v>
      </c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 t="s">
        <v>209</v>
      </c>
      <c r="P35" s="114"/>
      <c r="Q35" s="114"/>
      <c r="R35" s="114"/>
      <c r="S35" s="114"/>
      <c r="T35" s="114"/>
      <c r="U35" s="114"/>
      <c r="V35" s="114"/>
      <c r="W35" s="114"/>
      <c r="X35" s="114"/>
      <c r="Y35" s="130" t="s">
        <v>210</v>
      </c>
      <c r="Z35" s="130"/>
      <c r="AA35" s="130"/>
      <c r="AB35" s="130"/>
      <c r="AC35" s="130"/>
      <c r="AD35" s="130"/>
      <c r="AE35" s="130"/>
      <c r="AF35" s="130"/>
      <c r="AG35" s="118" t="s">
        <v>129</v>
      </c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26" t="s">
        <v>129</v>
      </c>
      <c r="AX35" s="126"/>
      <c r="AY35" s="126"/>
      <c r="AZ35" s="126"/>
      <c r="BA35" s="126"/>
      <c r="BB35" s="126"/>
    </row>
  </sheetData>
  <mergeCells count="176">
    <mergeCell ref="B34:C34"/>
    <mergeCell ref="D34:N34"/>
    <mergeCell ref="O34:X34"/>
    <mergeCell ref="Y34:AF34"/>
    <mergeCell ref="AG34:AV34"/>
    <mergeCell ref="AW34:BB34"/>
    <mergeCell ref="B35:C35"/>
    <mergeCell ref="D35:N35"/>
    <mergeCell ref="O35:X35"/>
    <mergeCell ref="Y35:AF35"/>
    <mergeCell ref="AG35:AV35"/>
    <mergeCell ref="AW35:BB35"/>
    <mergeCell ref="B32:C32"/>
    <mergeCell ref="D32:N32"/>
    <mergeCell ref="O32:X32"/>
    <mergeCell ref="Y32:AF32"/>
    <mergeCell ref="AG32:AV32"/>
    <mergeCell ref="AW32:BB32"/>
    <mergeCell ref="B33:C33"/>
    <mergeCell ref="D33:N33"/>
    <mergeCell ref="O33:X33"/>
    <mergeCell ref="Y33:AF33"/>
    <mergeCell ref="AG33:AV33"/>
    <mergeCell ref="AW33:BB33"/>
    <mergeCell ref="B30:C30"/>
    <mergeCell ref="D30:N30"/>
    <mergeCell ref="O30:X30"/>
    <mergeCell ref="Y30:AF30"/>
    <mergeCell ref="AG30:AV30"/>
    <mergeCell ref="AW30:BB30"/>
    <mergeCell ref="B31:C31"/>
    <mergeCell ref="D31:N31"/>
    <mergeCell ref="O31:X31"/>
    <mergeCell ref="Y31:AF31"/>
    <mergeCell ref="AG31:AV31"/>
    <mergeCell ref="AW31:BB31"/>
    <mergeCell ref="B28:C28"/>
    <mergeCell ref="D28:N28"/>
    <mergeCell ref="O28:X28"/>
    <mergeCell ref="Y28:AF28"/>
    <mergeCell ref="AG28:AV28"/>
    <mergeCell ref="AW28:BB28"/>
    <mergeCell ref="B29:C29"/>
    <mergeCell ref="D29:N29"/>
    <mergeCell ref="O29:X29"/>
    <mergeCell ref="Y29:AF29"/>
    <mergeCell ref="AG29:AV29"/>
    <mergeCell ref="AW29:BB29"/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23611111111111099" right="0.23611111111111099" top="0.74861111111111101" bottom="0.74861111111111101" header="0.31527777777777799" footer="0.31527777777777799"/>
  <pageSetup paperSize="9" scale="79" orientation="landscape" horizontalDpi="300" verticalDpi="300" r:id="rId1"/>
  <headerFooter>
    <oddHeader>&amp;C&amp;F</oddHeader>
    <oddFooter>&amp;C&amp;8&amp;P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21EF-FDCA-49A8-9501-B91D0D2DCB2A}">
  <dimension ref="A1:AMJ2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7" width="2.59765625" style="44"/>
    <col min="8" max="8" width="14.5" style="44" customWidth="1"/>
    <col min="9" max="24" width="2.59765625" style="44"/>
    <col min="25" max="25" width="14.19921875" style="44" customWidth="1"/>
    <col min="26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 thickBo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826</v>
      </c>
      <c r="AK2" s="87"/>
      <c r="AL2" s="87"/>
      <c r="AM2" s="87"/>
      <c r="AN2" s="87"/>
      <c r="AO2" s="86">
        <v>45260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 thickBo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5" t="s">
        <v>836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37" t="s">
        <v>835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160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161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145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146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132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840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839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132</v>
      </c>
      <c r="Z13" s="130"/>
      <c r="AA13" s="130"/>
      <c r="AB13" s="130"/>
      <c r="AC13" s="130"/>
      <c r="AD13" s="130"/>
      <c r="AE13" s="130"/>
      <c r="AF13" s="130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4</v>
      </c>
      <c r="C14" s="127"/>
      <c r="D14" s="114" t="s">
        <v>164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165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137</v>
      </c>
      <c r="Z14" s="130"/>
      <c r="AA14" s="130"/>
      <c r="AB14" s="130"/>
      <c r="AC14" s="130"/>
      <c r="AD14" s="130"/>
      <c r="AE14" s="130"/>
      <c r="AF14" s="130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5</v>
      </c>
      <c r="C15" s="127"/>
      <c r="D15" s="114" t="s">
        <v>153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154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132</v>
      </c>
      <c r="Z15" s="130"/>
      <c r="AA15" s="130"/>
      <c r="AB15" s="130"/>
      <c r="AC15" s="130"/>
      <c r="AD15" s="130"/>
      <c r="AE15" s="130"/>
      <c r="AF15" s="130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6</v>
      </c>
      <c r="C16" s="127"/>
      <c r="D16" s="114" t="s">
        <v>816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215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210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14" t="s">
        <v>817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217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210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ht="12.75" customHeight="1">
      <c r="B18" s="127">
        <v>8</v>
      </c>
      <c r="C18" s="127"/>
      <c r="D18" s="125" t="s">
        <v>534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 t="s">
        <v>535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 t="s">
        <v>137</v>
      </c>
      <c r="Z18" s="125"/>
      <c r="AA18" s="125"/>
      <c r="AB18" s="125"/>
      <c r="AC18" s="125"/>
      <c r="AD18" s="125"/>
      <c r="AE18" s="125"/>
      <c r="AF18" s="125"/>
      <c r="AG18" s="138" t="s">
        <v>129</v>
      </c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27">
        <v>9</v>
      </c>
      <c r="C19" s="127"/>
      <c r="D19" s="125" t="s">
        <v>536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 t="s">
        <v>537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 t="s">
        <v>132</v>
      </c>
      <c r="Z19" s="125"/>
      <c r="AA19" s="125"/>
      <c r="AB19" s="125"/>
      <c r="AC19" s="125"/>
      <c r="AD19" s="125"/>
      <c r="AE19" s="125"/>
      <c r="AF19" s="125"/>
      <c r="AG19" s="138" t="s">
        <v>129</v>
      </c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27">
        <v>10</v>
      </c>
      <c r="C20" s="127"/>
      <c r="D20" s="125" t="s">
        <v>841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 t="s">
        <v>838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 t="s">
        <v>132</v>
      </c>
      <c r="Z20" s="125"/>
      <c r="AA20" s="125"/>
      <c r="AB20" s="125"/>
      <c r="AC20" s="125"/>
      <c r="AD20" s="125"/>
      <c r="AE20" s="125"/>
      <c r="AF20" s="125"/>
      <c r="AG20" s="138" t="s">
        <v>129</v>
      </c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0" t="s">
        <v>129</v>
      </c>
      <c r="AX20" s="130"/>
      <c r="AY20" s="130"/>
      <c r="AZ20" s="130"/>
      <c r="BA20" s="130"/>
      <c r="BB20" s="130"/>
    </row>
    <row r="21" spans="2:54" s="46" customFormat="1" ht="13.5" customHeight="1">
      <c r="B21" s="58"/>
      <c r="C21" s="58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3"/>
      <c r="Z21" s="63"/>
      <c r="AA21" s="63"/>
      <c r="AB21" s="63"/>
      <c r="AC21" s="63"/>
      <c r="AD21" s="63"/>
      <c r="AE21" s="63"/>
      <c r="AF21" s="63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5"/>
      <c r="AX21" s="65"/>
      <c r="AY21" s="65"/>
      <c r="AZ21" s="65"/>
      <c r="BA21" s="65"/>
      <c r="BB21" s="65"/>
    </row>
  </sheetData>
  <mergeCells count="86">
    <mergeCell ref="AW15:BB15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20:BB20"/>
    <mergeCell ref="B19:C19"/>
    <mergeCell ref="D19:N19"/>
    <mergeCell ref="O19:X19"/>
    <mergeCell ref="Y19:AF19"/>
    <mergeCell ref="AG19:AV19"/>
    <mergeCell ref="AW19:BB19"/>
    <mergeCell ref="B20:C20"/>
    <mergeCell ref="D20:N20"/>
    <mergeCell ref="O20:X20"/>
    <mergeCell ref="Y20:AF20"/>
    <mergeCell ref="AG20:AV20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3:BB13"/>
    <mergeCell ref="B18:C18"/>
    <mergeCell ref="D18:N18"/>
    <mergeCell ref="O18:X18"/>
    <mergeCell ref="Y18:AF18"/>
    <mergeCell ref="AG18:AV18"/>
    <mergeCell ref="AW18:BB18"/>
    <mergeCell ref="B13:C13"/>
    <mergeCell ref="D13:N13"/>
    <mergeCell ref="O13:X13"/>
    <mergeCell ref="Y13:AF13"/>
    <mergeCell ref="AG13:AV13"/>
    <mergeCell ref="AW17:BB17"/>
    <mergeCell ref="B16:C16"/>
    <mergeCell ref="D16:N16"/>
    <mergeCell ref="O16:X16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B9:C10"/>
    <mergeCell ref="D9:X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79"/>
  <pageMargins left="0.23611111111111099" right="0.23611111111111099" top="0.74861111111111101" bottom="0.74861111111111101" header="0.31527777777777799" footer="0.31527777777777799"/>
  <pageSetup paperSize="9" scale="79" orientation="landscape" horizontalDpi="300" verticalDpi="300" r:id="rId1"/>
  <headerFooter>
    <oddHeader>&amp;C&amp;F</oddHeader>
    <oddFooter>&amp;C&amp;8&amp;P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1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44294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5" t="s">
        <v>211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28" t="s">
        <v>54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164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165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153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154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132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212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213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132</v>
      </c>
      <c r="Z13" s="130"/>
      <c r="AA13" s="130"/>
      <c r="AB13" s="130"/>
      <c r="AC13" s="130"/>
      <c r="AD13" s="130"/>
      <c r="AE13" s="130"/>
      <c r="AF13" s="130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1</v>
      </c>
      <c r="C14" s="127"/>
      <c r="D14" s="114" t="s">
        <v>214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215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210</v>
      </c>
      <c r="Z14" s="130"/>
      <c r="AA14" s="130"/>
      <c r="AB14" s="130"/>
      <c r="AC14" s="130"/>
      <c r="AD14" s="130"/>
      <c r="AE14" s="130"/>
      <c r="AF14" s="130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2</v>
      </c>
      <c r="C15" s="127"/>
      <c r="D15" s="114" t="s">
        <v>216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217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210</v>
      </c>
      <c r="Z15" s="130"/>
      <c r="AA15" s="130"/>
      <c r="AB15" s="130"/>
      <c r="AC15" s="130"/>
      <c r="AD15" s="130"/>
      <c r="AE15" s="130"/>
      <c r="AF15" s="130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3</v>
      </c>
      <c r="C16" s="127"/>
      <c r="D16" s="114" t="s">
        <v>218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219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207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1</v>
      </c>
      <c r="C17" s="127"/>
      <c r="D17" s="114" t="s">
        <v>220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221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207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</sheetData>
  <mergeCells count="68">
    <mergeCell ref="AW17:BB17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19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29</v>
      </c>
      <c r="AU2" s="85"/>
      <c r="AV2" s="85"/>
      <c r="AW2" s="85"/>
      <c r="AX2" s="85"/>
      <c r="AY2" s="123">
        <v>44328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229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s="46" customFormat="1" ht="12.75" customHeight="1">
      <c r="B6" s="124" t="s">
        <v>119</v>
      </c>
      <c r="C6" s="124"/>
      <c r="D6" s="124"/>
      <c r="E6" s="124"/>
      <c r="F6" s="124"/>
      <c r="G6" s="124"/>
      <c r="H6" s="128" t="s">
        <v>56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</row>
    <row r="8" spans="1:55" ht="12.75" customHeight="1"/>
    <row r="9" spans="1:55" s="46" customFormat="1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/>
      <c r="AH9" s="134"/>
      <c r="AI9" s="134" t="s">
        <v>124</v>
      </c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s="46" customFormat="1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s="46" customFormat="1" ht="12.6" customHeight="1">
      <c r="B11" s="135">
        <v>1</v>
      </c>
      <c r="C11" s="135"/>
      <c r="D11" s="130" t="s">
        <v>814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 t="s">
        <v>165</v>
      </c>
      <c r="P11" s="130"/>
      <c r="Q11" s="130"/>
      <c r="R11" s="130"/>
      <c r="S11" s="130"/>
      <c r="T11" s="130"/>
      <c r="U11" s="130"/>
      <c r="V11" s="130"/>
      <c r="W11" s="130"/>
      <c r="X11" s="130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30"/>
      <c r="AH11" s="130"/>
      <c r="AI11" s="130" t="s">
        <v>129</v>
      </c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6" customHeight="1">
      <c r="B12" s="135">
        <v>2</v>
      </c>
      <c r="C12" s="135"/>
      <c r="D12" s="130" t="s">
        <v>153</v>
      </c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 t="s">
        <v>154</v>
      </c>
      <c r="P12" s="130"/>
      <c r="Q12" s="130"/>
      <c r="R12" s="130"/>
      <c r="S12" s="130"/>
      <c r="T12" s="130"/>
      <c r="U12" s="130"/>
      <c r="V12" s="130"/>
      <c r="W12" s="130"/>
      <c r="X12" s="130"/>
      <c r="Y12" s="130" t="s">
        <v>132</v>
      </c>
      <c r="Z12" s="130"/>
      <c r="AA12" s="130"/>
      <c r="AB12" s="130"/>
      <c r="AC12" s="130"/>
      <c r="AD12" s="130"/>
      <c r="AE12" s="130"/>
      <c r="AF12" s="130"/>
      <c r="AG12" s="130"/>
      <c r="AH12" s="130"/>
      <c r="AI12" s="130" t="s">
        <v>129</v>
      </c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6" customHeight="1">
      <c r="B13" s="135">
        <v>3</v>
      </c>
      <c r="C13" s="135"/>
      <c r="D13" s="130" t="s">
        <v>816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 t="s">
        <v>215</v>
      </c>
      <c r="P13" s="130"/>
      <c r="Q13" s="130"/>
      <c r="R13" s="130"/>
      <c r="S13" s="130"/>
      <c r="T13" s="130"/>
      <c r="U13" s="130"/>
      <c r="V13" s="130"/>
      <c r="W13" s="130"/>
      <c r="X13" s="130"/>
      <c r="Y13" s="130" t="s">
        <v>210</v>
      </c>
      <c r="Z13" s="130"/>
      <c r="AA13" s="130"/>
      <c r="AB13" s="130"/>
      <c r="AC13" s="130"/>
      <c r="AD13" s="130"/>
      <c r="AE13" s="130"/>
      <c r="AF13" s="130"/>
      <c r="AG13" s="130"/>
      <c r="AH13" s="130"/>
      <c r="AI13" s="130" t="s">
        <v>129</v>
      </c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6" customHeight="1">
      <c r="B14" s="135">
        <v>4</v>
      </c>
      <c r="C14" s="135"/>
      <c r="D14" s="130" t="s">
        <v>817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 t="s">
        <v>217</v>
      </c>
      <c r="P14" s="130"/>
      <c r="Q14" s="130"/>
      <c r="R14" s="130"/>
      <c r="S14" s="130"/>
      <c r="T14" s="130"/>
      <c r="U14" s="130"/>
      <c r="V14" s="130"/>
      <c r="W14" s="130"/>
      <c r="X14" s="130"/>
      <c r="Y14" s="130" t="s">
        <v>210</v>
      </c>
      <c r="Z14" s="130"/>
      <c r="AA14" s="130"/>
      <c r="AB14" s="130"/>
      <c r="AC14" s="130"/>
      <c r="AD14" s="130"/>
      <c r="AE14" s="130"/>
      <c r="AF14" s="130"/>
      <c r="AG14" s="130"/>
      <c r="AH14" s="130"/>
      <c r="AI14" s="130" t="s">
        <v>129</v>
      </c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6" customHeight="1">
      <c r="B15" s="135">
        <v>5</v>
      </c>
      <c r="C15" s="135"/>
      <c r="D15" s="130" t="s">
        <v>230</v>
      </c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 t="s">
        <v>231</v>
      </c>
      <c r="P15" s="130"/>
      <c r="Q15" s="130"/>
      <c r="R15" s="130"/>
      <c r="S15" s="130"/>
      <c r="T15" s="130"/>
      <c r="U15" s="130"/>
      <c r="V15" s="130"/>
      <c r="W15" s="130"/>
      <c r="X15" s="130"/>
      <c r="Y15" s="139" t="s">
        <v>232</v>
      </c>
      <c r="Z15" s="139"/>
      <c r="AA15" s="139"/>
      <c r="AB15" s="139"/>
      <c r="AC15" s="139"/>
      <c r="AD15" s="139"/>
      <c r="AE15" s="139"/>
      <c r="AF15" s="139"/>
      <c r="AG15" s="139"/>
      <c r="AH15" s="139"/>
      <c r="AI15" s="130" t="s">
        <v>129</v>
      </c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47"/>
      <c r="C16" s="47"/>
    </row>
    <row r="17" ht="12.75" customHeight="1"/>
    <row r="18" ht="12.75" customHeight="1"/>
    <row r="19" ht="12.75" customHeight="1"/>
  </sheetData>
  <mergeCells count="56">
    <mergeCell ref="AW15:BB15"/>
    <mergeCell ref="B15:C15"/>
    <mergeCell ref="D15:N15"/>
    <mergeCell ref="O15:X15"/>
    <mergeCell ref="Y15:AH15"/>
    <mergeCell ref="AI15:AV15"/>
    <mergeCell ref="AW13:BB13"/>
    <mergeCell ref="B14:C14"/>
    <mergeCell ref="D14:N14"/>
    <mergeCell ref="O14:X14"/>
    <mergeCell ref="Y14:AH14"/>
    <mergeCell ref="AI14:AV14"/>
    <mergeCell ref="AW14:BB14"/>
    <mergeCell ref="B13:C13"/>
    <mergeCell ref="D13:N13"/>
    <mergeCell ref="O13:X13"/>
    <mergeCell ref="Y13:AH13"/>
    <mergeCell ref="AI13:AV13"/>
    <mergeCell ref="AW11:BB11"/>
    <mergeCell ref="B12:C12"/>
    <mergeCell ref="D12:N12"/>
    <mergeCell ref="O12:X12"/>
    <mergeCell ref="Y12:AH12"/>
    <mergeCell ref="AI12:AV12"/>
    <mergeCell ref="AW12:BB12"/>
    <mergeCell ref="B11:C11"/>
    <mergeCell ref="D11:N11"/>
    <mergeCell ref="O11:X11"/>
    <mergeCell ref="Y11:AH11"/>
    <mergeCell ref="AI11:AV11"/>
    <mergeCell ref="B9:C10"/>
    <mergeCell ref="D9:X9"/>
    <mergeCell ref="Y9:AH10"/>
    <mergeCell ref="AI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1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13</v>
      </c>
      <c r="AU2" s="85"/>
      <c r="AV2" s="85"/>
      <c r="AW2" s="85"/>
      <c r="AX2" s="85"/>
      <c r="AY2" s="123">
        <v>45219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ht="12.75" customHeight="1">
      <c r="B5" s="124" t="s">
        <v>119</v>
      </c>
      <c r="C5" s="124"/>
      <c r="D5" s="124"/>
      <c r="E5" s="124"/>
      <c r="F5" s="124"/>
      <c r="G5" s="124"/>
      <c r="H5" s="128" t="s">
        <v>39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8" t="s">
        <v>55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/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/>
      <c r="AH9" s="134"/>
      <c r="AI9" s="134" t="s">
        <v>124</v>
      </c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6" customHeight="1">
      <c r="B11" s="135">
        <v>1</v>
      </c>
      <c r="C11" s="135"/>
      <c r="D11" s="136" t="s">
        <v>811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 t="s">
        <v>812</v>
      </c>
      <c r="P11" s="136"/>
      <c r="Q11" s="136"/>
      <c r="R11" s="136"/>
      <c r="S11" s="136"/>
      <c r="T11" s="136"/>
      <c r="U11" s="136"/>
      <c r="V11" s="136"/>
      <c r="W11" s="136"/>
      <c r="X11" s="136"/>
      <c r="Y11" s="136" t="s">
        <v>813</v>
      </c>
      <c r="Z11" s="136"/>
      <c r="AA11" s="136"/>
      <c r="AB11" s="136"/>
      <c r="AC11" s="136"/>
      <c r="AD11" s="136"/>
      <c r="AE11" s="136"/>
      <c r="AF11" s="136"/>
      <c r="AG11" s="136"/>
      <c r="AH11" s="136"/>
      <c r="AI11" s="130" t="s">
        <v>129</v>
      </c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842</v>
      </c>
      <c r="AX11" s="130"/>
      <c r="AY11" s="130"/>
      <c r="AZ11" s="130"/>
      <c r="BA11" s="130"/>
      <c r="BB11" s="130"/>
    </row>
    <row r="12" spans="1:55" ht="12.6" customHeight="1">
      <c r="B12" s="135">
        <v>2</v>
      </c>
      <c r="C12" s="135"/>
      <c r="D12" s="136" t="s">
        <v>222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 t="s">
        <v>223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 t="s">
        <v>132</v>
      </c>
      <c r="Z12" s="136"/>
      <c r="AA12" s="136"/>
      <c r="AB12" s="136"/>
      <c r="AC12" s="136"/>
      <c r="AD12" s="136"/>
      <c r="AE12" s="136"/>
      <c r="AF12" s="136"/>
      <c r="AG12" s="136"/>
      <c r="AH12" s="136"/>
      <c r="AI12" s="130" t="s">
        <v>129</v>
      </c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6" customHeight="1">
      <c r="B13" s="135">
        <v>3</v>
      </c>
      <c r="C13" s="135"/>
      <c r="D13" s="136" t="s">
        <v>224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 t="s">
        <v>225</v>
      </c>
      <c r="P13" s="136"/>
      <c r="Q13" s="136"/>
      <c r="R13" s="136"/>
      <c r="S13" s="136"/>
      <c r="T13" s="136"/>
      <c r="U13" s="136"/>
      <c r="V13" s="136"/>
      <c r="W13" s="136"/>
      <c r="X13" s="136"/>
      <c r="Y13" s="136" t="s">
        <v>132</v>
      </c>
      <c r="Z13" s="136"/>
      <c r="AA13" s="136"/>
      <c r="AB13" s="136"/>
      <c r="AC13" s="136"/>
      <c r="AD13" s="136"/>
      <c r="AE13" s="136"/>
      <c r="AF13" s="136"/>
      <c r="AG13" s="136"/>
      <c r="AH13" s="136"/>
      <c r="AI13" s="130" t="s">
        <v>129</v>
      </c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843</v>
      </c>
      <c r="AX13" s="130"/>
      <c r="AY13" s="130"/>
      <c r="AZ13" s="130"/>
      <c r="BA13" s="130"/>
      <c r="BB13" s="130"/>
    </row>
    <row r="14" spans="1:55" ht="12.6" customHeight="1">
      <c r="B14" s="135">
        <v>4</v>
      </c>
      <c r="C14" s="135"/>
      <c r="D14" s="136" t="s">
        <v>226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 t="s">
        <v>227</v>
      </c>
      <c r="P14" s="136"/>
      <c r="Q14" s="136"/>
      <c r="R14" s="136"/>
      <c r="S14" s="136"/>
      <c r="T14" s="136"/>
      <c r="U14" s="136"/>
      <c r="V14" s="136"/>
      <c r="W14" s="136"/>
      <c r="X14" s="136"/>
      <c r="Y14" s="140" t="s">
        <v>228</v>
      </c>
      <c r="Z14" s="140"/>
      <c r="AA14" s="140"/>
      <c r="AB14" s="140"/>
      <c r="AC14" s="140"/>
      <c r="AD14" s="140"/>
      <c r="AE14" s="140"/>
      <c r="AF14" s="140"/>
      <c r="AG14" s="140"/>
      <c r="AH14" s="140"/>
      <c r="AI14" s="130" t="s">
        <v>129</v>
      </c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6" customHeight="1">
      <c r="B15" s="135">
        <v>5</v>
      </c>
      <c r="C15" s="135"/>
      <c r="D15" s="136" t="s">
        <v>818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 t="s">
        <v>819</v>
      </c>
      <c r="P15" s="136"/>
      <c r="Q15" s="136"/>
      <c r="R15" s="136"/>
      <c r="S15" s="136"/>
      <c r="T15" s="136"/>
      <c r="U15" s="136"/>
      <c r="V15" s="136"/>
      <c r="W15" s="136"/>
      <c r="X15" s="136"/>
      <c r="Y15" s="140" t="s">
        <v>813</v>
      </c>
      <c r="Z15" s="140"/>
      <c r="AA15" s="140"/>
      <c r="AB15" s="140"/>
      <c r="AC15" s="140"/>
      <c r="AD15" s="140"/>
      <c r="AE15" s="140"/>
      <c r="AF15" s="140"/>
      <c r="AG15" s="140"/>
      <c r="AH15" s="140"/>
      <c r="AI15" s="130" t="s">
        <v>129</v>
      </c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842</v>
      </c>
      <c r="AX15" s="130"/>
      <c r="AY15" s="130"/>
      <c r="AZ15" s="130"/>
      <c r="BA15" s="130"/>
      <c r="BB15" s="130"/>
    </row>
    <row r="16" spans="1:55" ht="12.75" customHeight="1"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</row>
  </sheetData>
  <mergeCells count="56">
    <mergeCell ref="AW15:BB15"/>
    <mergeCell ref="B15:C15"/>
    <mergeCell ref="D15:N15"/>
    <mergeCell ref="O15:X15"/>
    <mergeCell ref="Y15:AH15"/>
    <mergeCell ref="AI15:AV15"/>
    <mergeCell ref="Y13:AH13"/>
    <mergeCell ref="AI13:AV13"/>
    <mergeCell ref="AW13:BB13"/>
    <mergeCell ref="B12:C12"/>
    <mergeCell ref="D12:N12"/>
    <mergeCell ref="O12:X12"/>
    <mergeCell ref="Y12:AH12"/>
    <mergeCell ref="AI12:AV12"/>
    <mergeCell ref="B9:C10"/>
    <mergeCell ref="D9:X9"/>
    <mergeCell ref="Y9:AH10"/>
    <mergeCell ref="AI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W11:BB11"/>
    <mergeCell ref="B14:C14"/>
    <mergeCell ref="D14:N14"/>
    <mergeCell ref="O14:X14"/>
    <mergeCell ref="Y14:AH14"/>
    <mergeCell ref="AI14:AV14"/>
    <mergeCell ref="AW14:BB14"/>
    <mergeCell ref="B11:C11"/>
    <mergeCell ref="D11:N11"/>
    <mergeCell ref="O11:X11"/>
    <mergeCell ref="Y11:AH11"/>
    <mergeCell ref="AI11:AV11"/>
    <mergeCell ref="AW12:BB12"/>
    <mergeCell ref="B13:C13"/>
    <mergeCell ref="D13:N13"/>
    <mergeCell ref="O13:X13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2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826</v>
      </c>
      <c r="AU2" s="85"/>
      <c r="AV2" s="85"/>
      <c r="AW2" s="85"/>
      <c r="AX2" s="85"/>
      <c r="AY2" s="123">
        <v>45250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ht="12.75" customHeight="1">
      <c r="B5" s="124" t="s">
        <v>119</v>
      </c>
      <c r="C5" s="124"/>
      <c r="D5" s="124"/>
      <c r="E5" s="124"/>
      <c r="F5" s="124"/>
      <c r="G5" s="124"/>
      <c r="H5" s="128" t="s">
        <v>30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8" t="s">
        <v>57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/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28" t="s">
        <v>233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 t="s">
        <v>234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 t="s">
        <v>813</v>
      </c>
      <c r="Z11" s="128"/>
      <c r="AA11" s="128"/>
      <c r="AB11" s="128"/>
      <c r="AC11" s="128"/>
      <c r="AD11" s="128"/>
      <c r="AE11" s="128"/>
      <c r="AF11" s="128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28" t="s">
        <v>133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 t="s">
        <v>134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 t="s">
        <v>132</v>
      </c>
      <c r="Z12" s="128"/>
      <c r="AA12" s="128"/>
      <c r="AB12" s="128"/>
      <c r="AC12" s="128"/>
      <c r="AD12" s="128"/>
      <c r="AE12" s="128"/>
      <c r="AF12" s="128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28" t="s">
        <v>15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 t="s">
        <v>235</v>
      </c>
      <c r="P13" s="128"/>
      <c r="Q13" s="128"/>
      <c r="R13" s="128"/>
      <c r="S13" s="128"/>
      <c r="T13" s="128"/>
      <c r="U13" s="128"/>
      <c r="V13" s="128"/>
      <c r="W13" s="128"/>
      <c r="X13" s="128"/>
      <c r="Y13" s="128" t="s">
        <v>210</v>
      </c>
      <c r="Z13" s="128"/>
      <c r="AA13" s="128"/>
      <c r="AB13" s="128"/>
      <c r="AC13" s="128"/>
      <c r="AD13" s="128"/>
      <c r="AE13" s="128"/>
      <c r="AF13" s="128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s="61" customFormat="1" ht="12.75" customHeight="1">
      <c r="B14" s="142">
        <v>4</v>
      </c>
      <c r="C14" s="142"/>
      <c r="D14" s="143" t="s">
        <v>126</v>
      </c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 t="s">
        <v>236</v>
      </c>
      <c r="P14" s="143"/>
      <c r="Q14" s="143"/>
      <c r="R14" s="143"/>
      <c r="S14" s="143"/>
      <c r="T14" s="143"/>
      <c r="U14" s="143"/>
      <c r="V14" s="143"/>
      <c r="W14" s="143"/>
      <c r="X14" s="143"/>
      <c r="Y14" s="143" t="s">
        <v>825</v>
      </c>
      <c r="Z14" s="143"/>
      <c r="AA14" s="143"/>
      <c r="AB14" s="143"/>
      <c r="AC14" s="143"/>
      <c r="AD14" s="143"/>
      <c r="AE14" s="143"/>
      <c r="AF14" s="143"/>
      <c r="AG14" s="141" t="s">
        <v>129</v>
      </c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 t="s">
        <v>820</v>
      </c>
      <c r="AX14" s="141"/>
      <c r="AY14" s="141"/>
      <c r="AZ14" s="141"/>
      <c r="BA14" s="141"/>
      <c r="BB14" s="141"/>
    </row>
    <row r="15" spans="1:55" s="61" customFormat="1" ht="12.75" customHeight="1">
      <c r="B15" s="142">
        <v>5</v>
      </c>
      <c r="C15" s="142"/>
      <c r="D15" s="143" t="s">
        <v>237</v>
      </c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 t="s">
        <v>238</v>
      </c>
      <c r="P15" s="143"/>
      <c r="Q15" s="143"/>
      <c r="R15" s="143"/>
      <c r="S15" s="143"/>
      <c r="T15" s="143"/>
      <c r="U15" s="143"/>
      <c r="V15" s="143"/>
      <c r="W15" s="143"/>
      <c r="X15" s="143"/>
      <c r="Y15" s="143" t="s">
        <v>825</v>
      </c>
      <c r="Z15" s="143"/>
      <c r="AA15" s="143"/>
      <c r="AB15" s="143"/>
      <c r="AC15" s="143"/>
      <c r="AD15" s="143"/>
      <c r="AE15" s="143"/>
      <c r="AF15" s="143"/>
      <c r="AG15" s="141" t="s">
        <v>129</v>
      </c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 t="s">
        <v>821</v>
      </c>
      <c r="AX15" s="141"/>
      <c r="AY15" s="141"/>
      <c r="AZ15" s="141"/>
      <c r="BA15" s="141"/>
      <c r="BB15" s="141"/>
    </row>
    <row r="16" spans="1:55" s="61" customFormat="1" ht="12.75" customHeight="1">
      <c r="B16" s="142">
        <v>6</v>
      </c>
      <c r="C16" s="142"/>
      <c r="D16" s="143" t="s">
        <v>239</v>
      </c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 t="s">
        <v>240</v>
      </c>
      <c r="P16" s="143"/>
      <c r="Q16" s="143"/>
      <c r="R16" s="143"/>
      <c r="S16" s="143"/>
      <c r="T16" s="143"/>
      <c r="U16" s="143"/>
      <c r="V16" s="143"/>
      <c r="W16" s="143"/>
      <c r="X16" s="143"/>
      <c r="Y16" s="143" t="s">
        <v>825</v>
      </c>
      <c r="Z16" s="143"/>
      <c r="AA16" s="143"/>
      <c r="AB16" s="143"/>
      <c r="AC16" s="143"/>
      <c r="AD16" s="143"/>
      <c r="AE16" s="143"/>
      <c r="AF16" s="143"/>
      <c r="AG16" s="141" t="s">
        <v>129</v>
      </c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 t="s">
        <v>822</v>
      </c>
      <c r="AX16" s="141"/>
      <c r="AY16" s="141"/>
      <c r="AZ16" s="141"/>
      <c r="BA16" s="141"/>
      <c r="BB16" s="141"/>
    </row>
    <row r="17" spans="2:54" s="61" customFormat="1" ht="12.75" customHeight="1">
      <c r="B17" s="142">
        <v>7</v>
      </c>
      <c r="C17" s="142"/>
      <c r="D17" s="143" t="s">
        <v>823</v>
      </c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 t="s">
        <v>824</v>
      </c>
      <c r="P17" s="143"/>
      <c r="Q17" s="143"/>
      <c r="R17" s="143"/>
      <c r="S17" s="143"/>
      <c r="T17" s="143"/>
      <c r="U17" s="143"/>
      <c r="V17" s="143"/>
      <c r="W17" s="143"/>
      <c r="X17" s="143"/>
      <c r="Y17" s="143" t="s">
        <v>813</v>
      </c>
      <c r="Z17" s="143"/>
      <c r="AA17" s="143"/>
      <c r="AB17" s="143"/>
      <c r="AC17" s="143"/>
      <c r="AD17" s="143"/>
      <c r="AE17" s="143"/>
      <c r="AF17" s="143"/>
      <c r="AG17" s="141" t="s">
        <v>129</v>
      </c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 t="s">
        <v>842</v>
      </c>
      <c r="AX17" s="141"/>
      <c r="AY17" s="141"/>
      <c r="AZ17" s="141"/>
      <c r="BA17" s="141"/>
      <c r="BB17" s="141"/>
    </row>
    <row r="18" spans="2:54" s="48" customFormat="1" ht="12.75" customHeight="1"/>
    <row r="19" spans="2:54" ht="12.75" customHeight="1"/>
    <row r="20" spans="2:54" ht="12.75" customHeight="1"/>
    <row r="21" spans="2:54" ht="12.75" customHeight="1"/>
  </sheetData>
  <mergeCells count="68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W17:BB17"/>
    <mergeCell ref="B17:C17"/>
    <mergeCell ref="D17:N17"/>
    <mergeCell ref="O17:X17"/>
    <mergeCell ref="Y17:AF17"/>
    <mergeCell ref="AG17:AV17"/>
  </mergeCells>
  <phoneticPr fontId="79"/>
  <pageMargins left="0.78749999999999998" right="0.78749999999999998" top="1.05277777777778" bottom="1.05277777777778" header="0.78749999999999998" footer="0.78749999999999998"/>
  <pageSetup paperSize="9" scale="53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7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44351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5" t="s">
        <v>241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5" t="s">
        <v>58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</row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28" t="s">
        <v>242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 t="s">
        <v>243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 t="s">
        <v>128</v>
      </c>
      <c r="Z11" s="128"/>
      <c r="AA11" s="128"/>
      <c r="AB11" s="128"/>
      <c r="AC11" s="128"/>
      <c r="AD11" s="128"/>
      <c r="AE11" s="128"/>
      <c r="AF11" s="128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28" t="s">
        <v>164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 t="s">
        <v>165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 t="s">
        <v>137</v>
      </c>
      <c r="Z12" s="128"/>
      <c r="AA12" s="128"/>
      <c r="AB12" s="128"/>
      <c r="AC12" s="128"/>
      <c r="AD12" s="128"/>
      <c r="AE12" s="128"/>
      <c r="AF12" s="128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28" t="s">
        <v>153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 t="s">
        <v>154</v>
      </c>
      <c r="P13" s="128"/>
      <c r="Q13" s="128"/>
      <c r="R13" s="128"/>
      <c r="S13" s="128"/>
      <c r="T13" s="128"/>
      <c r="U13" s="128"/>
      <c r="V13" s="128"/>
      <c r="W13" s="128"/>
      <c r="X13" s="128"/>
      <c r="Y13" s="128" t="s">
        <v>132</v>
      </c>
      <c r="Z13" s="128"/>
      <c r="AA13" s="128"/>
      <c r="AB13" s="128"/>
      <c r="AC13" s="128"/>
      <c r="AD13" s="128"/>
      <c r="AE13" s="128"/>
      <c r="AF13" s="128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35">
        <v>4</v>
      </c>
      <c r="C14" s="135"/>
      <c r="D14" s="128" t="s">
        <v>244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 t="s">
        <v>213</v>
      </c>
      <c r="P14" s="128"/>
      <c r="Q14" s="128"/>
      <c r="R14" s="128"/>
      <c r="S14" s="128"/>
      <c r="T14" s="128"/>
      <c r="U14" s="128"/>
      <c r="V14" s="128"/>
      <c r="W14" s="128"/>
      <c r="X14" s="128"/>
      <c r="Y14" s="128" t="s">
        <v>132</v>
      </c>
      <c r="Z14" s="128"/>
      <c r="AA14" s="128"/>
      <c r="AB14" s="128"/>
      <c r="AC14" s="128"/>
      <c r="AD14" s="128"/>
      <c r="AE14" s="128"/>
      <c r="AF14" s="128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35">
        <v>5</v>
      </c>
      <c r="C15" s="135"/>
      <c r="D15" s="128" t="s">
        <v>214</v>
      </c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 t="s">
        <v>215</v>
      </c>
      <c r="P15" s="128"/>
      <c r="Q15" s="128"/>
      <c r="R15" s="128"/>
      <c r="S15" s="128"/>
      <c r="T15" s="128"/>
      <c r="U15" s="128"/>
      <c r="V15" s="128"/>
      <c r="W15" s="128"/>
      <c r="X15" s="128"/>
      <c r="Y15" s="128" t="s">
        <v>210</v>
      </c>
      <c r="Z15" s="128"/>
      <c r="AA15" s="128"/>
      <c r="AB15" s="128"/>
      <c r="AC15" s="128"/>
      <c r="AD15" s="128"/>
      <c r="AE15" s="128"/>
      <c r="AF15" s="128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35">
        <v>6</v>
      </c>
      <c r="C16" s="135"/>
      <c r="D16" s="128" t="s">
        <v>216</v>
      </c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 t="s">
        <v>217</v>
      </c>
      <c r="P16" s="128"/>
      <c r="Q16" s="128"/>
      <c r="R16" s="128"/>
      <c r="S16" s="128"/>
      <c r="T16" s="128"/>
      <c r="U16" s="128"/>
      <c r="V16" s="128"/>
      <c r="W16" s="128"/>
      <c r="X16" s="128"/>
      <c r="Y16" s="128" t="s">
        <v>210</v>
      </c>
      <c r="Z16" s="128"/>
      <c r="AA16" s="128"/>
      <c r="AB16" s="128"/>
      <c r="AC16" s="128"/>
      <c r="AD16" s="128"/>
      <c r="AE16" s="128"/>
      <c r="AF16" s="128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35">
        <v>7</v>
      </c>
      <c r="C17" s="135"/>
      <c r="D17" s="128" t="s">
        <v>245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 t="s">
        <v>219</v>
      </c>
      <c r="P17" s="128"/>
      <c r="Q17" s="128"/>
      <c r="R17" s="128"/>
      <c r="S17" s="128"/>
      <c r="T17" s="128"/>
      <c r="U17" s="128"/>
      <c r="V17" s="128"/>
      <c r="W17" s="128"/>
      <c r="X17" s="128"/>
      <c r="Y17" s="128" t="s">
        <v>207</v>
      </c>
      <c r="Z17" s="128"/>
      <c r="AA17" s="128"/>
      <c r="AB17" s="128"/>
      <c r="AC17" s="128"/>
      <c r="AD17" s="128"/>
      <c r="AE17" s="128"/>
      <c r="AF17" s="128"/>
      <c r="AG17" s="130" t="s">
        <v>129</v>
      </c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35">
        <v>8</v>
      </c>
      <c r="C18" s="135"/>
      <c r="D18" s="128" t="s">
        <v>246</v>
      </c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 t="s">
        <v>247</v>
      </c>
      <c r="P18" s="128"/>
      <c r="Q18" s="128"/>
      <c r="R18" s="128"/>
      <c r="S18" s="128"/>
      <c r="T18" s="128"/>
      <c r="U18" s="128"/>
      <c r="V18" s="128"/>
      <c r="W18" s="128"/>
      <c r="X18" s="128"/>
      <c r="Y18" s="128" t="s">
        <v>132</v>
      </c>
      <c r="Z18" s="128"/>
      <c r="AA18" s="128"/>
      <c r="AB18" s="128"/>
      <c r="AC18" s="128"/>
      <c r="AD18" s="128"/>
      <c r="AE18" s="128"/>
      <c r="AF18" s="128"/>
      <c r="AG18" s="130" t="s">
        <v>129</v>
      </c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35">
        <v>9</v>
      </c>
      <c r="C19" s="135"/>
      <c r="D19" s="128" t="s">
        <v>248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 t="s">
        <v>249</v>
      </c>
      <c r="P19" s="128"/>
      <c r="Q19" s="128"/>
      <c r="R19" s="128"/>
      <c r="S19" s="128"/>
      <c r="T19" s="128"/>
      <c r="U19" s="128"/>
      <c r="V19" s="128"/>
      <c r="W19" s="128"/>
      <c r="X19" s="128"/>
      <c r="Y19" s="128" t="s">
        <v>250</v>
      </c>
      <c r="Z19" s="128"/>
      <c r="AA19" s="128"/>
      <c r="AB19" s="128"/>
      <c r="AC19" s="128"/>
      <c r="AD19" s="128"/>
      <c r="AE19" s="128"/>
      <c r="AF19" s="128"/>
      <c r="AG19" s="130" t="s">
        <v>129</v>
      </c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 t="s">
        <v>129</v>
      </c>
      <c r="AX19" s="130"/>
      <c r="AY19" s="130"/>
      <c r="AZ19" s="130"/>
      <c r="BA19" s="130"/>
      <c r="BB19" s="130"/>
    </row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</sheetData>
  <mergeCells count="80">
    <mergeCell ref="AW19:BB19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J77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5" t="s">
        <v>251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5" t="s">
        <v>59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</row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44">
        <v>1</v>
      </c>
      <c r="C11" s="144"/>
      <c r="D11" s="145" t="s">
        <v>252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253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4">
        <v>2</v>
      </c>
      <c r="C12" s="144"/>
      <c r="D12" s="145" t="s">
        <v>164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165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4">
        <v>3</v>
      </c>
      <c r="C13" s="144"/>
      <c r="D13" s="145" t="s">
        <v>153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154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4">
        <v>4</v>
      </c>
      <c r="C14" s="144"/>
      <c r="D14" s="145" t="s">
        <v>254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 t="s">
        <v>255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132</v>
      </c>
      <c r="Z14" s="145"/>
      <c r="AA14" s="145"/>
      <c r="AB14" s="145"/>
      <c r="AC14" s="145"/>
      <c r="AD14" s="145"/>
      <c r="AE14" s="145"/>
      <c r="AF14" s="145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4">
        <v>5</v>
      </c>
      <c r="C15" s="144"/>
      <c r="D15" s="145" t="s">
        <v>256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 t="s">
        <v>257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 t="s">
        <v>132</v>
      </c>
      <c r="Z15" s="145"/>
      <c r="AA15" s="145"/>
      <c r="AB15" s="145"/>
      <c r="AC15" s="145"/>
      <c r="AD15" s="145"/>
      <c r="AE15" s="145"/>
      <c r="AF15" s="145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s="49" customFormat="1" ht="21" customHeight="1">
      <c r="B16" s="144">
        <v>6</v>
      </c>
      <c r="C16" s="144"/>
      <c r="D16" s="146" t="s">
        <v>258</v>
      </c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 t="s">
        <v>259</v>
      </c>
      <c r="P16" s="146"/>
      <c r="Q16" s="146"/>
      <c r="R16" s="146"/>
      <c r="S16" s="146"/>
      <c r="T16" s="146"/>
      <c r="U16" s="146"/>
      <c r="V16" s="146"/>
      <c r="W16" s="146"/>
      <c r="X16" s="146"/>
      <c r="Y16" s="147" t="s">
        <v>260</v>
      </c>
      <c r="Z16" s="147"/>
      <c r="AA16" s="147"/>
      <c r="AB16" s="147"/>
      <c r="AC16" s="147"/>
      <c r="AD16" s="147"/>
      <c r="AE16" s="147"/>
      <c r="AF16" s="147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spans="2:28" ht="12.75" customHeight="1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2:28" ht="12.75" customHeight="1"/>
    <row r="19" spans="2:28" ht="12.75" customHeight="1"/>
    <row r="20" spans="2:28" ht="12.75" customHeight="1"/>
    <row r="21" spans="2:28" ht="12.75" customHeight="1"/>
    <row r="22" spans="2:28" ht="12.75" customHeight="1"/>
    <row r="23" spans="2:28" ht="12.75" customHeight="1"/>
    <row r="24" spans="2:28" ht="12.75" customHeight="1"/>
    <row r="25" spans="2:28" ht="12.75" customHeight="1"/>
    <row r="26" spans="2:28" ht="12.75" customHeight="1"/>
    <row r="27" spans="2:28" ht="12.75" customHeight="1"/>
    <row r="28" spans="2:28" ht="12.75" customHeight="1"/>
    <row r="29" spans="2:28" ht="12.75" customHeight="1"/>
    <row r="30" spans="2:28" ht="12.75" customHeight="1"/>
    <row r="31" spans="2:28" ht="12.75" customHeight="1"/>
    <row r="32" spans="2:2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7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13</v>
      </c>
      <c r="AU2" s="85"/>
      <c r="AV2" s="85"/>
      <c r="AW2" s="85"/>
      <c r="AX2" s="85"/>
      <c r="AY2" s="123">
        <v>45244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5" t="s">
        <v>44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5" t="s">
        <v>60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</row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44">
        <v>1</v>
      </c>
      <c r="C11" s="144"/>
      <c r="D11" s="145" t="s">
        <v>164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165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4">
        <v>2</v>
      </c>
      <c r="C12" s="144"/>
      <c r="D12" s="145" t="s">
        <v>153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154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132</v>
      </c>
      <c r="Z12" s="145"/>
      <c r="AA12" s="145"/>
      <c r="AB12" s="145"/>
      <c r="AC12" s="145"/>
      <c r="AD12" s="145"/>
      <c r="AE12" s="145"/>
      <c r="AF12" s="145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4">
        <v>3</v>
      </c>
      <c r="C13" s="144"/>
      <c r="D13" s="114" t="s">
        <v>212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213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132</v>
      </c>
      <c r="Z13" s="130"/>
      <c r="AA13" s="130"/>
      <c r="AB13" s="130"/>
      <c r="AC13" s="130"/>
      <c r="AD13" s="130"/>
      <c r="AE13" s="130"/>
      <c r="AF13" s="130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4">
        <v>4</v>
      </c>
      <c r="C14" s="144"/>
      <c r="D14" s="114" t="s">
        <v>214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215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210</v>
      </c>
      <c r="Z14" s="130"/>
      <c r="AA14" s="130"/>
      <c r="AB14" s="130"/>
      <c r="AC14" s="130"/>
      <c r="AD14" s="130"/>
      <c r="AE14" s="130"/>
      <c r="AF14" s="130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s="49" customFormat="1" ht="12.75" customHeight="1">
      <c r="B15" s="144">
        <v>5</v>
      </c>
      <c r="C15" s="144"/>
      <c r="D15" s="114" t="s">
        <v>216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217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210</v>
      </c>
      <c r="Z15" s="130"/>
      <c r="AA15" s="130"/>
      <c r="AB15" s="130"/>
      <c r="AC15" s="130"/>
      <c r="AD15" s="130"/>
      <c r="AE15" s="130"/>
      <c r="AF15" s="130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s="44" customFormat="1" ht="12.75" customHeight="1">
      <c r="B16" s="144">
        <v>6</v>
      </c>
      <c r="C16" s="144"/>
      <c r="D16" s="114" t="s">
        <v>261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262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137</v>
      </c>
      <c r="Z16" s="130"/>
      <c r="AA16" s="130"/>
      <c r="AB16" s="130"/>
      <c r="AC16" s="130"/>
      <c r="AD16" s="130"/>
      <c r="AE16" s="130"/>
      <c r="AF16" s="130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spans="2:54" s="44" customFormat="1" ht="12.75" customHeight="1">
      <c r="B17" s="144">
        <v>7</v>
      </c>
      <c r="C17" s="144"/>
      <c r="D17" s="114" t="s">
        <v>263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264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132</v>
      </c>
      <c r="Z17" s="130"/>
      <c r="AA17" s="130"/>
      <c r="AB17" s="130"/>
      <c r="AC17" s="130"/>
      <c r="AD17" s="130"/>
      <c r="AE17" s="130"/>
      <c r="AF17" s="130"/>
      <c r="AG17" s="130" t="s">
        <v>129</v>
      </c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 t="s">
        <v>129</v>
      </c>
      <c r="AX17" s="130"/>
      <c r="AY17" s="130"/>
      <c r="AZ17" s="130"/>
      <c r="BA17" s="130"/>
      <c r="BB17" s="130"/>
    </row>
    <row r="18" spans="2:54" s="44" customFormat="1" ht="12.75" customHeight="1">
      <c r="B18" s="144">
        <v>8</v>
      </c>
      <c r="C18" s="144"/>
      <c r="D18" s="114" t="s">
        <v>265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266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30" t="s">
        <v>137</v>
      </c>
      <c r="Z18" s="130"/>
      <c r="AA18" s="130"/>
      <c r="AB18" s="130"/>
      <c r="AC18" s="130"/>
      <c r="AD18" s="130"/>
      <c r="AE18" s="130"/>
      <c r="AF18" s="130"/>
      <c r="AG18" s="130" t="s">
        <v>129</v>
      </c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 t="s">
        <v>129</v>
      </c>
      <c r="AX18" s="130"/>
      <c r="AY18" s="130"/>
      <c r="AZ18" s="130"/>
      <c r="BA18" s="130"/>
      <c r="BB18" s="130"/>
    </row>
    <row r="19" spans="2:54" s="44" customFormat="1" ht="12.75" customHeight="1">
      <c r="B19" s="144">
        <v>9</v>
      </c>
      <c r="C19" s="144"/>
      <c r="D19" s="114" t="s">
        <v>267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268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30" t="s">
        <v>132</v>
      </c>
      <c r="Z19" s="130"/>
      <c r="AA19" s="130"/>
      <c r="AB19" s="130"/>
      <c r="AC19" s="130"/>
      <c r="AD19" s="130"/>
      <c r="AE19" s="130"/>
      <c r="AF19" s="130"/>
      <c r="AG19" s="130" t="s">
        <v>129</v>
      </c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 t="s">
        <v>129</v>
      </c>
      <c r="AX19" s="130"/>
      <c r="AY19" s="130"/>
      <c r="AZ19" s="130"/>
      <c r="BA19" s="130"/>
      <c r="BB19" s="130"/>
    </row>
    <row r="20" spans="2:54" s="44" customFormat="1" ht="12.75" customHeight="1">
      <c r="B20" s="144">
        <v>10</v>
      </c>
      <c r="C20" s="144"/>
      <c r="D20" s="114" t="s">
        <v>269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270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30" t="s">
        <v>137</v>
      </c>
      <c r="Z20" s="130"/>
      <c r="AA20" s="130"/>
      <c r="AB20" s="130"/>
      <c r="AC20" s="130"/>
      <c r="AD20" s="130"/>
      <c r="AE20" s="130"/>
      <c r="AF20" s="130"/>
      <c r="AG20" s="130" t="s">
        <v>129</v>
      </c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 t="s">
        <v>129</v>
      </c>
      <c r="AX20" s="130"/>
      <c r="AY20" s="130"/>
      <c r="AZ20" s="130"/>
      <c r="BA20" s="130"/>
      <c r="BB20" s="130"/>
    </row>
    <row r="21" spans="2:54" s="44" customFormat="1" ht="12.75" customHeight="1">
      <c r="B21" s="144">
        <v>11</v>
      </c>
      <c r="C21" s="144"/>
      <c r="D21" s="114" t="s">
        <v>271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 t="s">
        <v>272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30" t="s">
        <v>132</v>
      </c>
      <c r="Z21" s="130"/>
      <c r="AA21" s="130"/>
      <c r="AB21" s="130"/>
      <c r="AC21" s="130"/>
      <c r="AD21" s="130"/>
      <c r="AE21" s="130"/>
      <c r="AF21" s="130"/>
      <c r="AG21" s="130" t="s">
        <v>129</v>
      </c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 t="s">
        <v>129</v>
      </c>
      <c r="AX21" s="130"/>
      <c r="AY21" s="130"/>
      <c r="AZ21" s="130"/>
      <c r="BA21" s="130"/>
      <c r="BB21" s="130"/>
    </row>
    <row r="22" spans="2:54" s="44" customFormat="1" ht="12.75" customHeight="1"/>
    <row r="23" spans="2:54" s="44" customFormat="1" ht="12.75" customHeight="1"/>
    <row r="24" spans="2:54" s="44" customFormat="1" ht="12.75" customHeight="1"/>
    <row r="25" spans="2:54" s="44" customFormat="1" ht="12.75" customHeight="1"/>
    <row r="26" spans="2:54" s="44" customFormat="1" ht="12.75" customHeight="1"/>
    <row r="27" spans="2:54" s="44" customFormat="1" ht="12.75" customHeight="1"/>
    <row r="28" spans="2:54" s="44" customFormat="1" ht="12.75" customHeight="1"/>
    <row r="29" spans="2:54" s="44" customFormat="1" ht="12.75" customHeight="1"/>
    <row r="30" spans="2:54" s="44" customFormat="1" ht="12.75" customHeight="1"/>
    <row r="31" spans="2:54" s="44" customFormat="1" ht="12.75" customHeight="1"/>
    <row r="32" spans="2:54" s="44" customFormat="1" ht="12.75" customHeight="1"/>
    <row r="33" s="44" customFormat="1" ht="12.75" customHeight="1"/>
    <row r="34" s="44" customFormat="1" ht="12.75" customHeight="1"/>
    <row r="35" s="44" customFormat="1" ht="12.75" customHeight="1"/>
    <row r="36" s="44" customFormat="1" ht="12.75" customHeight="1"/>
    <row r="37" s="44" customFormat="1" ht="12.75" customHeight="1"/>
    <row r="38" s="44" customFormat="1" ht="12.75" customHeight="1"/>
    <row r="39" s="44" customFormat="1" ht="12.75" customHeight="1"/>
    <row r="40" s="44" customFormat="1" ht="12.75" customHeight="1"/>
    <row r="41" s="44" customFormat="1" ht="12.75" customHeight="1"/>
    <row r="42" s="44" customFormat="1" ht="12.75" customHeight="1"/>
    <row r="43" s="44" customFormat="1" ht="12.75" customHeight="1"/>
    <row r="44" s="44" customFormat="1" ht="12.75" customHeight="1"/>
    <row r="45" s="44" customFormat="1" ht="12.75" customHeight="1"/>
    <row r="46" s="44" customFormat="1" ht="12.75" customHeight="1"/>
    <row r="47" s="44" customFormat="1" ht="12.75" customHeight="1"/>
    <row r="48" s="44" customFormat="1" ht="12.75" customHeight="1"/>
    <row r="49" s="44" customFormat="1" ht="12.75" customHeight="1"/>
    <row r="50" s="44" customFormat="1" ht="12.75" customHeight="1"/>
    <row r="51" s="44" customFormat="1" ht="12.75" customHeight="1"/>
    <row r="52" s="44" customFormat="1" ht="12.75" customHeight="1"/>
    <row r="53" s="44" customFormat="1" ht="12.75" customHeight="1"/>
    <row r="54" s="44" customFormat="1" ht="12.75" customHeight="1"/>
    <row r="55" s="44" customFormat="1" ht="12.75" customHeight="1"/>
    <row r="56" s="44" customFormat="1" ht="12.75" customHeight="1"/>
    <row r="57" s="44" customFormat="1" ht="12.75" customHeight="1"/>
    <row r="58" s="44" customFormat="1" ht="12.75" customHeight="1"/>
    <row r="59" s="44" customFormat="1" ht="12.75" customHeight="1"/>
    <row r="60" s="44" customFormat="1" ht="12.75" customHeight="1"/>
    <row r="61" s="44" customFormat="1" ht="12.75" customHeight="1"/>
    <row r="62" s="44" customFormat="1" ht="12.75" customHeight="1"/>
    <row r="63" s="44" customFormat="1" ht="12.75" customHeight="1"/>
    <row r="64" s="44" customFormat="1" ht="12.75" customHeight="1"/>
    <row r="65" s="44" customFormat="1" ht="12.75" customHeight="1"/>
    <row r="66" s="44" customFormat="1" ht="12.75" customHeight="1"/>
    <row r="67" s="44" customFormat="1" ht="12.75" customHeight="1"/>
    <row r="68" s="44" customFormat="1" ht="12.75" customHeight="1"/>
    <row r="69" s="44" customFormat="1" ht="12.75" customHeight="1"/>
    <row r="70" s="44" customFormat="1" ht="12.75" customHeight="1"/>
    <row r="71" s="44" customFormat="1" ht="12.75" customHeight="1"/>
    <row r="72" s="44" customFormat="1" ht="12.75" customHeight="1"/>
    <row r="73" s="44" customFormat="1" ht="12.75" customHeight="1"/>
    <row r="74" s="44" customFormat="1" ht="12.75" customHeight="1"/>
    <row r="75" s="44" customFormat="1" ht="12.75" customHeight="1"/>
    <row r="76" s="44" customFormat="1" ht="12.75" customHeight="1"/>
  </sheetData>
  <mergeCells count="92">
    <mergeCell ref="AW21:BB21"/>
    <mergeCell ref="B21:C21"/>
    <mergeCell ref="D21:N21"/>
    <mergeCell ref="O21:X21"/>
    <mergeCell ref="Y21:AF21"/>
    <mergeCell ref="AG21:AV21"/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273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61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274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275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276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277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122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278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279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280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137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281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282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137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283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284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132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9">
        <v>7</v>
      </c>
      <c r="C17" s="149"/>
      <c r="D17" s="125" t="s">
        <v>123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285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 t="s">
        <v>132</v>
      </c>
      <c r="Z17" s="125"/>
      <c r="AA17" s="125"/>
      <c r="AB17" s="125"/>
      <c r="AC17" s="125"/>
      <c r="AD17" s="125"/>
      <c r="AE17" s="125"/>
      <c r="AF17" s="125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49">
        <v>8</v>
      </c>
      <c r="C18" s="149"/>
      <c r="D18" s="125" t="s">
        <v>286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 t="s">
        <v>287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 t="s">
        <v>132</v>
      </c>
      <c r="Z18" s="125"/>
      <c r="AA18" s="125"/>
      <c r="AB18" s="125"/>
      <c r="AC18" s="125"/>
      <c r="AD18" s="125"/>
      <c r="AE18" s="125"/>
      <c r="AF18" s="125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49">
        <v>9</v>
      </c>
      <c r="C19" s="149"/>
      <c r="D19" s="125" t="s">
        <v>288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 t="s">
        <v>289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 t="s">
        <v>132</v>
      </c>
      <c r="Z19" s="125"/>
      <c r="AA19" s="125"/>
      <c r="AB19" s="125"/>
      <c r="AC19" s="125"/>
      <c r="AD19" s="125"/>
      <c r="AE19" s="125"/>
      <c r="AF19" s="125"/>
      <c r="AG19" s="150" t="s">
        <v>129</v>
      </c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49">
        <v>10</v>
      </c>
      <c r="C20" s="149"/>
      <c r="D20" s="125" t="s">
        <v>17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 t="s">
        <v>290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 t="s">
        <v>132</v>
      </c>
      <c r="Z20" s="125"/>
      <c r="AA20" s="125"/>
      <c r="AB20" s="125"/>
      <c r="AC20" s="125"/>
      <c r="AD20" s="125"/>
      <c r="AE20" s="125"/>
      <c r="AF20" s="125"/>
      <c r="AG20" s="150" t="s">
        <v>129</v>
      </c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</row>
    <row r="22" spans="2:54" ht="12.75" customHeight="1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</row>
    <row r="23" spans="2:54" ht="12.75" customHeight="1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</row>
    <row r="24" spans="2:54" ht="12.75" customHeight="1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</row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86"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5" t="s">
        <v>291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5" t="s">
        <v>62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/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28" t="s">
        <v>292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 t="s">
        <v>275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 t="s">
        <v>137</v>
      </c>
      <c r="Z11" s="128"/>
      <c r="AA11" s="128"/>
      <c r="AB11" s="128"/>
      <c r="AC11" s="128"/>
      <c r="AD11" s="128"/>
      <c r="AE11" s="128"/>
      <c r="AF11" s="128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28" t="s">
        <v>261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 t="s">
        <v>262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 t="s">
        <v>137</v>
      </c>
      <c r="Z12" s="128"/>
      <c r="AA12" s="128"/>
      <c r="AB12" s="128"/>
      <c r="AC12" s="128"/>
      <c r="AD12" s="128"/>
      <c r="AE12" s="128"/>
      <c r="AF12" s="128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28" t="s">
        <v>293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 t="s">
        <v>294</v>
      </c>
      <c r="P13" s="128"/>
      <c r="Q13" s="128"/>
      <c r="R13" s="128"/>
      <c r="S13" s="128"/>
      <c r="T13" s="128"/>
      <c r="U13" s="128"/>
      <c r="V13" s="128"/>
      <c r="W13" s="128"/>
      <c r="X13" s="128"/>
      <c r="Y13" s="128" t="s">
        <v>132</v>
      </c>
      <c r="Z13" s="128"/>
      <c r="AA13" s="128"/>
      <c r="AB13" s="128"/>
      <c r="AC13" s="128"/>
      <c r="AD13" s="128"/>
      <c r="AE13" s="128"/>
      <c r="AF13" s="128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35">
        <v>4</v>
      </c>
      <c r="C14" s="135"/>
      <c r="D14" s="128" t="s">
        <v>295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 t="s">
        <v>296</v>
      </c>
      <c r="P14" s="128"/>
      <c r="Q14" s="128"/>
      <c r="R14" s="128"/>
      <c r="S14" s="128"/>
      <c r="T14" s="128"/>
      <c r="U14" s="128"/>
      <c r="V14" s="128"/>
      <c r="W14" s="128"/>
      <c r="X14" s="128"/>
      <c r="Y14" s="128" t="s">
        <v>132</v>
      </c>
      <c r="Z14" s="128"/>
      <c r="AA14" s="128"/>
      <c r="AB14" s="128"/>
      <c r="AC14" s="128"/>
      <c r="AD14" s="128"/>
      <c r="AE14" s="128"/>
      <c r="AF14" s="128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35">
        <v>5</v>
      </c>
      <c r="C15" s="135"/>
      <c r="D15" s="128" t="s">
        <v>145</v>
      </c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 t="s">
        <v>146</v>
      </c>
      <c r="P15" s="128"/>
      <c r="Q15" s="128"/>
      <c r="R15" s="128"/>
      <c r="S15" s="128"/>
      <c r="T15" s="128"/>
      <c r="U15" s="128"/>
      <c r="V15" s="128"/>
      <c r="W15" s="128"/>
      <c r="X15" s="128"/>
      <c r="Y15" s="128" t="s">
        <v>132</v>
      </c>
      <c r="Z15" s="128"/>
      <c r="AA15" s="128"/>
      <c r="AB15" s="128"/>
      <c r="AC15" s="128"/>
      <c r="AD15" s="128"/>
      <c r="AE15" s="128"/>
      <c r="AF15" s="128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35">
        <v>6</v>
      </c>
      <c r="C16" s="135"/>
      <c r="D16" s="128" t="s">
        <v>297</v>
      </c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 t="s">
        <v>298</v>
      </c>
      <c r="P16" s="128"/>
      <c r="Q16" s="128"/>
      <c r="R16" s="128"/>
      <c r="S16" s="128"/>
      <c r="T16" s="128"/>
      <c r="U16" s="128"/>
      <c r="V16" s="128"/>
      <c r="W16" s="128"/>
      <c r="X16" s="128"/>
      <c r="Y16" s="128" t="s">
        <v>137</v>
      </c>
      <c r="Z16" s="128"/>
      <c r="AA16" s="128"/>
      <c r="AB16" s="128"/>
      <c r="AC16" s="128"/>
      <c r="AD16" s="128"/>
      <c r="AE16" s="128"/>
      <c r="AF16" s="128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35">
        <v>7</v>
      </c>
      <c r="C17" s="135"/>
      <c r="D17" s="128" t="s">
        <v>299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 t="s">
        <v>300</v>
      </c>
      <c r="P17" s="128"/>
      <c r="Q17" s="128"/>
      <c r="R17" s="128"/>
      <c r="S17" s="128"/>
      <c r="T17" s="128"/>
      <c r="U17" s="128"/>
      <c r="V17" s="128"/>
      <c r="W17" s="128"/>
      <c r="X17" s="128"/>
      <c r="Y17" s="128" t="s">
        <v>137</v>
      </c>
      <c r="Z17" s="128"/>
      <c r="AA17" s="128"/>
      <c r="AB17" s="128"/>
      <c r="AC17" s="128"/>
      <c r="AD17" s="128"/>
      <c r="AE17" s="128"/>
      <c r="AF17" s="128"/>
      <c r="AG17" s="130" t="s">
        <v>129</v>
      </c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35">
        <v>8</v>
      </c>
      <c r="C18" s="135"/>
      <c r="D18" s="128" t="s">
        <v>301</v>
      </c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 t="s">
        <v>302</v>
      </c>
      <c r="P18" s="128"/>
      <c r="Q18" s="128"/>
      <c r="R18" s="128"/>
      <c r="S18" s="128"/>
      <c r="T18" s="128"/>
      <c r="U18" s="128"/>
      <c r="V18" s="128"/>
      <c r="W18" s="128"/>
      <c r="X18" s="128"/>
      <c r="Y18" s="128" t="s">
        <v>132</v>
      </c>
      <c r="Z18" s="128"/>
      <c r="AA18" s="128"/>
      <c r="AB18" s="128"/>
      <c r="AC18" s="128"/>
      <c r="AD18" s="128"/>
      <c r="AE18" s="128"/>
      <c r="AF18" s="128"/>
      <c r="AG18" s="130" t="s">
        <v>129</v>
      </c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35">
        <v>9</v>
      </c>
      <c r="C19" s="135"/>
      <c r="D19" s="128" t="s">
        <v>303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 t="s">
        <v>304</v>
      </c>
      <c r="P19" s="128"/>
      <c r="Q19" s="128"/>
      <c r="R19" s="128"/>
      <c r="S19" s="128"/>
      <c r="T19" s="128"/>
      <c r="U19" s="128"/>
      <c r="V19" s="128"/>
      <c r="W19" s="128"/>
      <c r="X19" s="128"/>
      <c r="Y19" s="128" t="s">
        <v>137</v>
      </c>
      <c r="Z19" s="128"/>
      <c r="AA19" s="128"/>
      <c r="AB19" s="128"/>
      <c r="AC19" s="128"/>
      <c r="AD19" s="128"/>
      <c r="AE19" s="128"/>
      <c r="AF19" s="128"/>
      <c r="AG19" s="130" t="s">
        <v>129</v>
      </c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35">
        <v>10</v>
      </c>
      <c r="C20" s="135"/>
      <c r="D20" s="128" t="s">
        <v>305</v>
      </c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 t="s">
        <v>306</v>
      </c>
      <c r="P20" s="128"/>
      <c r="Q20" s="128"/>
      <c r="R20" s="128"/>
      <c r="S20" s="128"/>
      <c r="T20" s="128"/>
      <c r="U20" s="128"/>
      <c r="V20" s="128"/>
      <c r="W20" s="128"/>
      <c r="X20" s="128"/>
      <c r="Y20" s="128" t="s">
        <v>137</v>
      </c>
      <c r="Z20" s="128"/>
      <c r="AA20" s="128"/>
      <c r="AB20" s="128"/>
      <c r="AC20" s="128"/>
      <c r="AD20" s="128"/>
      <c r="AE20" s="128"/>
      <c r="AF20" s="128"/>
      <c r="AG20" s="130" t="s">
        <v>129</v>
      </c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35">
        <v>11</v>
      </c>
      <c r="C21" s="135"/>
      <c r="D21" s="128" t="s">
        <v>15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 t="s">
        <v>235</v>
      </c>
      <c r="P21" s="128"/>
      <c r="Q21" s="128"/>
      <c r="R21" s="128"/>
      <c r="S21" s="128"/>
      <c r="T21" s="128"/>
      <c r="U21" s="128"/>
      <c r="V21" s="128"/>
      <c r="W21" s="128"/>
      <c r="X21" s="128"/>
      <c r="Y21" s="128" t="s">
        <v>210</v>
      </c>
      <c r="Z21" s="128"/>
      <c r="AA21" s="128"/>
      <c r="AB21" s="128"/>
      <c r="AC21" s="128"/>
      <c r="AD21" s="128"/>
      <c r="AE21" s="128"/>
      <c r="AF21" s="128"/>
      <c r="AG21" s="130" t="s">
        <v>129</v>
      </c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 t="s">
        <v>129</v>
      </c>
      <c r="AX21" s="130"/>
      <c r="AY21" s="130"/>
      <c r="AZ21" s="130"/>
      <c r="BA21" s="130"/>
      <c r="BB21" s="130"/>
    </row>
    <row r="22" spans="2:54" ht="12.75" customHeight="1">
      <c r="B22" s="135">
        <v>12</v>
      </c>
      <c r="C22" s="135"/>
      <c r="D22" s="128" t="s">
        <v>307</v>
      </c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 t="s">
        <v>308</v>
      </c>
      <c r="P22" s="128"/>
      <c r="Q22" s="128"/>
      <c r="R22" s="128"/>
      <c r="S22" s="128"/>
      <c r="T22" s="128"/>
      <c r="U22" s="128"/>
      <c r="V22" s="128"/>
      <c r="W22" s="128"/>
      <c r="X22" s="128"/>
      <c r="Y22" s="128" t="s">
        <v>137</v>
      </c>
      <c r="Z22" s="128"/>
      <c r="AA22" s="128"/>
      <c r="AB22" s="128"/>
      <c r="AC22" s="128"/>
      <c r="AD22" s="128"/>
      <c r="AE22" s="128"/>
      <c r="AF22" s="128"/>
      <c r="AG22" s="130" t="s">
        <v>129</v>
      </c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 t="s">
        <v>129</v>
      </c>
      <c r="AX22" s="130"/>
      <c r="AY22" s="130"/>
      <c r="AZ22" s="130"/>
      <c r="BA22" s="130"/>
      <c r="BB22" s="130"/>
    </row>
    <row r="23" spans="2:54" ht="12.75" customHeight="1">
      <c r="B23" s="135">
        <v>13</v>
      </c>
      <c r="C23" s="135"/>
      <c r="D23" s="128" t="s">
        <v>309</v>
      </c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 t="s">
        <v>310</v>
      </c>
      <c r="P23" s="128"/>
      <c r="Q23" s="128"/>
      <c r="R23" s="128"/>
      <c r="S23" s="128"/>
      <c r="T23" s="128"/>
      <c r="U23" s="128"/>
      <c r="V23" s="128"/>
      <c r="W23" s="128"/>
      <c r="X23" s="128"/>
      <c r="Y23" s="128" t="s">
        <v>137</v>
      </c>
      <c r="Z23" s="128"/>
      <c r="AA23" s="128"/>
      <c r="AB23" s="128"/>
      <c r="AC23" s="128"/>
      <c r="AD23" s="128"/>
      <c r="AE23" s="128"/>
      <c r="AF23" s="128"/>
      <c r="AG23" s="130" t="s">
        <v>129</v>
      </c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 t="s">
        <v>129</v>
      </c>
      <c r="AX23" s="130"/>
      <c r="AY23" s="130"/>
      <c r="AZ23" s="130"/>
      <c r="BA23" s="130"/>
      <c r="BB23" s="130"/>
    </row>
    <row r="24" spans="2:54" ht="12.75" customHeight="1">
      <c r="B24" s="135">
        <v>14</v>
      </c>
      <c r="C24" s="135"/>
      <c r="D24" s="128" t="s">
        <v>311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 t="s">
        <v>312</v>
      </c>
      <c r="P24" s="128"/>
      <c r="Q24" s="128"/>
      <c r="R24" s="128"/>
      <c r="S24" s="128"/>
      <c r="T24" s="128"/>
      <c r="U24" s="128"/>
      <c r="V24" s="128"/>
      <c r="W24" s="128"/>
      <c r="X24" s="128"/>
      <c r="Y24" s="128" t="s">
        <v>137</v>
      </c>
      <c r="Z24" s="128"/>
      <c r="AA24" s="128"/>
      <c r="AB24" s="128"/>
      <c r="AC24" s="128"/>
      <c r="AD24" s="128"/>
      <c r="AE24" s="128"/>
      <c r="AF24" s="128"/>
      <c r="AG24" s="130" t="s">
        <v>129</v>
      </c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 t="s">
        <v>129</v>
      </c>
      <c r="AX24" s="130"/>
      <c r="AY24" s="130"/>
      <c r="AZ24" s="130"/>
      <c r="BA24" s="130"/>
      <c r="BB24" s="130"/>
    </row>
    <row r="25" spans="2:54" ht="12.75" customHeight="1">
      <c r="B25" s="135">
        <v>15</v>
      </c>
      <c r="C25" s="135"/>
      <c r="D25" s="145" t="s">
        <v>313</v>
      </c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28" t="s">
        <v>314</v>
      </c>
      <c r="P25" s="128"/>
      <c r="Q25" s="128"/>
      <c r="R25" s="128"/>
      <c r="S25" s="128"/>
      <c r="T25" s="128"/>
      <c r="U25" s="128"/>
      <c r="V25" s="128"/>
      <c r="W25" s="128"/>
      <c r="X25" s="128"/>
      <c r="Y25" s="128" t="s">
        <v>137</v>
      </c>
      <c r="Z25" s="128"/>
      <c r="AA25" s="128"/>
      <c r="AB25" s="128"/>
      <c r="AC25" s="128"/>
      <c r="AD25" s="128"/>
      <c r="AE25" s="128"/>
      <c r="AF25" s="128"/>
      <c r="AG25" s="130" t="s">
        <v>129</v>
      </c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 t="s">
        <v>129</v>
      </c>
      <c r="AX25" s="130"/>
      <c r="AY25" s="130"/>
      <c r="AZ25" s="130"/>
      <c r="BA25" s="130"/>
      <c r="BB25" s="130"/>
    </row>
    <row r="26" spans="2:54" ht="12.75" customHeight="1">
      <c r="B26" s="135">
        <v>16</v>
      </c>
      <c r="C26" s="135"/>
      <c r="D26" s="128" t="s">
        <v>315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 t="s">
        <v>316</v>
      </c>
      <c r="P26" s="128"/>
      <c r="Q26" s="128"/>
      <c r="R26" s="128"/>
      <c r="S26" s="128"/>
      <c r="T26" s="128"/>
      <c r="U26" s="128"/>
      <c r="V26" s="128"/>
      <c r="W26" s="128"/>
      <c r="X26" s="128"/>
      <c r="Y26" s="128" t="s">
        <v>137</v>
      </c>
      <c r="Z26" s="128"/>
      <c r="AA26" s="128"/>
      <c r="AB26" s="128"/>
      <c r="AC26" s="128"/>
      <c r="AD26" s="128"/>
      <c r="AE26" s="128"/>
      <c r="AF26" s="128"/>
      <c r="AG26" s="130" t="s">
        <v>129</v>
      </c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 t="s">
        <v>129</v>
      </c>
      <c r="AX26" s="130"/>
      <c r="AY26" s="130"/>
      <c r="AZ26" s="130"/>
      <c r="BA26" s="130"/>
      <c r="BB26" s="130"/>
    </row>
    <row r="27" spans="2:54" ht="12.75" customHeight="1">
      <c r="B27" s="135">
        <v>17</v>
      </c>
      <c r="C27" s="135"/>
      <c r="D27" s="128" t="s">
        <v>317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 t="s">
        <v>318</v>
      </c>
      <c r="P27" s="128"/>
      <c r="Q27" s="128"/>
      <c r="R27" s="128"/>
      <c r="S27" s="128"/>
      <c r="T27" s="128"/>
      <c r="U27" s="128"/>
      <c r="V27" s="128"/>
      <c r="W27" s="128"/>
      <c r="X27" s="128"/>
      <c r="Y27" s="128" t="s">
        <v>137</v>
      </c>
      <c r="Z27" s="128"/>
      <c r="AA27" s="128"/>
      <c r="AB27" s="128"/>
      <c r="AC27" s="128"/>
      <c r="AD27" s="128"/>
      <c r="AE27" s="128"/>
      <c r="AF27" s="128"/>
      <c r="AG27" s="130" t="s">
        <v>129</v>
      </c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 t="s">
        <v>129</v>
      </c>
      <c r="AX27" s="130"/>
      <c r="AY27" s="130"/>
      <c r="AZ27" s="130"/>
      <c r="BA27" s="130"/>
      <c r="BB27" s="130"/>
    </row>
    <row r="28" spans="2:54" ht="12.75" customHeight="1">
      <c r="B28" s="135">
        <v>18</v>
      </c>
      <c r="C28" s="135"/>
      <c r="D28" s="128" t="s">
        <v>319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 t="s">
        <v>320</v>
      </c>
      <c r="P28" s="128"/>
      <c r="Q28" s="128"/>
      <c r="R28" s="128"/>
      <c r="S28" s="128"/>
      <c r="T28" s="128"/>
      <c r="U28" s="128"/>
      <c r="V28" s="128"/>
      <c r="W28" s="128"/>
      <c r="X28" s="128"/>
      <c r="Y28" s="128" t="s">
        <v>321</v>
      </c>
      <c r="Z28" s="128"/>
      <c r="AA28" s="128"/>
      <c r="AB28" s="128"/>
      <c r="AC28" s="128"/>
      <c r="AD28" s="128"/>
      <c r="AE28" s="128"/>
      <c r="AF28" s="128"/>
      <c r="AG28" s="130" t="s">
        <v>129</v>
      </c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 t="s">
        <v>129</v>
      </c>
      <c r="AX28" s="130"/>
      <c r="AY28" s="130"/>
      <c r="AZ28" s="130"/>
      <c r="BA28" s="130"/>
      <c r="BB28" s="130"/>
    </row>
    <row r="29" spans="2:54" s="40" customFormat="1" ht="12.75" customHeight="1">
      <c r="B29" s="149">
        <v>19</v>
      </c>
      <c r="C29" s="149"/>
      <c r="D29" s="125" t="s">
        <v>322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 t="s">
        <v>323</v>
      </c>
      <c r="P29" s="125"/>
      <c r="Q29" s="125"/>
      <c r="R29" s="125"/>
      <c r="S29" s="125"/>
      <c r="T29" s="125"/>
      <c r="U29" s="125"/>
      <c r="V29" s="125"/>
      <c r="W29" s="125"/>
      <c r="X29" s="125"/>
      <c r="Y29" s="125" t="s">
        <v>324</v>
      </c>
      <c r="Z29" s="125"/>
      <c r="AA29" s="125"/>
      <c r="AB29" s="125"/>
      <c r="AC29" s="125"/>
      <c r="AD29" s="125"/>
      <c r="AE29" s="125"/>
      <c r="AF29" s="125"/>
      <c r="AG29" s="130" t="s">
        <v>129</v>
      </c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 t="s">
        <v>129</v>
      </c>
      <c r="AX29" s="130"/>
      <c r="AY29" s="130"/>
      <c r="AZ29" s="130"/>
      <c r="BA29" s="130"/>
      <c r="BB29" s="130"/>
    </row>
    <row r="30" spans="2:54" s="40" customFormat="1" ht="12.75" customHeight="1">
      <c r="B30" s="149">
        <v>20</v>
      </c>
      <c r="C30" s="149"/>
      <c r="D30" s="125" t="s">
        <v>325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 t="s">
        <v>326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 t="s">
        <v>327</v>
      </c>
      <c r="Z30" s="125"/>
      <c r="AA30" s="125"/>
      <c r="AB30" s="125"/>
      <c r="AC30" s="125"/>
      <c r="AD30" s="125"/>
      <c r="AE30" s="125"/>
      <c r="AF30" s="125"/>
      <c r="AG30" s="130" t="s">
        <v>129</v>
      </c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 t="s">
        <v>129</v>
      </c>
      <c r="AX30" s="130"/>
      <c r="AY30" s="130"/>
      <c r="AZ30" s="130"/>
      <c r="BA30" s="130"/>
      <c r="BB30" s="130"/>
    </row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146">
    <mergeCell ref="B30:C30"/>
    <mergeCell ref="D30:N30"/>
    <mergeCell ref="O30:X30"/>
    <mergeCell ref="Y30:AF30"/>
    <mergeCell ref="AG30:AV30"/>
    <mergeCell ref="AW30:BB30"/>
    <mergeCell ref="B28:C28"/>
    <mergeCell ref="D28:N28"/>
    <mergeCell ref="O28:X28"/>
    <mergeCell ref="Y28:AF28"/>
    <mergeCell ref="AG28:AV28"/>
    <mergeCell ref="AW28:BB28"/>
    <mergeCell ref="B29:C29"/>
    <mergeCell ref="D29:N29"/>
    <mergeCell ref="O29:X29"/>
    <mergeCell ref="Y29:AF29"/>
    <mergeCell ref="AG29:AV29"/>
    <mergeCell ref="AW29:BB29"/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J80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29</v>
      </c>
      <c r="AU2" s="85"/>
      <c r="AV2" s="85"/>
      <c r="AW2" s="85"/>
      <c r="AX2" s="85"/>
      <c r="AY2" s="123">
        <v>44328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45" t="s">
        <v>25</v>
      </c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45" t="s">
        <v>63</v>
      </c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46"/>
      <c r="BA7" s="46"/>
      <c r="BB7" s="46"/>
    </row>
    <row r="8" spans="1:55" ht="12.75" customHeight="1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</row>
    <row r="9" spans="1:55" ht="12.75" customHeight="1">
      <c r="B9" s="152" t="s">
        <v>46</v>
      </c>
      <c r="C9" s="152"/>
      <c r="D9" s="151" t="s">
        <v>122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 t="s">
        <v>49</v>
      </c>
      <c r="P9" s="151"/>
      <c r="Q9" s="151"/>
      <c r="R9" s="151"/>
      <c r="S9" s="151"/>
      <c r="T9" s="151"/>
      <c r="U9" s="151"/>
      <c r="V9" s="151"/>
      <c r="W9" s="151"/>
      <c r="X9" s="15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 t="s">
        <v>125</v>
      </c>
      <c r="AX9" s="152"/>
      <c r="AY9" s="152"/>
      <c r="AZ9" s="152"/>
      <c r="BA9" s="152"/>
      <c r="BB9" s="152"/>
    </row>
    <row r="10" spans="1:55" ht="12.75" customHeight="1">
      <c r="B10" s="152"/>
      <c r="C10" s="152"/>
      <c r="D10" s="152" t="s">
        <v>48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 t="s">
        <v>49</v>
      </c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</row>
    <row r="11" spans="1:55" ht="12.75" customHeight="1">
      <c r="B11" s="144">
        <v>1</v>
      </c>
      <c r="C11" s="144"/>
      <c r="D11" s="145" t="s">
        <v>261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262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 t="s">
        <v>129</v>
      </c>
      <c r="AX11" s="138"/>
      <c r="AY11" s="138"/>
      <c r="AZ11" s="138"/>
      <c r="BA11" s="138"/>
      <c r="BB11" s="138"/>
    </row>
    <row r="12" spans="1:55" ht="12.75" customHeight="1">
      <c r="B12" s="144">
        <v>2</v>
      </c>
      <c r="C12" s="144"/>
      <c r="D12" s="145" t="s">
        <v>274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275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 t="s">
        <v>129</v>
      </c>
      <c r="AX12" s="138"/>
      <c r="AY12" s="138"/>
      <c r="AZ12" s="138"/>
      <c r="BA12" s="138"/>
      <c r="BB12" s="138"/>
    </row>
    <row r="13" spans="1:55" ht="12.75" customHeight="1">
      <c r="B13" s="144">
        <v>3</v>
      </c>
      <c r="C13" s="144"/>
      <c r="D13" s="145" t="s">
        <v>164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165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137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 t="s">
        <v>129</v>
      </c>
      <c r="AX13" s="138"/>
      <c r="AY13" s="138"/>
      <c r="AZ13" s="138"/>
      <c r="BA13" s="138"/>
      <c r="BB13" s="138"/>
    </row>
    <row r="14" spans="1:55" ht="12.75" customHeight="1">
      <c r="B14" s="144">
        <v>4</v>
      </c>
      <c r="C14" s="144"/>
      <c r="D14" s="145" t="s">
        <v>233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 t="s">
        <v>234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137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 t="s">
        <v>129</v>
      </c>
      <c r="AX14" s="138"/>
      <c r="AY14" s="138"/>
      <c r="AZ14" s="138"/>
      <c r="BA14" s="138"/>
      <c r="BB14" s="138"/>
    </row>
    <row r="15" spans="1:55" ht="12.75" customHeight="1">
      <c r="B15" s="144">
        <v>5</v>
      </c>
      <c r="C15" s="144"/>
      <c r="D15" s="145" t="s">
        <v>328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 t="s">
        <v>329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 t="s">
        <v>137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 t="s">
        <v>129</v>
      </c>
      <c r="AX15" s="138"/>
      <c r="AY15" s="138"/>
      <c r="AZ15" s="138"/>
      <c r="BA15" s="138"/>
      <c r="BB15" s="138"/>
    </row>
    <row r="16" spans="1:55" ht="12.75" customHeight="1">
      <c r="B16" s="144">
        <v>6</v>
      </c>
      <c r="C16" s="144"/>
      <c r="D16" s="145" t="s">
        <v>263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 t="s">
        <v>330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 t="s">
        <v>132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 t="s">
        <v>129</v>
      </c>
      <c r="AX16" s="138"/>
      <c r="AY16" s="138"/>
      <c r="AZ16" s="138"/>
      <c r="BA16" s="138"/>
      <c r="BB16" s="138"/>
    </row>
    <row r="17" spans="2:54" ht="12.75" customHeight="1">
      <c r="B17" s="144">
        <v>7</v>
      </c>
      <c r="C17" s="144"/>
      <c r="D17" s="145" t="s">
        <v>293</v>
      </c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 t="s">
        <v>294</v>
      </c>
      <c r="P17" s="145"/>
      <c r="Q17" s="145"/>
      <c r="R17" s="145"/>
      <c r="S17" s="145"/>
      <c r="T17" s="145"/>
      <c r="U17" s="145"/>
      <c r="V17" s="145"/>
      <c r="W17" s="145"/>
      <c r="X17" s="145"/>
      <c r="Y17" s="145" t="s">
        <v>132</v>
      </c>
      <c r="Z17" s="145"/>
      <c r="AA17" s="145"/>
      <c r="AB17" s="145"/>
      <c r="AC17" s="145"/>
      <c r="AD17" s="145"/>
      <c r="AE17" s="145"/>
      <c r="AF17" s="14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 t="s">
        <v>129</v>
      </c>
      <c r="AX17" s="138"/>
      <c r="AY17" s="138"/>
      <c r="AZ17" s="138"/>
      <c r="BA17" s="138"/>
      <c r="BB17" s="138"/>
    </row>
    <row r="18" spans="2:54" ht="12.75" customHeight="1">
      <c r="B18" s="144">
        <v>8</v>
      </c>
      <c r="C18" s="144"/>
      <c r="D18" s="145" t="s">
        <v>295</v>
      </c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 t="s">
        <v>296</v>
      </c>
      <c r="P18" s="145"/>
      <c r="Q18" s="145"/>
      <c r="R18" s="145"/>
      <c r="S18" s="145"/>
      <c r="T18" s="145"/>
      <c r="U18" s="145"/>
      <c r="V18" s="145"/>
      <c r="W18" s="145"/>
      <c r="X18" s="145"/>
      <c r="Y18" s="145" t="s">
        <v>132</v>
      </c>
      <c r="Z18" s="145"/>
      <c r="AA18" s="145"/>
      <c r="AB18" s="145"/>
      <c r="AC18" s="145"/>
      <c r="AD18" s="145"/>
      <c r="AE18" s="145"/>
      <c r="AF18" s="145"/>
      <c r="AG18" s="138" t="s">
        <v>129</v>
      </c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 t="s">
        <v>129</v>
      </c>
      <c r="AX18" s="138"/>
      <c r="AY18" s="138"/>
      <c r="AZ18" s="138"/>
      <c r="BA18" s="138"/>
      <c r="BB18" s="138"/>
    </row>
    <row r="19" spans="2:54" ht="12.75" customHeight="1">
      <c r="B19" s="144">
        <v>9</v>
      </c>
      <c r="C19" s="144"/>
      <c r="D19" s="145" t="s">
        <v>297</v>
      </c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 t="s">
        <v>298</v>
      </c>
      <c r="P19" s="145"/>
      <c r="Q19" s="145"/>
      <c r="R19" s="145"/>
      <c r="S19" s="145"/>
      <c r="T19" s="145"/>
      <c r="U19" s="145"/>
      <c r="V19" s="145"/>
      <c r="W19" s="145"/>
      <c r="X19" s="145"/>
      <c r="Y19" s="145" t="s">
        <v>137</v>
      </c>
      <c r="Z19" s="145"/>
      <c r="AA19" s="145"/>
      <c r="AB19" s="145"/>
      <c r="AC19" s="145"/>
      <c r="AD19" s="145"/>
      <c r="AE19" s="145"/>
      <c r="AF19" s="145"/>
      <c r="AG19" s="138" t="s">
        <v>129</v>
      </c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 t="s">
        <v>129</v>
      </c>
      <c r="AX19" s="138"/>
      <c r="AY19" s="138"/>
      <c r="AZ19" s="138"/>
      <c r="BA19" s="138"/>
      <c r="BB19" s="138"/>
    </row>
    <row r="20" spans="2:54" ht="12.75" customHeight="1">
      <c r="B20" s="144">
        <v>10</v>
      </c>
      <c r="C20" s="144"/>
      <c r="D20" s="145" t="s">
        <v>299</v>
      </c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 t="s">
        <v>300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 t="s">
        <v>137</v>
      </c>
      <c r="Z20" s="145"/>
      <c r="AA20" s="145"/>
      <c r="AB20" s="145"/>
      <c r="AC20" s="145"/>
      <c r="AD20" s="145"/>
      <c r="AE20" s="145"/>
      <c r="AF20" s="145"/>
      <c r="AG20" s="138" t="s">
        <v>129</v>
      </c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 t="s">
        <v>129</v>
      </c>
      <c r="AX20" s="138"/>
      <c r="AY20" s="138"/>
      <c r="AZ20" s="138"/>
      <c r="BA20" s="138"/>
      <c r="BB20" s="138"/>
    </row>
    <row r="21" spans="2:54" ht="12.75" customHeight="1">
      <c r="B21" s="144">
        <v>11</v>
      </c>
      <c r="C21" s="144"/>
      <c r="D21" s="145" t="s">
        <v>303</v>
      </c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 t="s">
        <v>304</v>
      </c>
      <c r="P21" s="145"/>
      <c r="Q21" s="145"/>
      <c r="R21" s="145"/>
      <c r="S21" s="145"/>
      <c r="T21" s="145"/>
      <c r="U21" s="145"/>
      <c r="V21" s="145"/>
      <c r="W21" s="145"/>
      <c r="X21" s="145"/>
      <c r="Y21" s="145" t="s">
        <v>137</v>
      </c>
      <c r="Z21" s="145"/>
      <c r="AA21" s="145"/>
      <c r="AB21" s="145"/>
      <c r="AC21" s="145"/>
      <c r="AD21" s="145"/>
      <c r="AE21" s="145"/>
      <c r="AF21" s="145"/>
      <c r="AG21" s="138" t="s">
        <v>129</v>
      </c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 t="s">
        <v>129</v>
      </c>
      <c r="AX21" s="138"/>
      <c r="AY21" s="138"/>
      <c r="AZ21" s="138"/>
      <c r="BA21" s="138"/>
      <c r="BB21" s="138"/>
    </row>
    <row r="22" spans="2:54" ht="12.75" customHeight="1">
      <c r="B22" s="144">
        <v>12</v>
      </c>
      <c r="C22" s="144"/>
      <c r="D22" s="145" t="s">
        <v>331</v>
      </c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306</v>
      </c>
      <c r="P22" s="145"/>
      <c r="Q22" s="145"/>
      <c r="R22" s="145"/>
      <c r="S22" s="145"/>
      <c r="T22" s="145"/>
      <c r="U22" s="145"/>
      <c r="V22" s="145"/>
      <c r="W22" s="145"/>
      <c r="X22" s="145"/>
      <c r="Y22" s="145" t="s">
        <v>137</v>
      </c>
      <c r="Z22" s="145"/>
      <c r="AA22" s="145"/>
      <c r="AB22" s="145"/>
      <c r="AC22" s="145"/>
      <c r="AD22" s="145"/>
      <c r="AE22" s="145"/>
      <c r="AF22" s="145"/>
      <c r="AG22" s="138" t="s">
        <v>129</v>
      </c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 t="s">
        <v>129</v>
      </c>
      <c r="AX22" s="138"/>
      <c r="AY22" s="138"/>
      <c r="AZ22" s="138"/>
      <c r="BA22" s="138"/>
      <c r="BB22" s="138"/>
    </row>
    <row r="23" spans="2:54" ht="12.75" customHeight="1">
      <c r="B23" s="144">
        <v>13</v>
      </c>
      <c r="C23" s="144"/>
      <c r="D23" s="145" t="s">
        <v>307</v>
      </c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 t="s">
        <v>308</v>
      </c>
      <c r="P23" s="145"/>
      <c r="Q23" s="145"/>
      <c r="R23" s="145"/>
      <c r="S23" s="145"/>
      <c r="T23" s="145"/>
      <c r="U23" s="145"/>
      <c r="V23" s="145"/>
      <c r="W23" s="145"/>
      <c r="X23" s="145"/>
      <c r="Y23" s="145" t="s">
        <v>137</v>
      </c>
      <c r="Z23" s="145"/>
      <c r="AA23" s="145"/>
      <c r="AB23" s="145"/>
      <c r="AC23" s="145"/>
      <c r="AD23" s="145"/>
      <c r="AE23" s="145"/>
      <c r="AF23" s="145"/>
      <c r="AG23" s="138" t="s">
        <v>129</v>
      </c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 t="s">
        <v>129</v>
      </c>
      <c r="AX23" s="138"/>
      <c r="AY23" s="138"/>
      <c r="AZ23" s="138"/>
      <c r="BA23" s="138"/>
      <c r="BB23" s="138"/>
    </row>
    <row r="24" spans="2:54" ht="12.75" customHeight="1">
      <c r="B24" s="144">
        <v>14</v>
      </c>
      <c r="C24" s="144"/>
      <c r="D24" s="145" t="s">
        <v>309</v>
      </c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 t="s">
        <v>310</v>
      </c>
      <c r="P24" s="145"/>
      <c r="Q24" s="145"/>
      <c r="R24" s="145"/>
      <c r="S24" s="145"/>
      <c r="T24" s="145"/>
      <c r="U24" s="145"/>
      <c r="V24" s="145"/>
      <c r="W24" s="145"/>
      <c r="X24" s="145"/>
      <c r="Y24" s="145" t="s">
        <v>137</v>
      </c>
      <c r="Z24" s="145"/>
      <c r="AA24" s="145"/>
      <c r="AB24" s="145"/>
      <c r="AC24" s="145"/>
      <c r="AD24" s="145"/>
      <c r="AE24" s="145"/>
      <c r="AF24" s="145"/>
      <c r="AG24" s="138" t="s">
        <v>129</v>
      </c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 t="s">
        <v>129</v>
      </c>
      <c r="AX24" s="138"/>
      <c r="AY24" s="138"/>
      <c r="AZ24" s="138"/>
      <c r="BA24" s="138"/>
      <c r="BB24" s="138"/>
    </row>
    <row r="25" spans="2:54" ht="12.75" customHeight="1">
      <c r="B25" s="144">
        <v>15</v>
      </c>
      <c r="C25" s="144"/>
      <c r="D25" s="145" t="s">
        <v>332</v>
      </c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 t="s">
        <v>333</v>
      </c>
      <c r="P25" s="145"/>
      <c r="Q25" s="145"/>
      <c r="R25" s="145"/>
      <c r="S25" s="145"/>
      <c r="T25" s="145"/>
      <c r="U25" s="145"/>
      <c r="V25" s="145"/>
      <c r="W25" s="145"/>
      <c r="X25" s="145"/>
      <c r="Y25" s="145" t="s">
        <v>207</v>
      </c>
      <c r="Z25" s="145"/>
      <c r="AA25" s="145"/>
      <c r="AB25" s="145"/>
      <c r="AC25" s="145"/>
      <c r="AD25" s="145"/>
      <c r="AE25" s="145"/>
      <c r="AF25" s="145"/>
      <c r="AG25" s="138" t="s">
        <v>129</v>
      </c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 t="s">
        <v>129</v>
      </c>
      <c r="AX25" s="138"/>
      <c r="AY25" s="138"/>
      <c r="AZ25" s="138"/>
      <c r="BA25" s="138"/>
      <c r="BB25" s="138"/>
    </row>
    <row r="26" spans="2:54" ht="12.75" customHeight="1">
      <c r="B26" s="144">
        <v>16</v>
      </c>
      <c r="C26" s="144"/>
      <c r="D26" s="145" t="s">
        <v>334</v>
      </c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 t="s">
        <v>335</v>
      </c>
      <c r="P26" s="145"/>
      <c r="Q26" s="145"/>
      <c r="R26" s="145"/>
      <c r="S26" s="145"/>
      <c r="T26" s="145"/>
      <c r="U26" s="145"/>
      <c r="V26" s="145"/>
      <c r="W26" s="145"/>
      <c r="X26" s="145"/>
      <c r="Y26" s="145" t="s">
        <v>207</v>
      </c>
      <c r="Z26" s="145"/>
      <c r="AA26" s="145"/>
      <c r="AB26" s="145"/>
      <c r="AC26" s="145"/>
      <c r="AD26" s="145"/>
      <c r="AE26" s="145"/>
      <c r="AF26" s="145"/>
      <c r="AG26" s="138" t="s">
        <v>129</v>
      </c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 t="s">
        <v>129</v>
      </c>
      <c r="AX26" s="138"/>
      <c r="AY26" s="138"/>
      <c r="AZ26" s="138"/>
      <c r="BA26" s="138"/>
      <c r="BB26" s="138"/>
    </row>
    <row r="27" spans="2:54" ht="12.75" customHeight="1">
      <c r="B27" s="144">
        <v>17</v>
      </c>
      <c r="C27" s="144"/>
      <c r="D27" s="145" t="s">
        <v>336</v>
      </c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 t="s">
        <v>337</v>
      </c>
      <c r="P27" s="145"/>
      <c r="Q27" s="145"/>
      <c r="R27" s="145"/>
      <c r="S27" s="145"/>
      <c r="T27" s="145"/>
      <c r="U27" s="145"/>
      <c r="V27" s="145"/>
      <c r="W27" s="145"/>
      <c r="X27" s="145"/>
      <c r="Y27" s="145" t="s">
        <v>207</v>
      </c>
      <c r="Z27" s="145"/>
      <c r="AA27" s="145"/>
      <c r="AB27" s="145"/>
      <c r="AC27" s="145"/>
      <c r="AD27" s="145"/>
      <c r="AE27" s="145"/>
      <c r="AF27" s="145"/>
      <c r="AG27" s="138" t="s">
        <v>129</v>
      </c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 t="s">
        <v>129</v>
      </c>
      <c r="AX27" s="138"/>
      <c r="AY27" s="138"/>
      <c r="AZ27" s="138"/>
      <c r="BA27" s="138"/>
      <c r="BB27" s="138"/>
    </row>
    <row r="28" spans="2:54" ht="12.75" customHeight="1">
      <c r="B28" s="144">
        <v>18</v>
      </c>
      <c r="C28" s="144"/>
      <c r="D28" s="145" t="s">
        <v>311</v>
      </c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 t="s">
        <v>312</v>
      </c>
      <c r="P28" s="145"/>
      <c r="Q28" s="145"/>
      <c r="R28" s="145"/>
      <c r="S28" s="145"/>
      <c r="T28" s="145"/>
      <c r="U28" s="145"/>
      <c r="V28" s="145"/>
      <c r="W28" s="145"/>
      <c r="X28" s="145"/>
      <c r="Y28" s="145" t="s">
        <v>137</v>
      </c>
      <c r="Z28" s="145"/>
      <c r="AA28" s="145"/>
      <c r="AB28" s="145"/>
      <c r="AC28" s="145"/>
      <c r="AD28" s="145"/>
      <c r="AE28" s="145"/>
      <c r="AF28" s="145"/>
      <c r="AG28" s="138" t="s">
        <v>129</v>
      </c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 t="s">
        <v>129</v>
      </c>
      <c r="AX28" s="138"/>
      <c r="AY28" s="138"/>
      <c r="AZ28" s="138"/>
      <c r="BA28" s="138"/>
      <c r="BB28" s="138"/>
    </row>
    <row r="29" spans="2:54" ht="12.75" customHeight="1">
      <c r="B29" s="144">
        <v>19</v>
      </c>
      <c r="C29" s="144"/>
      <c r="D29" s="145" t="s">
        <v>313</v>
      </c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 t="s">
        <v>314</v>
      </c>
      <c r="P29" s="145"/>
      <c r="Q29" s="145"/>
      <c r="R29" s="145"/>
      <c r="S29" s="145"/>
      <c r="T29" s="145"/>
      <c r="U29" s="145"/>
      <c r="V29" s="145"/>
      <c r="W29" s="145"/>
      <c r="X29" s="145"/>
      <c r="Y29" s="145" t="s">
        <v>137</v>
      </c>
      <c r="Z29" s="145"/>
      <c r="AA29" s="145"/>
      <c r="AB29" s="145"/>
      <c r="AC29" s="145"/>
      <c r="AD29" s="145"/>
      <c r="AE29" s="145"/>
      <c r="AF29" s="145"/>
      <c r="AG29" s="138" t="s">
        <v>129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 t="s">
        <v>129</v>
      </c>
      <c r="AX29" s="138"/>
      <c r="AY29" s="138"/>
      <c r="AZ29" s="138"/>
      <c r="BA29" s="138"/>
      <c r="BB29" s="138"/>
    </row>
    <row r="30" spans="2:54" ht="12.75" customHeight="1">
      <c r="B30" s="144">
        <v>20</v>
      </c>
      <c r="C30" s="144"/>
      <c r="D30" s="145" t="s">
        <v>315</v>
      </c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 t="s">
        <v>316</v>
      </c>
      <c r="P30" s="145"/>
      <c r="Q30" s="145"/>
      <c r="R30" s="145"/>
      <c r="S30" s="145"/>
      <c r="T30" s="145"/>
      <c r="U30" s="145"/>
      <c r="V30" s="145"/>
      <c r="W30" s="145"/>
      <c r="X30" s="145"/>
      <c r="Y30" s="145" t="s">
        <v>137</v>
      </c>
      <c r="Z30" s="145"/>
      <c r="AA30" s="145"/>
      <c r="AB30" s="145"/>
      <c r="AC30" s="145"/>
      <c r="AD30" s="145"/>
      <c r="AE30" s="145"/>
      <c r="AF30" s="145"/>
      <c r="AG30" s="138" t="s">
        <v>129</v>
      </c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 t="s">
        <v>129</v>
      </c>
      <c r="AX30" s="138"/>
      <c r="AY30" s="138"/>
      <c r="AZ30" s="138"/>
      <c r="BA30" s="138"/>
      <c r="BB30" s="138"/>
    </row>
    <row r="31" spans="2:54" ht="12.75" customHeight="1">
      <c r="B31" s="144">
        <v>21</v>
      </c>
      <c r="C31" s="144"/>
      <c r="D31" s="145" t="s">
        <v>317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 t="s">
        <v>318</v>
      </c>
      <c r="P31" s="145"/>
      <c r="Q31" s="145"/>
      <c r="R31" s="145"/>
      <c r="S31" s="145"/>
      <c r="T31" s="145"/>
      <c r="U31" s="145"/>
      <c r="V31" s="145"/>
      <c r="W31" s="145"/>
      <c r="X31" s="145"/>
      <c r="Y31" s="145" t="s">
        <v>137</v>
      </c>
      <c r="Z31" s="145"/>
      <c r="AA31" s="145"/>
      <c r="AB31" s="145"/>
      <c r="AC31" s="145"/>
      <c r="AD31" s="145"/>
      <c r="AE31" s="145"/>
      <c r="AF31" s="145"/>
      <c r="AG31" s="138" t="s">
        <v>129</v>
      </c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 t="s">
        <v>129</v>
      </c>
      <c r="AX31" s="138"/>
      <c r="AY31" s="138"/>
      <c r="AZ31" s="138"/>
      <c r="BA31" s="138"/>
      <c r="BB31" s="138"/>
    </row>
    <row r="32" spans="2:54" ht="12.75" customHeight="1">
      <c r="B32" s="144">
        <v>22</v>
      </c>
      <c r="C32" s="144"/>
      <c r="D32" s="145" t="s">
        <v>301</v>
      </c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 t="s">
        <v>302</v>
      </c>
      <c r="P32" s="145"/>
      <c r="Q32" s="145"/>
      <c r="R32" s="145"/>
      <c r="S32" s="145"/>
      <c r="T32" s="145"/>
      <c r="U32" s="145"/>
      <c r="V32" s="145"/>
      <c r="W32" s="145"/>
      <c r="X32" s="145"/>
      <c r="Y32" s="145" t="s">
        <v>132</v>
      </c>
      <c r="Z32" s="145"/>
      <c r="AA32" s="145"/>
      <c r="AB32" s="145"/>
      <c r="AC32" s="145"/>
      <c r="AD32" s="145"/>
      <c r="AE32" s="145"/>
      <c r="AF32" s="145"/>
      <c r="AG32" s="138" t="s">
        <v>129</v>
      </c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 t="s">
        <v>129</v>
      </c>
      <c r="AX32" s="138"/>
      <c r="AY32" s="138"/>
      <c r="AZ32" s="138"/>
      <c r="BA32" s="138"/>
      <c r="BB32" s="138"/>
    </row>
    <row r="33" spans="2:68" ht="12.75" customHeight="1">
      <c r="B33" s="144">
        <v>23</v>
      </c>
      <c r="C33" s="144"/>
      <c r="D33" s="145" t="s">
        <v>15</v>
      </c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 t="s">
        <v>235</v>
      </c>
      <c r="P33" s="145"/>
      <c r="Q33" s="145"/>
      <c r="R33" s="145"/>
      <c r="S33" s="145"/>
      <c r="T33" s="145"/>
      <c r="U33" s="145"/>
      <c r="V33" s="145"/>
      <c r="W33" s="145"/>
      <c r="X33" s="145"/>
      <c r="Y33" s="145" t="s">
        <v>210</v>
      </c>
      <c r="Z33" s="145"/>
      <c r="AA33" s="145"/>
      <c r="AB33" s="145"/>
      <c r="AC33" s="145"/>
      <c r="AD33" s="145"/>
      <c r="AE33" s="145"/>
      <c r="AF33" s="145"/>
      <c r="AG33" s="138" t="s">
        <v>129</v>
      </c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 t="s">
        <v>129</v>
      </c>
      <c r="AX33" s="138"/>
      <c r="AY33" s="138"/>
      <c r="AZ33" s="138"/>
      <c r="BA33" s="138"/>
      <c r="BB33" s="138"/>
    </row>
    <row r="34" spans="2:68" ht="12.75" customHeight="1">
      <c r="B34" s="144">
        <v>24</v>
      </c>
      <c r="C34" s="144"/>
      <c r="D34" s="145" t="s">
        <v>338</v>
      </c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 t="s">
        <v>339</v>
      </c>
      <c r="P34" s="145"/>
      <c r="Q34" s="145"/>
      <c r="R34" s="145"/>
      <c r="S34" s="145"/>
      <c r="T34" s="145"/>
      <c r="U34" s="145"/>
      <c r="V34" s="145"/>
      <c r="W34" s="145"/>
      <c r="X34" s="145"/>
      <c r="Y34" s="145" t="s">
        <v>132</v>
      </c>
      <c r="Z34" s="145"/>
      <c r="AA34" s="145"/>
      <c r="AB34" s="145"/>
      <c r="AC34" s="145"/>
      <c r="AD34" s="145"/>
      <c r="AE34" s="145"/>
      <c r="AF34" s="145"/>
      <c r="AG34" s="138" t="s">
        <v>129</v>
      </c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 t="s">
        <v>129</v>
      </c>
      <c r="AX34" s="138"/>
      <c r="AY34" s="138"/>
      <c r="AZ34" s="138"/>
      <c r="BA34" s="138"/>
      <c r="BB34" s="138"/>
    </row>
    <row r="35" spans="2:68" ht="12.75" customHeight="1">
      <c r="B35" s="144">
        <v>25</v>
      </c>
      <c r="C35" s="144"/>
      <c r="D35" s="145" t="s">
        <v>340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 t="s">
        <v>341</v>
      </c>
      <c r="P35" s="145"/>
      <c r="Q35" s="145"/>
      <c r="R35" s="145"/>
      <c r="S35" s="145"/>
      <c r="T35" s="145"/>
      <c r="U35" s="145"/>
      <c r="V35" s="145"/>
      <c r="W35" s="145"/>
      <c r="X35" s="145"/>
      <c r="Y35" s="145" t="s">
        <v>132</v>
      </c>
      <c r="Z35" s="145"/>
      <c r="AA35" s="145"/>
      <c r="AB35" s="145"/>
      <c r="AC35" s="145"/>
      <c r="AD35" s="145"/>
      <c r="AE35" s="145"/>
      <c r="AF35" s="145"/>
      <c r="AG35" s="138" t="s">
        <v>129</v>
      </c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 t="s">
        <v>129</v>
      </c>
      <c r="AX35" s="138"/>
      <c r="AY35" s="138"/>
      <c r="AZ35" s="138"/>
      <c r="BA35" s="138"/>
      <c r="BB35" s="138"/>
    </row>
    <row r="36" spans="2:68" ht="12.75" customHeight="1">
      <c r="B36" s="144">
        <v>26</v>
      </c>
      <c r="C36" s="144"/>
      <c r="D36" s="145" t="s">
        <v>342</v>
      </c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 t="s">
        <v>343</v>
      </c>
      <c r="P36" s="145"/>
      <c r="Q36" s="145"/>
      <c r="R36" s="145"/>
      <c r="S36" s="145"/>
      <c r="T36" s="145"/>
      <c r="U36" s="145"/>
      <c r="V36" s="145"/>
      <c r="W36" s="145"/>
      <c r="X36" s="145"/>
      <c r="Y36" s="145" t="s">
        <v>137</v>
      </c>
      <c r="Z36" s="145"/>
      <c r="AA36" s="145"/>
      <c r="AB36" s="145"/>
      <c r="AC36" s="145"/>
      <c r="AD36" s="145"/>
      <c r="AE36" s="145"/>
      <c r="AF36" s="145"/>
      <c r="AG36" s="138" t="s">
        <v>129</v>
      </c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 t="s">
        <v>129</v>
      </c>
      <c r="AX36" s="138"/>
      <c r="AY36" s="138"/>
      <c r="AZ36" s="138"/>
      <c r="BA36" s="138"/>
      <c r="BB36" s="138"/>
    </row>
    <row r="37" spans="2:68" ht="12.75" customHeight="1">
      <c r="B37" s="144">
        <v>27</v>
      </c>
      <c r="C37" s="144"/>
      <c r="D37" s="145" t="s">
        <v>344</v>
      </c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 t="s">
        <v>345</v>
      </c>
      <c r="P37" s="145"/>
      <c r="Q37" s="145"/>
      <c r="R37" s="145"/>
      <c r="S37" s="145"/>
      <c r="T37" s="145"/>
      <c r="U37" s="145"/>
      <c r="V37" s="145"/>
      <c r="W37" s="145"/>
      <c r="X37" s="145"/>
      <c r="Y37" s="145" t="s">
        <v>210</v>
      </c>
      <c r="Z37" s="145"/>
      <c r="AA37" s="145"/>
      <c r="AB37" s="145"/>
      <c r="AC37" s="145"/>
      <c r="AD37" s="145"/>
      <c r="AE37" s="145"/>
      <c r="AF37" s="145"/>
      <c r="AG37" s="138" t="s">
        <v>129</v>
      </c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 t="s">
        <v>129</v>
      </c>
      <c r="AX37" s="138"/>
      <c r="AY37" s="138"/>
      <c r="AZ37" s="138"/>
      <c r="BA37" s="138"/>
      <c r="BB37" s="138"/>
    </row>
    <row r="38" spans="2:68" ht="12.75" customHeight="1">
      <c r="B38" s="144">
        <v>28</v>
      </c>
      <c r="C38" s="144"/>
      <c r="D38" s="145" t="s">
        <v>346</v>
      </c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 t="s">
        <v>347</v>
      </c>
      <c r="P38" s="145"/>
      <c r="Q38" s="145"/>
      <c r="R38" s="145"/>
      <c r="S38" s="145"/>
      <c r="T38" s="145"/>
      <c r="U38" s="145"/>
      <c r="V38" s="145"/>
      <c r="W38" s="145"/>
      <c r="X38" s="145"/>
      <c r="Y38" s="145" t="s">
        <v>207</v>
      </c>
      <c r="Z38" s="145"/>
      <c r="AA38" s="145"/>
      <c r="AB38" s="145"/>
      <c r="AC38" s="145"/>
      <c r="AD38" s="145"/>
      <c r="AE38" s="145"/>
      <c r="AF38" s="145"/>
      <c r="AG38" s="138" t="s">
        <v>129</v>
      </c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 t="s">
        <v>129</v>
      </c>
      <c r="AX38" s="138"/>
      <c r="AY38" s="138"/>
      <c r="AZ38" s="138"/>
      <c r="BA38" s="138"/>
      <c r="BB38" s="138"/>
    </row>
    <row r="39" spans="2:68" ht="12.75" customHeight="1">
      <c r="B39" s="144">
        <v>29</v>
      </c>
      <c r="C39" s="144"/>
      <c r="D39" s="128" t="s">
        <v>319</v>
      </c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45" t="s">
        <v>320</v>
      </c>
      <c r="P39" s="145"/>
      <c r="Q39" s="145"/>
      <c r="R39" s="145"/>
      <c r="S39" s="145"/>
      <c r="T39" s="145"/>
      <c r="U39" s="145"/>
      <c r="V39" s="145"/>
      <c r="W39" s="145"/>
      <c r="X39" s="145"/>
      <c r="Y39" s="145" t="s">
        <v>321</v>
      </c>
      <c r="Z39" s="145"/>
      <c r="AA39" s="145"/>
      <c r="AB39" s="145"/>
      <c r="AC39" s="145"/>
      <c r="AD39" s="145"/>
      <c r="AE39" s="145"/>
      <c r="AF39" s="145"/>
      <c r="AG39" s="138" t="s">
        <v>129</v>
      </c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 t="s">
        <v>129</v>
      </c>
      <c r="AX39" s="138"/>
      <c r="AY39" s="138"/>
      <c r="AZ39" s="138"/>
      <c r="BA39" s="138"/>
      <c r="BB39" s="138"/>
    </row>
    <row r="40" spans="2:68" ht="12.75" customHeight="1">
      <c r="B40" s="144">
        <v>30</v>
      </c>
      <c r="C40" s="144"/>
      <c r="D40" s="128" t="s">
        <v>325</v>
      </c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45" t="s">
        <v>326</v>
      </c>
      <c r="P40" s="145"/>
      <c r="Q40" s="145"/>
      <c r="R40" s="145"/>
      <c r="S40" s="145"/>
      <c r="T40" s="145"/>
      <c r="U40" s="145"/>
      <c r="V40" s="145"/>
      <c r="W40" s="145"/>
      <c r="X40" s="145"/>
      <c r="Y40" s="145" t="s">
        <v>327</v>
      </c>
      <c r="Z40" s="145"/>
      <c r="AA40" s="145"/>
      <c r="AB40" s="145"/>
      <c r="AC40" s="145"/>
      <c r="AD40" s="145"/>
      <c r="AE40" s="145"/>
      <c r="AF40" s="145"/>
      <c r="AG40" s="138" t="s">
        <v>129</v>
      </c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 t="s">
        <v>129</v>
      </c>
      <c r="AX40" s="138"/>
      <c r="AY40" s="138"/>
      <c r="AZ40" s="138"/>
      <c r="BA40" s="138"/>
      <c r="BB40" s="138"/>
    </row>
    <row r="41" spans="2:68" ht="12.75" customHeight="1">
      <c r="B41" s="144">
        <v>31</v>
      </c>
      <c r="C41" s="144"/>
      <c r="D41" s="128" t="s">
        <v>348</v>
      </c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45" t="s">
        <v>323</v>
      </c>
      <c r="P41" s="145"/>
      <c r="Q41" s="145"/>
      <c r="R41" s="145"/>
      <c r="S41" s="145"/>
      <c r="T41" s="145"/>
      <c r="U41" s="145"/>
      <c r="V41" s="145"/>
      <c r="W41" s="145"/>
      <c r="X41" s="145"/>
      <c r="Y41" s="145" t="s">
        <v>324</v>
      </c>
      <c r="Z41" s="145"/>
      <c r="AA41" s="145"/>
      <c r="AB41" s="145"/>
      <c r="AC41" s="145"/>
      <c r="AD41" s="145"/>
      <c r="AE41" s="145"/>
      <c r="AF41" s="145"/>
      <c r="AG41" s="138" t="s">
        <v>129</v>
      </c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 t="s">
        <v>129</v>
      </c>
      <c r="AX41" s="138"/>
      <c r="AY41" s="138"/>
      <c r="AZ41" s="138"/>
      <c r="BA41" s="138"/>
      <c r="BB41" s="138"/>
    </row>
    <row r="42" spans="2:68" ht="12.75" customHeight="1">
      <c r="B42" s="153">
        <v>32</v>
      </c>
      <c r="C42" s="153"/>
      <c r="D42" s="154" t="s">
        <v>349</v>
      </c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 t="s">
        <v>350</v>
      </c>
      <c r="P42" s="154"/>
      <c r="Q42" s="154"/>
      <c r="R42" s="154"/>
      <c r="S42" s="154"/>
      <c r="T42" s="154"/>
      <c r="U42" s="154"/>
      <c r="V42" s="154"/>
      <c r="W42" s="154"/>
      <c r="X42" s="154"/>
      <c r="Y42" s="154" t="s">
        <v>128</v>
      </c>
      <c r="Z42" s="154"/>
      <c r="AA42" s="154"/>
      <c r="AB42" s="154"/>
      <c r="AC42" s="154"/>
      <c r="AD42" s="154"/>
      <c r="AE42" s="154"/>
      <c r="AF42" s="154"/>
      <c r="AG42" s="133" t="s">
        <v>129</v>
      </c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 t="s">
        <v>129</v>
      </c>
      <c r="AX42" s="133"/>
      <c r="AY42" s="133"/>
      <c r="AZ42" s="133"/>
      <c r="BA42" s="133"/>
      <c r="BB42" s="133"/>
      <c r="BC42" s="51"/>
      <c r="BD42" s="51"/>
      <c r="BE42" s="52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2:68" ht="12.75" customHeight="1"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</row>
    <row r="44" spans="2:68" ht="12.75" customHeight="1"/>
    <row r="45" spans="2:68" ht="12.75" customHeight="1"/>
    <row r="46" spans="2:68" ht="12.75" customHeight="1"/>
    <row r="47" spans="2:68" ht="12.75" customHeight="1"/>
    <row r="48" spans="2:6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</sheetData>
  <mergeCells count="218">
    <mergeCell ref="B42:C42"/>
    <mergeCell ref="D42:N42"/>
    <mergeCell ref="O42:X42"/>
    <mergeCell ref="Y42:AF42"/>
    <mergeCell ref="AG42:AV42"/>
    <mergeCell ref="AW42:BB42"/>
    <mergeCell ref="B40:C40"/>
    <mergeCell ref="D40:N40"/>
    <mergeCell ref="O40:X40"/>
    <mergeCell ref="Y40:AF40"/>
    <mergeCell ref="AG40:AV40"/>
    <mergeCell ref="AW40:BB40"/>
    <mergeCell ref="B41:C41"/>
    <mergeCell ref="D41:N41"/>
    <mergeCell ref="O41:X41"/>
    <mergeCell ref="Y41:AF41"/>
    <mergeCell ref="AG41:AV41"/>
    <mergeCell ref="AW41:BB41"/>
    <mergeCell ref="B38:C38"/>
    <mergeCell ref="D38:N38"/>
    <mergeCell ref="O38:X38"/>
    <mergeCell ref="Y38:AF38"/>
    <mergeCell ref="AG38:AV38"/>
    <mergeCell ref="AW38:BB38"/>
    <mergeCell ref="B39:C39"/>
    <mergeCell ref="D39:N39"/>
    <mergeCell ref="O39:X39"/>
    <mergeCell ref="Y39:AF39"/>
    <mergeCell ref="AG39:AV39"/>
    <mergeCell ref="AW39:BB39"/>
    <mergeCell ref="B36:C36"/>
    <mergeCell ref="D36:N36"/>
    <mergeCell ref="O36:X36"/>
    <mergeCell ref="Y36:AF36"/>
    <mergeCell ref="AG36:AV36"/>
    <mergeCell ref="AW36:BB36"/>
    <mergeCell ref="B37:C37"/>
    <mergeCell ref="D37:N37"/>
    <mergeCell ref="O37:X37"/>
    <mergeCell ref="Y37:AF37"/>
    <mergeCell ref="AG37:AV37"/>
    <mergeCell ref="AW37:BB37"/>
    <mergeCell ref="B34:C34"/>
    <mergeCell ref="D34:N34"/>
    <mergeCell ref="O34:X34"/>
    <mergeCell ref="Y34:AF34"/>
    <mergeCell ref="AG34:AV34"/>
    <mergeCell ref="AW34:BB34"/>
    <mergeCell ref="B35:C35"/>
    <mergeCell ref="D35:N35"/>
    <mergeCell ref="O35:X35"/>
    <mergeCell ref="Y35:AF35"/>
    <mergeCell ref="AG35:AV35"/>
    <mergeCell ref="AW35:BB35"/>
    <mergeCell ref="B32:C32"/>
    <mergeCell ref="D32:N32"/>
    <mergeCell ref="O32:X32"/>
    <mergeCell ref="Y32:AF32"/>
    <mergeCell ref="AG32:AV32"/>
    <mergeCell ref="AW32:BB32"/>
    <mergeCell ref="B33:C33"/>
    <mergeCell ref="D33:N33"/>
    <mergeCell ref="O33:X33"/>
    <mergeCell ref="Y33:AF33"/>
    <mergeCell ref="AG33:AV33"/>
    <mergeCell ref="AW33:BB33"/>
    <mergeCell ref="B30:C30"/>
    <mergeCell ref="D30:N30"/>
    <mergeCell ref="O30:X30"/>
    <mergeCell ref="Y30:AF30"/>
    <mergeCell ref="AG30:AV30"/>
    <mergeCell ref="AW30:BB30"/>
    <mergeCell ref="B31:C31"/>
    <mergeCell ref="D31:N31"/>
    <mergeCell ref="O31:X31"/>
    <mergeCell ref="Y31:AF31"/>
    <mergeCell ref="AG31:AV31"/>
    <mergeCell ref="AW31:BB31"/>
    <mergeCell ref="B28:C28"/>
    <mergeCell ref="D28:N28"/>
    <mergeCell ref="O28:X28"/>
    <mergeCell ref="Y28:AF28"/>
    <mergeCell ref="AG28:AV28"/>
    <mergeCell ref="AW28:BB28"/>
    <mergeCell ref="B29:C29"/>
    <mergeCell ref="D29:N29"/>
    <mergeCell ref="O29:X29"/>
    <mergeCell ref="Y29:AF29"/>
    <mergeCell ref="AG29:AV29"/>
    <mergeCell ref="AW29:BB29"/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J77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351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25" t="s">
        <v>64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46"/>
      <c r="BB7" s="46"/>
    </row>
    <row r="8" spans="1:55" ht="12.75" customHeight="1">
      <c r="B8" s="5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</row>
    <row r="9" spans="1:55" ht="12.75" customHeight="1">
      <c r="B9" s="152" t="s">
        <v>46</v>
      </c>
      <c r="C9" s="152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 t="s">
        <v>125</v>
      </c>
      <c r="AX9" s="152"/>
      <c r="AY9" s="152"/>
      <c r="AZ9" s="152"/>
      <c r="BA9" s="152"/>
      <c r="BB9" s="152"/>
    </row>
    <row r="10" spans="1:55" ht="12.75" customHeight="1">
      <c r="B10" s="152"/>
      <c r="C10" s="152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</row>
    <row r="11" spans="1:55" ht="12.75" customHeight="1">
      <c r="B11" s="144">
        <v>1</v>
      </c>
      <c r="C11" s="144"/>
      <c r="D11" s="125" t="s">
        <v>352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353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 t="s">
        <v>129</v>
      </c>
      <c r="AX11" s="138"/>
      <c r="AY11" s="138"/>
      <c r="AZ11" s="138"/>
      <c r="BA11" s="138"/>
      <c r="BB11" s="138"/>
    </row>
    <row r="12" spans="1:55" ht="12.75" customHeight="1">
      <c r="B12" s="144">
        <v>2</v>
      </c>
      <c r="C12" s="144"/>
      <c r="D12" s="125" t="s">
        <v>354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355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 t="s">
        <v>129</v>
      </c>
      <c r="AX12" s="138"/>
      <c r="AY12" s="138"/>
      <c r="AZ12" s="138"/>
      <c r="BA12" s="138"/>
      <c r="BB12" s="138"/>
    </row>
    <row r="13" spans="1:55" ht="12.75" customHeight="1">
      <c r="B13" s="144">
        <v>3</v>
      </c>
      <c r="C13" s="144"/>
      <c r="D13" s="125" t="s">
        <v>301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302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 t="s">
        <v>129</v>
      </c>
      <c r="AX13" s="138"/>
      <c r="AY13" s="138"/>
      <c r="AZ13" s="138"/>
      <c r="BA13" s="138"/>
      <c r="BB13" s="138"/>
    </row>
    <row r="14" spans="1:55" ht="12.75" customHeight="1">
      <c r="B14" s="144">
        <v>4</v>
      </c>
      <c r="C14" s="144"/>
      <c r="D14" s="125" t="s">
        <v>17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290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45" t="s">
        <v>132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 t="s">
        <v>129</v>
      </c>
      <c r="AX14" s="138"/>
      <c r="AY14" s="138"/>
      <c r="AZ14" s="138"/>
      <c r="BA14" s="138"/>
      <c r="BB14" s="138"/>
    </row>
    <row r="15" spans="1:55" ht="12.75" customHeight="1">
      <c r="B15" s="144">
        <v>5</v>
      </c>
      <c r="C15" s="144"/>
      <c r="D15" s="125" t="s">
        <v>356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357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45" t="s">
        <v>210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 t="s">
        <v>129</v>
      </c>
      <c r="AX15" s="138"/>
      <c r="AY15" s="138"/>
      <c r="AZ15" s="138"/>
      <c r="BA15" s="138"/>
      <c r="BB15" s="138"/>
    </row>
    <row r="16" spans="1:55" ht="12.75" customHeight="1">
      <c r="B16" s="144">
        <v>6</v>
      </c>
      <c r="C16" s="144"/>
      <c r="D16" s="145" t="s">
        <v>358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 t="s">
        <v>235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 t="s">
        <v>210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 t="s">
        <v>129</v>
      </c>
      <c r="AX16" s="138"/>
      <c r="AY16" s="138"/>
      <c r="AZ16" s="138"/>
      <c r="BA16" s="138"/>
      <c r="BB16" s="138"/>
    </row>
    <row r="17" spans="2:52" ht="12.75" customHeight="1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</row>
    <row r="18" spans="2:52" ht="12.75" customHeight="1"/>
    <row r="19" spans="2:52" ht="12.75" customHeight="1"/>
    <row r="20" spans="2:52" ht="12.75" customHeight="1"/>
    <row r="21" spans="2:52" ht="12.75" customHeight="1"/>
    <row r="22" spans="2:52" ht="12.75" customHeight="1"/>
    <row r="23" spans="2:52" ht="12.75" customHeight="1"/>
    <row r="24" spans="2:52" ht="12.75" customHeight="1"/>
    <row r="25" spans="2:52" ht="12.75" customHeight="1"/>
    <row r="26" spans="2:52" ht="12.75" customHeight="1"/>
    <row r="27" spans="2:52" ht="12.75" customHeight="1"/>
    <row r="28" spans="2:52" ht="12.75" customHeight="1"/>
    <row r="29" spans="2:52" ht="12.75" customHeight="1"/>
    <row r="30" spans="2:52" ht="12.75" customHeight="1"/>
    <row r="31" spans="2:52" ht="12.75" customHeight="1"/>
    <row r="32" spans="2:5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29</v>
      </c>
      <c r="AU2" s="85"/>
      <c r="AV2" s="85"/>
      <c r="AW2" s="85"/>
      <c r="AX2" s="85"/>
      <c r="AY2" s="123">
        <v>44328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359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66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360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361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360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355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362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363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137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364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365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366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367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132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368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369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370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35">
        <v>7</v>
      </c>
      <c r="C17" s="135"/>
      <c r="D17" s="128" t="s">
        <v>371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 t="s">
        <v>372</v>
      </c>
      <c r="P17" s="128"/>
      <c r="Q17" s="128"/>
      <c r="R17" s="128"/>
      <c r="S17" s="128"/>
      <c r="T17" s="128"/>
      <c r="U17" s="128"/>
      <c r="V17" s="128"/>
      <c r="W17" s="128"/>
      <c r="X17" s="128"/>
      <c r="Y17" s="128" t="s">
        <v>210</v>
      </c>
      <c r="Z17" s="128"/>
      <c r="AA17" s="128"/>
      <c r="AB17" s="128"/>
      <c r="AC17" s="128"/>
      <c r="AD17" s="128"/>
      <c r="AE17" s="128"/>
      <c r="AF17" s="128"/>
      <c r="AG17" s="130" t="s">
        <v>129</v>
      </c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35">
        <v>8</v>
      </c>
      <c r="C18" s="135"/>
      <c r="D18" s="128" t="s">
        <v>15</v>
      </c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 t="s">
        <v>235</v>
      </c>
      <c r="P18" s="128"/>
      <c r="Q18" s="128"/>
      <c r="R18" s="128"/>
      <c r="S18" s="128"/>
      <c r="T18" s="128"/>
      <c r="U18" s="128"/>
      <c r="V18" s="128"/>
      <c r="W18" s="128"/>
      <c r="X18" s="128"/>
      <c r="Y18" s="128" t="s">
        <v>210</v>
      </c>
      <c r="Z18" s="128"/>
      <c r="AA18" s="128"/>
      <c r="AB18" s="128"/>
      <c r="AC18" s="128"/>
      <c r="AD18" s="128"/>
      <c r="AE18" s="128"/>
      <c r="AF18" s="128"/>
      <c r="AG18" s="130" t="s">
        <v>129</v>
      </c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 t="s">
        <v>129</v>
      </c>
      <c r="AX18" s="130"/>
      <c r="AY18" s="130"/>
      <c r="AZ18" s="130"/>
      <c r="BA18" s="130"/>
      <c r="BB18" s="130"/>
    </row>
    <row r="19" spans="2:54" ht="12.75" customHeight="1"/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74"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J77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A5" s="40"/>
      <c r="B5" s="111" t="s">
        <v>119</v>
      </c>
      <c r="C5" s="111"/>
      <c r="D5" s="111"/>
      <c r="E5" s="111"/>
      <c r="F5" s="111"/>
      <c r="G5" s="111"/>
      <c r="H5" s="125" t="s">
        <v>373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A6" s="40"/>
      <c r="B6" s="111" t="s">
        <v>119</v>
      </c>
      <c r="C6" s="111"/>
      <c r="D6" s="111"/>
      <c r="E6" s="111"/>
      <c r="F6" s="111"/>
      <c r="G6" s="111"/>
      <c r="H6" s="125" t="s">
        <v>65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A7" s="40"/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A9" s="40"/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A10" s="40"/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A11" s="40"/>
      <c r="B11" s="149">
        <v>1</v>
      </c>
      <c r="C11" s="149"/>
      <c r="D11" s="125" t="s">
        <v>374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375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A12" s="40"/>
      <c r="B12" s="149">
        <v>2</v>
      </c>
      <c r="C12" s="149"/>
      <c r="D12" s="125" t="s">
        <v>376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377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A13" s="40"/>
      <c r="B13" s="149">
        <v>3</v>
      </c>
      <c r="C13" s="149"/>
      <c r="D13" s="125" t="s">
        <v>378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379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A14" s="40"/>
      <c r="B14" s="149">
        <v>4</v>
      </c>
      <c r="C14" s="149"/>
      <c r="D14" s="125" t="s">
        <v>125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380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A15" s="40"/>
      <c r="B15" s="149">
        <v>5</v>
      </c>
      <c r="C15" s="149"/>
      <c r="D15" s="125" t="s">
        <v>381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382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132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A16" s="40"/>
      <c r="B16" s="149">
        <v>6</v>
      </c>
      <c r="C16" s="149"/>
      <c r="D16" s="125" t="s">
        <v>383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384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207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J73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385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37" t="s">
        <v>67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265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266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386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330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/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</sheetData>
  <mergeCells count="38"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67171"/>
  </sheetPr>
  <dimension ref="A1:AMJ75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44301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8" t="s">
        <v>387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8" t="s">
        <v>68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14" t="s">
        <v>265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8" t="s">
        <v>266</v>
      </c>
      <c r="P11" s="118"/>
      <c r="Q11" s="118"/>
      <c r="R11" s="118"/>
      <c r="S11" s="118"/>
      <c r="T11" s="118"/>
      <c r="U11" s="118"/>
      <c r="V11" s="118"/>
      <c r="W11" s="118"/>
      <c r="X11" s="118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14" t="s">
        <v>386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8" t="s">
        <v>330</v>
      </c>
      <c r="P12" s="118"/>
      <c r="Q12" s="118"/>
      <c r="R12" s="118"/>
      <c r="S12" s="118"/>
      <c r="T12" s="118"/>
      <c r="U12" s="118"/>
      <c r="V12" s="118"/>
      <c r="W12" s="118"/>
      <c r="X12" s="118"/>
      <c r="Y12" s="137" t="s">
        <v>132</v>
      </c>
      <c r="Z12" s="137"/>
      <c r="AA12" s="137"/>
      <c r="AB12" s="137"/>
      <c r="AC12" s="137"/>
      <c r="AD12" s="137"/>
      <c r="AE12" s="137"/>
      <c r="AF12" s="137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14" t="s">
        <v>388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8" t="s">
        <v>389</v>
      </c>
      <c r="P13" s="118"/>
      <c r="Q13" s="118"/>
      <c r="R13" s="118"/>
      <c r="S13" s="118"/>
      <c r="T13" s="118"/>
      <c r="U13" s="118"/>
      <c r="V13" s="118"/>
      <c r="W13" s="118"/>
      <c r="X13" s="118"/>
      <c r="Y13" s="125" t="s">
        <v>137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14" t="s">
        <v>390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8" t="s">
        <v>355</v>
      </c>
      <c r="P14" s="118"/>
      <c r="Q14" s="118"/>
      <c r="R14" s="118"/>
      <c r="S14" s="118"/>
      <c r="T14" s="118"/>
      <c r="U14" s="118"/>
      <c r="V14" s="118"/>
      <c r="W14" s="118"/>
      <c r="X14" s="118"/>
      <c r="Y14" s="125" t="s">
        <v>137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14" t="s">
        <v>391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8" t="s">
        <v>392</v>
      </c>
      <c r="P15" s="118"/>
      <c r="Q15" s="118"/>
      <c r="R15" s="118"/>
      <c r="S15" s="118"/>
      <c r="T15" s="118"/>
      <c r="U15" s="118"/>
      <c r="V15" s="118"/>
      <c r="W15" s="118"/>
      <c r="X15" s="118"/>
      <c r="Y15" s="125" t="s">
        <v>137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14" t="s">
        <v>177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8" t="s">
        <v>178</v>
      </c>
      <c r="P16" s="118"/>
      <c r="Q16" s="118"/>
      <c r="R16" s="118"/>
      <c r="S16" s="118"/>
      <c r="T16" s="118"/>
      <c r="U16" s="118"/>
      <c r="V16" s="118"/>
      <c r="W16" s="118"/>
      <c r="X16" s="118"/>
      <c r="Y16" s="125" t="s">
        <v>137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9">
        <v>7</v>
      </c>
      <c r="C17" s="149"/>
      <c r="D17" s="114" t="s">
        <v>122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8" t="s">
        <v>278</v>
      </c>
      <c r="P17" s="118"/>
      <c r="Q17" s="118"/>
      <c r="R17" s="118"/>
      <c r="S17" s="118"/>
      <c r="T17" s="118"/>
      <c r="U17" s="118"/>
      <c r="V17" s="118"/>
      <c r="W17" s="118"/>
      <c r="X17" s="118"/>
      <c r="Y17" s="137" t="s">
        <v>132</v>
      </c>
      <c r="Z17" s="137"/>
      <c r="AA17" s="137"/>
      <c r="AB17" s="137"/>
      <c r="AC17" s="137"/>
      <c r="AD17" s="137"/>
      <c r="AE17" s="137"/>
      <c r="AF17" s="137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49">
        <v>8</v>
      </c>
      <c r="C18" s="149"/>
      <c r="D18" s="114" t="s">
        <v>393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8" t="s">
        <v>394</v>
      </c>
      <c r="P18" s="118"/>
      <c r="Q18" s="118"/>
      <c r="R18" s="118"/>
      <c r="S18" s="118"/>
      <c r="T18" s="118"/>
      <c r="U18" s="118"/>
      <c r="V18" s="118"/>
      <c r="W18" s="118"/>
      <c r="X18" s="118"/>
      <c r="Y18" s="125" t="s">
        <v>207</v>
      </c>
      <c r="Z18" s="125"/>
      <c r="AA18" s="125"/>
      <c r="AB18" s="125"/>
      <c r="AC18" s="125"/>
      <c r="AD18" s="125"/>
      <c r="AE18" s="125"/>
      <c r="AF18" s="125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49">
        <v>9</v>
      </c>
      <c r="C19" s="149"/>
      <c r="D19" s="114" t="s">
        <v>283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8" t="s">
        <v>284</v>
      </c>
      <c r="P19" s="118"/>
      <c r="Q19" s="118"/>
      <c r="R19" s="118"/>
      <c r="S19" s="118"/>
      <c r="T19" s="118"/>
      <c r="U19" s="118"/>
      <c r="V19" s="118"/>
      <c r="W19" s="118"/>
      <c r="X19" s="118"/>
      <c r="Y19" s="125" t="s">
        <v>207</v>
      </c>
      <c r="Z19" s="125"/>
      <c r="AA19" s="125"/>
      <c r="AB19" s="125"/>
      <c r="AC19" s="125"/>
      <c r="AD19" s="125"/>
      <c r="AE19" s="125"/>
      <c r="AF19" s="125"/>
      <c r="AG19" s="150" t="s">
        <v>129</v>
      </c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49">
        <v>10</v>
      </c>
      <c r="C20" s="149"/>
      <c r="D20" s="114" t="s">
        <v>123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8" t="s">
        <v>285</v>
      </c>
      <c r="P20" s="118"/>
      <c r="Q20" s="118"/>
      <c r="R20" s="118"/>
      <c r="S20" s="118"/>
      <c r="T20" s="118"/>
      <c r="U20" s="118"/>
      <c r="V20" s="118"/>
      <c r="W20" s="118"/>
      <c r="X20" s="118"/>
      <c r="Y20" s="125" t="s">
        <v>207</v>
      </c>
      <c r="Z20" s="125"/>
      <c r="AA20" s="125"/>
      <c r="AB20" s="125"/>
      <c r="AC20" s="125"/>
      <c r="AD20" s="125"/>
      <c r="AE20" s="125"/>
      <c r="AF20" s="125"/>
      <c r="AG20" s="150" t="s">
        <v>129</v>
      </c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49">
        <v>11</v>
      </c>
      <c r="C21" s="149"/>
      <c r="D21" s="114" t="s">
        <v>395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8" t="s">
        <v>287</v>
      </c>
      <c r="P21" s="118"/>
      <c r="Q21" s="118"/>
      <c r="R21" s="118"/>
      <c r="S21" s="118"/>
      <c r="T21" s="118"/>
      <c r="U21" s="118"/>
      <c r="V21" s="118"/>
      <c r="W21" s="118"/>
      <c r="X21" s="118"/>
      <c r="Y21" s="125" t="s">
        <v>137</v>
      </c>
      <c r="Z21" s="125"/>
      <c r="AA21" s="125"/>
      <c r="AB21" s="125"/>
      <c r="AC21" s="125"/>
      <c r="AD21" s="125"/>
      <c r="AE21" s="125"/>
      <c r="AF21" s="125"/>
      <c r="AG21" s="150" t="s">
        <v>129</v>
      </c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30" t="s">
        <v>129</v>
      </c>
      <c r="AX21" s="130"/>
      <c r="AY21" s="130"/>
      <c r="AZ21" s="130"/>
      <c r="BA21" s="130"/>
      <c r="BB21" s="130"/>
    </row>
    <row r="22" spans="2:54" ht="12.75" customHeight="1">
      <c r="B22" s="149">
        <v>12</v>
      </c>
      <c r="C22" s="149"/>
      <c r="D22" s="114" t="s">
        <v>396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8" t="s">
        <v>289</v>
      </c>
      <c r="P22" s="118"/>
      <c r="Q22" s="118"/>
      <c r="R22" s="118"/>
      <c r="S22" s="118"/>
      <c r="T22" s="118"/>
      <c r="U22" s="118"/>
      <c r="V22" s="118"/>
      <c r="W22" s="118"/>
      <c r="X22" s="118"/>
      <c r="Y22" s="125" t="s">
        <v>137</v>
      </c>
      <c r="Z22" s="125"/>
      <c r="AA22" s="125"/>
      <c r="AB22" s="125"/>
      <c r="AC22" s="125"/>
      <c r="AD22" s="125"/>
      <c r="AE22" s="125"/>
      <c r="AF22" s="125"/>
      <c r="AG22" s="150" t="s">
        <v>129</v>
      </c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30" t="s">
        <v>129</v>
      </c>
      <c r="AX22" s="130"/>
      <c r="AY22" s="130"/>
      <c r="AZ22" s="130"/>
      <c r="BA22" s="130"/>
      <c r="BB22" s="130"/>
    </row>
    <row r="23" spans="2:54" ht="12.75" customHeight="1">
      <c r="B23" s="149">
        <v>13</v>
      </c>
      <c r="C23" s="149"/>
      <c r="D23" s="114" t="s">
        <v>397</v>
      </c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8" t="s">
        <v>398</v>
      </c>
      <c r="P23" s="118"/>
      <c r="Q23" s="118"/>
      <c r="R23" s="118"/>
      <c r="S23" s="118"/>
      <c r="T23" s="118"/>
      <c r="U23" s="118"/>
      <c r="V23" s="118"/>
      <c r="W23" s="118"/>
      <c r="X23" s="118"/>
      <c r="Y23" s="125" t="s">
        <v>137</v>
      </c>
      <c r="Z23" s="125"/>
      <c r="AA23" s="125"/>
      <c r="AB23" s="125"/>
      <c r="AC23" s="125"/>
      <c r="AD23" s="125"/>
      <c r="AE23" s="125"/>
      <c r="AF23" s="125"/>
      <c r="AG23" s="150" t="s">
        <v>129</v>
      </c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30" t="s">
        <v>129</v>
      </c>
      <c r="AX23" s="130"/>
      <c r="AY23" s="130"/>
      <c r="AZ23" s="130"/>
      <c r="BA23" s="130"/>
      <c r="BB23" s="130"/>
    </row>
    <row r="24" spans="2:54" ht="12.75" customHeight="1">
      <c r="B24" s="149">
        <v>14</v>
      </c>
      <c r="C24" s="149"/>
      <c r="D24" s="114" t="s">
        <v>399</v>
      </c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8" t="s">
        <v>400</v>
      </c>
      <c r="P24" s="118"/>
      <c r="Q24" s="118"/>
      <c r="R24" s="118"/>
      <c r="S24" s="118"/>
      <c r="T24" s="118"/>
      <c r="U24" s="118"/>
      <c r="V24" s="118"/>
      <c r="W24" s="118"/>
      <c r="X24" s="118"/>
      <c r="Y24" s="137" t="s">
        <v>132</v>
      </c>
      <c r="Z24" s="137"/>
      <c r="AA24" s="137"/>
      <c r="AB24" s="137"/>
      <c r="AC24" s="137"/>
      <c r="AD24" s="137"/>
      <c r="AE24" s="137"/>
      <c r="AF24" s="137"/>
      <c r="AG24" s="150" t="s">
        <v>129</v>
      </c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30" t="s">
        <v>129</v>
      </c>
      <c r="AX24" s="130"/>
      <c r="AY24" s="130"/>
      <c r="AZ24" s="130"/>
      <c r="BA24" s="130"/>
      <c r="BB24" s="130"/>
    </row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</sheetData>
  <mergeCells count="110">
    <mergeCell ref="B24:C24"/>
    <mergeCell ref="D24:N24"/>
    <mergeCell ref="O24:X24"/>
    <mergeCell ref="Y24:AF24"/>
    <mergeCell ref="AG24:AV24"/>
    <mergeCell ref="AW24:BB24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J8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29</v>
      </c>
      <c r="AU2" s="85"/>
      <c r="AV2" s="85"/>
      <c r="AW2" s="85"/>
      <c r="AX2" s="85"/>
      <c r="AY2" s="123">
        <v>44328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401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25" t="s">
        <v>69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46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46"/>
      <c r="AZ7" s="46"/>
      <c r="BA7" s="46"/>
      <c r="BB7" s="46"/>
    </row>
    <row r="8" spans="1:55" ht="12.75" customHeight="1">
      <c r="B8" s="5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</row>
    <row r="9" spans="1:55" ht="12.75" customHeight="1">
      <c r="B9" s="152" t="s">
        <v>46</v>
      </c>
      <c r="C9" s="152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 t="s">
        <v>125</v>
      </c>
      <c r="AX9" s="152"/>
      <c r="AY9" s="152"/>
      <c r="AZ9" s="152"/>
      <c r="BA9" s="152"/>
      <c r="BB9" s="152"/>
    </row>
    <row r="10" spans="1:55" ht="12.75" customHeight="1">
      <c r="B10" s="152"/>
      <c r="C10" s="152"/>
      <c r="D10" s="152" t="s">
        <v>48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 t="s">
        <v>49</v>
      </c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</row>
    <row r="11" spans="1:55" ht="12.75" customHeight="1">
      <c r="B11" s="144">
        <v>1</v>
      </c>
      <c r="C11" s="144"/>
      <c r="D11" s="145" t="s">
        <v>402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403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 t="s">
        <v>129</v>
      </c>
      <c r="AX11" s="138"/>
      <c r="AY11" s="138"/>
      <c r="AZ11" s="138"/>
      <c r="BA11" s="138"/>
      <c r="BB11" s="138"/>
    </row>
    <row r="12" spans="1:55" ht="12.75" customHeight="1">
      <c r="B12" s="144">
        <v>2</v>
      </c>
      <c r="C12" s="144"/>
      <c r="D12" s="145" t="s">
        <v>404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405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 t="s">
        <v>129</v>
      </c>
      <c r="AX12" s="138"/>
      <c r="AY12" s="138"/>
      <c r="AZ12" s="138"/>
      <c r="BA12" s="138"/>
      <c r="BB12" s="138"/>
    </row>
    <row r="13" spans="1:55" ht="12.75" customHeight="1">
      <c r="B13" s="144">
        <v>3</v>
      </c>
      <c r="C13" s="144"/>
      <c r="D13" s="145" t="s">
        <v>406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407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 t="s">
        <v>129</v>
      </c>
      <c r="AX13" s="138"/>
      <c r="AY13" s="138"/>
      <c r="AZ13" s="138"/>
      <c r="BA13" s="138"/>
      <c r="BB13" s="138"/>
    </row>
    <row r="14" spans="1:55" ht="12.75" customHeight="1">
      <c r="B14" s="144">
        <v>4</v>
      </c>
      <c r="C14" s="144"/>
      <c r="D14" s="145" t="s">
        <v>408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 t="s">
        <v>409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210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 t="s">
        <v>129</v>
      </c>
      <c r="AX14" s="138"/>
      <c r="AY14" s="138"/>
      <c r="AZ14" s="138"/>
      <c r="BA14" s="138"/>
      <c r="BB14" s="138"/>
    </row>
    <row r="15" spans="1:55" ht="12.75" customHeight="1">
      <c r="B15" s="144">
        <v>5</v>
      </c>
      <c r="C15" s="144"/>
      <c r="D15" s="145" t="s">
        <v>410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 t="s">
        <v>411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 t="s">
        <v>137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 t="s">
        <v>129</v>
      </c>
      <c r="AX15" s="138"/>
      <c r="AY15" s="138"/>
      <c r="AZ15" s="138"/>
      <c r="BA15" s="138"/>
      <c r="BB15" s="138"/>
    </row>
    <row r="16" spans="1:55" ht="12.75" customHeight="1">
      <c r="B16" s="144">
        <v>6</v>
      </c>
      <c r="C16" s="144"/>
      <c r="D16" s="145" t="s">
        <v>412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 t="s">
        <v>413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 t="s">
        <v>137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 t="s">
        <v>129</v>
      </c>
      <c r="AX16" s="138"/>
      <c r="AY16" s="138"/>
      <c r="AZ16" s="138"/>
      <c r="BA16" s="138"/>
      <c r="BB16" s="138"/>
    </row>
    <row r="17" spans="2:54" ht="12.75" customHeight="1">
      <c r="B17" s="144">
        <v>7</v>
      </c>
      <c r="C17" s="144"/>
      <c r="D17" s="145" t="s">
        <v>414</v>
      </c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 t="s">
        <v>415</v>
      </c>
      <c r="P17" s="145"/>
      <c r="Q17" s="145"/>
      <c r="R17" s="145"/>
      <c r="S17" s="145"/>
      <c r="T17" s="145"/>
      <c r="U17" s="145"/>
      <c r="V17" s="145"/>
      <c r="W17" s="145"/>
      <c r="X17" s="145"/>
      <c r="Y17" s="145" t="s">
        <v>416</v>
      </c>
      <c r="Z17" s="145"/>
      <c r="AA17" s="145"/>
      <c r="AB17" s="145"/>
      <c r="AC17" s="145"/>
      <c r="AD17" s="145"/>
      <c r="AE17" s="145"/>
      <c r="AF17" s="14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 t="s">
        <v>129</v>
      </c>
      <c r="AX17" s="138"/>
      <c r="AY17" s="138"/>
      <c r="AZ17" s="138"/>
      <c r="BA17" s="138"/>
      <c r="BB17" s="138"/>
    </row>
    <row r="18" spans="2:54" ht="12.75" customHeight="1">
      <c r="B18" s="144">
        <v>8</v>
      </c>
      <c r="C18" s="144"/>
      <c r="D18" s="145" t="s">
        <v>233</v>
      </c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 t="s">
        <v>234</v>
      </c>
      <c r="P18" s="145"/>
      <c r="Q18" s="145"/>
      <c r="R18" s="145"/>
      <c r="S18" s="145"/>
      <c r="T18" s="145"/>
      <c r="U18" s="145"/>
      <c r="V18" s="145"/>
      <c r="W18" s="145"/>
      <c r="X18" s="145"/>
      <c r="Y18" s="145" t="s">
        <v>137</v>
      </c>
      <c r="Z18" s="145"/>
      <c r="AA18" s="145"/>
      <c r="AB18" s="145"/>
      <c r="AC18" s="145"/>
      <c r="AD18" s="145"/>
      <c r="AE18" s="145"/>
      <c r="AF18" s="145"/>
      <c r="AG18" s="138" t="s">
        <v>129</v>
      </c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 t="s">
        <v>129</v>
      </c>
      <c r="AX18" s="138"/>
      <c r="AY18" s="138"/>
      <c r="AZ18" s="138"/>
      <c r="BA18" s="138"/>
      <c r="BB18" s="138"/>
    </row>
    <row r="19" spans="2:54" ht="12.75" customHeight="1">
      <c r="B19" s="144">
        <v>9</v>
      </c>
      <c r="C19" s="144"/>
      <c r="D19" s="145" t="s">
        <v>852</v>
      </c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 t="s">
        <v>853</v>
      </c>
      <c r="P19" s="145"/>
      <c r="Q19" s="145"/>
      <c r="R19" s="145"/>
      <c r="S19" s="145"/>
      <c r="T19" s="145"/>
      <c r="U19" s="145"/>
      <c r="V19" s="145"/>
      <c r="W19" s="145"/>
      <c r="X19" s="145"/>
      <c r="Y19" s="145" t="s">
        <v>854</v>
      </c>
      <c r="Z19" s="145"/>
      <c r="AA19" s="145"/>
      <c r="AB19" s="145"/>
      <c r="AC19" s="145"/>
      <c r="AD19" s="145"/>
      <c r="AE19" s="145"/>
      <c r="AF19" s="145"/>
      <c r="AG19" s="138" t="s">
        <v>129</v>
      </c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 t="s">
        <v>129</v>
      </c>
      <c r="AX19" s="138"/>
      <c r="AY19" s="138"/>
      <c r="AZ19" s="138"/>
      <c r="BA19" s="138"/>
      <c r="BB19" s="138"/>
    </row>
    <row r="20" spans="2:54" ht="12.75" customHeight="1">
      <c r="B20" s="144">
        <v>10</v>
      </c>
      <c r="C20" s="144"/>
      <c r="D20" s="145" t="s">
        <v>301</v>
      </c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 t="s">
        <v>302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 t="s">
        <v>132</v>
      </c>
      <c r="Z20" s="145"/>
      <c r="AA20" s="145"/>
      <c r="AB20" s="145"/>
      <c r="AC20" s="145"/>
      <c r="AD20" s="145"/>
      <c r="AE20" s="145"/>
      <c r="AF20" s="145"/>
      <c r="AG20" s="138" t="s">
        <v>129</v>
      </c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 t="s">
        <v>129</v>
      </c>
      <c r="AX20" s="138"/>
      <c r="AY20" s="138"/>
      <c r="AZ20" s="138"/>
      <c r="BA20" s="138"/>
      <c r="BB20" s="138"/>
    </row>
    <row r="21" spans="2:54" ht="12.75" customHeight="1">
      <c r="B21" s="144">
        <v>11</v>
      </c>
      <c r="C21" s="144"/>
      <c r="D21" s="128" t="s">
        <v>417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45" t="s">
        <v>418</v>
      </c>
      <c r="P21" s="145"/>
      <c r="Q21" s="145"/>
      <c r="R21" s="145"/>
      <c r="S21" s="145"/>
      <c r="T21" s="145"/>
      <c r="U21" s="145"/>
      <c r="V21" s="145"/>
      <c r="W21" s="145"/>
      <c r="X21" s="145"/>
      <c r="Y21" s="145" t="s">
        <v>419</v>
      </c>
      <c r="Z21" s="145"/>
      <c r="AA21" s="145"/>
      <c r="AB21" s="145"/>
      <c r="AC21" s="145"/>
      <c r="AD21" s="145"/>
      <c r="AE21" s="145"/>
      <c r="AF21" s="145"/>
      <c r="AG21" s="138" t="s">
        <v>129</v>
      </c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 t="s">
        <v>129</v>
      </c>
      <c r="AX21" s="138"/>
      <c r="AY21" s="138"/>
      <c r="AZ21" s="138"/>
      <c r="BA21" s="138"/>
      <c r="BB21" s="138"/>
    </row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</sheetData>
  <mergeCells count="92">
    <mergeCell ref="AW19:BB19"/>
    <mergeCell ref="B19:C19"/>
    <mergeCell ref="D19:N19"/>
    <mergeCell ref="O19:X19"/>
    <mergeCell ref="Y19:AF19"/>
    <mergeCell ref="AG19:AV19"/>
    <mergeCell ref="AW20:BB20"/>
    <mergeCell ref="B21:C21"/>
    <mergeCell ref="D21:N21"/>
    <mergeCell ref="O21:X21"/>
    <mergeCell ref="Y21:AF21"/>
    <mergeCell ref="AG21:AV21"/>
    <mergeCell ref="AW21:BB21"/>
    <mergeCell ref="B20:C20"/>
    <mergeCell ref="D20:N20"/>
    <mergeCell ref="O20:X20"/>
    <mergeCell ref="Y20:AF20"/>
    <mergeCell ref="AG20:AV20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MJ7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44306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420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25" t="s">
        <v>70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46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46"/>
      <c r="AZ7" s="46"/>
      <c r="BA7" s="46"/>
      <c r="BB7" s="46"/>
    </row>
    <row r="8" spans="1:55" ht="12.75" customHeight="1">
      <c r="B8" s="5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</row>
    <row r="9" spans="1:55" ht="12.75" customHeight="1">
      <c r="B9" s="152" t="s">
        <v>46</v>
      </c>
      <c r="C9" s="152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 t="s">
        <v>125</v>
      </c>
      <c r="AX9" s="152"/>
      <c r="AY9" s="152"/>
      <c r="AZ9" s="152"/>
      <c r="BA9" s="152"/>
      <c r="BB9" s="152"/>
    </row>
    <row r="10" spans="1:55" ht="12.75" customHeight="1">
      <c r="B10" s="152"/>
      <c r="C10" s="152"/>
      <c r="D10" s="152" t="s">
        <v>48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 t="s">
        <v>49</v>
      </c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</row>
    <row r="11" spans="1:55" ht="12.75" customHeight="1">
      <c r="B11" s="144">
        <v>1</v>
      </c>
      <c r="C11" s="144"/>
      <c r="D11" s="145" t="s">
        <v>404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405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 t="s">
        <v>129</v>
      </c>
      <c r="AX11" s="138"/>
      <c r="AY11" s="138"/>
      <c r="AZ11" s="138"/>
      <c r="BA11" s="138"/>
      <c r="BB11" s="138"/>
    </row>
    <row r="12" spans="1:55" ht="12.75" customHeight="1">
      <c r="B12" s="144">
        <v>2</v>
      </c>
      <c r="C12" s="144"/>
      <c r="D12" s="145" t="s">
        <v>406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407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132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 t="s">
        <v>129</v>
      </c>
      <c r="AX12" s="138"/>
      <c r="AY12" s="138"/>
      <c r="AZ12" s="138"/>
      <c r="BA12" s="138"/>
      <c r="BB12" s="138"/>
    </row>
    <row r="13" spans="1:55" ht="12.75" customHeight="1">
      <c r="B13" s="144">
        <v>3</v>
      </c>
      <c r="C13" s="144"/>
      <c r="D13" s="145" t="s">
        <v>212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421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 t="s">
        <v>129</v>
      </c>
      <c r="AX13" s="138"/>
      <c r="AY13" s="138"/>
      <c r="AZ13" s="138"/>
      <c r="BA13" s="138"/>
      <c r="BB13" s="138"/>
    </row>
    <row r="14" spans="1:55" ht="12.75" customHeight="1">
      <c r="B14" s="144">
        <v>4</v>
      </c>
      <c r="C14" s="144"/>
      <c r="D14" s="145" t="s">
        <v>412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 t="s">
        <v>413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207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 t="s">
        <v>129</v>
      </c>
      <c r="AX14" s="138"/>
      <c r="AY14" s="138"/>
      <c r="AZ14" s="138"/>
      <c r="BA14" s="138"/>
      <c r="BB14" s="138"/>
    </row>
    <row r="15" spans="1:55" ht="12.75" customHeight="1">
      <c r="B15" s="144">
        <v>5</v>
      </c>
      <c r="C15" s="144"/>
      <c r="D15" s="145" t="s">
        <v>422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 t="s">
        <v>423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 t="s">
        <v>137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 t="s">
        <v>129</v>
      </c>
      <c r="AX15" s="138"/>
      <c r="AY15" s="138"/>
      <c r="AZ15" s="138"/>
      <c r="BA15" s="138"/>
      <c r="BB15" s="138"/>
    </row>
    <row r="16" spans="1:55" ht="12.75" customHeight="1">
      <c r="B16" s="144">
        <v>6</v>
      </c>
      <c r="C16" s="144"/>
      <c r="D16" s="145" t="s">
        <v>177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 t="s">
        <v>178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 t="s">
        <v>137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 t="s">
        <v>129</v>
      </c>
      <c r="AX16" s="138"/>
      <c r="AY16" s="138"/>
      <c r="AZ16" s="138"/>
      <c r="BA16" s="138"/>
      <c r="BB16" s="138"/>
    </row>
    <row r="17" spans="2:54" ht="12.75" customHeight="1">
      <c r="B17" s="144">
        <v>7</v>
      </c>
      <c r="C17" s="144"/>
      <c r="D17" s="145" t="s">
        <v>220</v>
      </c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 t="s">
        <v>221</v>
      </c>
      <c r="P17" s="145"/>
      <c r="Q17" s="145"/>
      <c r="R17" s="145"/>
      <c r="S17" s="145"/>
      <c r="T17" s="145"/>
      <c r="U17" s="145"/>
      <c r="V17" s="145"/>
      <c r="W17" s="145"/>
      <c r="X17" s="145"/>
      <c r="Y17" s="145" t="s">
        <v>207</v>
      </c>
      <c r="Z17" s="145"/>
      <c r="AA17" s="145"/>
      <c r="AB17" s="145"/>
      <c r="AC17" s="145"/>
      <c r="AD17" s="145"/>
      <c r="AE17" s="145"/>
      <c r="AF17" s="14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 t="s">
        <v>129</v>
      </c>
      <c r="AX17" s="138"/>
      <c r="AY17" s="138"/>
      <c r="AZ17" s="138"/>
      <c r="BA17" s="138"/>
      <c r="BB17" s="138"/>
    </row>
    <row r="18" spans="2:54" ht="12.75" customHeight="1"/>
    <row r="19" spans="2:54" ht="12.75" customHeight="1"/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68">
    <mergeCell ref="AW17:BB17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MJ75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424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25" t="s">
        <v>71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50"/>
      <c r="C8" s="50"/>
      <c r="D8" s="50"/>
      <c r="E8" s="50"/>
      <c r="F8" s="50"/>
      <c r="G8" s="5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52" t="s">
        <v>46</v>
      </c>
      <c r="C9" s="152"/>
      <c r="D9" s="151" t="s">
        <v>122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 t="s">
        <v>49</v>
      </c>
      <c r="P9" s="151"/>
      <c r="Q9" s="151"/>
      <c r="R9" s="151"/>
      <c r="S9" s="151"/>
      <c r="T9" s="151"/>
      <c r="U9" s="151"/>
      <c r="V9" s="151"/>
      <c r="W9" s="151"/>
      <c r="X9" s="15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52"/>
      <c r="C10" s="152"/>
      <c r="D10" s="152" t="s">
        <v>48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 t="s">
        <v>49</v>
      </c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4">
        <v>1</v>
      </c>
      <c r="C11" s="144"/>
      <c r="D11" s="145" t="s">
        <v>404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405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4">
        <v>2</v>
      </c>
      <c r="C12" s="144"/>
      <c r="D12" s="145" t="s">
        <v>406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407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132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4">
        <v>3</v>
      </c>
      <c r="C13" s="144"/>
      <c r="D13" s="145" t="s">
        <v>412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413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137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4">
        <v>4</v>
      </c>
      <c r="C14" s="144"/>
      <c r="D14" s="125" t="s">
        <v>425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45" t="s">
        <v>426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427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</sheetData>
  <mergeCells count="50"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MJ8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428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72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429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430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431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403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406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407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432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363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137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433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411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137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434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435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416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4">
        <v>7</v>
      </c>
      <c r="C17" s="144"/>
      <c r="D17" s="145" t="s">
        <v>852</v>
      </c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 t="s">
        <v>853</v>
      </c>
      <c r="P17" s="145"/>
      <c r="Q17" s="145"/>
      <c r="R17" s="145"/>
      <c r="S17" s="145"/>
      <c r="T17" s="145"/>
      <c r="U17" s="145"/>
      <c r="V17" s="145"/>
      <c r="W17" s="145"/>
      <c r="X17" s="145"/>
      <c r="Y17" s="145" t="s">
        <v>854</v>
      </c>
      <c r="Z17" s="145"/>
      <c r="AA17" s="145"/>
      <c r="AB17" s="145"/>
      <c r="AC17" s="145"/>
      <c r="AD17" s="145"/>
      <c r="AE17" s="145"/>
      <c r="AF17" s="14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 t="s">
        <v>129</v>
      </c>
      <c r="AX17" s="138"/>
      <c r="AY17" s="138"/>
      <c r="AZ17" s="138"/>
      <c r="BA17" s="138"/>
      <c r="BB17" s="138"/>
    </row>
    <row r="18" spans="2:54" ht="12.75" customHeight="1">
      <c r="B18" s="144">
        <v>8</v>
      </c>
      <c r="C18" s="144"/>
      <c r="D18" s="145" t="s">
        <v>301</v>
      </c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 t="s">
        <v>302</v>
      </c>
      <c r="P18" s="145"/>
      <c r="Q18" s="145"/>
      <c r="R18" s="145"/>
      <c r="S18" s="145"/>
      <c r="T18" s="145"/>
      <c r="U18" s="145"/>
      <c r="V18" s="145"/>
      <c r="W18" s="145"/>
      <c r="X18" s="145"/>
      <c r="Y18" s="145" t="s">
        <v>132</v>
      </c>
      <c r="Z18" s="145"/>
      <c r="AA18" s="145"/>
      <c r="AB18" s="145"/>
      <c r="AC18" s="145"/>
      <c r="AD18" s="145"/>
      <c r="AE18" s="145"/>
      <c r="AF18" s="145"/>
      <c r="AG18" s="138" t="s">
        <v>129</v>
      </c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 t="s">
        <v>129</v>
      </c>
      <c r="AX18" s="138"/>
      <c r="AY18" s="138"/>
      <c r="AZ18" s="138"/>
      <c r="BA18" s="138"/>
      <c r="BB18" s="138"/>
    </row>
    <row r="19" spans="2:54" ht="12.75" customHeight="1">
      <c r="B19" s="149">
        <v>9</v>
      </c>
      <c r="C19" s="149"/>
      <c r="D19" s="125" t="s">
        <v>425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 t="s">
        <v>426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 t="s">
        <v>427</v>
      </c>
      <c r="Z19" s="125"/>
      <c r="AA19" s="125"/>
      <c r="AB19" s="125"/>
      <c r="AC19" s="125"/>
      <c r="AD19" s="125"/>
      <c r="AE19" s="125"/>
      <c r="AF19" s="125"/>
      <c r="AG19" s="150" t="s">
        <v>129</v>
      </c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30" t="s">
        <v>129</v>
      </c>
      <c r="AX19" s="130"/>
      <c r="AY19" s="130"/>
      <c r="AZ19" s="130"/>
      <c r="BA19" s="130"/>
      <c r="BB19" s="130"/>
    </row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</sheetData>
  <mergeCells count="80"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9:BB19"/>
    <mergeCell ref="B19:C19"/>
    <mergeCell ref="D19:N19"/>
    <mergeCell ref="O19:X19"/>
    <mergeCell ref="Y19:AF19"/>
    <mergeCell ref="AG19:AV19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MJ79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436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73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404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405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429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430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402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403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137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406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407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437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235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210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438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363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207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9">
        <v>7</v>
      </c>
      <c r="C17" s="149"/>
      <c r="D17" s="125" t="s">
        <v>410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411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 t="s">
        <v>137</v>
      </c>
      <c r="Z17" s="125"/>
      <c r="AA17" s="125"/>
      <c r="AB17" s="125"/>
      <c r="AC17" s="125"/>
      <c r="AD17" s="125"/>
      <c r="AE17" s="125"/>
      <c r="AF17" s="125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49">
        <v>8</v>
      </c>
      <c r="C18" s="149"/>
      <c r="D18" s="125" t="s">
        <v>434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 t="s">
        <v>435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 t="s">
        <v>439</v>
      </c>
      <c r="Z18" s="125"/>
      <c r="AA18" s="125"/>
      <c r="AB18" s="125"/>
      <c r="AC18" s="125"/>
      <c r="AD18" s="125"/>
      <c r="AE18" s="125"/>
      <c r="AF18" s="125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55">
        <v>9</v>
      </c>
      <c r="C19" s="155"/>
      <c r="D19" s="156" t="s">
        <v>440</v>
      </c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 t="s">
        <v>441</v>
      </c>
      <c r="P19" s="156"/>
      <c r="Q19" s="156"/>
      <c r="R19" s="156"/>
      <c r="S19" s="156"/>
      <c r="T19" s="156"/>
      <c r="U19" s="156"/>
      <c r="V19" s="156"/>
      <c r="W19" s="156"/>
      <c r="X19" s="156"/>
      <c r="Y19" s="156" t="s">
        <v>370</v>
      </c>
      <c r="Z19" s="156"/>
      <c r="AA19" s="156"/>
      <c r="AB19" s="156"/>
      <c r="AC19" s="156"/>
      <c r="AD19" s="156"/>
      <c r="AE19" s="156"/>
      <c r="AF19" s="156"/>
      <c r="AG19" s="133" t="s">
        <v>129</v>
      </c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 t="s">
        <v>851</v>
      </c>
      <c r="AX19" s="133"/>
      <c r="AY19" s="133"/>
      <c r="AZ19" s="133"/>
      <c r="BA19" s="133"/>
      <c r="BB19" s="133"/>
    </row>
    <row r="20" spans="2:54" ht="12.75" customHeight="1">
      <c r="B20" s="155">
        <v>10</v>
      </c>
      <c r="C20" s="155"/>
      <c r="D20" s="156" t="s">
        <v>442</v>
      </c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 t="s">
        <v>443</v>
      </c>
      <c r="P20" s="156"/>
      <c r="Q20" s="156"/>
      <c r="R20" s="156"/>
      <c r="S20" s="156"/>
      <c r="T20" s="156"/>
      <c r="U20" s="156"/>
      <c r="V20" s="156"/>
      <c r="W20" s="156"/>
      <c r="X20" s="156"/>
      <c r="Y20" s="156" t="s">
        <v>132</v>
      </c>
      <c r="Z20" s="156"/>
      <c r="AA20" s="156"/>
      <c r="AB20" s="156"/>
      <c r="AC20" s="156"/>
      <c r="AD20" s="156"/>
      <c r="AE20" s="156"/>
      <c r="AF20" s="156"/>
      <c r="AG20" s="133" t="s">
        <v>129</v>
      </c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 t="s">
        <v>851</v>
      </c>
      <c r="AX20" s="133"/>
      <c r="AY20" s="133"/>
      <c r="AZ20" s="133"/>
      <c r="BA20" s="133"/>
      <c r="BB20" s="133"/>
    </row>
    <row r="21" spans="2:54" ht="12.75" customHeight="1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</row>
    <row r="22" spans="2:54" ht="12.75" customHeight="1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spans="2:54" ht="12.75" customHeight="1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</row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86"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MJ74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6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6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6</v>
      </c>
      <c r="AU2" s="85"/>
      <c r="AV2" s="85"/>
      <c r="AW2" s="85"/>
      <c r="AX2" s="85"/>
      <c r="AY2" s="123">
        <v>44362</v>
      </c>
      <c r="AZ2" s="123"/>
      <c r="BA2" s="123"/>
      <c r="BB2" s="123"/>
      <c r="BC2" s="123"/>
    </row>
    <row r="3" spans="1:56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6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6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444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6" ht="12.75" customHeight="1">
      <c r="B6" s="124" t="s">
        <v>119</v>
      </c>
      <c r="C6" s="124"/>
      <c r="D6" s="124"/>
      <c r="E6" s="124"/>
      <c r="F6" s="124"/>
      <c r="G6" s="124"/>
      <c r="H6" s="128" t="s">
        <v>74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6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6" ht="12.75" customHeight="1"/>
    <row r="9" spans="1:56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6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6" ht="23.25" customHeight="1">
      <c r="B11" s="135">
        <v>1</v>
      </c>
      <c r="C11" s="135"/>
      <c r="D11" s="138" t="s">
        <v>445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57" t="s">
        <v>446</v>
      </c>
      <c r="P11" s="157"/>
      <c r="Q11" s="157"/>
      <c r="R11" s="157"/>
      <c r="S11" s="157"/>
      <c r="T11" s="157"/>
      <c r="U11" s="157"/>
      <c r="V11" s="157"/>
      <c r="W11" s="157"/>
      <c r="X11" s="157"/>
      <c r="Y11" s="138" t="s">
        <v>137</v>
      </c>
      <c r="Z11" s="138"/>
      <c r="AA11" s="138"/>
      <c r="AB11" s="138"/>
      <c r="AC11" s="138"/>
      <c r="AD11" s="138"/>
      <c r="AE11" s="138"/>
      <c r="AF11" s="138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6" ht="23.25" customHeight="1">
      <c r="B12" s="135">
        <v>2</v>
      </c>
      <c r="C12" s="135"/>
      <c r="D12" s="138" t="s">
        <v>447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57" t="s">
        <v>448</v>
      </c>
      <c r="P12" s="157"/>
      <c r="Q12" s="157"/>
      <c r="R12" s="157"/>
      <c r="S12" s="157"/>
      <c r="T12" s="157"/>
      <c r="U12" s="157"/>
      <c r="V12" s="157"/>
      <c r="W12" s="157"/>
      <c r="X12" s="157"/>
      <c r="Y12" s="138" t="s">
        <v>132</v>
      </c>
      <c r="Z12" s="138"/>
      <c r="AA12" s="138"/>
      <c r="AB12" s="138"/>
      <c r="AC12" s="138"/>
      <c r="AD12" s="138"/>
      <c r="AE12" s="138"/>
      <c r="AF12" s="138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6" s="53" customFormat="1" ht="23.25" customHeight="1">
      <c r="B13" s="158">
        <v>3</v>
      </c>
      <c r="C13" s="158"/>
      <c r="D13" s="159" t="s">
        <v>449</v>
      </c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60" t="s">
        <v>450</v>
      </c>
      <c r="P13" s="160"/>
      <c r="Q13" s="160"/>
      <c r="R13" s="160"/>
      <c r="S13" s="160"/>
      <c r="T13" s="160"/>
      <c r="U13" s="160"/>
      <c r="V13" s="160"/>
      <c r="W13" s="160"/>
      <c r="X13" s="160"/>
      <c r="Y13" s="159" t="s">
        <v>451</v>
      </c>
      <c r="Z13" s="159"/>
      <c r="AA13" s="159"/>
      <c r="AB13" s="159"/>
      <c r="AC13" s="159"/>
      <c r="AD13" s="159"/>
      <c r="AE13" s="159"/>
      <c r="AF13" s="159"/>
      <c r="AG13" s="133" t="s">
        <v>129</v>
      </c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 t="s">
        <v>129</v>
      </c>
      <c r="AX13" s="133"/>
      <c r="AY13" s="133"/>
      <c r="AZ13" s="133"/>
      <c r="BA13" s="133"/>
      <c r="BB13" s="133"/>
      <c r="BD13" s="54"/>
    </row>
    <row r="14" spans="1:56" ht="12.75" customHeight="1"/>
    <row r="15" spans="1:56" ht="12.75" customHeight="1"/>
    <row r="16" spans="1:5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MJ74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452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8" t="s">
        <v>75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/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18" t="s">
        <v>453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 t="s">
        <v>454</v>
      </c>
      <c r="P11" s="118"/>
      <c r="Q11" s="118"/>
      <c r="R11" s="118"/>
      <c r="S11" s="118"/>
      <c r="T11" s="118"/>
      <c r="U11" s="118"/>
      <c r="V11" s="118"/>
      <c r="W11" s="118"/>
      <c r="X11" s="118"/>
      <c r="Y11" s="118" t="s">
        <v>137</v>
      </c>
      <c r="Z11" s="118"/>
      <c r="AA11" s="118"/>
      <c r="AB11" s="118"/>
      <c r="AC11" s="118"/>
      <c r="AD11" s="118"/>
      <c r="AE11" s="118"/>
      <c r="AF11" s="118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18" t="s">
        <v>455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 t="s">
        <v>456</v>
      </c>
      <c r="P12" s="118"/>
      <c r="Q12" s="118"/>
      <c r="R12" s="118"/>
      <c r="S12" s="118"/>
      <c r="T12" s="118"/>
      <c r="U12" s="118"/>
      <c r="V12" s="118"/>
      <c r="W12" s="118"/>
      <c r="X12" s="118"/>
      <c r="Y12" s="118" t="s">
        <v>132</v>
      </c>
      <c r="Z12" s="118"/>
      <c r="AA12" s="118"/>
      <c r="AB12" s="118"/>
      <c r="AC12" s="118"/>
      <c r="AD12" s="118"/>
      <c r="AE12" s="118"/>
      <c r="AF12" s="118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18" t="s">
        <v>457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 t="s">
        <v>458</v>
      </c>
      <c r="P13" s="118"/>
      <c r="Q13" s="118"/>
      <c r="R13" s="118"/>
      <c r="S13" s="118"/>
      <c r="T13" s="118"/>
      <c r="U13" s="118"/>
      <c r="V13" s="118"/>
      <c r="W13" s="118"/>
      <c r="X13" s="118"/>
      <c r="Y13" s="118" t="s">
        <v>132</v>
      </c>
      <c r="Z13" s="118"/>
      <c r="AA13" s="118"/>
      <c r="AB13" s="118"/>
      <c r="AC13" s="118"/>
      <c r="AD13" s="118"/>
      <c r="AE13" s="118"/>
      <c r="AF13" s="118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MJ72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459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76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 t="s">
        <v>125</v>
      </c>
      <c r="AX9" s="148"/>
      <c r="AY9" s="148"/>
      <c r="AZ9" s="148"/>
      <c r="BA9" s="148"/>
      <c r="BB9" s="148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</row>
    <row r="11" spans="1:55" ht="12.75" customHeight="1">
      <c r="B11" s="149">
        <v>1</v>
      </c>
      <c r="C11" s="149"/>
      <c r="D11" s="125" t="s">
        <v>258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460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461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</row>
    <row r="12" spans="1:55" ht="12.75" customHeight="1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</row>
    <row r="13" spans="1:55" ht="12.75" customHeight="1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</row>
    <row r="14" spans="1:55" ht="12.75" customHeight="1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</row>
    <row r="15" spans="1:55" ht="12.75" customHeight="1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</row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</sheetData>
  <mergeCells count="32">
    <mergeCell ref="AW11:BB11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MJ75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462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77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463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464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132</v>
      </c>
      <c r="Z11" s="125"/>
      <c r="AA11" s="125"/>
      <c r="AB11" s="125"/>
      <c r="AC11" s="125"/>
      <c r="AD11" s="125"/>
      <c r="AE11" s="125"/>
      <c r="AF11" s="125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293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294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366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367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368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369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</sheetData>
  <mergeCells count="50"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J74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465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78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466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467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468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469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128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301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302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470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79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471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464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132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366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367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293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294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472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473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474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475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132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368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369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132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9">
        <v>7</v>
      </c>
      <c r="C17" s="149"/>
      <c r="D17" s="125" t="s">
        <v>476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477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 t="s">
        <v>137</v>
      </c>
      <c r="Z17" s="125"/>
      <c r="AA17" s="125"/>
      <c r="AB17" s="125"/>
      <c r="AC17" s="125"/>
      <c r="AD17" s="125"/>
      <c r="AE17" s="125"/>
      <c r="AF17" s="125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49">
        <v>8</v>
      </c>
      <c r="C18" s="149"/>
      <c r="D18" s="125" t="s">
        <v>478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 t="s">
        <v>479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 t="s">
        <v>132</v>
      </c>
      <c r="Z18" s="125"/>
      <c r="AA18" s="125"/>
      <c r="AB18" s="125"/>
      <c r="AC18" s="125"/>
      <c r="AD18" s="125"/>
      <c r="AE18" s="125"/>
      <c r="AF18" s="125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49">
        <v>9</v>
      </c>
      <c r="C19" s="149"/>
      <c r="D19" s="125" t="s">
        <v>480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 t="s">
        <v>481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 t="s">
        <v>132</v>
      </c>
      <c r="Z19" s="125"/>
      <c r="AA19" s="125"/>
      <c r="AB19" s="125"/>
      <c r="AC19" s="125"/>
      <c r="AD19" s="125"/>
      <c r="AE19" s="125"/>
      <c r="AF19" s="125"/>
      <c r="AG19" s="150" t="s">
        <v>129</v>
      </c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49">
        <v>10</v>
      </c>
      <c r="C20" s="149"/>
      <c r="D20" s="125" t="s">
        <v>482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 t="s">
        <v>483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 t="s">
        <v>137</v>
      </c>
      <c r="Z20" s="125"/>
      <c r="AA20" s="125"/>
      <c r="AB20" s="125"/>
      <c r="AC20" s="125"/>
      <c r="AD20" s="125"/>
      <c r="AE20" s="125"/>
      <c r="AF20" s="125"/>
      <c r="AG20" s="150" t="s">
        <v>129</v>
      </c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49">
        <v>11</v>
      </c>
      <c r="C21" s="149"/>
      <c r="D21" s="125" t="s">
        <v>484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 t="s">
        <v>485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 t="s">
        <v>132</v>
      </c>
      <c r="Z21" s="125"/>
      <c r="AA21" s="125"/>
      <c r="AB21" s="125"/>
      <c r="AC21" s="125"/>
      <c r="AD21" s="125"/>
      <c r="AE21" s="125"/>
      <c r="AF21" s="125"/>
      <c r="AG21" s="150" t="s">
        <v>129</v>
      </c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30" t="s">
        <v>129</v>
      </c>
      <c r="AX21" s="130"/>
      <c r="AY21" s="130"/>
      <c r="AZ21" s="130"/>
      <c r="BA21" s="130"/>
      <c r="BB21" s="130"/>
    </row>
    <row r="22" spans="2:54" ht="12.75" customHeight="1">
      <c r="B22" s="149">
        <v>12</v>
      </c>
      <c r="C22" s="149"/>
      <c r="D22" s="125" t="s">
        <v>486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 t="s">
        <v>487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 t="s">
        <v>132</v>
      </c>
      <c r="Z22" s="125"/>
      <c r="AA22" s="125"/>
      <c r="AB22" s="125"/>
      <c r="AC22" s="125"/>
      <c r="AD22" s="125"/>
      <c r="AE22" s="125"/>
      <c r="AF22" s="125"/>
      <c r="AG22" s="150" t="s">
        <v>129</v>
      </c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30" t="s">
        <v>129</v>
      </c>
      <c r="AX22" s="130"/>
      <c r="AY22" s="130"/>
      <c r="AZ22" s="130"/>
      <c r="BA22" s="130"/>
      <c r="BB22" s="130"/>
    </row>
    <row r="23" spans="2:54" ht="12.75" customHeight="1">
      <c r="B23" s="149">
        <v>13</v>
      </c>
      <c r="C23" s="149"/>
      <c r="D23" s="125" t="s">
        <v>488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 t="s">
        <v>489</v>
      </c>
      <c r="P23" s="125"/>
      <c r="Q23" s="125"/>
      <c r="R23" s="125"/>
      <c r="S23" s="125"/>
      <c r="T23" s="125"/>
      <c r="U23" s="125"/>
      <c r="V23" s="125"/>
      <c r="W23" s="125"/>
      <c r="X23" s="125"/>
      <c r="Y23" s="125" t="s">
        <v>132</v>
      </c>
      <c r="Z23" s="125"/>
      <c r="AA23" s="125"/>
      <c r="AB23" s="125"/>
      <c r="AC23" s="125"/>
      <c r="AD23" s="125"/>
      <c r="AE23" s="125"/>
      <c r="AF23" s="125"/>
      <c r="AG23" s="150" t="s">
        <v>129</v>
      </c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30" t="s">
        <v>129</v>
      </c>
      <c r="AX23" s="130"/>
      <c r="AY23" s="130"/>
      <c r="AZ23" s="130"/>
      <c r="BA23" s="130"/>
      <c r="BB23" s="130"/>
    </row>
    <row r="24" spans="2:54" ht="12.75" customHeight="1">
      <c r="B24" s="149">
        <v>14</v>
      </c>
      <c r="C24" s="149"/>
      <c r="D24" s="125" t="s">
        <v>490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 t="s">
        <v>491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 t="s">
        <v>132</v>
      </c>
      <c r="Z24" s="125"/>
      <c r="AA24" s="125"/>
      <c r="AB24" s="125"/>
      <c r="AC24" s="125"/>
      <c r="AD24" s="125"/>
      <c r="AE24" s="125"/>
      <c r="AF24" s="125"/>
      <c r="AG24" s="150" t="s">
        <v>129</v>
      </c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30" t="s">
        <v>129</v>
      </c>
      <c r="AX24" s="130"/>
      <c r="AY24" s="130"/>
      <c r="AZ24" s="130"/>
      <c r="BA24" s="130"/>
      <c r="BB24" s="130"/>
    </row>
    <row r="25" spans="2:54" ht="12.75" customHeight="1">
      <c r="B25" s="149">
        <v>15</v>
      </c>
      <c r="C25" s="149"/>
      <c r="D25" s="125" t="s">
        <v>492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 t="s">
        <v>493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 t="s">
        <v>132</v>
      </c>
      <c r="Z25" s="125"/>
      <c r="AA25" s="125"/>
      <c r="AB25" s="125"/>
      <c r="AC25" s="125"/>
      <c r="AD25" s="125"/>
      <c r="AE25" s="125"/>
      <c r="AF25" s="125"/>
      <c r="AG25" s="150" t="s">
        <v>129</v>
      </c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30" t="s">
        <v>129</v>
      </c>
      <c r="AX25" s="130"/>
      <c r="AY25" s="130"/>
      <c r="AZ25" s="130"/>
      <c r="BA25" s="130"/>
      <c r="BB25" s="130"/>
    </row>
    <row r="26" spans="2:54" ht="12.75" customHeight="1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116"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MJ66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44364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494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81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61" t="s">
        <v>495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 t="s">
        <v>496</v>
      </c>
      <c r="P11" s="161"/>
      <c r="Q11" s="161"/>
      <c r="R11" s="161"/>
      <c r="S11" s="161"/>
      <c r="T11" s="161"/>
      <c r="U11" s="161"/>
      <c r="V11" s="161"/>
      <c r="W11" s="161"/>
      <c r="X11" s="161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61" t="s">
        <v>494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 t="s">
        <v>497</v>
      </c>
      <c r="P12" s="161"/>
      <c r="Q12" s="161"/>
      <c r="R12" s="161"/>
      <c r="S12" s="161"/>
      <c r="T12" s="161"/>
      <c r="U12" s="161"/>
      <c r="V12" s="161"/>
      <c r="W12" s="161"/>
      <c r="X12" s="161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/>
      <c r="AX12" s="130"/>
      <c r="AY12" s="130"/>
      <c r="AZ12" s="130"/>
      <c r="BA12" s="130"/>
      <c r="BB12" s="130"/>
    </row>
    <row r="13" spans="1:55" ht="12.75" customHeight="1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</row>
    <row r="14" spans="1:55" ht="12.75" customHeight="1"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</row>
    <row r="15" spans="1:55" ht="12.75" customHeight="1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55" ht="12.75" customHeight="1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spans="2:31" ht="12.75" customHeight="1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 spans="2:31" ht="12.75" customHeight="1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 spans="2:31" ht="12.75" customHeight="1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2:31" ht="12.75" customHeight="1"/>
    <row r="21" spans="2:31" ht="12.75" customHeight="1"/>
    <row r="22" spans="2:31" ht="12.75" customHeight="1"/>
    <row r="23" spans="2:31" ht="12.75" customHeight="1"/>
    <row r="24" spans="2:31" ht="12.75" customHeight="1"/>
    <row r="25" spans="2:31" ht="12.75" customHeight="1"/>
    <row r="26" spans="2:31" ht="12.75" customHeight="1"/>
    <row r="27" spans="2:31" ht="12.75" customHeight="1"/>
    <row r="28" spans="2:31" ht="12.75" customHeight="1"/>
    <row r="29" spans="2:31" ht="12.75" customHeight="1"/>
    <row r="30" spans="2:31" ht="12.75" customHeight="1"/>
    <row r="31" spans="2:31" ht="12.75" customHeight="1"/>
    <row r="32" spans="2:3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</sheetData>
  <mergeCells count="38"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MJ66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44363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498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8" t="s">
        <v>80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422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423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498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499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500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499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MJ7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501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82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502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503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17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290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504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209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210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55">
        <v>4</v>
      </c>
      <c r="C14" s="155"/>
      <c r="D14" s="156" t="s">
        <v>505</v>
      </c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 t="s">
        <v>506</v>
      </c>
      <c r="P14" s="156"/>
      <c r="Q14" s="156"/>
      <c r="R14" s="156"/>
      <c r="S14" s="156"/>
      <c r="T14" s="156"/>
      <c r="U14" s="156"/>
      <c r="V14" s="156"/>
      <c r="W14" s="156"/>
      <c r="X14" s="156"/>
      <c r="Y14" s="156" t="s">
        <v>128</v>
      </c>
      <c r="Z14" s="156"/>
      <c r="AA14" s="156"/>
      <c r="AB14" s="156"/>
      <c r="AC14" s="156"/>
      <c r="AD14" s="156"/>
      <c r="AE14" s="156"/>
      <c r="AF14" s="156"/>
      <c r="AG14" s="133" t="s">
        <v>129</v>
      </c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 t="s">
        <v>879</v>
      </c>
      <c r="AX14" s="133"/>
      <c r="AY14" s="133"/>
      <c r="AZ14" s="133"/>
      <c r="BA14" s="133"/>
      <c r="BB14" s="133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50"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MJ76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507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83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508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509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292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275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276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277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137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122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278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399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510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207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</sheetData>
  <mergeCells count="56">
    <mergeCell ref="AW15:BB15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MJ7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1024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1024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13</v>
      </c>
      <c r="AU2" s="85"/>
      <c r="AV2" s="85"/>
      <c r="AW2" s="85"/>
      <c r="AX2" s="85"/>
      <c r="AY2" s="123">
        <v>45216</v>
      </c>
      <c r="AZ2" s="123"/>
      <c r="BA2" s="123"/>
      <c r="BB2" s="123"/>
      <c r="BC2" s="123"/>
    </row>
    <row r="3" spans="1:1024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1024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1024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511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1024" ht="12.75" customHeight="1">
      <c r="B6" s="111" t="s">
        <v>119</v>
      </c>
      <c r="C6" s="111"/>
      <c r="D6" s="111"/>
      <c r="E6" s="111"/>
      <c r="F6" s="111"/>
      <c r="G6" s="111"/>
      <c r="H6" s="137" t="s">
        <v>84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1024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1024" ht="12.75" customHeight="1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</row>
    <row r="9" spans="1:1024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 t="s">
        <v>125</v>
      </c>
      <c r="AX9" s="148"/>
      <c r="AY9" s="148"/>
      <c r="AZ9" s="148"/>
      <c r="BA9" s="148"/>
      <c r="BB9" s="148"/>
    </row>
    <row r="10" spans="1:1024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</row>
    <row r="11" spans="1:1024" ht="12.75" customHeight="1">
      <c r="B11" s="149">
        <v>1</v>
      </c>
      <c r="C11" s="149"/>
      <c r="D11" s="128" t="s">
        <v>512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5" t="s">
        <v>513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116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</row>
    <row r="12" spans="1:1024" ht="12.75" customHeight="1">
      <c r="B12" s="149">
        <v>2</v>
      </c>
      <c r="C12" s="149"/>
      <c r="D12" s="128" t="s">
        <v>417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5" t="s">
        <v>418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419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 t="s">
        <v>129</v>
      </c>
      <c r="AX12" s="150"/>
      <c r="AY12" s="150"/>
      <c r="AZ12" s="150"/>
      <c r="BA12" s="150"/>
      <c r="BB12" s="150"/>
    </row>
    <row r="13" spans="1:1024" ht="12.75" customHeight="1">
      <c r="B13" s="149">
        <v>3</v>
      </c>
      <c r="C13" s="149"/>
      <c r="D13" s="128" t="s">
        <v>514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5" t="s">
        <v>515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516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 t="s">
        <v>129</v>
      </c>
      <c r="AX13" s="150"/>
      <c r="AY13" s="150"/>
      <c r="AZ13" s="150"/>
      <c r="BA13" s="150"/>
      <c r="BB13" s="150"/>
    </row>
    <row r="14" spans="1:1024" ht="12.75" customHeight="1">
      <c r="B14" s="149">
        <v>4</v>
      </c>
      <c r="C14" s="149"/>
      <c r="D14" s="128" t="s">
        <v>517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5" t="s">
        <v>518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519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 t="s">
        <v>129</v>
      </c>
      <c r="AX14" s="150"/>
      <c r="AY14" s="150"/>
      <c r="AZ14" s="150"/>
      <c r="BA14" s="150"/>
      <c r="BB14" s="150"/>
    </row>
    <row r="15" spans="1:1024" s="56" customFormat="1" ht="12.75" customHeight="1">
      <c r="A15" s="53"/>
      <c r="B15" s="149">
        <v>5</v>
      </c>
      <c r="C15" s="149"/>
      <c r="D15" s="125" t="s">
        <v>520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37" t="s">
        <v>521</v>
      </c>
      <c r="P15" s="137"/>
      <c r="Q15" s="137"/>
      <c r="R15" s="137"/>
      <c r="S15" s="137"/>
      <c r="T15" s="137"/>
      <c r="U15" s="137"/>
      <c r="V15" s="137"/>
      <c r="W15" s="137"/>
      <c r="X15" s="137"/>
      <c r="Y15" s="137" t="s">
        <v>522</v>
      </c>
      <c r="Z15" s="137"/>
      <c r="AA15" s="137"/>
      <c r="AB15" s="137"/>
      <c r="AC15" s="137"/>
      <c r="AD15" s="137"/>
      <c r="AE15" s="137"/>
      <c r="AF15" s="137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 t="s">
        <v>129</v>
      </c>
      <c r="AX15" s="150"/>
      <c r="AY15" s="150"/>
      <c r="AZ15" s="150"/>
      <c r="BA15" s="150"/>
      <c r="BB15" s="150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  <c r="AKL15" s="53"/>
      <c r="AKM15" s="53"/>
      <c r="AKN15" s="53"/>
      <c r="AKO15" s="53"/>
      <c r="AKP15" s="53"/>
      <c r="AKQ15" s="53"/>
      <c r="AKR15" s="53"/>
      <c r="AKS15" s="53"/>
      <c r="AKT15" s="53"/>
      <c r="AKU15" s="53"/>
      <c r="AKV15" s="53"/>
      <c r="AKW15" s="53"/>
      <c r="AKX15" s="53"/>
      <c r="AKY15" s="53"/>
      <c r="AKZ15" s="53"/>
      <c r="ALA15" s="53"/>
      <c r="ALB15" s="53"/>
      <c r="ALC15" s="53"/>
      <c r="ALD15" s="53"/>
      <c r="ALE15" s="53"/>
      <c r="ALF15" s="53"/>
      <c r="ALG15" s="53"/>
      <c r="ALH15" s="53"/>
      <c r="ALI15" s="53"/>
      <c r="ALJ15" s="53"/>
      <c r="ALK15" s="53"/>
      <c r="ALL15" s="53"/>
      <c r="ALM15" s="53"/>
      <c r="ALN15" s="53"/>
      <c r="ALO15" s="53"/>
      <c r="ALP15" s="53"/>
      <c r="ALQ15" s="53"/>
      <c r="ALR15" s="53"/>
      <c r="ALS15" s="53"/>
      <c r="ALT15" s="53"/>
      <c r="ALU15" s="53"/>
      <c r="ALV15" s="53"/>
      <c r="ALW15" s="53"/>
      <c r="ALX15" s="53"/>
      <c r="ALY15" s="53"/>
      <c r="ALZ15" s="53"/>
      <c r="AMA15" s="53"/>
      <c r="AMB15" s="53"/>
      <c r="AMC15" s="53"/>
      <c r="AMD15" s="53"/>
      <c r="AME15" s="53"/>
      <c r="AMF15" s="53"/>
      <c r="AMG15" s="53"/>
      <c r="AMH15" s="53"/>
      <c r="AMI15" s="53"/>
      <c r="AMJ15" s="53"/>
    </row>
    <row r="16" spans="1:1024" ht="12.75" hidden="1" customHeight="1">
      <c r="B16" s="153">
        <v>5</v>
      </c>
      <c r="C16" s="153"/>
      <c r="D16" s="154" t="s">
        <v>520</v>
      </c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 t="s">
        <v>521</v>
      </c>
      <c r="P16" s="154"/>
      <c r="Q16" s="154"/>
      <c r="R16" s="154"/>
      <c r="S16" s="154"/>
      <c r="T16" s="154"/>
      <c r="U16" s="154"/>
      <c r="V16" s="154"/>
      <c r="W16" s="154"/>
      <c r="X16" s="154"/>
      <c r="Y16" s="154" t="s">
        <v>522</v>
      </c>
      <c r="Z16" s="154"/>
      <c r="AA16" s="154"/>
      <c r="AB16" s="154"/>
      <c r="AC16" s="154"/>
      <c r="AD16" s="154"/>
      <c r="AE16" s="154"/>
      <c r="AF16" s="154"/>
      <c r="AG16" s="159" t="s">
        <v>129</v>
      </c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 t="s">
        <v>129</v>
      </c>
      <c r="AX16" s="159"/>
      <c r="AY16" s="159"/>
      <c r="AZ16" s="159"/>
      <c r="BA16" s="159"/>
      <c r="BB16" s="159"/>
      <c r="BE16" s="57" t="s">
        <v>523</v>
      </c>
    </row>
    <row r="17" spans="2:57" ht="12.75" hidden="1" customHeight="1">
      <c r="B17" s="153">
        <v>6</v>
      </c>
      <c r="C17" s="153"/>
      <c r="D17" s="154" t="s">
        <v>524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 t="s">
        <v>525</v>
      </c>
      <c r="P17" s="154"/>
      <c r="Q17" s="154"/>
      <c r="R17" s="154"/>
      <c r="S17" s="154"/>
      <c r="T17" s="154"/>
      <c r="U17" s="154"/>
      <c r="V17" s="154"/>
      <c r="W17" s="154"/>
      <c r="X17" s="154"/>
      <c r="Y17" s="162" t="s">
        <v>207</v>
      </c>
      <c r="Z17" s="162"/>
      <c r="AA17" s="162"/>
      <c r="AB17" s="162"/>
      <c r="AC17" s="162"/>
      <c r="AD17" s="162"/>
      <c r="AE17" s="162"/>
      <c r="AF17" s="162"/>
      <c r="AG17" s="159" t="s">
        <v>129</v>
      </c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 t="s">
        <v>129</v>
      </c>
      <c r="AX17" s="159"/>
      <c r="AY17" s="159"/>
      <c r="AZ17" s="159"/>
      <c r="BA17" s="159"/>
      <c r="BB17" s="159"/>
      <c r="BE17" s="57" t="s">
        <v>523</v>
      </c>
    </row>
    <row r="18" spans="2:57" ht="12.75" hidden="1" customHeight="1">
      <c r="B18" s="153">
        <v>7</v>
      </c>
      <c r="C18" s="153"/>
      <c r="D18" s="154" t="s">
        <v>526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62" t="s">
        <v>527</v>
      </c>
      <c r="P18" s="162"/>
      <c r="Q18" s="162"/>
      <c r="R18" s="162"/>
      <c r="S18" s="162"/>
      <c r="T18" s="162"/>
      <c r="U18" s="162"/>
      <c r="V18" s="162"/>
      <c r="W18" s="162"/>
      <c r="X18" s="162"/>
      <c r="Y18" s="154" t="s">
        <v>528</v>
      </c>
      <c r="Z18" s="154"/>
      <c r="AA18" s="154"/>
      <c r="AB18" s="154"/>
      <c r="AC18" s="154"/>
      <c r="AD18" s="154"/>
      <c r="AE18" s="154"/>
      <c r="AF18" s="154"/>
      <c r="AG18" s="159" t="s">
        <v>129</v>
      </c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 t="s">
        <v>129</v>
      </c>
      <c r="AX18" s="159"/>
      <c r="AY18" s="159"/>
      <c r="AZ18" s="159"/>
      <c r="BA18" s="159"/>
      <c r="BB18" s="159"/>
      <c r="BE18" s="57" t="s">
        <v>523</v>
      </c>
    </row>
    <row r="19" spans="2:57" ht="12.75" customHeight="1"/>
    <row r="20" spans="2:57" ht="12.75" customHeight="1"/>
    <row r="21" spans="2:57" ht="12.75" customHeight="1"/>
    <row r="22" spans="2:57" ht="12.75" customHeight="1"/>
    <row r="23" spans="2:57" ht="12.75" customHeight="1"/>
    <row r="24" spans="2:57" ht="12.75" customHeight="1"/>
    <row r="25" spans="2:57" ht="12.75" customHeight="1"/>
    <row r="26" spans="2:57" ht="12.75" customHeight="1"/>
    <row r="27" spans="2:57" ht="12.75" customHeight="1"/>
    <row r="28" spans="2:57" ht="12.75" customHeight="1"/>
    <row r="29" spans="2:57" ht="12.75" customHeight="1"/>
    <row r="30" spans="2:57" ht="12.75" customHeight="1"/>
    <row r="31" spans="2:57" ht="12.75" customHeight="1"/>
    <row r="32" spans="2:5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</sheetData>
  <mergeCells count="74"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529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25" t="s">
        <v>85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5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</row>
    <row r="9" spans="1:55" ht="12.75" customHeight="1">
      <c r="B9" s="152" t="s">
        <v>46</v>
      </c>
      <c r="C9" s="152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52"/>
      <c r="C10" s="152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4">
        <v>1</v>
      </c>
      <c r="C11" s="144"/>
      <c r="D11" s="145" t="s">
        <v>177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178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4">
        <v>2</v>
      </c>
      <c r="C12" s="144"/>
      <c r="D12" s="145" t="s">
        <v>530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531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4">
        <v>3</v>
      </c>
      <c r="C13" s="144"/>
      <c r="D13" s="145" t="s">
        <v>354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355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137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4">
        <v>4</v>
      </c>
      <c r="C14" s="144"/>
      <c r="D14" s="145" t="s">
        <v>301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 t="s">
        <v>302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132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4">
        <v>5</v>
      </c>
      <c r="C15" s="144"/>
      <c r="D15" s="145" t="s">
        <v>532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 t="s">
        <v>533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 t="s">
        <v>132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4">
        <v>6</v>
      </c>
      <c r="C16" s="144"/>
      <c r="D16" s="145" t="s">
        <v>160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 t="s">
        <v>161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 t="s">
        <v>137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4">
        <v>7</v>
      </c>
      <c r="C17" s="144"/>
      <c r="D17" s="145" t="s">
        <v>145</v>
      </c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 t="s">
        <v>146</v>
      </c>
      <c r="P17" s="145"/>
      <c r="Q17" s="145"/>
      <c r="R17" s="145"/>
      <c r="S17" s="145"/>
      <c r="T17" s="145"/>
      <c r="U17" s="145"/>
      <c r="V17" s="145"/>
      <c r="W17" s="145"/>
      <c r="X17" s="145"/>
      <c r="Y17" s="145" t="s">
        <v>132</v>
      </c>
      <c r="Z17" s="145"/>
      <c r="AA17" s="145"/>
      <c r="AB17" s="145"/>
      <c r="AC17" s="145"/>
      <c r="AD17" s="145"/>
      <c r="AE17" s="145"/>
      <c r="AF17" s="14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44">
        <v>8</v>
      </c>
      <c r="C18" s="144"/>
      <c r="D18" s="145" t="s">
        <v>534</v>
      </c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 t="s">
        <v>535</v>
      </c>
      <c r="P18" s="145"/>
      <c r="Q18" s="145"/>
      <c r="R18" s="145"/>
      <c r="S18" s="145"/>
      <c r="T18" s="145"/>
      <c r="U18" s="145"/>
      <c r="V18" s="145"/>
      <c r="W18" s="145"/>
      <c r="X18" s="145"/>
      <c r="Y18" s="145" t="s">
        <v>137</v>
      </c>
      <c r="Z18" s="145"/>
      <c r="AA18" s="145"/>
      <c r="AB18" s="145"/>
      <c r="AC18" s="145"/>
      <c r="AD18" s="145"/>
      <c r="AE18" s="145"/>
      <c r="AF18" s="145"/>
      <c r="AG18" s="138" t="s">
        <v>129</v>
      </c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44">
        <v>9</v>
      </c>
      <c r="C19" s="144"/>
      <c r="D19" s="145" t="s">
        <v>536</v>
      </c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 t="s">
        <v>537</v>
      </c>
      <c r="P19" s="145"/>
      <c r="Q19" s="145"/>
      <c r="R19" s="145"/>
      <c r="S19" s="145"/>
      <c r="T19" s="145"/>
      <c r="U19" s="145"/>
      <c r="V19" s="145"/>
      <c r="W19" s="145"/>
      <c r="X19" s="145"/>
      <c r="Y19" s="145" t="s">
        <v>132</v>
      </c>
      <c r="Z19" s="145"/>
      <c r="AA19" s="145"/>
      <c r="AB19" s="145"/>
      <c r="AC19" s="145"/>
      <c r="AD19" s="145"/>
      <c r="AE19" s="145"/>
      <c r="AF19" s="145"/>
      <c r="AG19" s="138" t="s">
        <v>129</v>
      </c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44">
        <v>10</v>
      </c>
      <c r="C20" s="144"/>
      <c r="D20" s="145" t="s">
        <v>538</v>
      </c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 t="s">
        <v>221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 t="s">
        <v>207</v>
      </c>
      <c r="Z20" s="145"/>
      <c r="AA20" s="145"/>
      <c r="AB20" s="145"/>
      <c r="AC20" s="145"/>
      <c r="AD20" s="145"/>
      <c r="AE20" s="145"/>
      <c r="AF20" s="145"/>
      <c r="AG20" s="138" t="s">
        <v>129</v>
      </c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44">
        <v>11</v>
      </c>
      <c r="C21" s="144"/>
      <c r="D21" s="145" t="s">
        <v>164</v>
      </c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 t="s">
        <v>165</v>
      </c>
      <c r="P21" s="145"/>
      <c r="Q21" s="145"/>
      <c r="R21" s="145"/>
      <c r="S21" s="145"/>
      <c r="T21" s="145"/>
      <c r="U21" s="145"/>
      <c r="V21" s="145"/>
      <c r="W21" s="145"/>
      <c r="X21" s="145"/>
      <c r="Y21" s="145" t="s">
        <v>137</v>
      </c>
      <c r="Z21" s="145"/>
      <c r="AA21" s="145"/>
      <c r="AB21" s="145"/>
      <c r="AC21" s="145"/>
      <c r="AD21" s="145"/>
      <c r="AE21" s="145"/>
      <c r="AF21" s="145"/>
      <c r="AG21" s="138" t="s">
        <v>129</v>
      </c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0" t="s">
        <v>129</v>
      </c>
      <c r="AX21" s="130"/>
      <c r="AY21" s="130"/>
      <c r="AZ21" s="130"/>
      <c r="BA21" s="130"/>
      <c r="BB21" s="130"/>
    </row>
    <row r="22" spans="2:54" ht="12.75" customHeight="1">
      <c r="B22" s="144">
        <v>12</v>
      </c>
      <c r="C22" s="144"/>
      <c r="D22" s="145" t="s">
        <v>153</v>
      </c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154</v>
      </c>
      <c r="P22" s="145"/>
      <c r="Q22" s="145"/>
      <c r="R22" s="145"/>
      <c r="S22" s="145"/>
      <c r="T22" s="145"/>
      <c r="U22" s="145"/>
      <c r="V22" s="145"/>
      <c r="W22" s="145"/>
      <c r="X22" s="145"/>
      <c r="Y22" s="145" t="s">
        <v>132</v>
      </c>
      <c r="Z22" s="145"/>
      <c r="AA22" s="145"/>
      <c r="AB22" s="145"/>
      <c r="AC22" s="145"/>
      <c r="AD22" s="145"/>
      <c r="AE22" s="145"/>
      <c r="AF22" s="145"/>
      <c r="AG22" s="138" t="s">
        <v>129</v>
      </c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0" t="s">
        <v>129</v>
      </c>
      <c r="AX22" s="130"/>
      <c r="AY22" s="130"/>
      <c r="AZ22" s="130"/>
      <c r="BA22" s="130"/>
      <c r="BB22" s="130"/>
    </row>
    <row r="23" spans="2:54" ht="12.75" customHeight="1">
      <c r="B23" s="144">
        <v>13</v>
      </c>
      <c r="C23" s="144"/>
      <c r="D23" s="145" t="s">
        <v>539</v>
      </c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 t="s">
        <v>540</v>
      </c>
      <c r="P23" s="145"/>
      <c r="Q23" s="145"/>
      <c r="R23" s="145"/>
      <c r="S23" s="145"/>
      <c r="T23" s="145"/>
      <c r="U23" s="145"/>
      <c r="V23" s="145"/>
      <c r="W23" s="145"/>
      <c r="X23" s="145"/>
      <c r="Y23" s="145" t="s">
        <v>207</v>
      </c>
      <c r="Z23" s="145"/>
      <c r="AA23" s="145"/>
      <c r="AB23" s="145"/>
      <c r="AC23" s="145"/>
      <c r="AD23" s="145"/>
      <c r="AE23" s="145"/>
      <c r="AF23" s="145"/>
      <c r="AG23" s="138" t="s">
        <v>129</v>
      </c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0" t="s">
        <v>129</v>
      </c>
      <c r="AX23" s="130"/>
      <c r="AY23" s="130"/>
      <c r="AZ23" s="130"/>
      <c r="BA23" s="130"/>
      <c r="BB23" s="130"/>
    </row>
    <row r="24" spans="2:54" ht="12.75" customHeight="1">
      <c r="B24" s="144">
        <v>14</v>
      </c>
      <c r="C24" s="144"/>
      <c r="D24" s="145" t="s">
        <v>541</v>
      </c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 t="s">
        <v>542</v>
      </c>
      <c r="P24" s="145"/>
      <c r="Q24" s="145"/>
      <c r="R24" s="145"/>
      <c r="S24" s="145"/>
      <c r="T24" s="145"/>
      <c r="U24" s="145"/>
      <c r="V24" s="145"/>
      <c r="W24" s="145"/>
      <c r="X24" s="145"/>
      <c r="Y24" s="145" t="s">
        <v>137</v>
      </c>
      <c r="Z24" s="145"/>
      <c r="AA24" s="145"/>
      <c r="AB24" s="145"/>
      <c r="AC24" s="145"/>
      <c r="AD24" s="145"/>
      <c r="AE24" s="145"/>
      <c r="AF24" s="145"/>
      <c r="AG24" s="138" t="s">
        <v>129</v>
      </c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0" t="s">
        <v>129</v>
      </c>
      <c r="AX24" s="130"/>
      <c r="AY24" s="130"/>
      <c r="AZ24" s="130"/>
      <c r="BA24" s="130"/>
      <c r="BB24" s="130"/>
    </row>
    <row r="25" spans="2:54" ht="12.75" customHeight="1">
      <c r="B25" s="144">
        <v>15</v>
      </c>
      <c r="C25" s="144"/>
      <c r="D25" s="145" t="s">
        <v>543</v>
      </c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 t="s">
        <v>544</v>
      </c>
      <c r="P25" s="145"/>
      <c r="Q25" s="145"/>
      <c r="R25" s="145"/>
      <c r="S25" s="145"/>
      <c r="T25" s="145"/>
      <c r="U25" s="145"/>
      <c r="V25" s="145"/>
      <c r="W25" s="145"/>
      <c r="X25" s="145"/>
      <c r="Y25" s="145" t="s">
        <v>210</v>
      </c>
      <c r="Z25" s="145"/>
      <c r="AA25" s="145"/>
      <c r="AB25" s="145"/>
      <c r="AC25" s="145"/>
      <c r="AD25" s="145"/>
      <c r="AE25" s="145"/>
      <c r="AF25" s="145"/>
      <c r="AG25" s="138" t="s">
        <v>129</v>
      </c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0" t="s">
        <v>129</v>
      </c>
      <c r="AX25" s="130"/>
      <c r="AY25" s="130"/>
      <c r="AZ25" s="130"/>
      <c r="BA25" s="130"/>
      <c r="BB25" s="130"/>
    </row>
    <row r="26" spans="2:54" ht="12.75" customHeight="1">
      <c r="B26" s="144">
        <v>16</v>
      </c>
      <c r="C26" s="144"/>
      <c r="D26" s="145" t="s">
        <v>545</v>
      </c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 t="s">
        <v>546</v>
      </c>
      <c r="P26" s="145"/>
      <c r="Q26" s="145"/>
      <c r="R26" s="145"/>
      <c r="S26" s="145"/>
      <c r="T26" s="145"/>
      <c r="U26" s="145"/>
      <c r="V26" s="145"/>
      <c r="W26" s="145"/>
      <c r="X26" s="145"/>
      <c r="Y26" s="145" t="s">
        <v>132</v>
      </c>
      <c r="Z26" s="145"/>
      <c r="AA26" s="145"/>
      <c r="AB26" s="145"/>
      <c r="AC26" s="145"/>
      <c r="AD26" s="145"/>
      <c r="AE26" s="145"/>
      <c r="AF26" s="145"/>
      <c r="AG26" s="138" t="s">
        <v>129</v>
      </c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0" t="s">
        <v>129</v>
      </c>
      <c r="AX26" s="130"/>
      <c r="AY26" s="130"/>
      <c r="AZ26" s="130"/>
      <c r="BA26" s="130"/>
      <c r="BB26" s="130"/>
    </row>
    <row r="27" spans="2:54" ht="12.75" customHeight="1">
      <c r="B27" s="144">
        <v>17</v>
      </c>
      <c r="C27" s="144"/>
      <c r="D27" s="145" t="s">
        <v>547</v>
      </c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 t="s">
        <v>548</v>
      </c>
      <c r="P27" s="145"/>
      <c r="Q27" s="145"/>
      <c r="R27" s="145"/>
      <c r="S27" s="145"/>
      <c r="T27" s="145"/>
      <c r="U27" s="145"/>
      <c r="V27" s="145"/>
      <c r="W27" s="145"/>
      <c r="X27" s="145"/>
      <c r="Y27" s="145" t="s">
        <v>207</v>
      </c>
      <c r="Z27" s="145"/>
      <c r="AA27" s="145"/>
      <c r="AB27" s="145"/>
      <c r="AC27" s="145"/>
      <c r="AD27" s="145"/>
      <c r="AE27" s="145"/>
      <c r="AF27" s="145"/>
      <c r="AG27" s="138" t="s">
        <v>129</v>
      </c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0" t="s">
        <v>129</v>
      </c>
      <c r="AX27" s="130"/>
      <c r="AY27" s="130"/>
      <c r="AZ27" s="130"/>
      <c r="BA27" s="130"/>
      <c r="BB27" s="130"/>
    </row>
    <row r="28" spans="2:54" ht="12.75" customHeight="1">
      <c r="B28" s="144">
        <v>18</v>
      </c>
      <c r="C28" s="144"/>
      <c r="D28" s="145" t="s">
        <v>549</v>
      </c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 t="s">
        <v>550</v>
      </c>
      <c r="P28" s="145"/>
      <c r="Q28" s="145"/>
      <c r="R28" s="145"/>
      <c r="S28" s="145"/>
      <c r="T28" s="145"/>
      <c r="U28" s="145"/>
      <c r="V28" s="145"/>
      <c r="W28" s="145"/>
      <c r="X28" s="145"/>
      <c r="Y28" s="145" t="s">
        <v>132</v>
      </c>
      <c r="Z28" s="145"/>
      <c r="AA28" s="145"/>
      <c r="AB28" s="145"/>
      <c r="AC28" s="145"/>
      <c r="AD28" s="145"/>
      <c r="AE28" s="145"/>
      <c r="AF28" s="145"/>
      <c r="AG28" s="138" t="s">
        <v>129</v>
      </c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0" t="s">
        <v>129</v>
      </c>
      <c r="AX28" s="130"/>
      <c r="AY28" s="130"/>
      <c r="AZ28" s="130"/>
      <c r="BA28" s="130"/>
      <c r="BB28" s="130"/>
    </row>
    <row r="29" spans="2:54" ht="12.75" customHeight="1">
      <c r="B29" s="144">
        <v>19</v>
      </c>
      <c r="C29" s="144"/>
      <c r="D29" s="145" t="s">
        <v>551</v>
      </c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 t="s">
        <v>552</v>
      </c>
      <c r="P29" s="145"/>
      <c r="Q29" s="145"/>
      <c r="R29" s="145"/>
      <c r="S29" s="145"/>
      <c r="T29" s="145"/>
      <c r="U29" s="145"/>
      <c r="V29" s="145"/>
      <c r="W29" s="145"/>
      <c r="X29" s="145"/>
      <c r="Y29" s="145" t="s">
        <v>137</v>
      </c>
      <c r="Z29" s="145"/>
      <c r="AA29" s="145"/>
      <c r="AB29" s="145"/>
      <c r="AC29" s="145"/>
      <c r="AD29" s="145"/>
      <c r="AE29" s="145"/>
      <c r="AF29" s="145"/>
      <c r="AG29" s="138" t="s">
        <v>129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0" t="s">
        <v>129</v>
      </c>
      <c r="AX29" s="130"/>
      <c r="AY29" s="130"/>
      <c r="AZ29" s="130"/>
      <c r="BA29" s="130"/>
      <c r="BB29" s="130"/>
    </row>
    <row r="30" spans="2:54" ht="12.75" customHeight="1">
      <c r="B30" s="144">
        <v>20</v>
      </c>
      <c r="C30" s="144"/>
      <c r="D30" s="145" t="s">
        <v>553</v>
      </c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 t="s">
        <v>554</v>
      </c>
      <c r="P30" s="145"/>
      <c r="Q30" s="145"/>
      <c r="R30" s="145"/>
      <c r="S30" s="145"/>
      <c r="T30" s="145"/>
      <c r="U30" s="145"/>
      <c r="V30" s="145"/>
      <c r="W30" s="145"/>
      <c r="X30" s="145"/>
      <c r="Y30" s="145" t="s">
        <v>210</v>
      </c>
      <c r="Z30" s="145"/>
      <c r="AA30" s="145"/>
      <c r="AB30" s="145"/>
      <c r="AC30" s="145"/>
      <c r="AD30" s="145"/>
      <c r="AE30" s="145"/>
      <c r="AF30" s="145"/>
      <c r="AG30" s="138" t="s">
        <v>129</v>
      </c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0" t="s">
        <v>129</v>
      </c>
      <c r="AX30" s="130"/>
      <c r="AY30" s="130"/>
      <c r="AZ30" s="130"/>
      <c r="BA30" s="130"/>
      <c r="BB30" s="130"/>
    </row>
    <row r="31" spans="2:54" ht="12.75" customHeight="1">
      <c r="B31" s="144">
        <v>21</v>
      </c>
      <c r="C31" s="144"/>
      <c r="D31" s="145" t="s">
        <v>205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 t="s">
        <v>206</v>
      </c>
      <c r="P31" s="145"/>
      <c r="Q31" s="145"/>
      <c r="R31" s="145"/>
      <c r="S31" s="145"/>
      <c r="T31" s="145"/>
      <c r="U31" s="145"/>
      <c r="V31" s="145"/>
      <c r="W31" s="145"/>
      <c r="X31" s="145"/>
      <c r="Y31" s="145" t="s">
        <v>207</v>
      </c>
      <c r="Z31" s="145"/>
      <c r="AA31" s="145"/>
      <c r="AB31" s="145"/>
      <c r="AC31" s="145"/>
      <c r="AD31" s="145"/>
      <c r="AE31" s="145"/>
      <c r="AF31" s="145"/>
      <c r="AG31" s="138" t="s">
        <v>129</v>
      </c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0" t="s">
        <v>129</v>
      </c>
      <c r="AX31" s="130"/>
      <c r="AY31" s="130"/>
      <c r="AZ31" s="130"/>
      <c r="BA31" s="130"/>
      <c r="BB31" s="130"/>
    </row>
    <row r="32" spans="2:54" ht="12.75" customHeight="1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</row>
    <row r="33" spans="2:40" ht="12.75" customHeight="1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</row>
    <row r="34" spans="2:40" ht="12.75" customHeight="1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</row>
    <row r="35" spans="2:40" ht="12.75" customHeight="1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</row>
    <row r="36" spans="2:40" ht="12.75" customHeight="1"/>
    <row r="37" spans="2:40" ht="12.75" customHeight="1"/>
    <row r="38" spans="2:40" ht="12.75" customHeight="1"/>
    <row r="39" spans="2:40" ht="12.75" customHeight="1"/>
    <row r="40" spans="2:40" ht="12.75" customHeight="1"/>
    <row r="41" spans="2:40" ht="12.75" customHeight="1"/>
    <row r="42" spans="2:40" ht="12.75" customHeight="1"/>
    <row r="43" spans="2:40" ht="12.75" customHeight="1"/>
    <row r="44" spans="2:40" ht="12.75" customHeight="1"/>
    <row r="45" spans="2:40" ht="12.75" customHeight="1"/>
    <row r="46" spans="2:40" ht="12.75" customHeight="1"/>
    <row r="47" spans="2:40" ht="12.75" customHeight="1"/>
    <row r="48" spans="2:4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152">
    <mergeCell ref="B30:C30"/>
    <mergeCell ref="D30:N30"/>
    <mergeCell ref="O30:X30"/>
    <mergeCell ref="Y30:AF30"/>
    <mergeCell ref="AG30:AV30"/>
    <mergeCell ref="AW30:BB30"/>
    <mergeCell ref="B31:C31"/>
    <mergeCell ref="D31:N31"/>
    <mergeCell ref="O31:X31"/>
    <mergeCell ref="Y31:AF31"/>
    <mergeCell ref="AG31:AV31"/>
    <mergeCell ref="AW31:BB31"/>
    <mergeCell ref="B28:C28"/>
    <mergeCell ref="D28:N28"/>
    <mergeCell ref="O28:X28"/>
    <mergeCell ref="Y28:AF28"/>
    <mergeCell ref="AG28:AV28"/>
    <mergeCell ref="AW28:BB28"/>
    <mergeCell ref="B29:C29"/>
    <mergeCell ref="D29:N29"/>
    <mergeCell ref="O29:X29"/>
    <mergeCell ref="Y29:AF29"/>
    <mergeCell ref="AG29:AV29"/>
    <mergeCell ref="AW29:BB29"/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MJ64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44370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555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45" t="s">
        <v>86</v>
      </c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5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</row>
    <row r="9" spans="1:55" ht="12.75" customHeight="1">
      <c r="B9" s="152" t="s">
        <v>46</v>
      </c>
      <c r="C9" s="152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52"/>
      <c r="C10" s="152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4">
        <v>1</v>
      </c>
      <c r="C11" s="144"/>
      <c r="D11" s="145" t="s">
        <v>556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557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4">
        <v>2</v>
      </c>
      <c r="C12" s="144"/>
      <c r="D12" s="145" t="s">
        <v>558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559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132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4">
        <v>3</v>
      </c>
      <c r="C13" s="144"/>
      <c r="D13" s="145" t="s">
        <v>560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 t="s">
        <v>561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4">
        <v>4</v>
      </c>
      <c r="C14" s="144"/>
      <c r="D14" s="145" t="s">
        <v>562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 t="s">
        <v>563</v>
      </c>
      <c r="P14" s="145"/>
      <c r="Q14" s="145"/>
      <c r="R14" s="145"/>
      <c r="S14" s="145"/>
      <c r="T14" s="145"/>
      <c r="U14" s="145"/>
      <c r="V14" s="145"/>
      <c r="W14" s="145"/>
      <c r="X14" s="145"/>
      <c r="Y14" s="145" t="s">
        <v>132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4">
        <v>5</v>
      </c>
      <c r="C15" s="144"/>
      <c r="D15" s="145" t="s">
        <v>564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25" t="s">
        <v>565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45" t="s">
        <v>132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4">
        <v>6</v>
      </c>
      <c r="C16" s="144"/>
      <c r="D16" s="145" t="s">
        <v>566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25" t="s">
        <v>567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45" t="s">
        <v>132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4">
        <v>7</v>
      </c>
      <c r="C17" s="144"/>
      <c r="D17" s="145" t="s">
        <v>568</v>
      </c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25" t="s">
        <v>357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45" t="s">
        <v>210</v>
      </c>
      <c r="Z17" s="145"/>
      <c r="AA17" s="145"/>
      <c r="AB17" s="145"/>
      <c r="AC17" s="145"/>
      <c r="AD17" s="145"/>
      <c r="AE17" s="145"/>
      <c r="AF17" s="14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0" t="s">
        <v>129</v>
      </c>
      <c r="AX17" s="130"/>
      <c r="AY17" s="130"/>
      <c r="AZ17" s="130"/>
      <c r="BA17" s="130"/>
      <c r="BB17" s="130"/>
    </row>
    <row r="18" spans="2:54" s="44" customFormat="1" ht="12.75" customHeight="1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</row>
    <row r="19" spans="2:54" s="44" customFormat="1" ht="12.75" customHeight="1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</row>
    <row r="20" spans="2:54" s="44" customFormat="1" ht="12.75" customHeight="1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</row>
    <row r="21" spans="2:54" s="44" customFormat="1" ht="12.75" customHeight="1"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spans="2:54" s="44" customFormat="1" ht="12.75" customHeight="1"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spans="2:54" s="44" customFormat="1" ht="12.75" customHeight="1"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spans="2:54" s="44" customFormat="1" ht="12.75" customHeight="1"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 spans="2:54" s="44" customFormat="1" ht="12.75" customHeight="1"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</row>
    <row r="26" spans="2:54" s="44" customFormat="1" ht="12.75" customHeight="1"/>
    <row r="27" spans="2:54" s="44" customFormat="1" ht="12.75" customHeight="1"/>
    <row r="28" spans="2:54" s="44" customFormat="1" ht="12.75" customHeight="1"/>
    <row r="29" spans="2:54" s="44" customFormat="1" ht="12.75" customHeight="1"/>
    <row r="30" spans="2:54" s="44" customFormat="1" ht="12.75" customHeight="1"/>
    <row r="31" spans="2:54" s="44" customFormat="1" ht="12.75" customHeight="1"/>
    <row r="32" spans="2:54" s="44" customFormat="1" ht="12.75" customHeight="1"/>
    <row r="33" s="44" customFormat="1" ht="12.75" customHeight="1"/>
    <row r="34" s="44" customFormat="1" ht="12.75" customHeight="1"/>
    <row r="35" s="44" customFormat="1" ht="12.75" customHeight="1"/>
    <row r="36" s="44" customFormat="1" ht="12.75" customHeight="1"/>
    <row r="37" s="44" customFormat="1" ht="12.75" customHeight="1"/>
    <row r="38" s="44" customFormat="1" ht="12.75" customHeight="1"/>
    <row r="39" s="44" customFormat="1" ht="12.75" customHeight="1"/>
    <row r="40" s="44" customFormat="1" ht="12.75" customHeight="1"/>
    <row r="41" s="44" customFormat="1" ht="12.75" customHeight="1"/>
    <row r="42" s="44" customFormat="1" ht="12.75" customHeight="1"/>
    <row r="43" s="44" customFormat="1" ht="12.75" customHeight="1"/>
    <row r="44" s="44" customFormat="1" ht="12.75" customHeight="1"/>
    <row r="45" s="44" customFormat="1" ht="12.75" customHeight="1"/>
    <row r="46" s="44" customFormat="1" ht="12.75" customHeight="1"/>
    <row r="47" s="44" customFormat="1" ht="12.75" customHeight="1"/>
    <row r="48" s="44" customFormat="1" ht="12.75" customHeight="1"/>
    <row r="49" s="44" customFormat="1" ht="12.75" customHeight="1"/>
    <row r="50" s="44" customFormat="1" ht="12.75" customHeight="1"/>
    <row r="51" s="44" customFormat="1" ht="12.75" customHeight="1"/>
    <row r="52" s="44" customFormat="1" ht="12.75" customHeight="1"/>
    <row r="53" s="44" customFormat="1" ht="12.75" customHeight="1"/>
    <row r="54" s="44" customFormat="1" ht="12.75" customHeight="1"/>
    <row r="55" s="44" customFormat="1" ht="12.75" customHeight="1"/>
    <row r="56" s="44" customFormat="1" ht="12.75" customHeight="1"/>
    <row r="57" s="44" customFormat="1" ht="12.75" customHeight="1"/>
    <row r="58" s="44" customFormat="1" ht="12.75" customHeight="1"/>
    <row r="59" s="44" customFormat="1" ht="12.75" customHeight="1"/>
    <row r="60" s="44" customFormat="1" ht="12.75" customHeight="1"/>
    <row r="61" s="44" customFormat="1" ht="12.75" customHeight="1"/>
    <row r="62" s="44" customFormat="1" ht="12.75" customHeight="1"/>
    <row r="63" s="44" customFormat="1" ht="12.75" customHeight="1"/>
    <row r="64" s="44" customFormat="1" ht="12.75" customHeight="1"/>
  </sheetData>
  <mergeCells count="68">
    <mergeCell ref="AW17:BB17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MJ63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44370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51" t="s">
        <v>119</v>
      </c>
      <c r="C5" s="151"/>
      <c r="D5" s="151"/>
      <c r="E5" s="151"/>
      <c r="F5" s="151"/>
      <c r="G5" s="151"/>
      <c r="H5" s="125" t="s">
        <v>569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</row>
    <row r="6" spans="1:55" ht="12.75" customHeight="1">
      <c r="B6" s="151" t="s">
        <v>119</v>
      </c>
      <c r="C6" s="151"/>
      <c r="D6" s="151"/>
      <c r="E6" s="151"/>
      <c r="F6" s="151"/>
      <c r="G6" s="151"/>
      <c r="H6" s="145" t="s">
        <v>87</v>
      </c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51" t="s">
        <v>121</v>
      </c>
      <c r="C7" s="151"/>
      <c r="D7" s="151"/>
      <c r="E7" s="151"/>
      <c r="F7" s="151"/>
      <c r="G7" s="15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5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</row>
    <row r="9" spans="1:55" ht="12.75" customHeight="1">
      <c r="B9" s="152" t="s">
        <v>46</v>
      </c>
      <c r="C9" s="152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52" t="s">
        <v>123</v>
      </c>
      <c r="Z9" s="152"/>
      <c r="AA9" s="152"/>
      <c r="AB9" s="152"/>
      <c r="AC9" s="152"/>
      <c r="AD9" s="152"/>
      <c r="AE9" s="152"/>
      <c r="AF9" s="152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52"/>
      <c r="C10" s="152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4">
        <v>1</v>
      </c>
      <c r="C11" s="144"/>
      <c r="D11" s="145" t="s">
        <v>570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 t="s">
        <v>571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572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4">
        <v>2</v>
      </c>
      <c r="C12" s="144"/>
      <c r="D12" s="145" t="s">
        <v>573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 t="s">
        <v>565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132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4">
        <v>3</v>
      </c>
      <c r="C13" s="144"/>
      <c r="D13" s="145" t="s">
        <v>566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25" t="s">
        <v>567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4">
        <v>4</v>
      </c>
      <c r="C14" s="144"/>
      <c r="D14" s="145" t="s">
        <v>574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25" t="s">
        <v>575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45" t="s">
        <v>576</v>
      </c>
      <c r="Z14" s="145"/>
      <c r="AA14" s="145"/>
      <c r="AB14" s="145"/>
      <c r="AC14" s="145"/>
      <c r="AD14" s="145"/>
      <c r="AE14" s="145"/>
      <c r="AF14" s="14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4">
        <v>5</v>
      </c>
      <c r="C15" s="144"/>
      <c r="D15" s="145" t="s">
        <v>125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25" t="s">
        <v>577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45" t="s">
        <v>132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</row>
    <row r="17" spans="2:40" ht="12.75" customHeight="1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</row>
    <row r="18" spans="2:40" ht="12.75" customHeight="1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</row>
    <row r="19" spans="2:40" ht="12.75" customHeight="1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</row>
    <row r="20" spans="2:40" ht="12.75" customHeight="1"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</row>
    <row r="21" spans="2:40" ht="12.75" customHeight="1"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spans="2:40" ht="12.75" customHeight="1"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spans="2:40" ht="12.75" customHeight="1"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spans="2:40" ht="12.75" customHeight="1"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 spans="2:40" ht="12.75" customHeight="1"/>
    <row r="26" spans="2:40" ht="12.75" customHeight="1"/>
    <row r="27" spans="2:40" ht="12.75" customHeight="1"/>
    <row r="28" spans="2:40" ht="12.75" customHeight="1"/>
    <row r="29" spans="2:40" ht="12.75" customHeight="1"/>
    <row r="30" spans="2:40" ht="12.75" customHeight="1"/>
    <row r="31" spans="2:40" ht="12.75" customHeight="1"/>
    <row r="32" spans="2:4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</sheetData>
  <mergeCells count="56">
    <mergeCell ref="AW15:BB15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MJ56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7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7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44365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7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7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7" s="46" customFormat="1" ht="12.75" customHeight="1">
      <c r="B5" s="163" t="s">
        <v>119</v>
      </c>
      <c r="C5" s="163"/>
      <c r="D5" s="163"/>
      <c r="E5" s="163"/>
      <c r="F5" s="163"/>
      <c r="G5" s="163"/>
      <c r="H5" s="137" t="s">
        <v>578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spans="1:57" ht="12.75" customHeight="1">
      <c r="B6" s="163" t="s">
        <v>119</v>
      </c>
      <c r="C6" s="163"/>
      <c r="D6" s="163"/>
      <c r="E6" s="163"/>
      <c r="F6" s="163"/>
      <c r="G6" s="163"/>
      <c r="H6" s="137" t="s">
        <v>91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7" ht="12.75" customHeight="1">
      <c r="B7" s="163" t="s">
        <v>121</v>
      </c>
      <c r="C7" s="163"/>
      <c r="D7" s="163"/>
      <c r="E7" s="163"/>
      <c r="F7" s="163"/>
      <c r="G7" s="163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7" ht="12.75" customHeight="1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57" ht="12.75" customHeight="1">
      <c r="B9" s="164" t="s">
        <v>46</v>
      </c>
      <c r="C9" s="164"/>
      <c r="D9" s="163" t="s">
        <v>122</v>
      </c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 t="s">
        <v>49</v>
      </c>
      <c r="P9" s="163"/>
      <c r="Q9" s="163"/>
      <c r="R9" s="163"/>
      <c r="S9" s="163"/>
      <c r="T9" s="163"/>
      <c r="U9" s="163"/>
      <c r="V9" s="163"/>
      <c r="W9" s="163"/>
      <c r="X9" s="163"/>
      <c r="Y9" s="164" t="s">
        <v>123</v>
      </c>
      <c r="Z9" s="164"/>
      <c r="AA9" s="164"/>
      <c r="AB9" s="164"/>
      <c r="AC9" s="164"/>
      <c r="AD9" s="164"/>
      <c r="AE9" s="164"/>
      <c r="AF9" s="164"/>
      <c r="AG9" s="164" t="s">
        <v>124</v>
      </c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34" t="s">
        <v>125</v>
      </c>
      <c r="AX9" s="134"/>
      <c r="AY9" s="134"/>
      <c r="AZ9" s="134"/>
      <c r="BA9" s="134"/>
      <c r="BB9" s="134"/>
    </row>
    <row r="10" spans="1:57" ht="12.75" customHeight="1">
      <c r="B10" s="164"/>
      <c r="C10" s="164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34"/>
      <c r="AX10" s="134"/>
      <c r="AY10" s="134"/>
      <c r="AZ10" s="134"/>
      <c r="BA10" s="134"/>
      <c r="BB10" s="134"/>
      <c r="BC10" s="40"/>
      <c r="BD10" s="40"/>
      <c r="BE10" s="40"/>
    </row>
    <row r="11" spans="1:57" ht="12.75" customHeight="1">
      <c r="B11" s="165">
        <v>1</v>
      </c>
      <c r="C11" s="165"/>
      <c r="D11" s="166" t="s">
        <v>269</v>
      </c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 t="s">
        <v>270</v>
      </c>
      <c r="P11" s="166"/>
      <c r="Q11" s="166"/>
      <c r="R11" s="166"/>
      <c r="S11" s="166"/>
      <c r="T11" s="166"/>
      <c r="U11" s="166"/>
      <c r="V11" s="166"/>
      <c r="W11" s="166"/>
      <c r="X11" s="166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  <c r="BC11" s="40"/>
      <c r="BD11" s="40"/>
      <c r="BE11" s="40"/>
    </row>
    <row r="12" spans="1:57" ht="12.75" customHeight="1">
      <c r="B12" s="165">
        <v>2</v>
      </c>
      <c r="C12" s="165"/>
      <c r="D12" s="166" t="s">
        <v>293</v>
      </c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 t="s">
        <v>294</v>
      </c>
      <c r="P12" s="166"/>
      <c r="Q12" s="166"/>
      <c r="R12" s="166"/>
      <c r="S12" s="166"/>
      <c r="T12" s="166"/>
      <c r="U12" s="166"/>
      <c r="V12" s="166"/>
      <c r="W12" s="166"/>
      <c r="X12" s="166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 t="s">
        <v>129</v>
      </c>
      <c r="AX12" s="150"/>
      <c r="AY12" s="150"/>
      <c r="AZ12" s="150"/>
      <c r="BA12" s="150"/>
      <c r="BB12" s="150"/>
      <c r="BC12" s="40"/>
      <c r="BD12" s="40"/>
      <c r="BE12" s="40"/>
    </row>
    <row r="13" spans="1:57" ht="12.75" customHeight="1">
      <c r="B13" s="165">
        <v>3</v>
      </c>
      <c r="C13" s="165"/>
      <c r="D13" s="166" t="s">
        <v>295</v>
      </c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 t="s">
        <v>296</v>
      </c>
      <c r="P13" s="166"/>
      <c r="Q13" s="166"/>
      <c r="R13" s="166"/>
      <c r="S13" s="166"/>
      <c r="T13" s="166"/>
      <c r="U13" s="166"/>
      <c r="V13" s="166"/>
      <c r="W13" s="166"/>
      <c r="X13" s="166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 t="s">
        <v>129</v>
      </c>
      <c r="AX13" s="150"/>
      <c r="AY13" s="150"/>
      <c r="AZ13" s="150"/>
      <c r="BA13" s="150"/>
      <c r="BB13" s="150"/>
      <c r="BC13" s="40"/>
      <c r="BD13" s="40"/>
      <c r="BE13" s="40"/>
    </row>
    <row r="14" spans="1:57" ht="12.75" customHeight="1">
      <c r="B14" s="165">
        <v>4</v>
      </c>
      <c r="C14" s="165"/>
      <c r="D14" s="166" t="s">
        <v>297</v>
      </c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 t="s">
        <v>298</v>
      </c>
      <c r="P14" s="166"/>
      <c r="Q14" s="166"/>
      <c r="R14" s="166"/>
      <c r="S14" s="166"/>
      <c r="T14" s="166"/>
      <c r="U14" s="166"/>
      <c r="V14" s="166"/>
      <c r="W14" s="166"/>
      <c r="X14" s="166"/>
      <c r="Y14" s="125" t="s">
        <v>137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 t="s">
        <v>129</v>
      </c>
      <c r="AX14" s="150"/>
      <c r="AY14" s="150"/>
      <c r="AZ14" s="150"/>
      <c r="BA14" s="150"/>
      <c r="BB14" s="150"/>
      <c r="BC14" s="40"/>
      <c r="BD14" s="40"/>
      <c r="BE14" s="40"/>
    </row>
    <row r="15" spans="1:57" ht="12.75" customHeight="1">
      <c r="B15" s="165">
        <v>5</v>
      </c>
      <c r="C15" s="165"/>
      <c r="D15" s="166" t="s">
        <v>299</v>
      </c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 t="s">
        <v>300</v>
      </c>
      <c r="P15" s="166"/>
      <c r="Q15" s="166"/>
      <c r="R15" s="166"/>
      <c r="S15" s="166"/>
      <c r="T15" s="166"/>
      <c r="U15" s="166"/>
      <c r="V15" s="166"/>
      <c r="W15" s="166"/>
      <c r="X15" s="166"/>
      <c r="Y15" s="125" t="s">
        <v>137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 t="s">
        <v>129</v>
      </c>
      <c r="AX15" s="150"/>
      <c r="AY15" s="150"/>
      <c r="AZ15" s="150"/>
      <c r="BA15" s="150"/>
      <c r="BB15" s="150"/>
      <c r="BC15" s="40"/>
      <c r="BD15" s="40"/>
      <c r="BE15" s="40"/>
    </row>
    <row r="16" spans="1:57" ht="12.75" customHeight="1">
      <c r="B16" s="165">
        <v>6</v>
      </c>
      <c r="C16" s="165"/>
      <c r="D16" s="166" t="s">
        <v>303</v>
      </c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 t="s">
        <v>304</v>
      </c>
      <c r="P16" s="166"/>
      <c r="Q16" s="166"/>
      <c r="R16" s="166"/>
      <c r="S16" s="166"/>
      <c r="T16" s="166"/>
      <c r="U16" s="166"/>
      <c r="V16" s="166"/>
      <c r="W16" s="166"/>
      <c r="X16" s="166"/>
      <c r="Y16" s="125" t="s">
        <v>137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 t="s">
        <v>129</v>
      </c>
      <c r="AX16" s="150"/>
      <c r="AY16" s="150"/>
      <c r="AZ16" s="150"/>
      <c r="BA16" s="150"/>
      <c r="BB16" s="150"/>
      <c r="BC16" s="40"/>
      <c r="BD16" s="40"/>
      <c r="BE16" s="40"/>
    </row>
    <row r="17" spans="2:57" ht="12.75" customHeight="1">
      <c r="B17" s="165">
        <v>7</v>
      </c>
      <c r="C17" s="165"/>
      <c r="D17" s="166" t="s">
        <v>305</v>
      </c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 t="s">
        <v>306</v>
      </c>
      <c r="P17" s="166"/>
      <c r="Q17" s="166"/>
      <c r="R17" s="166"/>
      <c r="S17" s="166"/>
      <c r="T17" s="166"/>
      <c r="U17" s="166"/>
      <c r="V17" s="166"/>
      <c r="W17" s="166"/>
      <c r="X17" s="166"/>
      <c r="Y17" s="125" t="s">
        <v>137</v>
      </c>
      <c r="Z17" s="125"/>
      <c r="AA17" s="125"/>
      <c r="AB17" s="125"/>
      <c r="AC17" s="125"/>
      <c r="AD17" s="125"/>
      <c r="AE17" s="125"/>
      <c r="AF17" s="125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 t="s">
        <v>129</v>
      </c>
      <c r="AX17" s="150"/>
      <c r="AY17" s="150"/>
      <c r="AZ17" s="150"/>
      <c r="BA17" s="150"/>
      <c r="BB17" s="150"/>
      <c r="BC17" s="40"/>
      <c r="BD17" s="40"/>
      <c r="BE17" s="40"/>
    </row>
    <row r="18" spans="2:57" ht="12.75" customHeight="1">
      <c r="B18" s="165">
        <v>8</v>
      </c>
      <c r="C18" s="165"/>
      <c r="D18" s="166" t="s">
        <v>307</v>
      </c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 t="s">
        <v>308</v>
      </c>
      <c r="P18" s="166"/>
      <c r="Q18" s="166"/>
      <c r="R18" s="166"/>
      <c r="S18" s="166"/>
      <c r="T18" s="166"/>
      <c r="U18" s="166"/>
      <c r="V18" s="166"/>
      <c r="W18" s="166"/>
      <c r="X18" s="166"/>
      <c r="Y18" s="125" t="s">
        <v>137</v>
      </c>
      <c r="Z18" s="125"/>
      <c r="AA18" s="125"/>
      <c r="AB18" s="125"/>
      <c r="AC18" s="125"/>
      <c r="AD18" s="125"/>
      <c r="AE18" s="125"/>
      <c r="AF18" s="125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 t="s">
        <v>129</v>
      </c>
      <c r="AX18" s="150"/>
      <c r="AY18" s="150"/>
      <c r="AZ18" s="150"/>
      <c r="BA18" s="150"/>
      <c r="BB18" s="150"/>
      <c r="BC18" s="40"/>
      <c r="BD18" s="40"/>
      <c r="BE18" s="40"/>
    </row>
    <row r="19" spans="2:57" ht="12.75" customHeight="1">
      <c r="B19" s="165">
        <v>9</v>
      </c>
      <c r="C19" s="165"/>
      <c r="D19" s="166" t="s">
        <v>309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 t="s">
        <v>310</v>
      </c>
      <c r="P19" s="166"/>
      <c r="Q19" s="166"/>
      <c r="R19" s="166"/>
      <c r="S19" s="166"/>
      <c r="T19" s="166"/>
      <c r="U19" s="166"/>
      <c r="V19" s="166"/>
      <c r="W19" s="166"/>
      <c r="X19" s="166"/>
      <c r="Y19" s="125" t="s">
        <v>137</v>
      </c>
      <c r="Z19" s="125"/>
      <c r="AA19" s="125"/>
      <c r="AB19" s="125"/>
      <c r="AC19" s="125"/>
      <c r="AD19" s="125"/>
      <c r="AE19" s="125"/>
      <c r="AF19" s="125"/>
      <c r="AG19" s="150" t="s">
        <v>129</v>
      </c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 t="s">
        <v>129</v>
      </c>
      <c r="AX19" s="150"/>
      <c r="AY19" s="150"/>
      <c r="AZ19" s="150"/>
      <c r="BA19" s="150"/>
      <c r="BB19" s="150"/>
      <c r="BC19" s="40"/>
      <c r="BD19" s="40"/>
      <c r="BE19" s="40"/>
    </row>
    <row r="20" spans="2:57" ht="12.75" customHeight="1">
      <c r="B20" s="165">
        <v>10</v>
      </c>
      <c r="C20" s="165"/>
      <c r="D20" s="166" t="s">
        <v>579</v>
      </c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 t="s">
        <v>580</v>
      </c>
      <c r="P20" s="166"/>
      <c r="Q20" s="166"/>
      <c r="R20" s="166"/>
      <c r="S20" s="166"/>
      <c r="T20" s="166"/>
      <c r="U20" s="166"/>
      <c r="V20" s="166"/>
      <c r="W20" s="166"/>
      <c r="X20" s="166"/>
      <c r="Y20" s="125" t="s">
        <v>137</v>
      </c>
      <c r="Z20" s="125"/>
      <c r="AA20" s="125"/>
      <c r="AB20" s="125"/>
      <c r="AC20" s="125"/>
      <c r="AD20" s="125"/>
      <c r="AE20" s="125"/>
      <c r="AF20" s="125"/>
      <c r="AG20" s="150" t="s">
        <v>129</v>
      </c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 t="s">
        <v>129</v>
      </c>
      <c r="AX20" s="150"/>
      <c r="AY20" s="150"/>
      <c r="AZ20" s="150"/>
      <c r="BA20" s="150"/>
      <c r="BB20" s="150"/>
      <c r="BC20" s="40"/>
      <c r="BD20" s="40"/>
      <c r="BE20" s="40"/>
    </row>
    <row r="21" spans="2:57" ht="12.75" customHeight="1">
      <c r="B21" s="165">
        <v>11</v>
      </c>
      <c r="C21" s="165"/>
      <c r="D21" s="166" t="s">
        <v>581</v>
      </c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 t="s">
        <v>582</v>
      </c>
      <c r="P21" s="166"/>
      <c r="Q21" s="166"/>
      <c r="R21" s="166"/>
      <c r="S21" s="166"/>
      <c r="T21" s="166"/>
      <c r="U21" s="166"/>
      <c r="V21" s="166"/>
      <c r="W21" s="166"/>
      <c r="X21" s="166"/>
      <c r="Y21" s="125" t="s">
        <v>137</v>
      </c>
      <c r="Z21" s="125"/>
      <c r="AA21" s="125"/>
      <c r="AB21" s="125"/>
      <c r="AC21" s="125"/>
      <c r="AD21" s="125"/>
      <c r="AE21" s="125"/>
      <c r="AF21" s="125"/>
      <c r="AG21" s="150" t="s">
        <v>129</v>
      </c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 t="s">
        <v>129</v>
      </c>
      <c r="AX21" s="150"/>
      <c r="AY21" s="150"/>
      <c r="AZ21" s="150"/>
      <c r="BA21" s="150"/>
      <c r="BB21" s="150"/>
      <c r="BC21" s="40"/>
      <c r="BD21" s="40"/>
      <c r="BE21" s="40"/>
    </row>
    <row r="22" spans="2:57" ht="12.75" customHeight="1">
      <c r="B22" s="165">
        <v>12</v>
      </c>
      <c r="C22" s="165"/>
      <c r="D22" s="166" t="s">
        <v>346</v>
      </c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 t="s">
        <v>347</v>
      </c>
      <c r="P22" s="166"/>
      <c r="Q22" s="166"/>
      <c r="R22" s="166"/>
      <c r="S22" s="166"/>
      <c r="T22" s="166"/>
      <c r="U22" s="166"/>
      <c r="V22" s="166"/>
      <c r="W22" s="166"/>
      <c r="X22" s="166"/>
      <c r="Y22" s="145" t="s">
        <v>207</v>
      </c>
      <c r="Z22" s="145"/>
      <c r="AA22" s="145"/>
      <c r="AB22" s="145"/>
      <c r="AC22" s="145"/>
      <c r="AD22" s="145"/>
      <c r="AE22" s="145"/>
      <c r="AF22" s="145"/>
      <c r="AG22" s="150" t="s">
        <v>129</v>
      </c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 t="s">
        <v>129</v>
      </c>
      <c r="AX22" s="150"/>
      <c r="AY22" s="150"/>
      <c r="AZ22" s="150"/>
      <c r="BA22" s="150"/>
      <c r="BB22" s="150"/>
    </row>
    <row r="23" spans="2:57" ht="12.75" customHeight="1"/>
    <row r="24" spans="2:57" ht="12.75" customHeight="1"/>
    <row r="25" spans="2:57" ht="12.75" customHeight="1"/>
    <row r="26" spans="2:57" ht="12.75" customHeight="1"/>
    <row r="27" spans="2:57" ht="12.75" customHeight="1"/>
    <row r="28" spans="2:57" ht="12.75" customHeight="1"/>
    <row r="29" spans="2:57" ht="12.75" customHeight="1"/>
    <row r="30" spans="2:57" ht="12.75" customHeight="1"/>
    <row r="31" spans="2:57" ht="12.75" customHeight="1"/>
    <row r="32" spans="2:5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</sheetData>
  <mergeCells count="98">
    <mergeCell ref="AW21:BB21"/>
    <mergeCell ref="B22:C22"/>
    <mergeCell ref="D22:N22"/>
    <mergeCell ref="O22:X22"/>
    <mergeCell ref="Y22:AF22"/>
    <mergeCell ref="AG22:AV22"/>
    <mergeCell ref="AW22:BB22"/>
    <mergeCell ref="B21:C21"/>
    <mergeCell ref="D21:N21"/>
    <mergeCell ref="O21:X21"/>
    <mergeCell ref="Y21:AF21"/>
    <mergeCell ref="AG21:AV21"/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67171"/>
  </sheetPr>
  <dimension ref="A1:AMJ7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583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37" t="s">
        <v>88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55" ht="12.75" customHeight="1">
      <c r="B9" s="134" t="s">
        <v>46</v>
      </c>
      <c r="C9" s="134"/>
      <c r="D9" s="163" t="s">
        <v>122</v>
      </c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 t="s">
        <v>49</v>
      </c>
      <c r="P9" s="163"/>
      <c r="Q9" s="163"/>
      <c r="R9" s="163"/>
      <c r="S9" s="163"/>
      <c r="T9" s="163"/>
      <c r="U9" s="163"/>
      <c r="V9" s="163"/>
      <c r="W9" s="163"/>
      <c r="X9" s="163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64" t="s">
        <v>48</v>
      </c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 t="s">
        <v>49</v>
      </c>
      <c r="P10" s="164"/>
      <c r="Q10" s="164"/>
      <c r="R10" s="164"/>
      <c r="S10" s="164"/>
      <c r="T10" s="164"/>
      <c r="U10" s="164"/>
      <c r="V10" s="164"/>
      <c r="W10" s="164"/>
      <c r="X10" s="16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37" t="s">
        <v>584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 t="s">
        <v>585</v>
      </c>
      <c r="P11" s="137"/>
      <c r="Q11" s="137"/>
      <c r="R11" s="137"/>
      <c r="S11" s="137"/>
      <c r="T11" s="137"/>
      <c r="U11" s="137"/>
      <c r="V11" s="137"/>
      <c r="W11" s="137"/>
      <c r="X11" s="137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37" t="s">
        <v>390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 t="s">
        <v>355</v>
      </c>
      <c r="P12" s="137"/>
      <c r="Q12" s="137"/>
      <c r="R12" s="137"/>
      <c r="S12" s="137"/>
      <c r="T12" s="137"/>
      <c r="U12" s="137"/>
      <c r="V12" s="137"/>
      <c r="W12" s="137"/>
      <c r="X12" s="137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37" t="s">
        <v>586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 t="s">
        <v>587</v>
      </c>
      <c r="P13" s="137"/>
      <c r="Q13" s="137"/>
      <c r="R13" s="137"/>
      <c r="S13" s="137"/>
      <c r="T13" s="137"/>
      <c r="U13" s="137"/>
      <c r="V13" s="137"/>
      <c r="W13" s="137"/>
      <c r="X13" s="137"/>
      <c r="Y13" s="145" t="s">
        <v>137</v>
      </c>
      <c r="Z13" s="145"/>
      <c r="AA13" s="145"/>
      <c r="AB13" s="145"/>
      <c r="AC13" s="145"/>
      <c r="AD13" s="145"/>
      <c r="AE13" s="145"/>
      <c r="AF13" s="145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35">
        <v>4</v>
      </c>
      <c r="C14" s="135"/>
      <c r="D14" s="137" t="s">
        <v>568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 t="s">
        <v>357</v>
      </c>
      <c r="P14" s="137"/>
      <c r="Q14" s="137"/>
      <c r="R14" s="137"/>
      <c r="S14" s="137"/>
      <c r="T14" s="137"/>
      <c r="U14" s="137"/>
      <c r="V14" s="137"/>
      <c r="W14" s="137"/>
      <c r="X14" s="137"/>
      <c r="Y14" s="145" t="s">
        <v>210</v>
      </c>
      <c r="Z14" s="145"/>
      <c r="AA14" s="145"/>
      <c r="AB14" s="145"/>
      <c r="AC14" s="145"/>
      <c r="AD14" s="145"/>
      <c r="AE14" s="145"/>
      <c r="AF14" s="145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35">
        <v>5</v>
      </c>
      <c r="C15" s="135"/>
      <c r="D15" s="137" t="s">
        <v>269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 t="s">
        <v>270</v>
      </c>
      <c r="P15" s="137"/>
      <c r="Q15" s="137"/>
      <c r="R15" s="137"/>
      <c r="S15" s="137"/>
      <c r="T15" s="137"/>
      <c r="U15" s="137"/>
      <c r="V15" s="137"/>
      <c r="W15" s="137"/>
      <c r="X15" s="137"/>
      <c r="Y15" s="145" t="s">
        <v>207</v>
      </c>
      <c r="Z15" s="145"/>
      <c r="AA15" s="145"/>
      <c r="AB15" s="145"/>
      <c r="AC15" s="145"/>
      <c r="AD15" s="145"/>
      <c r="AE15" s="145"/>
      <c r="AF15" s="145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35">
        <v>6</v>
      </c>
      <c r="C16" s="135"/>
      <c r="D16" s="137" t="s">
        <v>588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 t="s">
        <v>525</v>
      </c>
      <c r="P16" s="137"/>
      <c r="Q16" s="137"/>
      <c r="R16" s="137"/>
      <c r="S16" s="137"/>
      <c r="T16" s="137"/>
      <c r="U16" s="137"/>
      <c r="V16" s="137"/>
      <c r="W16" s="137"/>
      <c r="X16" s="137"/>
      <c r="Y16" s="145" t="s">
        <v>207</v>
      </c>
      <c r="Z16" s="145"/>
      <c r="AA16" s="145"/>
      <c r="AB16" s="145"/>
      <c r="AC16" s="145"/>
      <c r="AD16" s="145"/>
      <c r="AE16" s="145"/>
      <c r="AF16" s="145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767171"/>
  </sheetPr>
  <dimension ref="A1:AMJ7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589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37" t="s">
        <v>89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55" ht="12.75" customHeight="1">
      <c r="B9" s="134" t="s">
        <v>46</v>
      </c>
      <c r="C9" s="134"/>
      <c r="D9" s="163" t="s">
        <v>122</v>
      </c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 t="s">
        <v>49</v>
      </c>
      <c r="P9" s="163"/>
      <c r="Q9" s="163"/>
      <c r="R9" s="163"/>
      <c r="S9" s="163"/>
      <c r="T9" s="163"/>
      <c r="U9" s="163"/>
      <c r="V9" s="163"/>
      <c r="W9" s="163"/>
      <c r="X9" s="163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64" t="s">
        <v>48</v>
      </c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 t="s">
        <v>49</v>
      </c>
      <c r="P10" s="164"/>
      <c r="Q10" s="164"/>
      <c r="R10" s="164"/>
      <c r="S10" s="164"/>
      <c r="T10" s="164"/>
      <c r="U10" s="164"/>
      <c r="V10" s="164"/>
      <c r="W10" s="164"/>
      <c r="X10" s="16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37" t="s">
        <v>590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 t="s">
        <v>591</v>
      </c>
      <c r="P11" s="137"/>
      <c r="Q11" s="137"/>
      <c r="R11" s="137"/>
      <c r="S11" s="137"/>
      <c r="T11" s="137"/>
      <c r="U11" s="137"/>
      <c r="V11" s="137"/>
      <c r="W11" s="137"/>
      <c r="X11" s="137"/>
      <c r="Y11" s="145" t="s">
        <v>137</v>
      </c>
      <c r="Z11" s="145"/>
      <c r="AA11" s="145"/>
      <c r="AB11" s="145"/>
      <c r="AC11" s="145"/>
      <c r="AD11" s="145"/>
      <c r="AE11" s="145"/>
      <c r="AF11" s="145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37" t="s">
        <v>584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 t="s">
        <v>592</v>
      </c>
      <c r="P12" s="137"/>
      <c r="Q12" s="137"/>
      <c r="R12" s="137"/>
      <c r="S12" s="137"/>
      <c r="T12" s="137"/>
      <c r="U12" s="137"/>
      <c r="V12" s="137"/>
      <c r="W12" s="137"/>
      <c r="X12" s="137"/>
      <c r="Y12" s="145" t="s">
        <v>137</v>
      </c>
      <c r="Z12" s="145"/>
      <c r="AA12" s="145"/>
      <c r="AB12" s="145"/>
      <c r="AC12" s="145"/>
      <c r="AD12" s="145"/>
      <c r="AE12" s="145"/>
      <c r="AF12" s="145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37" t="s">
        <v>593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 t="s">
        <v>456</v>
      </c>
      <c r="P13" s="137"/>
      <c r="Q13" s="137"/>
      <c r="R13" s="137"/>
      <c r="S13" s="137"/>
      <c r="T13" s="137"/>
      <c r="U13" s="137"/>
      <c r="V13" s="137"/>
      <c r="W13" s="137"/>
      <c r="X13" s="137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35">
        <v>4</v>
      </c>
      <c r="C14" s="135"/>
      <c r="D14" s="137" t="s">
        <v>594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 t="s">
        <v>458</v>
      </c>
      <c r="P14" s="137"/>
      <c r="Q14" s="137"/>
      <c r="R14" s="137"/>
      <c r="S14" s="137"/>
      <c r="T14" s="137"/>
      <c r="U14" s="137"/>
      <c r="V14" s="137"/>
      <c r="W14" s="137"/>
      <c r="X14" s="137"/>
      <c r="Y14" s="145" t="s">
        <v>132</v>
      </c>
      <c r="Z14" s="145"/>
      <c r="AA14" s="145"/>
      <c r="AB14" s="145"/>
      <c r="AC14" s="145"/>
      <c r="AD14" s="145"/>
      <c r="AE14" s="145"/>
      <c r="AF14" s="145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35">
        <v>5</v>
      </c>
      <c r="C15" s="135"/>
      <c r="D15" s="137" t="s">
        <v>595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 t="s">
        <v>596</v>
      </c>
      <c r="P15" s="137"/>
      <c r="Q15" s="137"/>
      <c r="R15" s="137"/>
      <c r="S15" s="137"/>
      <c r="T15" s="137"/>
      <c r="U15" s="137"/>
      <c r="V15" s="137"/>
      <c r="W15" s="137"/>
      <c r="X15" s="137"/>
      <c r="Y15" s="145" t="s">
        <v>132</v>
      </c>
      <c r="Z15" s="145"/>
      <c r="AA15" s="145"/>
      <c r="AB15" s="145"/>
      <c r="AC15" s="145"/>
      <c r="AD15" s="145"/>
      <c r="AE15" s="145"/>
      <c r="AF15" s="145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35">
        <v>6</v>
      </c>
      <c r="C16" s="135"/>
      <c r="D16" s="137" t="s">
        <v>597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 t="s">
        <v>598</v>
      </c>
      <c r="P16" s="137"/>
      <c r="Q16" s="137"/>
      <c r="R16" s="137"/>
      <c r="S16" s="137"/>
      <c r="T16" s="137"/>
      <c r="U16" s="137"/>
      <c r="V16" s="137"/>
      <c r="W16" s="137"/>
      <c r="X16" s="137"/>
      <c r="Y16" s="145" t="s">
        <v>207</v>
      </c>
      <c r="Z16" s="145"/>
      <c r="AA16" s="145"/>
      <c r="AB16" s="145"/>
      <c r="AC16" s="145"/>
      <c r="AD16" s="145"/>
      <c r="AE16" s="145"/>
      <c r="AF16" s="145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767171"/>
  </sheetPr>
  <dimension ref="A1:AMJ7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44298</v>
      </c>
      <c r="AP2" s="86"/>
      <c r="AQ2" s="86"/>
      <c r="AR2" s="86"/>
      <c r="AS2" s="86"/>
      <c r="AT2" s="85" t="s">
        <v>13</v>
      </c>
      <c r="AU2" s="85"/>
      <c r="AV2" s="85"/>
      <c r="AW2" s="85"/>
      <c r="AX2" s="85"/>
      <c r="AY2" s="123">
        <v>45216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63" t="s">
        <v>119</v>
      </c>
      <c r="C5" s="163"/>
      <c r="D5" s="163"/>
      <c r="E5" s="163"/>
      <c r="F5" s="163"/>
      <c r="G5" s="163"/>
      <c r="H5" s="137" t="s">
        <v>589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spans="1:55" ht="12.75" customHeight="1">
      <c r="B6" s="163" t="s">
        <v>119</v>
      </c>
      <c r="C6" s="163"/>
      <c r="D6" s="163"/>
      <c r="E6" s="163"/>
      <c r="F6" s="163"/>
      <c r="G6" s="163"/>
      <c r="H6" s="137" t="s">
        <v>90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63" t="s">
        <v>121</v>
      </c>
      <c r="C7" s="163"/>
      <c r="D7" s="163"/>
      <c r="E7" s="163"/>
      <c r="F7" s="163"/>
      <c r="G7" s="163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55" ht="12.75" customHeight="1">
      <c r="B9" s="164" t="s">
        <v>46</v>
      </c>
      <c r="C9" s="164"/>
      <c r="D9" s="163" t="s">
        <v>122</v>
      </c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 t="s">
        <v>49</v>
      </c>
      <c r="P9" s="163"/>
      <c r="Q9" s="163"/>
      <c r="R9" s="163"/>
      <c r="S9" s="163"/>
      <c r="T9" s="163"/>
      <c r="U9" s="163"/>
      <c r="V9" s="163"/>
      <c r="W9" s="163"/>
      <c r="X9" s="163"/>
      <c r="Y9" s="164" t="s">
        <v>123</v>
      </c>
      <c r="Z9" s="164"/>
      <c r="AA9" s="164"/>
      <c r="AB9" s="164"/>
      <c r="AC9" s="164"/>
      <c r="AD9" s="164"/>
      <c r="AE9" s="164"/>
      <c r="AF9" s="164"/>
      <c r="AG9" s="164" t="s">
        <v>124</v>
      </c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64"/>
      <c r="C10" s="164"/>
      <c r="D10" s="164" t="s">
        <v>48</v>
      </c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 t="s">
        <v>49</v>
      </c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34"/>
      <c r="AX10" s="134"/>
      <c r="AY10" s="134"/>
      <c r="AZ10" s="134"/>
      <c r="BA10" s="134"/>
      <c r="BB10" s="134"/>
    </row>
    <row r="11" spans="1:55" ht="12.75" customHeight="1">
      <c r="B11" s="165">
        <v>1</v>
      </c>
      <c r="C11" s="165"/>
      <c r="D11" s="114" t="s">
        <v>584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585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41" t="s">
        <v>129</v>
      </c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65">
        <v>2</v>
      </c>
      <c r="C12" s="165"/>
      <c r="D12" s="114" t="s">
        <v>599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600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7" t="s">
        <v>210</v>
      </c>
      <c r="Z12" s="137"/>
      <c r="AA12" s="137"/>
      <c r="AB12" s="137"/>
      <c r="AC12" s="137"/>
      <c r="AD12" s="137"/>
      <c r="AE12" s="137"/>
      <c r="AF12" s="137"/>
      <c r="AG12" s="141" t="s">
        <v>129</v>
      </c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65">
        <v>3</v>
      </c>
      <c r="C13" s="165"/>
      <c r="D13" s="114" t="s">
        <v>601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602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41" t="s">
        <v>129</v>
      </c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65">
        <v>4</v>
      </c>
      <c r="C14" s="165"/>
      <c r="D14" s="114" t="s">
        <v>603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604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41" t="s">
        <v>129</v>
      </c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65">
        <v>5</v>
      </c>
      <c r="C15" s="165"/>
      <c r="D15" s="114" t="s">
        <v>145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146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25" t="s">
        <v>132</v>
      </c>
      <c r="Z15" s="125"/>
      <c r="AA15" s="125"/>
      <c r="AB15" s="125"/>
      <c r="AC15" s="125"/>
      <c r="AD15" s="125"/>
      <c r="AE15" s="125"/>
      <c r="AF15" s="125"/>
      <c r="AG15" s="141" t="s">
        <v>129</v>
      </c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65">
        <v>6</v>
      </c>
      <c r="C16" s="165"/>
      <c r="D16" s="114" t="s">
        <v>269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270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25" t="s">
        <v>137</v>
      </c>
      <c r="Z16" s="125"/>
      <c r="AA16" s="125"/>
      <c r="AB16" s="125"/>
      <c r="AC16" s="125"/>
      <c r="AD16" s="125"/>
      <c r="AE16" s="125"/>
      <c r="AF16" s="125"/>
      <c r="AG16" s="141" t="s">
        <v>129</v>
      </c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65">
        <v>7</v>
      </c>
      <c r="C17" s="165"/>
      <c r="D17" s="114" t="s">
        <v>293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294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25" t="s">
        <v>132</v>
      </c>
      <c r="Z17" s="125"/>
      <c r="AA17" s="125"/>
      <c r="AB17" s="125"/>
      <c r="AC17" s="125"/>
      <c r="AD17" s="125"/>
      <c r="AE17" s="125"/>
      <c r="AF17" s="125"/>
      <c r="AG17" s="141" t="s">
        <v>129</v>
      </c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65">
        <v>8</v>
      </c>
      <c r="C18" s="165"/>
      <c r="D18" s="114" t="s">
        <v>295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296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25" t="s">
        <v>132</v>
      </c>
      <c r="Z18" s="125"/>
      <c r="AA18" s="125"/>
      <c r="AB18" s="125"/>
      <c r="AC18" s="125"/>
      <c r="AD18" s="125"/>
      <c r="AE18" s="125"/>
      <c r="AF18" s="125"/>
      <c r="AG18" s="141" t="s">
        <v>129</v>
      </c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65">
        <v>10</v>
      </c>
      <c r="C19" s="165"/>
      <c r="D19" s="114" t="s">
        <v>297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298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25" t="s">
        <v>137</v>
      </c>
      <c r="Z19" s="125"/>
      <c r="AA19" s="125"/>
      <c r="AB19" s="125"/>
      <c r="AC19" s="125"/>
      <c r="AD19" s="125"/>
      <c r="AE19" s="125"/>
      <c r="AF19" s="125"/>
      <c r="AG19" s="141" t="s">
        <v>129</v>
      </c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65">
        <v>11</v>
      </c>
      <c r="C20" s="165"/>
      <c r="D20" s="114" t="s">
        <v>299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300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25" t="s">
        <v>137</v>
      </c>
      <c r="Z20" s="125"/>
      <c r="AA20" s="125"/>
      <c r="AB20" s="125"/>
      <c r="AC20" s="125"/>
      <c r="AD20" s="125"/>
      <c r="AE20" s="125"/>
      <c r="AF20" s="125"/>
      <c r="AG20" s="141" t="s">
        <v>129</v>
      </c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65">
        <v>12</v>
      </c>
      <c r="C21" s="165"/>
      <c r="D21" s="114" t="s">
        <v>303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 t="s">
        <v>304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25" t="s">
        <v>137</v>
      </c>
      <c r="Z21" s="125"/>
      <c r="AA21" s="125"/>
      <c r="AB21" s="125"/>
      <c r="AC21" s="125"/>
      <c r="AD21" s="125"/>
      <c r="AE21" s="125"/>
      <c r="AF21" s="125"/>
      <c r="AG21" s="141" t="s">
        <v>129</v>
      </c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30" t="s">
        <v>129</v>
      </c>
      <c r="AX21" s="130"/>
      <c r="AY21" s="130"/>
      <c r="AZ21" s="130"/>
      <c r="BA21" s="130"/>
      <c r="BB21" s="130"/>
    </row>
    <row r="22" spans="2:54" ht="12.75" customHeight="1">
      <c r="B22" s="165">
        <v>13</v>
      </c>
      <c r="C22" s="165"/>
      <c r="D22" s="114" t="s">
        <v>305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 t="s">
        <v>306</v>
      </c>
      <c r="P22" s="114"/>
      <c r="Q22" s="114"/>
      <c r="R22" s="114"/>
      <c r="S22" s="114"/>
      <c r="T22" s="114"/>
      <c r="U22" s="114"/>
      <c r="V22" s="114"/>
      <c r="W22" s="114"/>
      <c r="X22" s="114"/>
      <c r="Y22" s="125" t="s">
        <v>137</v>
      </c>
      <c r="Z22" s="125"/>
      <c r="AA22" s="125"/>
      <c r="AB22" s="125"/>
      <c r="AC22" s="125"/>
      <c r="AD22" s="125"/>
      <c r="AE22" s="125"/>
      <c r="AF22" s="125"/>
      <c r="AG22" s="141" t="s">
        <v>129</v>
      </c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30" t="s">
        <v>129</v>
      </c>
      <c r="AX22" s="130"/>
      <c r="AY22" s="130"/>
      <c r="AZ22" s="130"/>
      <c r="BA22" s="130"/>
      <c r="BB22" s="130"/>
    </row>
    <row r="23" spans="2:54" ht="12.75" customHeight="1">
      <c r="B23" s="165">
        <v>14</v>
      </c>
      <c r="C23" s="165"/>
      <c r="D23" s="114" t="s">
        <v>307</v>
      </c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 t="s">
        <v>308</v>
      </c>
      <c r="P23" s="114"/>
      <c r="Q23" s="114"/>
      <c r="R23" s="114"/>
      <c r="S23" s="114"/>
      <c r="T23" s="114"/>
      <c r="U23" s="114"/>
      <c r="V23" s="114"/>
      <c r="W23" s="114"/>
      <c r="X23" s="114"/>
      <c r="Y23" s="125" t="s">
        <v>137</v>
      </c>
      <c r="Z23" s="125"/>
      <c r="AA23" s="125"/>
      <c r="AB23" s="125"/>
      <c r="AC23" s="125"/>
      <c r="AD23" s="125"/>
      <c r="AE23" s="125"/>
      <c r="AF23" s="125"/>
      <c r="AG23" s="141" t="s">
        <v>129</v>
      </c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30" t="s">
        <v>129</v>
      </c>
      <c r="AX23" s="130"/>
      <c r="AY23" s="130"/>
      <c r="AZ23" s="130"/>
      <c r="BA23" s="130"/>
      <c r="BB23" s="130"/>
    </row>
    <row r="24" spans="2:54" ht="12.75" customHeight="1">
      <c r="B24" s="165">
        <v>15</v>
      </c>
      <c r="C24" s="165"/>
      <c r="D24" s="114" t="s">
        <v>309</v>
      </c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 t="s">
        <v>310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25" t="s">
        <v>137</v>
      </c>
      <c r="Z24" s="125"/>
      <c r="AA24" s="125"/>
      <c r="AB24" s="125"/>
      <c r="AC24" s="125"/>
      <c r="AD24" s="125"/>
      <c r="AE24" s="125"/>
      <c r="AF24" s="125"/>
      <c r="AG24" s="141" t="s">
        <v>129</v>
      </c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30" t="s">
        <v>129</v>
      </c>
      <c r="AX24" s="130"/>
      <c r="AY24" s="130"/>
      <c r="AZ24" s="130"/>
      <c r="BA24" s="130"/>
      <c r="BB24" s="130"/>
    </row>
    <row r="25" spans="2:54" ht="12.75" customHeight="1">
      <c r="B25" s="165">
        <v>16</v>
      </c>
      <c r="C25" s="165"/>
      <c r="D25" s="114" t="s">
        <v>579</v>
      </c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 t="s">
        <v>580</v>
      </c>
      <c r="P25" s="114"/>
      <c r="Q25" s="114"/>
      <c r="R25" s="114"/>
      <c r="S25" s="114"/>
      <c r="T25" s="114"/>
      <c r="U25" s="114"/>
      <c r="V25" s="114"/>
      <c r="W25" s="114"/>
      <c r="X25" s="114"/>
      <c r="Y25" s="125" t="s">
        <v>137</v>
      </c>
      <c r="Z25" s="125"/>
      <c r="AA25" s="125"/>
      <c r="AB25" s="125"/>
      <c r="AC25" s="125"/>
      <c r="AD25" s="125"/>
      <c r="AE25" s="125"/>
      <c r="AF25" s="125"/>
      <c r="AG25" s="141" t="s">
        <v>129</v>
      </c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30" t="s">
        <v>129</v>
      </c>
      <c r="AX25" s="130"/>
      <c r="AY25" s="130"/>
      <c r="AZ25" s="130"/>
      <c r="BA25" s="130"/>
      <c r="BB25" s="130"/>
    </row>
    <row r="26" spans="2:54" ht="12.75" customHeight="1">
      <c r="B26" s="165">
        <v>17</v>
      </c>
      <c r="C26" s="165"/>
      <c r="D26" s="114" t="s">
        <v>581</v>
      </c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 t="s">
        <v>582</v>
      </c>
      <c r="P26" s="114"/>
      <c r="Q26" s="114"/>
      <c r="R26" s="114"/>
      <c r="S26" s="114"/>
      <c r="T26" s="114"/>
      <c r="U26" s="114"/>
      <c r="V26" s="114"/>
      <c r="W26" s="114"/>
      <c r="X26" s="114"/>
      <c r="Y26" s="125" t="s">
        <v>137</v>
      </c>
      <c r="Z26" s="125"/>
      <c r="AA26" s="125"/>
      <c r="AB26" s="125"/>
      <c r="AC26" s="125"/>
      <c r="AD26" s="125"/>
      <c r="AE26" s="125"/>
      <c r="AF26" s="125"/>
      <c r="AG26" s="141" t="s">
        <v>129</v>
      </c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30" t="s">
        <v>129</v>
      </c>
      <c r="AX26" s="130"/>
      <c r="AY26" s="130"/>
      <c r="AZ26" s="130"/>
      <c r="BA26" s="130"/>
      <c r="BB26" s="130"/>
    </row>
    <row r="27" spans="2:54" ht="12.75" customHeight="1">
      <c r="B27" s="165">
        <v>18</v>
      </c>
      <c r="C27" s="165"/>
      <c r="D27" s="116" t="s">
        <v>605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4" t="s">
        <v>606</v>
      </c>
      <c r="P27" s="114"/>
      <c r="Q27" s="114"/>
      <c r="R27" s="114"/>
      <c r="S27" s="114"/>
      <c r="T27" s="114"/>
      <c r="U27" s="114"/>
      <c r="V27" s="114"/>
      <c r="W27" s="114"/>
      <c r="X27" s="114"/>
      <c r="Y27" s="137" t="s">
        <v>607</v>
      </c>
      <c r="Z27" s="137"/>
      <c r="AA27" s="137"/>
      <c r="AB27" s="137"/>
      <c r="AC27" s="137"/>
      <c r="AD27" s="137"/>
      <c r="AE27" s="137"/>
      <c r="AF27" s="137"/>
      <c r="AG27" s="141" t="s">
        <v>129</v>
      </c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30" t="s">
        <v>129</v>
      </c>
      <c r="AX27" s="130"/>
      <c r="AY27" s="130"/>
      <c r="AZ27" s="130"/>
      <c r="BA27" s="130"/>
      <c r="BB27" s="130"/>
    </row>
    <row r="28" spans="2:54" ht="12.75" customHeight="1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spans="2:54" ht="12.75" customHeight="1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</sheetData>
  <mergeCells count="128"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MJ7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608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s="46" customFormat="1" ht="12.75" customHeight="1">
      <c r="B6" s="124" t="s">
        <v>119</v>
      </c>
      <c r="C6" s="124"/>
      <c r="D6" s="124"/>
      <c r="E6" s="124"/>
      <c r="F6" s="124"/>
      <c r="G6" s="124"/>
      <c r="H6" s="128" t="s">
        <v>92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</row>
    <row r="8" spans="1:55" ht="12.75" customHeight="1"/>
    <row r="9" spans="1:55" s="46" customFormat="1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s="46" customFormat="1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s="46" customFormat="1" ht="12.75" customHeight="1">
      <c r="B11" s="135">
        <v>1</v>
      </c>
      <c r="C11" s="135"/>
      <c r="D11" s="136" t="s">
        <v>609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 t="s">
        <v>610</v>
      </c>
      <c r="P11" s="136"/>
      <c r="Q11" s="136"/>
      <c r="R11" s="136"/>
      <c r="S11" s="136"/>
      <c r="T11" s="136"/>
      <c r="U11" s="136"/>
      <c r="V11" s="136"/>
      <c r="W11" s="136"/>
      <c r="X11" s="136"/>
      <c r="Y11" s="136" t="s">
        <v>137</v>
      </c>
      <c r="Z11" s="136"/>
      <c r="AA11" s="136"/>
      <c r="AB11" s="136"/>
      <c r="AC11" s="136"/>
      <c r="AD11" s="136"/>
      <c r="AE11" s="136"/>
      <c r="AF11" s="136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36" t="s">
        <v>611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 t="s">
        <v>612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 t="s">
        <v>132</v>
      </c>
      <c r="Z12" s="136"/>
      <c r="AA12" s="136"/>
      <c r="AB12" s="136"/>
      <c r="AC12" s="136"/>
      <c r="AD12" s="136"/>
      <c r="AE12" s="136"/>
      <c r="AF12" s="136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36" t="s">
        <v>613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 t="s">
        <v>614</v>
      </c>
      <c r="P13" s="136"/>
      <c r="Q13" s="136"/>
      <c r="R13" s="136"/>
      <c r="S13" s="136"/>
      <c r="T13" s="136"/>
      <c r="U13" s="136"/>
      <c r="V13" s="136"/>
      <c r="W13" s="136"/>
      <c r="X13" s="136"/>
      <c r="Y13" s="136" t="s">
        <v>615</v>
      </c>
      <c r="Z13" s="136"/>
      <c r="AA13" s="136"/>
      <c r="AB13" s="136"/>
      <c r="AC13" s="136"/>
      <c r="AD13" s="136"/>
      <c r="AE13" s="136"/>
      <c r="AF13" s="136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58"/>
      <c r="C14" s="58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616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ht="12.75" customHeight="1">
      <c r="B6" s="124" t="s">
        <v>119</v>
      </c>
      <c r="C6" s="124"/>
      <c r="D6" s="124"/>
      <c r="E6" s="124"/>
      <c r="F6" s="124"/>
      <c r="G6" s="124"/>
      <c r="H6" s="128" t="s">
        <v>93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8" spans="1:55" ht="12.75" customHeight="1"/>
    <row r="9" spans="1:55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28" t="s">
        <v>617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 t="s">
        <v>618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 t="s">
        <v>132</v>
      </c>
      <c r="Z11" s="128"/>
      <c r="AA11" s="128"/>
      <c r="AB11" s="128"/>
      <c r="AC11" s="128"/>
      <c r="AD11" s="128"/>
      <c r="AE11" s="128"/>
      <c r="AF11" s="128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28" t="s">
        <v>619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 t="s">
        <v>620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 t="s">
        <v>132</v>
      </c>
      <c r="Z12" s="128"/>
      <c r="AA12" s="128"/>
      <c r="AB12" s="128"/>
      <c r="AC12" s="128"/>
      <c r="AD12" s="128"/>
      <c r="AE12" s="128"/>
      <c r="AF12" s="128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28" t="s">
        <v>609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 t="s">
        <v>610</v>
      </c>
      <c r="P13" s="128"/>
      <c r="Q13" s="128"/>
      <c r="R13" s="128"/>
      <c r="S13" s="128"/>
      <c r="T13" s="128"/>
      <c r="U13" s="128"/>
      <c r="V13" s="128"/>
      <c r="W13" s="128"/>
      <c r="X13" s="128"/>
      <c r="Y13" s="128" t="s">
        <v>137</v>
      </c>
      <c r="Z13" s="128"/>
      <c r="AA13" s="128"/>
      <c r="AB13" s="128"/>
      <c r="AC13" s="128"/>
      <c r="AD13" s="128"/>
      <c r="AE13" s="128"/>
      <c r="AF13" s="128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27">
        <v>4</v>
      </c>
      <c r="C14" s="127"/>
      <c r="D14" s="128" t="s">
        <v>621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 t="s">
        <v>622</v>
      </c>
      <c r="P14" s="128"/>
      <c r="Q14" s="128"/>
      <c r="R14" s="128"/>
      <c r="S14" s="128"/>
      <c r="T14" s="128"/>
      <c r="U14" s="128"/>
      <c r="V14" s="128"/>
      <c r="W14" s="128"/>
      <c r="X14" s="128"/>
      <c r="Y14" s="128" t="s">
        <v>137</v>
      </c>
      <c r="Z14" s="128"/>
      <c r="AA14" s="128"/>
      <c r="AB14" s="128"/>
      <c r="AC14" s="128"/>
      <c r="AD14" s="128"/>
      <c r="AE14" s="128"/>
      <c r="AF14" s="128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27">
        <v>5</v>
      </c>
      <c r="C15" s="127"/>
      <c r="D15" s="128" t="s">
        <v>611</v>
      </c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 t="s">
        <v>612</v>
      </c>
      <c r="P15" s="128"/>
      <c r="Q15" s="128"/>
      <c r="R15" s="128"/>
      <c r="S15" s="128"/>
      <c r="T15" s="128"/>
      <c r="U15" s="128"/>
      <c r="V15" s="128"/>
      <c r="W15" s="128"/>
      <c r="X15" s="128"/>
      <c r="Y15" s="128" t="s">
        <v>132</v>
      </c>
      <c r="Z15" s="128"/>
      <c r="AA15" s="128"/>
      <c r="AB15" s="128"/>
      <c r="AC15" s="128"/>
      <c r="AD15" s="128"/>
      <c r="AE15" s="128"/>
      <c r="AF15" s="128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56">
    <mergeCell ref="AW15:BB15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MJ7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13</v>
      </c>
      <c r="AU2" s="85"/>
      <c r="AV2" s="85"/>
      <c r="AW2" s="85"/>
      <c r="AX2" s="85"/>
      <c r="AY2" s="123">
        <v>45215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32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94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67" t="s">
        <v>301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45" t="s">
        <v>302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 t="s">
        <v>132</v>
      </c>
      <c r="Z11" s="145"/>
      <c r="AA11" s="145"/>
      <c r="AB11" s="145"/>
      <c r="AC11" s="145"/>
      <c r="AD11" s="145"/>
      <c r="AE11" s="145"/>
      <c r="AF11" s="14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67" t="s">
        <v>532</v>
      </c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45" t="s">
        <v>533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 t="s">
        <v>132</v>
      </c>
      <c r="Z12" s="145"/>
      <c r="AA12" s="145"/>
      <c r="AB12" s="145"/>
      <c r="AC12" s="145"/>
      <c r="AD12" s="145"/>
      <c r="AE12" s="145"/>
      <c r="AF12" s="14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67" t="s">
        <v>623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45" t="s">
        <v>624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 t="s">
        <v>132</v>
      </c>
      <c r="Z13" s="145"/>
      <c r="AA13" s="145"/>
      <c r="AB13" s="145"/>
      <c r="AC13" s="145"/>
      <c r="AD13" s="145"/>
      <c r="AE13" s="145"/>
      <c r="AF13" s="14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68">
        <v>4</v>
      </c>
      <c r="C14" s="168"/>
      <c r="D14" s="169" t="s">
        <v>623</v>
      </c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70" t="s">
        <v>154</v>
      </c>
      <c r="P14" s="170"/>
      <c r="Q14" s="170"/>
      <c r="R14" s="170"/>
      <c r="S14" s="170"/>
      <c r="T14" s="170"/>
      <c r="U14" s="170"/>
      <c r="V14" s="170"/>
      <c r="W14" s="170"/>
      <c r="X14" s="170"/>
      <c r="Y14" s="170" t="s">
        <v>132</v>
      </c>
      <c r="Z14" s="170"/>
      <c r="AA14" s="170"/>
      <c r="AB14" s="170"/>
      <c r="AC14" s="170"/>
      <c r="AD14" s="170"/>
      <c r="AE14" s="170"/>
      <c r="AF14" s="170"/>
      <c r="AG14" s="171" t="s">
        <v>129</v>
      </c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 t="s">
        <v>844</v>
      </c>
      <c r="AX14" s="171"/>
      <c r="AY14" s="171"/>
      <c r="AZ14" s="171"/>
      <c r="BA14" s="171"/>
      <c r="BB14" s="171"/>
    </row>
    <row r="15" spans="1:55" ht="12.75" customHeight="1">
      <c r="B15" s="149">
        <v>5</v>
      </c>
      <c r="C15" s="149"/>
      <c r="D15" s="167" t="s">
        <v>536</v>
      </c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45" t="s">
        <v>537</v>
      </c>
      <c r="P15" s="145"/>
      <c r="Q15" s="145"/>
      <c r="R15" s="145"/>
      <c r="S15" s="145"/>
      <c r="T15" s="145"/>
      <c r="U15" s="145"/>
      <c r="V15" s="145"/>
      <c r="W15" s="145"/>
      <c r="X15" s="145"/>
      <c r="Y15" s="145" t="s">
        <v>132</v>
      </c>
      <c r="Z15" s="145"/>
      <c r="AA15" s="145"/>
      <c r="AB15" s="145"/>
      <c r="AC15" s="145"/>
      <c r="AD15" s="145"/>
      <c r="AE15" s="145"/>
      <c r="AF15" s="14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67" t="s">
        <v>125</v>
      </c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45" t="s">
        <v>625</v>
      </c>
      <c r="P16" s="145"/>
      <c r="Q16" s="145"/>
      <c r="R16" s="145"/>
      <c r="S16" s="145"/>
      <c r="T16" s="145"/>
      <c r="U16" s="145"/>
      <c r="V16" s="145"/>
      <c r="W16" s="145"/>
      <c r="X16" s="145"/>
      <c r="Y16" s="145" t="s">
        <v>132</v>
      </c>
      <c r="Z16" s="145"/>
      <c r="AA16" s="145"/>
      <c r="AB16" s="145"/>
      <c r="AC16" s="145"/>
      <c r="AD16" s="145"/>
      <c r="AE16" s="145"/>
      <c r="AF16" s="14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0" t="s">
        <v>129</v>
      </c>
      <c r="AX16" s="130"/>
      <c r="AY16" s="130"/>
      <c r="AZ16" s="130"/>
      <c r="BA16" s="130"/>
      <c r="BB16" s="13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MJ72"/>
  <sheetViews>
    <sheetView showGridLines="0" view="pageBreakPreview" zoomScaleNormal="60" workbookViewId="0">
      <selection sqref="A1:AI3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626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95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627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628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629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630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631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620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632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633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207</v>
      </c>
      <c r="Z14" s="125"/>
      <c r="AA14" s="125"/>
      <c r="AB14" s="125"/>
      <c r="AC14" s="125"/>
      <c r="AD14" s="125"/>
      <c r="AE14" s="125"/>
      <c r="AF14" s="12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</sheetData>
  <mergeCells count="50"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MJ65"/>
  <sheetViews>
    <sheetView view="pageBreakPreview" zoomScaleNormal="100" workbookViewId="0">
      <selection sqref="A1:I1"/>
    </sheetView>
  </sheetViews>
  <sheetFormatPr defaultColWidth="2.59765625" defaultRowHeight="18"/>
  <cols>
    <col min="1" max="1024" width="2.59765625" style="44"/>
  </cols>
  <sheetData>
    <row r="1" spans="1:1024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0"/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  <c r="PF1" s="30"/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30"/>
      <c r="QI1" s="30"/>
      <c r="QJ1" s="30"/>
      <c r="QK1" s="30"/>
      <c r="QL1" s="30"/>
      <c r="QM1" s="30"/>
      <c r="QN1" s="30"/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0"/>
      <c r="QZ1" s="30"/>
      <c r="RA1" s="30"/>
      <c r="RB1" s="30"/>
      <c r="RC1" s="30"/>
      <c r="RD1" s="30"/>
      <c r="RE1" s="30"/>
      <c r="RF1" s="30"/>
      <c r="RG1" s="30"/>
      <c r="RH1" s="30"/>
      <c r="RI1" s="30"/>
      <c r="RJ1" s="30"/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0"/>
      <c r="RV1" s="30"/>
      <c r="RW1" s="30"/>
      <c r="RX1" s="30"/>
      <c r="RY1" s="30"/>
      <c r="RZ1" s="30"/>
      <c r="SA1" s="30"/>
      <c r="SB1" s="30"/>
      <c r="SC1" s="30"/>
      <c r="SD1" s="30"/>
      <c r="SE1" s="30"/>
      <c r="SF1" s="30"/>
      <c r="SG1" s="30"/>
      <c r="SH1" s="30"/>
      <c r="SI1" s="30"/>
      <c r="SJ1" s="30"/>
      <c r="SK1" s="30"/>
      <c r="SL1" s="30"/>
      <c r="SM1" s="30"/>
      <c r="SN1" s="30"/>
      <c r="SO1" s="30"/>
      <c r="SP1" s="30"/>
      <c r="SQ1" s="30"/>
      <c r="SR1" s="30"/>
      <c r="SS1" s="30"/>
      <c r="ST1" s="30"/>
      <c r="SU1" s="30"/>
      <c r="SV1" s="30"/>
      <c r="SW1" s="30"/>
      <c r="SX1" s="30"/>
      <c r="SY1" s="30"/>
      <c r="SZ1" s="30"/>
      <c r="TA1" s="30"/>
      <c r="TB1" s="30"/>
      <c r="TC1" s="30"/>
      <c r="TD1" s="30"/>
      <c r="TE1" s="30"/>
      <c r="TF1" s="30"/>
      <c r="TG1" s="30"/>
      <c r="TH1" s="30"/>
      <c r="TI1" s="30"/>
      <c r="TJ1" s="30"/>
      <c r="TK1" s="30"/>
      <c r="TL1" s="30"/>
      <c r="TM1" s="30"/>
      <c r="TN1" s="30"/>
      <c r="TO1" s="30"/>
      <c r="TP1" s="30"/>
      <c r="TQ1" s="30"/>
      <c r="TR1" s="30"/>
      <c r="TS1" s="30"/>
      <c r="TT1" s="30"/>
      <c r="TU1" s="30"/>
      <c r="TV1" s="30"/>
      <c r="TW1" s="30"/>
      <c r="TX1" s="30"/>
      <c r="TY1" s="30"/>
      <c r="TZ1" s="30"/>
      <c r="UA1" s="30"/>
      <c r="UB1" s="30"/>
      <c r="UC1" s="30"/>
      <c r="UD1" s="30"/>
      <c r="UE1" s="30"/>
      <c r="UF1" s="30"/>
      <c r="UG1" s="30"/>
      <c r="UH1" s="30"/>
      <c r="UI1" s="30"/>
      <c r="UJ1" s="30"/>
      <c r="UK1" s="30"/>
      <c r="UL1" s="30"/>
      <c r="UM1" s="30"/>
      <c r="UN1" s="30"/>
      <c r="UO1" s="30"/>
      <c r="UP1" s="30"/>
      <c r="UQ1" s="30"/>
      <c r="UR1" s="30"/>
      <c r="US1" s="30"/>
      <c r="UT1" s="30"/>
      <c r="UU1" s="30"/>
      <c r="UV1" s="30"/>
      <c r="UW1" s="30"/>
      <c r="UX1" s="30"/>
      <c r="UY1" s="30"/>
      <c r="UZ1" s="30"/>
      <c r="VA1" s="30"/>
      <c r="VB1" s="30"/>
      <c r="VC1" s="30"/>
      <c r="VD1" s="30"/>
      <c r="VE1" s="30"/>
      <c r="VF1" s="30"/>
      <c r="VG1" s="30"/>
      <c r="VH1" s="30"/>
      <c r="VI1" s="30"/>
      <c r="VJ1" s="30"/>
      <c r="VK1" s="30"/>
      <c r="VL1" s="30"/>
      <c r="VM1" s="30"/>
      <c r="VN1" s="30"/>
      <c r="VO1" s="30"/>
      <c r="VP1" s="30"/>
      <c r="VQ1" s="30"/>
      <c r="VR1" s="30"/>
      <c r="VS1" s="30"/>
      <c r="VT1" s="30"/>
      <c r="VU1" s="30"/>
      <c r="VV1" s="30"/>
      <c r="VW1" s="30"/>
      <c r="VX1" s="30"/>
      <c r="VY1" s="30"/>
      <c r="VZ1" s="30"/>
      <c r="WA1" s="30"/>
      <c r="WB1" s="30"/>
      <c r="WC1" s="30"/>
      <c r="WD1" s="30"/>
      <c r="WE1" s="30"/>
      <c r="WF1" s="30"/>
      <c r="WG1" s="30"/>
      <c r="WH1" s="30"/>
      <c r="WI1" s="30"/>
      <c r="WJ1" s="30"/>
      <c r="WK1" s="30"/>
      <c r="WL1" s="30"/>
      <c r="WM1" s="30"/>
      <c r="WN1" s="30"/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0"/>
      <c r="XA1" s="30"/>
      <c r="XB1" s="30"/>
      <c r="XC1" s="30"/>
      <c r="XD1" s="30"/>
      <c r="XE1" s="30"/>
      <c r="XF1" s="30"/>
      <c r="XG1" s="30"/>
      <c r="XH1" s="30"/>
      <c r="XI1" s="30"/>
      <c r="XJ1" s="30"/>
      <c r="XK1" s="30"/>
      <c r="XL1" s="30"/>
      <c r="XM1" s="30"/>
      <c r="XN1" s="30"/>
      <c r="XO1" s="30"/>
      <c r="XP1" s="30"/>
      <c r="XQ1" s="30"/>
      <c r="XR1" s="30"/>
      <c r="XS1" s="30"/>
      <c r="XT1" s="30"/>
      <c r="XU1" s="30"/>
      <c r="XV1" s="30"/>
      <c r="XW1" s="30"/>
      <c r="XX1" s="30"/>
      <c r="XY1" s="30"/>
      <c r="XZ1" s="30"/>
      <c r="YA1" s="30"/>
      <c r="YB1" s="30"/>
      <c r="YC1" s="30"/>
      <c r="YD1" s="30"/>
      <c r="YE1" s="30"/>
      <c r="YF1" s="30"/>
      <c r="YG1" s="30"/>
      <c r="YH1" s="30"/>
      <c r="YI1" s="30"/>
      <c r="YJ1" s="30"/>
      <c r="YK1" s="30"/>
      <c r="YL1" s="30"/>
      <c r="YM1" s="30"/>
      <c r="YN1" s="30"/>
      <c r="YO1" s="30"/>
      <c r="YP1" s="30"/>
      <c r="YQ1" s="30"/>
      <c r="YR1" s="30"/>
      <c r="YS1" s="30"/>
      <c r="YT1" s="30"/>
      <c r="YU1" s="30"/>
      <c r="YV1" s="30"/>
      <c r="YW1" s="30"/>
      <c r="YX1" s="30"/>
      <c r="YY1" s="30"/>
      <c r="YZ1" s="30"/>
      <c r="ZA1" s="30"/>
      <c r="ZB1" s="30"/>
      <c r="ZC1" s="30"/>
      <c r="ZD1" s="30"/>
      <c r="ZE1" s="30"/>
      <c r="ZF1" s="30"/>
      <c r="ZG1" s="30"/>
      <c r="ZH1" s="30"/>
      <c r="ZI1" s="30"/>
      <c r="ZJ1" s="30"/>
      <c r="ZK1" s="30"/>
      <c r="ZL1" s="30"/>
      <c r="ZM1" s="30"/>
      <c r="ZN1" s="30"/>
      <c r="ZO1" s="30"/>
      <c r="ZP1" s="30"/>
      <c r="ZQ1" s="30"/>
      <c r="ZR1" s="30"/>
      <c r="ZS1" s="30"/>
      <c r="ZT1" s="30"/>
      <c r="ZU1" s="30"/>
      <c r="ZV1" s="30"/>
      <c r="ZW1" s="30"/>
      <c r="ZX1" s="30"/>
      <c r="ZY1" s="30"/>
      <c r="ZZ1" s="30"/>
      <c r="AAA1" s="30"/>
      <c r="AAB1" s="30"/>
      <c r="AAC1" s="30"/>
      <c r="AAD1" s="30"/>
      <c r="AAE1" s="30"/>
      <c r="AAF1" s="30"/>
      <c r="AAG1" s="30"/>
      <c r="AAH1" s="30"/>
      <c r="AAI1" s="30"/>
      <c r="AAJ1" s="30"/>
      <c r="AAK1" s="30"/>
      <c r="AAL1" s="30"/>
      <c r="AAM1" s="30"/>
      <c r="AAN1" s="30"/>
      <c r="AAO1" s="30"/>
      <c r="AAP1" s="30"/>
      <c r="AAQ1" s="30"/>
      <c r="AAR1" s="30"/>
      <c r="AAS1" s="30"/>
      <c r="AAT1" s="30"/>
      <c r="AAU1" s="30"/>
      <c r="AAV1" s="30"/>
      <c r="AAW1" s="30"/>
      <c r="AAX1" s="30"/>
      <c r="AAY1" s="30"/>
      <c r="AAZ1" s="30"/>
      <c r="ABA1" s="30"/>
      <c r="ABB1" s="30"/>
      <c r="ABC1" s="30"/>
      <c r="ABD1" s="30"/>
      <c r="ABE1" s="30"/>
      <c r="ABF1" s="30"/>
      <c r="ABG1" s="30"/>
      <c r="ABH1" s="30"/>
      <c r="ABI1" s="30"/>
      <c r="ABJ1" s="30"/>
      <c r="ABK1" s="30"/>
      <c r="ABL1" s="30"/>
      <c r="ABM1" s="30"/>
      <c r="ABN1" s="30"/>
      <c r="ABO1" s="30"/>
      <c r="ABP1" s="30"/>
      <c r="ABQ1" s="30"/>
      <c r="ABR1" s="30"/>
      <c r="ABS1" s="30"/>
      <c r="ABT1" s="30"/>
      <c r="ABU1" s="30"/>
      <c r="ABV1" s="30"/>
      <c r="ABW1" s="30"/>
      <c r="ABX1" s="30"/>
      <c r="ABY1" s="30"/>
      <c r="ABZ1" s="30"/>
      <c r="ACA1" s="30"/>
      <c r="ACB1" s="30"/>
      <c r="ACC1" s="30"/>
      <c r="ACD1" s="30"/>
      <c r="ACE1" s="30"/>
      <c r="ACF1" s="30"/>
      <c r="ACG1" s="30"/>
      <c r="ACH1" s="30"/>
      <c r="ACI1" s="30"/>
      <c r="ACJ1" s="30"/>
      <c r="ACK1" s="30"/>
      <c r="ACL1" s="30"/>
      <c r="ACM1" s="30"/>
      <c r="ACN1" s="30"/>
      <c r="ACO1" s="30"/>
      <c r="ACP1" s="30"/>
      <c r="ACQ1" s="30"/>
      <c r="ACR1" s="30"/>
      <c r="ACS1" s="30"/>
      <c r="ACT1" s="30"/>
      <c r="ACU1" s="30"/>
      <c r="ACV1" s="30"/>
      <c r="ACW1" s="30"/>
      <c r="ACX1" s="30"/>
      <c r="ACY1" s="30"/>
      <c r="ACZ1" s="30"/>
      <c r="ADA1" s="30"/>
      <c r="ADB1" s="30"/>
      <c r="ADC1" s="30"/>
      <c r="ADD1" s="30"/>
      <c r="ADE1" s="30"/>
      <c r="ADF1" s="30"/>
      <c r="ADG1" s="30"/>
      <c r="ADH1" s="30"/>
      <c r="ADI1" s="30"/>
      <c r="ADJ1" s="30"/>
      <c r="ADK1" s="30"/>
      <c r="ADL1" s="30"/>
      <c r="ADM1" s="30"/>
      <c r="ADN1" s="30"/>
      <c r="ADO1" s="30"/>
      <c r="ADP1" s="30"/>
      <c r="ADQ1" s="30"/>
      <c r="ADR1" s="30"/>
      <c r="ADS1" s="30"/>
      <c r="ADT1" s="30"/>
      <c r="ADU1" s="30"/>
      <c r="ADV1" s="30"/>
      <c r="ADW1" s="30"/>
      <c r="ADX1" s="30"/>
      <c r="ADY1" s="30"/>
      <c r="ADZ1" s="30"/>
      <c r="AEA1" s="30"/>
      <c r="AEB1" s="30"/>
      <c r="AEC1" s="30"/>
      <c r="AED1" s="30"/>
      <c r="AEE1" s="30"/>
      <c r="AEF1" s="30"/>
      <c r="AEG1" s="30"/>
      <c r="AEH1" s="30"/>
      <c r="AEI1" s="30"/>
      <c r="AEJ1" s="30"/>
      <c r="AEK1" s="30"/>
      <c r="AEL1" s="30"/>
      <c r="AEM1" s="30"/>
      <c r="AEN1" s="30"/>
      <c r="AEO1" s="30"/>
      <c r="AEP1" s="30"/>
      <c r="AEQ1" s="30"/>
      <c r="AER1" s="30"/>
      <c r="AES1" s="30"/>
      <c r="AET1" s="30"/>
      <c r="AEU1" s="30"/>
      <c r="AEV1" s="30"/>
      <c r="AEW1" s="30"/>
      <c r="AEX1" s="30"/>
      <c r="AEY1" s="30"/>
      <c r="AEZ1" s="30"/>
      <c r="AFA1" s="30"/>
      <c r="AFB1" s="30"/>
      <c r="AFC1" s="30"/>
      <c r="AFD1" s="30"/>
      <c r="AFE1" s="30"/>
      <c r="AFF1" s="30"/>
      <c r="AFG1" s="30"/>
      <c r="AFH1" s="30"/>
      <c r="AFI1" s="30"/>
      <c r="AFJ1" s="30"/>
      <c r="AFK1" s="30"/>
      <c r="AFL1" s="30"/>
      <c r="AFM1" s="30"/>
      <c r="AFN1" s="30"/>
      <c r="AFO1" s="30"/>
      <c r="AFP1" s="30"/>
      <c r="AFQ1" s="30"/>
      <c r="AFR1" s="30"/>
      <c r="AFS1" s="30"/>
      <c r="AFT1" s="30"/>
      <c r="AFU1" s="30"/>
      <c r="AFV1" s="30"/>
      <c r="AFW1" s="30"/>
      <c r="AFX1" s="30"/>
      <c r="AFY1" s="30"/>
      <c r="AFZ1" s="30"/>
      <c r="AGA1" s="30"/>
      <c r="AGB1" s="30"/>
      <c r="AGC1" s="30"/>
      <c r="AGD1" s="30"/>
      <c r="AGE1" s="30"/>
      <c r="AGF1" s="30"/>
      <c r="AGG1" s="30"/>
      <c r="AGH1" s="30"/>
      <c r="AGI1" s="30"/>
      <c r="AGJ1" s="30"/>
      <c r="AGK1" s="30"/>
      <c r="AGL1" s="30"/>
      <c r="AGM1" s="30"/>
      <c r="AGN1" s="30"/>
      <c r="AGO1" s="30"/>
      <c r="AGP1" s="30"/>
      <c r="AGQ1" s="30"/>
      <c r="AGR1" s="30"/>
      <c r="AGS1" s="30"/>
      <c r="AGT1" s="30"/>
      <c r="AGU1" s="30"/>
      <c r="AGV1" s="30"/>
      <c r="AGW1" s="30"/>
      <c r="AGX1" s="30"/>
      <c r="AGY1" s="30"/>
      <c r="AGZ1" s="30"/>
      <c r="AHA1" s="30"/>
      <c r="AHB1" s="30"/>
      <c r="AHC1" s="30"/>
      <c r="AHD1" s="30"/>
      <c r="AHE1" s="30"/>
      <c r="AHF1" s="30"/>
      <c r="AHG1" s="30"/>
      <c r="AHH1" s="30"/>
      <c r="AHI1" s="30"/>
      <c r="AHJ1" s="30"/>
      <c r="AHK1" s="30"/>
      <c r="AHL1" s="30"/>
      <c r="AHM1" s="30"/>
      <c r="AHN1" s="30"/>
      <c r="AHO1" s="30"/>
      <c r="AHP1" s="30"/>
      <c r="AHQ1" s="30"/>
      <c r="AHR1" s="30"/>
      <c r="AHS1" s="30"/>
      <c r="AHT1" s="30"/>
      <c r="AHU1" s="30"/>
      <c r="AHV1" s="30"/>
      <c r="AHW1" s="30"/>
      <c r="AHX1" s="30"/>
      <c r="AHY1" s="30"/>
      <c r="AHZ1" s="30"/>
      <c r="AIA1" s="30"/>
      <c r="AIB1" s="30"/>
      <c r="AIC1" s="30"/>
      <c r="AID1" s="30"/>
      <c r="AIE1" s="30"/>
      <c r="AIF1" s="30"/>
      <c r="AIG1" s="30"/>
      <c r="AIH1" s="30"/>
      <c r="AII1" s="30"/>
      <c r="AIJ1" s="30"/>
      <c r="AIK1" s="30"/>
      <c r="AIL1" s="30"/>
      <c r="AIM1" s="30"/>
      <c r="AIN1" s="30"/>
      <c r="AIO1" s="30"/>
      <c r="AIP1" s="30"/>
      <c r="AIQ1" s="30"/>
      <c r="AIR1" s="30"/>
      <c r="AIS1" s="30"/>
      <c r="AIT1" s="30"/>
      <c r="AIU1" s="30"/>
      <c r="AIV1" s="30"/>
      <c r="AIW1" s="30"/>
      <c r="AIX1" s="30"/>
      <c r="AIY1" s="30"/>
      <c r="AIZ1" s="30"/>
      <c r="AJA1" s="30"/>
      <c r="AJB1" s="30"/>
      <c r="AJC1" s="30"/>
      <c r="AJD1" s="30"/>
      <c r="AJE1" s="30"/>
      <c r="AJF1" s="30"/>
      <c r="AJG1" s="30"/>
      <c r="AJH1" s="30"/>
      <c r="AJI1" s="30"/>
      <c r="AJJ1" s="30"/>
      <c r="AJK1" s="30"/>
      <c r="AJL1" s="30"/>
      <c r="AJM1" s="30"/>
      <c r="AJN1" s="30"/>
      <c r="AJO1" s="30"/>
      <c r="AJP1" s="30"/>
      <c r="AJQ1" s="30"/>
      <c r="AJR1" s="30"/>
      <c r="AJS1" s="30"/>
      <c r="AJT1" s="30"/>
      <c r="AJU1" s="30"/>
      <c r="AJV1" s="30"/>
      <c r="AJW1" s="30"/>
      <c r="AJX1" s="30"/>
      <c r="AJY1" s="30"/>
      <c r="AJZ1" s="30"/>
      <c r="AKA1" s="30"/>
      <c r="AKB1" s="30"/>
      <c r="AKC1" s="30"/>
      <c r="AKD1" s="30"/>
      <c r="AKE1" s="30"/>
      <c r="AKF1" s="30"/>
      <c r="AKG1" s="30"/>
      <c r="AKH1" s="30"/>
      <c r="AKI1" s="30"/>
      <c r="AKJ1" s="30"/>
      <c r="AKK1" s="30"/>
      <c r="AKL1" s="30"/>
      <c r="AKM1" s="30"/>
      <c r="AKN1" s="30"/>
      <c r="AKO1" s="30"/>
      <c r="AKP1" s="30"/>
      <c r="AKQ1" s="30"/>
      <c r="AKR1" s="30"/>
      <c r="AKS1" s="30"/>
      <c r="AKT1" s="30"/>
      <c r="AKU1" s="30"/>
      <c r="AKV1" s="30"/>
      <c r="AKW1" s="30"/>
      <c r="AKX1" s="30"/>
      <c r="AKY1" s="30"/>
      <c r="AKZ1" s="30"/>
      <c r="ALA1" s="30"/>
      <c r="ALB1" s="30"/>
      <c r="ALC1" s="30"/>
      <c r="ALD1" s="30"/>
      <c r="ALE1" s="30"/>
      <c r="ALF1" s="30"/>
      <c r="ALG1" s="30"/>
      <c r="ALH1" s="30"/>
      <c r="ALI1" s="30"/>
      <c r="ALJ1" s="30"/>
      <c r="ALK1" s="30"/>
      <c r="ALL1" s="30"/>
      <c r="ALM1" s="30"/>
      <c r="ALN1" s="30"/>
      <c r="ALO1" s="30"/>
      <c r="ALP1" s="30"/>
      <c r="ALQ1" s="30"/>
      <c r="ALR1" s="30"/>
      <c r="ALS1" s="30"/>
      <c r="ALT1" s="30"/>
      <c r="ALU1" s="30"/>
      <c r="ALV1" s="30"/>
      <c r="ALW1" s="30"/>
      <c r="ALX1" s="30"/>
      <c r="ALY1" s="30"/>
      <c r="ALZ1" s="30"/>
      <c r="AMA1" s="30"/>
      <c r="AMB1" s="30"/>
      <c r="AMC1" s="30"/>
      <c r="AMD1" s="30"/>
      <c r="AME1" s="30"/>
      <c r="AMF1" s="30"/>
      <c r="AMG1" s="30"/>
      <c r="AMH1" s="30"/>
      <c r="AMI1" s="30"/>
      <c r="AMJ1" s="30"/>
    </row>
    <row r="2" spans="1:1024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 t="s">
        <v>634</v>
      </c>
      <c r="AK2" s="85"/>
      <c r="AL2" s="85"/>
      <c r="AM2" s="85"/>
      <c r="AN2" s="85"/>
      <c r="AO2" s="86">
        <v>45237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</row>
    <row r="3" spans="1:1024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5"/>
      <c r="AL3" s="85"/>
      <c r="AM3" s="85"/>
      <c r="AN3" s="85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  <c r="SG3" s="30"/>
      <c r="SH3" s="30"/>
      <c r="SI3" s="30"/>
      <c r="SJ3" s="30"/>
      <c r="SK3" s="30"/>
      <c r="SL3" s="30"/>
      <c r="SM3" s="30"/>
      <c r="SN3" s="30"/>
      <c r="SO3" s="30"/>
      <c r="SP3" s="30"/>
      <c r="SQ3" s="30"/>
      <c r="SR3" s="30"/>
      <c r="SS3" s="30"/>
      <c r="ST3" s="30"/>
      <c r="SU3" s="30"/>
      <c r="SV3" s="30"/>
      <c r="SW3" s="30"/>
      <c r="SX3" s="30"/>
      <c r="SY3" s="30"/>
      <c r="SZ3" s="30"/>
      <c r="TA3" s="30"/>
      <c r="TB3" s="30"/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0"/>
      <c r="TQ3" s="30"/>
      <c r="TR3" s="30"/>
      <c r="TS3" s="30"/>
      <c r="TT3" s="30"/>
      <c r="TU3" s="30"/>
      <c r="TV3" s="30"/>
      <c r="TW3" s="30"/>
      <c r="TX3" s="30"/>
      <c r="TY3" s="30"/>
      <c r="TZ3" s="30"/>
      <c r="UA3" s="30"/>
      <c r="UB3" s="30"/>
      <c r="UC3" s="30"/>
      <c r="UD3" s="30"/>
      <c r="UE3" s="30"/>
      <c r="UF3" s="30"/>
      <c r="UG3" s="30"/>
      <c r="UH3" s="30"/>
      <c r="UI3" s="30"/>
      <c r="UJ3" s="30"/>
      <c r="UK3" s="30"/>
      <c r="UL3" s="30"/>
      <c r="UM3" s="30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  <c r="ZZ3" s="30"/>
      <c r="AAA3" s="30"/>
      <c r="AAB3" s="30"/>
      <c r="AAC3" s="30"/>
      <c r="AAD3" s="30"/>
      <c r="AAE3" s="30"/>
      <c r="AAF3" s="30"/>
      <c r="AAG3" s="30"/>
      <c r="AAH3" s="30"/>
      <c r="AAI3" s="30"/>
      <c r="AAJ3" s="30"/>
      <c r="AAK3" s="30"/>
      <c r="AAL3" s="30"/>
      <c r="AAM3" s="30"/>
      <c r="AAN3" s="30"/>
      <c r="AAO3" s="30"/>
      <c r="AAP3" s="30"/>
      <c r="AAQ3" s="30"/>
      <c r="AAR3" s="30"/>
      <c r="AAS3" s="30"/>
      <c r="AAT3" s="30"/>
      <c r="AAU3" s="30"/>
      <c r="AAV3" s="30"/>
      <c r="AAW3" s="30"/>
      <c r="AAX3" s="30"/>
      <c r="AAY3" s="30"/>
      <c r="AAZ3" s="30"/>
      <c r="ABA3" s="30"/>
      <c r="ABB3" s="30"/>
      <c r="ABC3" s="30"/>
      <c r="ABD3" s="30"/>
      <c r="ABE3" s="30"/>
      <c r="ABF3" s="30"/>
      <c r="ABG3" s="30"/>
      <c r="ABH3" s="30"/>
      <c r="ABI3" s="30"/>
      <c r="ABJ3" s="30"/>
      <c r="ABK3" s="30"/>
      <c r="ABL3" s="30"/>
      <c r="ABM3" s="30"/>
      <c r="ABN3" s="30"/>
      <c r="ABO3" s="30"/>
      <c r="ABP3" s="30"/>
      <c r="ABQ3" s="30"/>
      <c r="ABR3" s="30"/>
      <c r="ABS3" s="30"/>
      <c r="ABT3" s="30"/>
      <c r="ABU3" s="30"/>
      <c r="ABV3" s="30"/>
      <c r="ABW3" s="30"/>
      <c r="ABX3" s="30"/>
      <c r="ABY3" s="30"/>
      <c r="ABZ3" s="30"/>
      <c r="ACA3" s="30"/>
      <c r="ACB3" s="30"/>
      <c r="ACC3" s="30"/>
      <c r="ACD3" s="30"/>
      <c r="ACE3" s="30"/>
      <c r="ACF3" s="30"/>
      <c r="ACG3" s="30"/>
      <c r="ACH3" s="30"/>
      <c r="ACI3" s="30"/>
      <c r="ACJ3" s="30"/>
      <c r="ACK3" s="30"/>
      <c r="ACL3" s="30"/>
      <c r="ACM3" s="30"/>
      <c r="ACN3" s="30"/>
      <c r="ACO3" s="30"/>
      <c r="ACP3" s="30"/>
      <c r="ACQ3" s="30"/>
      <c r="ACR3" s="30"/>
      <c r="ACS3" s="30"/>
      <c r="ACT3" s="30"/>
      <c r="ACU3" s="30"/>
      <c r="ACV3" s="30"/>
      <c r="ACW3" s="30"/>
      <c r="ACX3" s="30"/>
      <c r="ACY3" s="30"/>
      <c r="ACZ3" s="30"/>
      <c r="ADA3" s="30"/>
      <c r="ADB3" s="30"/>
      <c r="ADC3" s="30"/>
      <c r="ADD3" s="30"/>
      <c r="ADE3" s="30"/>
      <c r="ADF3" s="30"/>
      <c r="ADG3" s="30"/>
      <c r="ADH3" s="30"/>
      <c r="ADI3" s="30"/>
      <c r="ADJ3" s="30"/>
      <c r="ADK3" s="30"/>
      <c r="ADL3" s="30"/>
      <c r="ADM3" s="30"/>
      <c r="ADN3" s="30"/>
      <c r="ADO3" s="30"/>
      <c r="ADP3" s="30"/>
      <c r="ADQ3" s="30"/>
      <c r="ADR3" s="30"/>
      <c r="ADS3" s="30"/>
      <c r="ADT3" s="30"/>
      <c r="ADU3" s="30"/>
      <c r="ADV3" s="30"/>
      <c r="ADW3" s="30"/>
      <c r="ADX3" s="30"/>
      <c r="ADY3" s="30"/>
      <c r="ADZ3" s="30"/>
      <c r="AEA3" s="30"/>
      <c r="AEB3" s="30"/>
      <c r="AEC3" s="30"/>
      <c r="AED3" s="30"/>
      <c r="AEE3" s="30"/>
      <c r="AEF3" s="30"/>
      <c r="AEG3" s="30"/>
      <c r="AEH3" s="30"/>
      <c r="AEI3" s="30"/>
      <c r="AEJ3" s="30"/>
      <c r="AEK3" s="30"/>
      <c r="AEL3" s="30"/>
      <c r="AEM3" s="30"/>
      <c r="AEN3" s="30"/>
      <c r="AEO3" s="30"/>
      <c r="AEP3" s="30"/>
      <c r="AEQ3" s="30"/>
      <c r="AER3" s="30"/>
      <c r="AES3" s="30"/>
      <c r="AET3" s="30"/>
      <c r="AEU3" s="30"/>
      <c r="AEV3" s="30"/>
      <c r="AEW3" s="30"/>
      <c r="AEX3" s="30"/>
      <c r="AEY3" s="30"/>
      <c r="AEZ3" s="30"/>
      <c r="AFA3" s="30"/>
      <c r="AFB3" s="30"/>
      <c r="AFC3" s="30"/>
      <c r="AFD3" s="30"/>
      <c r="AFE3" s="30"/>
      <c r="AFF3" s="30"/>
      <c r="AFG3" s="30"/>
      <c r="AFH3" s="30"/>
      <c r="AFI3" s="30"/>
      <c r="AFJ3" s="30"/>
      <c r="AFK3" s="30"/>
      <c r="AFL3" s="30"/>
      <c r="AFM3" s="30"/>
      <c r="AFN3" s="30"/>
      <c r="AFO3" s="30"/>
      <c r="AFP3" s="30"/>
      <c r="AFQ3" s="30"/>
      <c r="AFR3" s="30"/>
      <c r="AFS3" s="30"/>
      <c r="AFT3" s="30"/>
      <c r="AFU3" s="30"/>
      <c r="AFV3" s="30"/>
      <c r="AFW3" s="30"/>
      <c r="AFX3" s="30"/>
      <c r="AFY3" s="30"/>
      <c r="AFZ3" s="30"/>
      <c r="AGA3" s="30"/>
      <c r="AGB3" s="30"/>
      <c r="AGC3" s="30"/>
      <c r="AGD3" s="30"/>
      <c r="AGE3" s="30"/>
      <c r="AGF3" s="30"/>
      <c r="AGG3" s="30"/>
      <c r="AGH3" s="30"/>
      <c r="AGI3" s="30"/>
      <c r="AGJ3" s="30"/>
      <c r="AGK3" s="30"/>
      <c r="AGL3" s="30"/>
      <c r="AGM3" s="30"/>
      <c r="AGN3" s="30"/>
      <c r="AGO3" s="30"/>
      <c r="AGP3" s="30"/>
      <c r="AGQ3" s="30"/>
      <c r="AGR3" s="30"/>
      <c r="AGS3" s="30"/>
      <c r="AGT3" s="30"/>
      <c r="AGU3" s="30"/>
      <c r="AGV3" s="30"/>
      <c r="AGW3" s="30"/>
      <c r="AGX3" s="30"/>
      <c r="AGY3" s="30"/>
      <c r="AGZ3" s="30"/>
      <c r="AHA3" s="30"/>
      <c r="AHB3" s="30"/>
      <c r="AHC3" s="30"/>
      <c r="AHD3" s="30"/>
      <c r="AHE3" s="30"/>
      <c r="AHF3" s="30"/>
      <c r="AHG3" s="30"/>
      <c r="AHH3" s="30"/>
      <c r="AHI3" s="30"/>
      <c r="AHJ3" s="30"/>
      <c r="AHK3" s="30"/>
      <c r="AHL3" s="30"/>
      <c r="AHM3" s="30"/>
      <c r="AHN3" s="30"/>
      <c r="AHO3" s="30"/>
      <c r="AHP3" s="30"/>
      <c r="AHQ3" s="30"/>
      <c r="AHR3" s="30"/>
      <c r="AHS3" s="30"/>
      <c r="AHT3" s="30"/>
      <c r="AHU3" s="30"/>
      <c r="AHV3" s="30"/>
      <c r="AHW3" s="30"/>
      <c r="AHX3" s="30"/>
      <c r="AHY3" s="30"/>
      <c r="AHZ3" s="30"/>
      <c r="AIA3" s="30"/>
      <c r="AIB3" s="30"/>
      <c r="AIC3" s="30"/>
      <c r="AID3" s="30"/>
      <c r="AIE3" s="30"/>
      <c r="AIF3" s="30"/>
      <c r="AIG3" s="30"/>
      <c r="AIH3" s="30"/>
      <c r="AII3" s="30"/>
      <c r="AIJ3" s="30"/>
      <c r="AIK3" s="30"/>
      <c r="AIL3" s="30"/>
      <c r="AIM3" s="30"/>
      <c r="AIN3" s="30"/>
      <c r="AIO3" s="30"/>
      <c r="AIP3" s="30"/>
      <c r="AIQ3" s="30"/>
      <c r="AIR3" s="30"/>
      <c r="AIS3" s="30"/>
      <c r="AIT3" s="30"/>
      <c r="AIU3" s="30"/>
      <c r="AIV3" s="30"/>
      <c r="AIW3" s="30"/>
      <c r="AIX3" s="30"/>
      <c r="AIY3" s="30"/>
      <c r="AIZ3" s="30"/>
      <c r="AJA3" s="30"/>
      <c r="AJB3" s="30"/>
      <c r="AJC3" s="30"/>
      <c r="AJD3" s="30"/>
      <c r="AJE3" s="30"/>
      <c r="AJF3" s="30"/>
      <c r="AJG3" s="30"/>
      <c r="AJH3" s="30"/>
      <c r="AJI3" s="30"/>
      <c r="AJJ3" s="30"/>
      <c r="AJK3" s="30"/>
      <c r="AJL3" s="30"/>
      <c r="AJM3" s="30"/>
      <c r="AJN3" s="30"/>
      <c r="AJO3" s="30"/>
      <c r="AJP3" s="30"/>
      <c r="AJQ3" s="30"/>
      <c r="AJR3" s="30"/>
      <c r="AJS3" s="30"/>
      <c r="AJT3" s="30"/>
      <c r="AJU3" s="30"/>
      <c r="AJV3" s="30"/>
      <c r="AJW3" s="30"/>
      <c r="AJX3" s="30"/>
      <c r="AJY3" s="30"/>
      <c r="AJZ3" s="30"/>
      <c r="AKA3" s="30"/>
      <c r="AKB3" s="30"/>
      <c r="AKC3" s="30"/>
      <c r="AKD3" s="30"/>
      <c r="AKE3" s="30"/>
      <c r="AKF3" s="30"/>
      <c r="AKG3" s="30"/>
      <c r="AKH3" s="30"/>
      <c r="AKI3" s="30"/>
      <c r="AKJ3" s="30"/>
      <c r="AKK3" s="30"/>
      <c r="AKL3" s="30"/>
      <c r="AKM3" s="30"/>
      <c r="AKN3" s="30"/>
      <c r="AKO3" s="30"/>
      <c r="AKP3" s="30"/>
      <c r="AKQ3" s="30"/>
      <c r="AKR3" s="30"/>
      <c r="AKS3" s="30"/>
      <c r="AKT3" s="30"/>
      <c r="AKU3" s="30"/>
      <c r="AKV3" s="30"/>
      <c r="AKW3" s="30"/>
      <c r="AKX3" s="30"/>
      <c r="AKY3" s="30"/>
      <c r="AKZ3" s="30"/>
      <c r="ALA3" s="30"/>
      <c r="ALB3" s="30"/>
      <c r="ALC3" s="30"/>
      <c r="ALD3" s="30"/>
      <c r="ALE3" s="30"/>
      <c r="ALF3" s="30"/>
      <c r="ALG3" s="30"/>
      <c r="ALH3" s="30"/>
      <c r="ALI3" s="30"/>
      <c r="ALJ3" s="30"/>
      <c r="ALK3" s="30"/>
      <c r="ALL3" s="30"/>
      <c r="ALM3" s="30"/>
      <c r="ALN3" s="30"/>
      <c r="ALO3" s="30"/>
      <c r="ALP3" s="30"/>
      <c r="ALQ3" s="30"/>
      <c r="ALR3" s="30"/>
      <c r="ALS3" s="30"/>
      <c r="ALT3" s="30"/>
      <c r="ALU3" s="30"/>
      <c r="ALV3" s="30"/>
      <c r="ALW3" s="30"/>
      <c r="ALX3" s="30"/>
      <c r="ALY3" s="30"/>
      <c r="ALZ3" s="30"/>
      <c r="AMA3" s="30"/>
      <c r="AMB3" s="30"/>
      <c r="AMC3" s="30"/>
      <c r="AMD3" s="30"/>
      <c r="AME3" s="30"/>
      <c r="AMF3" s="30"/>
      <c r="AMG3" s="30"/>
      <c r="AMH3" s="30"/>
      <c r="AMI3" s="30"/>
      <c r="AMJ3" s="30"/>
    </row>
    <row r="4" spans="1:1024" ht="13.5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38"/>
      <c r="AZ4" s="46"/>
      <c r="BA4" s="46"/>
      <c r="BB4" s="46"/>
      <c r="BC4" s="46"/>
    </row>
    <row r="5" spans="1:1024" ht="12.75" customHeight="1">
      <c r="A5" s="38"/>
      <c r="B5" s="111" t="s">
        <v>119</v>
      </c>
      <c r="C5" s="111"/>
      <c r="D5" s="111"/>
      <c r="E5" s="111"/>
      <c r="F5" s="111"/>
      <c r="G5" s="111"/>
      <c r="H5" s="125" t="s">
        <v>635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38"/>
      <c r="AX5" s="38"/>
      <c r="AY5" s="38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46"/>
      <c r="NZ5" s="46"/>
      <c r="OA5" s="46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46"/>
      <c r="PJ5" s="46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46"/>
      <c r="RR5" s="46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46"/>
      <c r="TZ5" s="46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46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46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46"/>
      <c r="AAX5" s="46"/>
      <c r="AAY5" s="46"/>
      <c r="AAZ5" s="46"/>
      <c r="ABA5" s="46"/>
      <c r="ABB5" s="46"/>
      <c r="ABC5" s="46"/>
      <c r="ABD5" s="46"/>
      <c r="ABE5" s="46"/>
      <c r="ABF5" s="46"/>
      <c r="ABG5" s="46"/>
      <c r="ABH5" s="46"/>
      <c r="ABI5" s="46"/>
      <c r="ABJ5" s="46"/>
      <c r="ABK5" s="46"/>
      <c r="ABL5" s="46"/>
      <c r="ABM5" s="46"/>
      <c r="ABN5" s="46"/>
      <c r="ABO5" s="46"/>
      <c r="ABP5" s="46"/>
      <c r="ABQ5" s="46"/>
      <c r="ABR5" s="46"/>
      <c r="ABS5" s="46"/>
      <c r="ABT5" s="46"/>
      <c r="ABU5" s="46"/>
      <c r="ABV5" s="46"/>
      <c r="ABW5" s="46"/>
      <c r="ABX5" s="46"/>
      <c r="ABY5" s="46"/>
      <c r="ABZ5" s="46"/>
      <c r="ACA5" s="46"/>
      <c r="ACB5" s="46"/>
      <c r="ACC5" s="46"/>
      <c r="ACD5" s="46"/>
      <c r="ACE5" s="46"/>
      <c r="ACF5" s="46"/>
      <c r="ACG5" s="46"/>
      <c r="ACH5" s="46"/>
      <c r="ACI5" s="46"/>
      <c r="ACJ5" s="46"/>
      <c r="ACK5" s="46"/>
      <c r="ACL5" s="46"/>
      <c r="ACM5" s="46"/>
      <c r="ACN5" s="46"/>
      <c r="ACO5" s="46"/>
      <c r="ACP5" s="46"/>
      <c r="ACQ5" s="46"/>
      <c r="ACR5" s="46"/>
      <c r="ACS5" s="46"/>
      <c r="ACT5" s="46"/>
      <c r="ACU5" s="46"/>
      <c r="ACV5" s="46"/>
      <c r="ACW5" s="46"/>
      <c r="ACX5" s="46"/>
      <c r="ACY5" s="46"/>
      <c r="ACZ5" s="46"/>
      <c r="ADA5" s="46"/>
      <c r="ADB5" s="46"/>
      <c r="ADC5" s="46"/>
      <c r="ADD5" s="46"/>
      <c r="ADE5" s="46"/>
      <c r="ADF5" s="46"/>
      <c r="ADG5" s="46"/>
      <c r="ADH5" s="46"/>
      <c r="ADI5" s="46"/>
      <c r="ADJ5" s="46"/>
      <c r="ADK5" s="46"/>
      <c r="ADL5" s="46"/>
      <c r="ADM5" s="46"/>
      <c r="ADN5" s="46"/>
      <c r="ADO5" s="46"/>
      <c r="ADP5" s="46"/>
      <c r="ADQ5" s="46"/>
      <c r="ADR5" s="46"/>
      <c r="ADS5" s="46"/>
      <c r="ADT5" s="46"/>
      <c r="ADU5" s="46"/>
      <c r="ADV5" s="46"/>
      <c r="ADW5" s="46"/>
      <c r="ADX5" s="46"/>
      <c r="ADY5" s="46"/>
      <c r="ADZ5" s="46"/>
      <c r="AEA5" s="46"/>
      <c r="AEB5" s="46"/>
      <c r="AEC5" s="46"/>
      <c r="AED5" s="46"/>
      <c r="AEE5" s="46"/>
      <c r="AEF5" s="46"/>
      <c r="AEG5" s="46"/>
      <c r="AEH5" s="46"/>
      <c r="AEI5" s="46"/>
      <c r="AEJ5" s="46"/>
      <c r="AEK5" s="46"/>
      <c r="AEL5" s="46"/>
      <c r="AEM5" s="46"/>
      <c r="AEN5" s="46"/>
      <c r="AEO5" s="46"/>
      <c r="AEP5" s="46"/>
      <c r="AEQ5" s="46"/>
      <c r="AER5" s="46"/>
      <c r="AES5" s="46"/>
      <c r="AET5" s="46"/>
      <c r="AEU5" s="46"/>
      <c r="AEV5" s="46"/>
      <c r="AEW5" s="46"/>
      <c r="AEX5" s="46"/>
      <c r="AEY5" s="46"/>
      <c r="AEZ5" s="46"/>
      <c r="AFA5" s="46"/>
      <c r="AFB5" s="46"/>
      <c r="AFC5" s="46"/>
      <c r="AFD5" s="46"/>
      <c r="AFE5" s="46"/>
      <c r="AFF5" s="46"/>
      <c r="AFG5" s="46"/>
      <c r="AFH5" s="46"/>
      <c r="AFI5" s="46"/>
      <c r="AFJ5" s="46"/>
      <c r="AFK5" s="46"/>
      <c r="AFL5" s="46"/>
      <c r="AFM5" s="46"/>
      <c r="AFN5" s="46"/>
      <c r="AFO5" s="46"/>
      <c r="AFP5" s="46"/>
      <c r="AFQ5" s="46"/>
      <c r="AFR5" s="46"/>
      <c r="AFS5" s="46"/>
      <c r="AFT5" s="46"/>
      <c r="AFU5" s="46"/>
      <c r="AFV5" s="46"/>
      <c r="AFW5" s="46"/>
      <c r="AFX5" s="46"/>
      <c r="AFY5" s="46"/>
      <c r="AFZ5" s="46"/>
      <c r="AGA5" s="46"/>
      <c r="AGB5" s="46"/>
      <c r="AGC5" s="46"/>
      <c r="AGD5" s="46"/>
      <c r="AGE5" s="46"/>
      <c r="AGF5" s="46"/>
      <c r="AGG5" s="46"/>
      <c r="AGH5" s="46"/>
      <c r="AGI5" s="46"/>
      <c r="AGJ5" s="46"/>
      <c r="AGK5" s="46"/>
      <c r="AGL5" s="46"/>
      <c r="AGM5" s="46"/>
      <c r="AGN5" s="46"/>
      <c r="AGO5" s="46"/>
      <c r="AGP5" s="46"/>
      <c r="AGQ5" s="46"/>
      <c r="AGR5" s="46"/>
      <c r="AGS5" s="46"/>
      <c r="AGT5" s="46"/>
      <c r="AGU5" s="46"/>
      <c r="AGV5" s="46"/>
      <c r="AGW5" s="46"/>
      <c r="AGX5" s="46"/>
      <c r="AGY5" s="46"/>
      <c r="AGZ5" s="46"/>
      <c r="AHA5" s="46"/>
      <c r="AHB5" s="46"/>
      <c r="AHC5" s="46"/>
      <c r="AHD5" s="46"/>
      <c r="AHE5" s="46"/>
      <c r="AHF5" s="46"/>
      <c r="AHG5" s="46"/>
      <c r="AHH5" s="46"/>
      <c r="AHI5" s="46"/>
      <c r="AHJ5" s="46"/>
      <c r="AHK5" s="46"/>
      <c r="AHL5" s="46"/>
      <c r="AHM5" s="46"/>
      <c r="AHN5" s="46"/>
      <c r="AHO5" s="46"/>
      <c r="AHP5" s="46"/>
      <c r="AHQ5" s="46"/>
      <c r="AHR5" s="46"/>
      <c r="AHS5" s="46"/>
      <c r="AHT5" s="46"/>
      <c r="AHU5" s="46"/>
      <c r="AHV5" s="46"/>
      <c r="AHW5" s="46"/>
      <c r="AHX5" s="46"/>
      <c r="AHY5" s="46"/>
      <c r="AHZ5" s="46"/>
      <c r="AIA5" s="46"/>
      <c r="AIB5" s="46"/>
      <c r="AIC5" s="46"/>
      <c r="AID5" s="46"/>
      <c r="AIE5" s="46"/>
      <c r="AIF5" s="46"/>
      <c r="AIG5" s="46"/>
      <c r="AIH5" s="46"/>
      <c r="AII5" s="46"/>
      <c r="AIJ5" s="46"/>
      <c r="AIK5" s="46"/>
      <c r="AIL5" s="46"/>
      <c r="AIM5" s="46"/>
      <c r="AIN5" s="46"/>
      <c r="AIO5" s="46"/>
      <c r="AIP5" s="46"/>
      <c r="AIQ5" s="46"/>
      <c r="AIR5" s="46"/>
      <c r="AIS5" s="46"/>
      <c r="AIT5" s="46"/>
      <c r="AIU5" s="46"/>
      <c r="AIV5" s="46"/>
      <c r="AIW5" s="46"/>
      <c r="AIX5" s="46"/>
      <c r="AIY5" s="46"/>
      <c r="AIZ5" s="46"/>
      <c r="AJA5" s="46"/>
      <c r="AJB5" s="46"/>
      <c r="AJC5" s="46"/>
      <c r="AJD5" s="46"/>
      <c r="AJE5" s="46"/>
      <c r="AJF5" s="46"/>
      <c r="AJG5" s="46"/>
      <c r="AJH5" s="46"/>
      <c r="AJI5" s="46"/>
      <c r="AJJ5" s="46"/>
      <c r="AJK5" s="46"/>
      <c r="AJL5" s="46"/>
      <c r="AJM5" s="46"/>
      <c r="AJN5" s="46"/>
      <c r="AJO5" s="46"/>
      <c r="AJP5" s="46"/>
      <c r="AJQ5" s="46"/>
      <c r="AJR5" s="46"/>
      <c r="AJS5" s="46"/>
      <c r="AJT5" s="46"/>
      <c r="AJU5" s="46"/>
      <c r="AJV5" s="46"/>
      <c r="AJW5" s="46"/>
      <c r="AJX5" s="46"/>
      <c r="AJY5" s="46"/>
      <c r="AJZ5" s="46"/>
      <c r="AKA5" s="46"/>
      <c r="AKB5" s="46"/>
      <c r="AKC5" s="46"/>
      <c r="AKD5" s="46"/>
      <c r="AKE5" s="46"/>
      <c r="AKF5" s="46"/>
      <c r="AKG5" s="46"/>
      <c r="AKH5" s="46"/>
      <c r="AKI5" s="46"/>
      <c r="AKJ5" s="46"/>
      <c r="AKK5" s="46"/>
      <c r="AKL5" s="46"/>
      <c r="AKM5" s="46"/>
      <c r="AKN5" s="46"/>
      <c r="AKO5" s="46"/>
      <c r="AKP5" s="46"/>
      <c r="AKQ5" s="46"/>
      <c r="AKR5" s="46"/>
      <c r="AKS5" s="46"/>
      <c r="AKT5" s="46"/>
      <c r="AKU5" s="46"/>
      <c r="AKV5" s="46"/>
      <c r="AKW5" s="46"/>
      <c r="AKX5" s="46"/>
      <c r="AKY5" s="46"/>
      <c r="AKZ5" s="46"/>
      <c r="ALA5" s="46"/>
      <c r="ALB5" s="46"/>
      <c r="ALC5" s="46"/>
      <c r="ALD5" s="46"/>
      <c r="ALE5" s="46"/>
      <c r="ALF5" s="46"/>
      <c r="ALG5" s="46"/>
      <c r="ALH5" s="46"/>
      <c r="ALI5" s="46"/>
      <c r="ALJ5" s="46"/>
      <c r="ALK5" s="46"/>
      <c r="ALL5" s="46"/>
      <c r="ALM5" s="46"/>
      <c r="ALN5" s="46"/>
      <c r="ALO5" s="46"/>
      <c r="ALP5" s="46"/>
      <c r="ALQ5" s="46"/>
      <c r="ALR5" s="46"/>
      <c r="ALS5" s="46"/>
      <c r="ALT5" s="46"/>
      <c r="ALU5" s="46"/>
      <c r="ALV5" s="46"/>
      <c r="ALW5" s="46"/>
      <c r="ALX5" s="46"/>
      <c r="ALY5" s="46"/>
      <c r="ALZ5" s="46"/>
      <c r="AMA5" s="46"/>
      <c r="AMB5" s="46"/>
      <c r="AMC5" s="46"/>
      <c r="AMD5" s="46"/>
      <c r="AME5" s="46"/>
      <c r="AMF5" s="46"/>
      <c r="AMG5" s="46"/>
      <c r="AMH5" s="46"/>
      <c r="AMI5" s="46"/>
      <c r="AMJ5" s="46"/>
    </row>
    <row r="6" spans="1:1024" ht="12.75" customHeight="1">
      <c r="A6" s="37"/>
      <c r="B6" s="111" t="s">
        <v>119</v>
      </c>
      <c r="C6" s="111"/>
      <c r="D6" s="111"/>
      <c r="E6" s="111"/>
      <c r="F6" s="111"/>
      <c r="G6" s="111"/>
      <c r="H6" s="125" t="s">
        <v>96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38"/>
      <c r="AX6" s="38"/>
      <c r="AY6" s="38"/>
      <c r="AZ6" s="46"/>
      <c r="BA6" s="46"/>
      <c r="BB6" s="46"/>
    </row>
    <row r="7" spans="1:1024" ht="12.75" customHeight="1">
      <c r="A7" s="37"/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38"/>
      <c r="AX7" s="38"/>
      <c r="AY7" s="38"/>
      <c r="AZ7" s="46"/>
      <c r="BA7" s="46"/>
      <c r="BB7" s="46"/>
    </row>
    <row r="8" spans="1:1024" ht="12.75" customHeight="1">
      <c r="A8" s="37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37"/>
      <c r="AX8" s="37"/>
      <c r="AY8" s="37"/>
    </row>
    <row r="9" spans="1:1024" ht="12.75" customHeight="1">
      <c r="A9" s="37"/>
      <c r="B9" s="172" t="s">
        <v>46</v>
      </c>
      <c r="C9" s="172"/>
      <c r="D9" s="172" t="s">
        <v>122</v>
      </c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 t="s">
        <v>49</v>
      </c>
      <c r="P9" s="172"/>
      <c r="Q9" s="172"/>
      <c r="R9" s="172"/>
      <c r="S9" s="172"/>
      <c r="T9" s="172"/>
      <c r="U9" s="172"/>
      <c r="V9" s="172"/>
      <c r="W9" s="172"/>
      <c r="X9" s="172"/>
      <c r="Y9" s="172" t="s">
        <v>123</v>
      </c>
      <c r="Z9" s="172"/>
      <c r="AA9" s="172"/>
      <c r="AB9" s="172"/>
      <c r="AC9" s="172"/>
      <c r="AD9" s="172"/>
      <c r="AE9" s="172"/>
      <c r="AF9" s="172"/>
      <c r="AG9" s="172" t="s">
        <v>124</v>
      </c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3" t="s">
        <v>125</v>
      </c>
      <c r="AX9" s="173"/>
      <c r="AY9" s="173"/>
      <c r="AZ9" s="173"/>
      <c r="BA9" s="173"/>
      <c r="BB9" s="173"/>
    </row>
    <row r="10" spans="1:1024" ht="12.75" customHeight="1">
      <c r="A10" s="37"/>
      <c r="B10" s="172"/>
      <c r="C10" s="172"/>
      <c r="D10" s="172" t="s">
        <v>48</v>
      </c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 t="s">
        <v>49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3"/>
      <c r="AX10" s="173"/>
      <c r="AY10" s="173"/>
      <c r="AZ10" s="173"/>
      <c r="BA10" s="173"/>
      <c r="BB10" s="173"/>
    </row>
    <row r="11" spans="1:1024" ht="12.75" customHeight="1">
      <c r="A11" s="37"/>
      <c r="B11" s="175">
        <v>1</v>
      </c>
      <c r="C11" s="175"/>
      <c r="D11" s="176" t="s">
        <v>636</v>
      </c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 t="s">
        <v>637</v>
      </c>
      <c r="P11" s="176"/>
      <c r="Q11" s="176"/>
      <c r="R11" s="176"/>
      <c r="S11" s="176"/>
      <c r="T11" s="176"/>
      <c r="U11" s="176"/>
      <c r="V11" s="176"/>
      <c r="W11" s="176"/>
      <c r="X11" s="176"/>
      <c r="Y11" s="176" t="s">
        <v>137</v>
      </c>
      <c r="Z11" s="176"/>
      <c r="AA11" s="176"/>
      <c r="AB11" s="176"/>
      <c r="AC11" s="176"/>
      <c r="AD11" s="176"/>
      <c r="AE11" s="176"/>
      <c r="AF11" s="176"/>
      <c r="AG11" s="174" t="s">
        <v>129</v>
      </c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 t="s">
        <v>129</v>
      </c>
      <c r="AX11" s="174"/>
      <c r="AY11" s="174"/>
      <c r="AZ11" s="174"/>
      <c r="BA11" s="174"/>
      <c r="BB11" s="174"/>
    </row>
    <row r="12" spans="1:1024" ht="12.75" customHeight="1">
      <c r="A12" s="37"/>
      <c r="B12" s="175">
        <v>2</v>
      </c>
      <c r="C12" s="175"/>
      <c r="D12" s="176" t="s">
        <v>640</v>
      </c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 t="s">
        <v>641</v>
      </c>
      <c r="P12" s="176"/>
      <c r="Q12" s="176"/>
      <c r="R12" s="176"/>
      <c r="S12" s="176"/>
      <c r="T12" s="176"/>
      <c r="U12" s="176"/>
      <c r="V12" s="176"/>
      <c r="W12" s="176"/>
      <c r="X12" s="176"/>
      <c r="Y12" s="176" t="s">
        <v>210</v>
      </c>
      <c r="Z12" s="176"/>
      <c r="AA12" s="176"/>
      <c r="AB12" s="176"/>
      <c r="AC12" s="176"/>
      <c r="AD12" s="176"/>
      <c r="AE12" s="176"/>
      <c r="AF12" s="176"/>
      <c r="AG12" s="174" t="s">
        <v>129</v>
      </c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 t="s">
        <v>129</v>
      </c>
      <c r="AX12" s="174"/>
      <c r="AY12" s="174"/>
      <c r="AZ12" s="174"/>
      <c r="BA12" s="174"/>
      <c r="BB12" s="174"/>
    </row>
    <row r="13" spans="1:1024" ht="12.75" customHeight="1">
      <c r="A13" s="37"/>
      <c r="B13" s="175">
        <v>4</v>
      </c>
      <c r="C13" s="175"/>
      <c r="D13" s="176" t="s">
        <v>642</v>
      </c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 t="s">
        <v>643</v>
      </c>
      <c r="P13" s="176"/>
      <c r="Q13" s="176"/>
      <c r="R13" s="176"/>
      <c r="S13" s="176"/>
      <c r="T13" s="176"/>
      <c r="U13" s="176"/>
      <c r="V13" s="176"/>
      <c r="W13" s="176"/>
      <c r="X13" s="176"/>
      <c r="Y13" s="176" t="s">
        <v>210</v>
      </c>
      <c r="Z13" s="176"/>
      <c r="AA13" s="176"/>
      <c r="AB13" s="176"/>
      <c r="AC13" s="176"/>
      <c r="AD13" s="176"/>
      <c r="AE13" s="176"/>
      <c r="AF13" s="176"/>
      <c r="AG13" s="174" t="s">
        <v>129</v>
      </c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 t="s">
        <v>129</v>
      </c>
      <c r="AX13" s="174"/>
      <c r="AY13" s="174"/>
      <c r="AZ13" s="174"/>
      <c r="BA13" s="174"/>
      <c r="BB13" s="174"/>
    </row>
    <row r="14" spans="1:1024" ht="12.75" customHeight="1">
      <c r="A14" s="37"/>
      <c r="B14" s="175">
        <v>5</v>
      </c>
      <c r="C14" s="175"/>
      <c r="D14" s="177" t="s">
        <v>644</v>
      </c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6" t="s">
        <v>645</v>
      </c>
      <c r="P14" s="176"/>
      <c r="Q14" s="176"/>
      <c r="R14" s="176"/>
      <c r="S14" s="176"/>
      <c r="T14" s="176"/>
      <c r="U14" s="176"/>
      <c r="V14" s="176"/>
      <c r="W14" s="176"/>
      <c r="X14" s="176"/>
      <c r="Y14" s="176" t="s">
        <v>132</v>
      </c>
      <c r="Z14" s="176"/>
      <c r="AA14" s="176"/>
      <c r="AB14" s="176"/>
      <c r="AC14" s="176"/>
      <c r="AD14" s="176"/>
      <c r="AE14" s="176"/>
      <c r="AF14" s="176"/>
      <c r="AG14" s="174" t="s">
        <v>129</v>
      </c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 t="s">
        <v>129</v>
      </c>
      <c r="AX14" s="174"/>
      <c r="AY14" s="174"/>
      <c r="AZ14" s="174"/>
      <c r="BA14" s="174"/>
      <c r="BB14" s="174"/>
    </row>
    <row r="15" spans="1:1024" ht="12.75" customHeight="1">
      <c r="A15" s="37"/>
      <c r="B15" s="175">
        <v>6</v>
      </c>
      <c r="C15" s="175"/>
      <c r="D15" s="177" t="s">
        <v>646</v>
      </c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6" t="s">
        <v>535</v>
      </c>
      <c r="P15" s="176"/>
      <c r="Q15" s="176"/>
      <c r="R15" s="176"/>
      <c r="S15" s="176"/>
      <c r="T15" s="176"/>
      <c r="U15" s="176"/>
      <c r="V15" s="176"/>
      <c r="W15" s="176"/>
      <c r="X15" s="176"/>
      <c r="Y15" s="176" t="s">
        <v>137</v>
      </c>
      <c r="Z15" s="176"/>
      <c r="AA15" s="176"/>
      <c r="AB15" s="176"/>
      <c r="AC15" s="176"/>
      <c r="AD15" s="176"/>
      <c r="AE15" s="176"/>
      <c r="AF15" s="176"/>
      <c r="AG15" s="174" t="s">
        <v>129</v>
      </c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 t="s">
        <v>129</v>
      </c>
      <c r="AX15" s="174"/>
      <c r="AY15" s="174"/>
      <c r="AZ15" s="174"/>
      <c r="BA15" s="174"/>
      <c r="BB15" s="174"/>
    </row>
    <row r="16" spans="1:1024" ht="12.75" customHeight="1">
      <c r="A16" s="37"/>
      <c r="B16" s="175">
        <v>7</v>
      </c>
      <c r="C16" s="175"/>
      <c r="D16" s="177" t="s">
        <v>647</v>
      </c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6" t="s">
        <v>537</v>
      </c>
      <c r="P16" s="176"/>
      <c r="Q16" s="176"/>
      <c r="R16" s="176"/>
      <c r="S16" s="176"/>
      <c r="T16" s="176"/>
      <c r="U16" s="176"/>
      <c r="V16" s="176"/>
      <c r="W16" s="176"/>
      <c r="X16" s="176"/>
      <c r="Y16" s="176" t="s">
        <v>132</v>
      </c>
      <c r="Z16" s="176"/>
      <c r="AA16" s="176"/>
      <c r="AB16" s="176"/>
      <c r="AC16" s="176"/>
      <c r="AD16" s="176"/>
      <c r="AE16" s="176"/>
      <c r="AF16" s="176"/>
      <c r="AG16" s="174" t="s">
        <v>129</v>
      </c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 t="s">
        <v>129</v>
      </c>
      <c r="AX16" s="174"/>
      <c r="AY16" s="174"/>
      <c r="AZ16" s="174"/>
      <c r="BA16" s="174"/>
      <c r="BB16" s="174"/>
    </row>
    <row r="17" spans="1:54" ht="12.75" customHeight="1">
      <c r="A17" s="37"/>
      <c r="B17" s="175">
        <v>8</v>
      </c>
      <c r="C17" s="175"/>
      <c r="D17" s="177" t="s">
        <v>648</v>
      </c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6" t="s">
        <v>649</v>
      </c>
      <c r="P17" s="176"/>
      <c r="Q17" s="176"/>
      <c r="R17" s="176"/>
      <c r="S17" s="176"/>
      <c r="T17" s="176"/>
      <c r="U17" s="176"/>
      <c r="V17" s="176"/>
      <c r="W17" s="176"/>
      <c r="X17" s="176"/>
      <c r="Y17" s="176" t="s">
        <v>132</v>
      </c>
      <c r="Z17" s="176"/>
      <c r="AA17" s="176"/>
      <c r="AB17" s="176"/>
      <c r="AC17" s="176"/>
      <c r="AD17" s="176"/>
      <c r="AE17" s="176"/>
      <c r="AF17" s="176"/>
      <c r="AG17" s="174" t="s">
        <v>129</v>
      </c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 t="s">
        <v>129</v>
      </c>
      <c r="AX17" s="174"/>
      <c r="AY17" s="174"/>
      <c r="AZ17" s="174"/>
      <c r="BA17" s="174"/>
      <c r="BB17" s="174"/>
    </row>
    <row r="18" spans="1:54" ht="12.75" customHeight="1">
      <c r="A18" s="37"/>
      <c r="B18" s="175">
        <v>9</v>
      </c>
      <c r="C18" s="175"/>
      <c r="D18" s="177" t="s">
        <v>650</v>
      </c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6" t="s">
        <v>625</v>
      </c>
      <c r="P18" s="176"/>
      <c r="Q18" s="176"/>
      <c r="R18" s="176"/>
      <c r="S18" s="176"/>
      <c r="T18" s="176"/>
      <c r="U18" s="176"/>
      <c r="V18" s="176"/>
      <c r="W18" s="176"/>
      <c r="X18" s="176"/>
      <c r="Y18" s="176" t="s">
        <v>132</v>
      </c>
      <c r="Z18" s="176"/>
      <c r="AA18" s="176"/>
      <c r="AB18" s="176"/>
      <c r="AC18" s="176"/>
      <c r="AD18" s="176"/>
      <c r="AE18" s="176"/>
      <c r="AF18" s="176"/>
      <c r="AG18" s="174" t="s">
        <v>129</v>
      </c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 t="s">
        <v>129</v>
      </c>
      <c r="AX18" s="174"/>
      <c r="AY18" s="174"/>
      <c r="AZ18" s="174"/>
      <c r="BA18" s="174"/>
      <c r="BB18" s="174"/>
    </row>
    <row r="19" spans="1:54" ht="12.75" customHeight="1">
      <c r="A19" s="37"/>
      <c r="B19" s="175">
        <v>10</v>
      </c>
      <c r="C19" s="175"/>
      <c r="D19" s="177" t="s">
        <v>651</v>
      </c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6" t="s">
        <v>652</v>
      </c>
      <c r="P19" s="176"/>
      <c r="Q19" s="176"/>
      <c r="R19" s="176"/>
      <c r="S19" s="176"/>
      <c r="T19" s="176"/>
      <c r="U19" s="176"/>
      <c r="V19" s="176"/>
      <c r="W19" s="176"/>
      <c r="X19" s="176"/>
      <c r="Y19" s="176" t="s">
        <v>128</v>
      </c>
      <c r="Z19" s="176"/>
      <c r="AA19" s="176"/>
      <c r="AB19" s="176"/>
      <c r="AC19" s="176"/>
      <c r="AD19" s="176"/>
      <c r="AE19" s="176"/>
      <c r="AF19" s="176"/>
      <c r="AG19" s="174" t="s">
        <v>129</v>
      </c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 t="s">
        <v>129</v>
      </c>
      <c r="AX19" s="174"/>
      <c r="AY19" s="174"/>
      <c r="AZ19" s="174"/>
      <c r="BA19" s="174"/>
      <c r="BB19" s="174"/>
    </row>
    <row r="20" spans="1:54" ht="12.75" customHeight="1">
      <c r="A20" s="37"/>
      <c r="B20" s="175">
        <v>11</v>
      </c>
      <c r="C20" s="175"/>
      <c r="D20" s="177" t="s">
        <v>653</v>
      </c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6" t="s">
        <v>654</v>
      </c>
      <c r="P20" s="176"/>
      <c r="Q20" s="176"/>
      <c r="R20" s="176"/>
      <c r="S20" s="176"/>
      <c r="T20" s="176"/>
      <c r="U20" s="176"/>
      <c r="V20" s="176"/>
      <c r="W20" s="176"/>
      <c r="X20" s="176"/>
      <c r="Y20" s="176" t="s">
        <v>655</v>
      </c>
      <c r="Z20" s="176"/>
      <c r="AA20" s="176"/>
      <c r="AB20" s="176"/>
      <c r="AC20" s="176"/>
      <c r="AD20" s="176"/>
      <c r="AE20" s="176"/>
      <c r="AF20" s="176"/>
      <c r="AG20" s="174" t="s">
        <v>129</v>
      </c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 t="s">
        <v>129</v>
      </c>
      <c r="AX20" s="174"/>
      <c r="AY20" s="174"/>
      <c r="AZ20" s="174"/>
      <c r="BA20" s="174"/>
      <c r="BB20" s="174"/>
    </row>
    <row r="21" spans="1:54" ht="12.75" customHeight="1"/>
    <row r="22" spans="1:54" ht="12.75" customHeight="1"/>
    <row r="23" spans="1:54" ht="12.75" customHeight="1"/>
    <row r="24" spans="1:54" ht="12.75" customHeight="1"/>
    <row r="25" spans="1:54" ht="12.75" customHeight="1"/>
    <row r="26" spans="1:54" ht="12.75" customHeight="1"/>
    <row r="27" spans="1:54" ht="12.75" customHeight="1"/>
    <row r="28" spans="1:54" ht="12.75" customHeight="1"/>
    <row r="29" spans="1:54" ht="12.75" customHeight="1"/>
    <row r="30" spans="1:54" ht="12.75" customHeight="1"/>
    <row r="31" spans="1:54" ht="12.75" customHeight="1"/>
    <row r="32" spans="1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</sheetData>
  <mergeCells count="86">
    <mergeCell ref="AW20:BB20"/>
    <mergeCell ref="B20:C20"/>
    <mergeCell ref="D20:N20"/>
    <mergeCell ref="O20:X20"/>
    <mergeCell ref="Y20:AF20"/>
    <mergeCell ref="AG20:AV20"/>
    <mergeCell ref="AW18:BB18"/>
    <mergeCell ref="B19:C19"/>
    <mergeCell ref="D19:N19"/>
    <mergeCell ref="O19:X19"/>
    <mergeCell ref="Y19:AF19"/>
    <mergeCell ref="AG19:AV19"/>
    <mergeCell ref="AW19:BB19"/>
    <mergeCell ref="B18:C18"/>
    <mergeCell ref="D18:N18"/>
    <mergeCell ref="O18:X18"/>
    <mergeCell ref="Y18:AF18"/>
    <mergeCell ref="AG18:AV18"/>
    <mergeCell ref="AW16:BB16"/>
    <mergeCell ref="B17:C17"/>
    <mergeCell ref="D17:N17"/>
    <mergeCell ref="O17:X17"/>
    <mergeCell ref="Y17:AF17"/>
    <mergeCell ref="AG17:AV17"/>
    <mergeCell ref="AW17:BB17"/>
    <mergeCell ref="B16:C16"/>
    <mergeCell ref="D16:N16"/>
    <mergeCell ref="O16:X16"/>
    <mergeCell ref="Y16:AF16"/>
    <mergeCell ref="AG16:AV16"/>
    <mergeCell ref="AW14:BB14"/>
    <mergeCell ref="B15:C15"/>
    <mergeCell ref="D15:N15"/>
    <mergeCell ref="O15:X15"/>
    <mergeCell ref="Y15:AF15"/>
    <mergeCell ref="AG15:AV15"/>
    <mergeCell ref="AW15:BB15"/>
    <mergeCell ref="B14:C14"/>
    <mergeCell ref="D14:N14"/>
    <mergeCell ref="O14:X14"/>
    <mergeCell ref="Y14:AF14"/>
    <mergeCell ref="AG14:AV14"/>
    <mergeCell ref="AW12:BB12"/>
    <mergeCell ref="B13:C13"/>
    <mergeCell ref="D13:N13"/>
    <mergeCell ref="O13:X13"/>
    <mergeCell ref="Y13:AF13"/>
    <mergeCell ref="AG13:AV13"/>
    <mergeCell ref="AW13:BB13"/>
    <mergeCell ref="B12:C12"/>
    <mergeCell ref="D12:N12"/>
    <mergeCell ref="O12:X12"/>
    <mergeCell ref="Y12:AF12"/>
    <mergeCell ref="AG12:AV12"/>
    <mergeCell ref="AW11:BB11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MJ67"/>
  <sheetViews>
    <sheetView view="pageBreakPreview" zoomScaleNormal="100" workbookViewId="0">
      <selection sqref="A1:I1"/>
    </sheetView>
  </sheetViews>
  <sheetFormatPr defaultColWidth="2.59765625" defaultRowHeight="18"/>
  <cols>
    <col min="1" max="1024" width="2.59765625" style="44"/>
  </cols>
  <sheetData>
    <row r="1" spans="1:1024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0"/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  <c r="PF1" s="30"/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30"/>
      <c r="QI1" s="30"/>
      <c r="QJ1" s="30"/>
      <c r="QK1" s="30"/>
      <c r="QL1" s="30"/>
      <c r="QM1" s="30"/>
      <c r="QN1" s="30"/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0"/>
      <c r="QZ1" s="30"/>
      <c r="RA1" s="30"/>
      <c r="RB1" s="30"/>
      <c r="RC1" s="30"/>
      <c r="RD1" s="30"/>
      <c r="RE1" s="30"/>
      <c r="RF1" s="30"/>
      <c r="RG1" s="30"/>
      <c r="RH1" s="30"/>
      <c r="RI1" s="30"/>
      <c r="RJ1" s="30"/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0"/>
      <c r="RV1" s="30"/>
      <c r="RW1" s="30"/>
      <c r="RX1" s="30"/>
      <c r="RY1" s="30"/>
      <c r="RZ1" s="30"/>
      <c r="SA1" s="30"/>
      <c r="SB1" s="30"/>
      <c r="SC1" s="30"/>
      <c r="SD1" s="30"/>
      <c r="SE1" s="30"/>
      <c r="SF1" s="30"/>
      <c r="SG1" s="30"/>
      <c r="SH1" s="30"/>
      <c r="SI1" s="30"/>
      <c r="SJ1" s="30"/>
      <c r="SK1" s="30"/>
      <c r="SL1" s="30"/>
      <c r="SM1" s="30"/>
      <c r="SN1" s="30"/>
      <c r="SO1" s="30"/>
      <c r="SP1" s="30"/>
      <c r="SQ1" s="30"/>
      <c r="SR1" s="30"/>
      <c r="SS1" s="30"/>
      <c r="ST1" s="30"/>
      <c r="SU1" s="30"/>
      <c r="SV1" s="30"/>
      <c r="SW1" s="30"/>
      <c r="SX1" s="30"/>
      <c r="SY1" s="30"/>
      <c r="SZ1" s="30"/>
      <c r="TA1" s="30"/>
      <c r="TB1" s="30"/>
      <c r="TC1" s="30"/>
      <c r="TD1" s="30"/>
      <c r="TE1" s="30"/>
      <c r="TF1" s="30"/>
      <c r="TG1" s="30"/>
      <c r="TH1" s="30"/>
      <c r="TI1" s="30"/>
      <c r="TJ1" s="30"/>
      <c r="TK1" s="30"/>
      <c r="TL1" s="30"/>
      <c r="TM1" s="30"/>
      <c r="TN1" s="30"/>
      <c r="TO1" s="30"/>
      <c r="TP1" s="30"/>
      <c r="TQ1" s="30"/>
      <c r="TR1" s="30"/>
      <c r="TS1" s="30"/>
      <c r="TT1" s="30"/>
      <c r="TU1" s="30"/>
      <c r="TV1" s="30"/>
      <c r="TW1" s="30"/>
      <c r="TX1" s="30"/>
      <c r="TY1" s="30"/>
      <c r="TZ1" s="30"/>
      <c r="UA1" s="30"/>
      <c r="UB1" s="30"/>
      <c r="UC1" s="30"/>
      <c r="UD1" s="30"/>
      <c r="UE1" s="30"/>
      <c r="UF1" s="30"/>
      <c r="UG1" s="30"/>
      <c r="UH1" s="30"/>
      <c r="UI1" s="30"/>
      <c r="UJ1" s="30"/>
      <c r="UK1" s="30"/>
      <c r="UL1" s="30"/>
      <c r="UM1" s="30"/>
      <c r="UN1" s="30"/>
      <c r="UO1" s="30"/>
      <c r="UP1" s="30"/>
      <c r="UQ1" s="30"/>
      <c r="UR1" s="30"/>
      <c r="US1" s="30"/>
      <c r="UT1" s="30"/>
      <c r="UU1" s="30"/>
      <c r="UV1" s="30"/>
      <c r="UW1" s="30"/>
      <c r="UX1" s="30"/>
      <c r="UY1" s="30"/>
      <c r="UZ1" s="30"/>
      <c r="VA1" s="30"/>
      <c r="VB1" s="30"/>
      <c r="VC1" s="30"/>
      <c r="VD1" s="30"/>
      <c r="VE1" s="30"/>
      <c r="VF1" s="30"/>
      <c r="VG1" s="30"/>
      <c r="VH1" s="30"/>
      <c r="VI1" s="30"/>
      <c r="VJ1" s="30"/>
      <c r="VK1" s="30"/>
      <c r="VL1" s="30"/>
      <c r="VM1" s="30"/>
      <c r="VN1" s="30"/>
      <c r="VO1" s="30"/>
      <c r="VP1" s="30"/>
      <c r="VQ1" s="30"/>
      <c r="VR1" s="30"/>
      <c r="VS1" s="30"/>
      <c r="VT1" s="30"/>
      <c r="VU1" s="30"/>
      <c r="VV1" s="30"/>
      <c r="VW1" s="30"/>
      <c r="VX1" s="30"/>
      <c r="VY1" s="30"/>
      <c r="VZ1" s="30"/>
      <c r="WA1" s="30"/>
      <c r="WB1" s="30"/>
      <c r="WC1" s="30"/>
      <c r="WD1" s="30"/>
      <c r="WE1" s="30"/>
      <c r="WF1" s="30"/>
      <c r="WG1" s="30"/>
      <c r="WH1" s="30"/>
      <c r="WI1" s="30"/>
      <c r="WJ1" s="30"/>
      <c r="WK1" s="30"/>
      <c r="WL1" s="30"/>
      <c r="WM1" s="30"/>
      <c r="WN1" s="30"/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0"/>
      <c r="XA1" s="30"/>
      <c r="XB1" s="30"/>
      <c r="XC1" s="30"/>
      <c r="XD1" s="30"/>
      <c r="XE1" s="30"/>
      <c r="XF1" s="30"/>
      <c r="XG1" s="30"/>
      <c r="XH1" s="30"/>
      <c r="XI1" s="30"/>
      <c r="XJ1" s="30"/>
      <c r="XK1" s="30"/>
      <c r="XL1" s="30"/>
      <c r="XM1" s="30"/>
      <c r="XN1" s="30"/>
      <c r="XO1" s="30"/>
      <c r="XP1" s="30"/>
      <c r="XQ1" s="30"/>
      <c r="XR1" s="30"/>
      <c r="XS1" s="30"/>
      <c r="XT1" s="30"/>
      <c r="XU1" s="30"/>
      <c r="XV1" s="30"/>
      <c r="XW1" s="30"/>
      <c r="XX1" s="30"/>
      <c r="XY1" s="30"/>
      <c r="XZ1" s="30"/>
      <c r="YA1" s="30"/>
      <c r="YB1" s="30"/>
      <c r="YC1" s="30"/>
      <c r="YD1" s="30"/>
      <c r="YE1" s="30"/>
      <c r="YF1" s="30"/>
      <c r="YG1" s="30"/>
      <c r="YH1" s="30"/>
      <c r="YI1" s="30"/>
      <c r="YJ1" s="30"/>
      <c r="YK1" s="30"/>
      <c r="YL1" s="30"/>
      <c r="YM1" s="30"/>
      <c r="YN1" s="30"/>
      <c r="YO1" s="30"/>
      <c r="YP1" s="30"/>
      <c r="YQ1" s="30"/>
      <c r="YR1" s="30"/>
      <c r="YS1" s="30"/>
      <c r="YT1" s="30"/>
      <c r="YU1" s="30"/>
      <c r="YV1" s="30"/>
      <c r="YW1" s="30"/>
      <c r="YX1" s="30"/>
      <c r="YY1" s="30"/>
      <c r="YZ1" s="30"/>
      <c r="ZA1" s="30"/>
      <c r="ZB1" s="30"/>
      <c r="ZC1" s="30"/>
      <c r="ZD1" s="30"/>
      <c r="ZE1" s="30"/>
      <c r="ZF1" s="30"/>
      <c r="ZG1" s="30"/>
      <c r="ZH1" s="30"/>
      <c r="ZI1" s="30"/>
      <c r="ZJ1" s="30"/>
      <c r="ZK1" s="30"/>
      <c r="ZL1" s="30"/>
      <c r="ZM1" s="30"/>
      <c r="ZN1" s="30"/>
      <c r="ZO1" s="30"/>
      <c r="ZP1" s="30"/>
      <c r="ZQ1" s="30"/>
      <c r="ZR1" s="30"/>
      <c r="ZS1" s="30"/>
      <c r="ZT1" s="30"/>
      <c r="ZU1" s="30"/>
      <c r="ZV1" s="30"/>
      <c r="ZW1" s="30"/>
      <c r="ZX1" s="30"/>
      <c r="ZY1" s="30"/>
      <c r="ZZ1" s="30"/>
      <c r="AAA1" s="30"/>
      <c r="AAB1" s="30"/>
      <c r="AAC1" s="30"/>
      <c r="AAD1" s="30"/>
      <c r="AAE1" s="30"/>
      <c r="AAF1" s="30"/>
      <c r="AAG1" s="30"/>
      <c r="AAH1" s="30"/>
      <c r="AAI1" s="30"/>
      <c r="AAJ1" s="30"/>
      <c r="AAK1" s="30"/>
      <c r="AAL1" s="30"/>
      <c r="AAM1" s="30"/>
      <c r="AAN1" s="30"/>
      <c r="AAO1" s="30"/>
      <c r="AAP1" s="30"/>
      <c r="AAQ1" s="30"/>
      <c r="AAR1" s="30"/>
      <c r="AAS1" s="30"/>
      <c r="AAT1" s="30"/>
      <c r="AAU1" s="30"/>
      <c r="AAV1" s="30"/>
      <c r="AAW1" s="30"/>
      <c r="AAX1" s="30"/>
      <c r="AAY1" s="30"/>
      <c r="AAZ1" s="30"/>
      <c r="ABA1" s="30"/>
      <c r="ABB1" s="30"/>
      <c r="ABC1" s="30"/>
      <c r="ABD1" s="30"/>
      <c r="ABE1" s="30"/>
      <c r="ABF1" s="30"/>
      <c r="ABG1" s="30"/>
      <c r="ABH1" s="30"/>
      <c r="ABI1" s="30"/>
      <c r="ABJ1" s="30"/>
      <c r="ABK1" s="30"/>
      <c r="ABL1" s="30"/>
      <c r="ABM1" s="30"/>
      <c r="ABN1" s="30"/>
      <c r="ABO1" s="30"/>
      <c r="ABP1" s="30"/>
      <c r="ABQ1" s="30"/>
      <c r="ABR1" s="30"/>
      <c r="ABS1" s="30"/>
      <c r="ABT1" s="30"/>
      <c r="ABU1" s="30"/>
      <c r="ABV1" s="30"/>
      <c r="ABW1" s="30"/>
      <c r="ABX1" s="30"/>
      <c r="ABY1" s="30"/>
      <c r="ABZ1" s="30"/>
      <c r="ACA1" s="30"/>
      <c r="ACB1" s="30"/>
      <c r="ACC1" s="30"/>
      <c r="ACD1" s="30"/>
      <c r="ACE1" s="30"/>
      <c r="ACF1" s="30"/>
      <c r="ACG1" s="30"/>
      <c r="ACH1" s="30"/>
      <c r="ACI1" s="30"/>
      <c r="ACJ1" s="30"/>
      <c r="ACK1" s="30"/>
      <c r="ACL1" s="30"/>
      <c r="ACM1" s="30"/>
      <c r="ACN1" s="30"/>
      <c r="ACO1" s="30"/>
      <c r="ACP1" s="30"/>
      <c r="ACQ1" s="30"/>
      <c r="ACR1" s="30"/>
      <c r="ACS1" s="30"/>
      <c r="ACT1" s="30"/>
      <c r="ACU1" s="30"/>
      <c r="ACV1" s="30"/>
      <c r="ACW1" s="30"/>
      <c r="ACX1" s="30"/>
      <c r="ACY1" s="30"/>
      <c r="ACZ1" s="30"/>
      <c r="ADA1" s="30"/>
      <c r="ADB1" s="30"/>
      <c r="ADC1" s="30"/>
      <c r="ADD1" s="30"/>
      <c r="ADE1" s="30"/>
      <c r="ADF1" s="30"/>
      <c r="ADG1" s="30"/>
      <c r="ADH1" s="30"/>
      <c r="ADI1" s="30"/>
      <c r="ADJ1" s="30"/>
      <c r="ADK1" s="30"/>
      <c r="ADL1" s="30"/>
      <c r="ADM1" s="30"/>
      <c r="ADN1" s="30"/>
      <c r="ADO1" s="30"/>
      <c r="ADP1" s="30"/>
      <c r="ADQ1" s="30"/>
      <c r="ADR1" s="30"/>
      <c r="ADS1" s="30"/>
      <c r="ADT1" s="30"/>
      <c r="ADU1" s="30"/>
      <c r="ADV1" s="30"/>
      <c r="ADW1" s="30"/>
      <c r="ADX1" s="30"/>
      <c r="ADY1" s="30"/>
      <c r="ADZ1" s="30"/>
      <c r="AEA1" s="30"/>
      <c r="AEB1" s="30"/>
      <c r="AEC1" s="30"/>
      <c r="AED1" s="30"/>
      <c r="AEE1" s="30"/>
      <c r="AEF1" s="30"/>
      <c r="AEG1" s="30"/>
      <c r="AEH1" s="30"/>
      <c r="AEI1" s="30"/>
      <c r="AEJ1" s="30"/>
      <c r="AEK1" s="30"/>
      <c r="AEL1" s="30"/>
      <c r="AEM1" s="30"/>
      <c r="AEN1" s="30"/>
      <c r="AEO1" s="30"/>
      <c r="AEP1" s="30"/>
      <c r="AEQ1" s="30"/>
      <c r="AER1" s="30"/>
      <c r="AES1" s="30"/>
      <c r="AET1" s="30"/>
      <c r="AEU1" s="30"/>
      <c r="AEV1" s="30"/>
      <c r="AEW1" s="30"/>
      <c r="AEX1" s="30"/>
      <c r="AEY1" s="30"/>
      <c r="AEZ1" s="30"/>
      <c r="AFA1" s="30"/>
      <c r="AFB1" s="30"/>
      <c r="AFC1" s="30"/>
      <c r="AFD1" s="30"/>
      <c r="AFE1" s="30"/>
      <c r="AFF1" s="30"/>
      <c r="AFG1" s="30"/>
      <c r="AFH1" s="30"/>
      <c r="AFI1" s="30"/>
      <c r="AFJ1" s="30"/>
      <c r="AFK1" s="30"/>
      <c r="AFL1" s="30"/>
      <c r="AFM1" s="30"/>
      <c r="AFN1" s="30"/>
      <c r="AFO1" s="30"/>
      <c r="AFP1" s="30"/>
      <c r="AFQ1" s="30"/>
      <c r="AFR1" s="30"/>
      <c r="AFS1" s="30"/>
      <c r="AFT1" s="30"/>
      <c r="AFU1" s="30"/>
      <c r="AFV1" s="30"/>
      <c r="AFW1" s="30"/>
      <c r="AFX1" s="30"/>
      <c r="AFY1" s="30"/>
      <c r="AFZ1" s="30"/>
      <c r="AGA1" s="30"/>
      <c r="AGB1" s="30"/>
      <c r="AGC1" s="30"/>
      <c r="AGD1" s="30"/>
      <c r="AGE1" s="30"/>
      <c r="AGF1" s="30"/>
      <c r="AGG1" s="30"/>
      <c r="AGH1" s="30"/>
      <c r="AGI1" s="30"/>
      <c r="AGJ1" s="30"/>
      <c r="AGK1" s="30"/>
      <c r="AGL1" s="30"/>
      <c r="AGM1" s="30"/>
      <c r="AGN1" s="30"/>
      <c r="AGO1" s="30"/>
      <c r="AGP1" s="30"/>
      <c r="AGQ1" s="30"/>
      <c r="AGR1" s="30"/>
      <c r="AGS1" s="30"/>
      <c r="AGT1" s="30"/>
      <c r="AGU1" s="30"/>
      <c r="AGV1" s="30"/>
      <c r="AGW1" s="30"/>
      <c r="AGX1" s="30"/>
      <c r="AGY1" s="30"/>
      <c r="AGZ1" s="30"/>
      <c r="AHA1" s="30"/>
      <c r="AHB1" s="30"/>
      <c r="AHC1" s="30"/>
      <c r="AHD1" s="30"/>
      <c r="AHE1" s="30"/>
      <c r="AHF1" s="30"/>
      <c r="AHG1" s="30"/>
      <c r="AHH1" s="30"/>
      <c r="AHI1" s="30"/>
      <c r="AHJ1" s="30"/>
      <c r="AHK1" s="30"/>
      <c r="AHL1" s="30"/>
      <c r="AHM1" s="30"/>
      <c r="AHN1" s="30"/>
      <c r="AHO1" s="30"/>
      <c r="AHP1" s="30"/>
      <c r="AHQ1" s="30"/>
      <c r="AHR1" s="30"/>
      <c r="AHS1" s="30"/>
      <c r="AHT1" s="30"/>
      <c r="AHU1" s="30"/>
      <c r="AHV1" s="30"/>
      <c r="AHW1" s="30"/>
      <c r="AHX1" s="30"/>
      <c r="AHY1" s="30"/>
      <c r="AHZ1" s="30"/>
      <c r="AIA1" s="30"/>
      <c r="AIB1" s="30"/>
      <c r="AIC1" s="30"/>
      <c r="AID1" s="30"/>
      <c r="AIE1" s="30"/>
      <c r="AIF1" s="30"/>
      <c r="AIG1" s="30"/>
      <c r="AIH1" s="30"/>
      <c r="AII1" s="30"/>
      <c r="AIJ1" s="30"/>
      <c r="AIK1" s="30"/>
      <c r="AIL1" s="30"/>
      <c r="AIM1" s="30"/>
      <c r="AIN1" s="30"/>
      <c r="AIO1" s="30"/>
      <c r="AIP1" s="30"/>
      <c r="AIQ1" s="30"/>
      <c r="AIR1" s="30"/>
      <c r="AIS1" s="30"/>
      <c r="AIT1" s="30"/>
      <c r="AIU1" s="30"/>
      <c r="AIV1" s="30"/>
      <c r="AIW1" s="30"/>
      <c r="AIX1" s="30"/>
      <c r="AIY1" s="30"/>
      <c r="AIZ1" s="30"/>
      <c r="AJA1" s="30"/>
      <c r="AJB1" s="30"/>
      <c r="AJC1" s="30"/>
      <c r="AJD1" s="30"/>
      <c r="AJE1" s="30"/>
      <c r="AJF1" s="30"/>
      <c r="AJG1" s="30"/>
      <c r="AJH1" s="30"/>
      <c r="AJI1" s="30"/>
      <c r="AJJ1" s="30"/>
      <c r="AJK1" s="30"/>
      <c r="AJL1" s="30"/>
      <c r="AJM1" s="30"/>
      <c r="AJN1" s="30"/>
      <c r="AJO1" s="30"/>
      <c r="AJP1" s="30"/>
      <c r="AJQ1" s="30"/>
      <c r="AJR1" s="30"/>
      <c r="AJS1" s="30"/>
      <c r="AJT1" s="30"/>
      <c r="AJU1" s="30"/>
      <c r="AJV1" s="30"/>
      <c r="AJW1" s="30"/>
      <c r="AJX1" s="30"/>
      <c r="AJY1" s="30"/>
      <c r="AJZ1" s="30"/>
      <c r="AKA1" s="30"/>
      <c r="AKB1" s="30"/>
      <c r="AKC1" s="30"/>
      <c r="AKD1" s="30"/>
      <c r="AKE1" s="30"/>
      <c r="AKF1" s="30"/>
      <c r="AKG1" s="30"/>
      <c r="AKH1" s="30"/>
      <c r="AKI1" s="30"/>
      <c r="AKJ1" s="30"/>
      <c r="AKK1" s="30"/>
      <c r="AKL1" s="30"/>
      <c r="AKM1" s="30"/>
      <c r="AKN1" s="30"/>
      <c r="AKO1" s="30"/>
      <c r="AKP1" s="30"/>
      <c r="AKQ1" s="30"/>
      <c r="AKR1" s="30"/>
      <c r="AKS1" s="30"/>
      <c r="AKT1" s="30"/>
      <c r="AKU1" s="30"/>
      <c r="AKV1" s="30"/>
      <c r="AKW1" s="30"/>
      <c r="AKX1" s="30"/>
      <c r="AKY1" s="30"/>
      <c r="AKZ1" s="30"/>
      <c r="ALA1" s="30"/>
      <c r="ALB1" s="30"/>
      <c r="ALC1" s="30"/>
      <c r="ALD1" s="30"/>
      <c r="ALE1" s="30"/>
      <c r="ALF1" s="30"/>
      <c r="ALG1" s="30"/>
      <c r="ALH1" s="30"/>
      <c r="ALI1" s="30"/>
      <c r="ALJ1" s="30"/>
      <c r="ALK1" s="30"/>
      <c r="ALL1" s="30"/>
      <c r="ALM1" s="30"/>
      <c r="ALN1" s="30"/>
      <c r="ALO1" s="30"/>
      <c r="ALP1" s="30"/>
      <c r="ALQ1" s="30"/>
      <c r="ALR1" s="30"/>
      <c r="ALS1" s="30"/>
      <c r="ALT1" s="30"/>
      <c r="ALU1" s="30"/>
      <c r="ALV1" s="30"/>
      <c r="ALW1" s="30"/>
      <c r="ALX1" s="30"/>
      <c r="ALY1" s="30"/>
      <c r="ALZ1" s="30"/>
      <c r="AMA1" s="30"/>
      <c r="AMB1" s="30"/>
      <c r="AMC1" s="30"/>
      <c r="AMD1" s="30"/>
      <c r="AME1" s="30"/>
      <c r="AMF1" s="30"/>
      <c r="AMG1" s="30"/>
      <c r="AMH1" s="30"/>
      <c r="AMI1" s="30"/>
      <c r="AMJ1" s="30"/>
    </row>
    <row r="2" spans="1:1024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634</v>
      </c>
      <c r="AK2" s="87"/>
      <c r="AL2" s="87"/>
      <c r="AM2" s="87"/>
      <c r="AN2" s="87"/>
      <c r="AO2" s="86">
        <v>45237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</row>
    <row r="3" spans="1:1024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  <c r="SG3" s="30"/>
      <c r="SH3" s="30"/>
      <c r="SI3" s="30"/>
      <c r="SJ3" s="30"/>
      <c r="SK3" s="30"/>
      <c r="SL3" s="30"/>
      <c r="SM3" s="30"/>
      <c r="SN3" s="30"/>
      <c r="SO3" s="30"/>
      <c r="SP3" s="30"/>
      <c r="SQ3" s="30"/>
      <c r="SR3" s="30"/>
      <c r="SS3" s="30"/>
      <c r="ST3" s="30"/>
      <c r="SU3" s="30"/>
      <c r="SV3" s="30"/>
      <c r="SW3" s="30"/>
      <c r="SX3" s="30"/>
      <c r="SY3" s="30"/>
      <c r="SZ3" s="30"/>
      <c r="TA3" s="30"/>
      <c r="TB3" s="30"/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0"/>
      <c r="TQ3" s="30"/>
      <c r="TR3" s="30"/>
      <c r="TS3" s="30"/>
      <c r="TT3" s="30"/>
      <c r="TU3" s="30"/>
      <c r="TV3" s="30"/>
      <c r="TW3" s="30"/>
      <c r="TX3" s="30"/>
      <c r="TY3" s="30"/>
      <c r="TZ3" s="30"/>
      <c r="UA3" s="30"/>
      <c r="UB3" s="30"/>
      <c r="UC3" s="30"/>
      <c r="UD3" s="30"/>
      <c r="UE3" s="30"/>
      <c r="UF3" s="30"/>
      <c r="UG3" s="30"/>
      <c r="UH3" s="30"/>
      <c r="UI3" s="30"/>
      <c r="UJ3" s="30"/>
      <c r="UK3" s="30"/>
      <c r="UL3" s="30"/>
      <c r="UM3" s="30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  <c r="ZZ3" s="30"/>
      <c r="AAA3" s="30"/>
      <c r="AAB3" s="30"/>
      <c r="AAC3" s="30"/>
      <c r="AAD3" s="30"/>
      <c r="AAE3" s="30"/>
      <c r="AAF3" s="30"/>
      <c r="AAG3" s="30"/>
      <c r="AAH3" s="30"/>
      <c r="AAI3" s="30"/>
      <c r="AAJ3" s="30"/>
      <c r="AAK3" s="30"/>
      <c r="AAL3" s="30"/>
      <c r="AAM3" s="30"/>
      <c r="AAN3" s="30"/>
      <c r="AAO3" s="30"/>
      <c r="AAP3" s="30"/>
      <c r="AAQ3" s="30"/>
      <c r="AAR3" s="30"/>
      <c r="AAS3" s="30"/>
      <c r="AAT3" s="30"/>
      <c r="AAU3" s="30"/>
      <c r="AAV3" s="30"/>
      <c r="AAW3" s="30"/>
      <c r="AAX3" s="30"/>
      <c r="AAY3" s="30"/>
      <c r="AAZ3" s="30"/>
      <c r="ABA3" s="30"/>
      <c r="ABB3" s="30"/>
      <c r="ABC3" s="30"/>
      <c r="ABD3" s="30"/>
      <c r="ABE3" s="30"/>
      <c r="ABF3" s="30"/>
      <c r="ABG3" s="30"/>
      <c r="ABH3" s="30"/>
      <c r="ABI3" s="30"/>
      <c r="ABJ3" s="30"/>
      <c r="ABK3" s="30"/>
      <c r="ABL3" s="30"/>
      <c r="ABM3" s="30"/>
      <c r="ABN3" s="30"/>
      <c r="ABO3" s="30"/>
      <c r="ABP3" s="30"/>
      <c r="ABQ3" s="30"/>
      <c r="ABR3" s="30"/>
      <c r="ABS3" s="30"/>
      <c r="ABT3" s="30"/>
      <c r="ABU3" s="30"/>
      <c r="ABV3" s="30"/>
      <c r="ABW3" s="30"/>
      <c r="ABX3" s="30"/>
      <c r="ABY3" s="30"/>
      <c r="ABZ3" s="30"/>
      <c r="ACA3" s="30"/>
      <c r="ACB3" s="30"/>
      <c r="ACC3" s="30"/>
      <c r="ACD3" s="30"/>
      <c r="ACE3" s="30"/>
      <c r="ACF3" s="30"/>
      <c r="ACG3" s="30"/>
      <c r="ACH3" s="30"/>
      <c r="ACI3" s="30"/>
      <c r="ACJ3" s="30"/>
      <c r="ACK3" s="30"/>
      <c r="ACL3" s="30"/>
      <c r="ACM3" s="30"/>
      <c r="ACN3" s="30"/>
      <c r="ACO3" s="30"/>
      <c r="ACP3" s="30"/>
      <c r="ACQ3" s="30"/>
      <c r="ACR3" s="30"/>
      <c r="ACS3" s="30"/>
      <c r="ACT3" s="30"/>
      <c r="ACU3" s="30"/>
      <c r="ACV3" s="30"/>
      <c r="ACW3" s="30"/>
      <c r="ACX3" s="30"/>
      <c r="ACY3" s="30"/>
      <c r="ACZ3" s="30"/>
      <c r="ADA3" s="30"/>
      <c r="ADB3" s="30"/>
      <c r="ADC3" s="30"/>
      <c r="ADD3" s="30"/>
      <c r="ADE3" s="30"/>
      <c r="ADF3" s="30"/>
      <c r="ADG3" s="30"/>
      <c r="ADH3" s="30"/>
      <c r="ADI3" s="30"/>
      <c r="ADJ3" s="30"/>
      <c r="ADK3" s="30"/>
      <c r="ADL3" s="30"/>
      <c r="ADM3" s="30"/>
      <c r="ADN3" s="30"/>
      <c r="ADO3" s="30"/>
      <c r="ADP3" s="30"/>
      <c r="ADQ3" s="30"/>
      <c r="ADR3" s="30"/>
      <c r="ADS3" s="30"/>
      <c r="ADT3" s="30"/>
      <c r="ADU3" s="30"/>
      <c r="ADV3" s="30"/>
      <c r="ADW3" s="30"/>
      <c r="ADX3" s="30"/>
      <c r="ADY3" s="30"/>
      <c r="ADZ3" s="30"/>
      <c r="AEA3" s="30"/>
      <c r="AEB3" s="30"/>
      <c r="AEC3" s="30"/>
      <c r="AED3" s="30"/>
      <c r="AEE3" s="30"/>
      <c r="AEF3" s="30"/>
      <c r="AEG3" s="30"/>
      <c r="AEH3" s="30"/>
      <c r="AEI3" s="30"/>
      <c r="AEJ3" s="30"/>
      <c r="AEK3" s="30"/>
      <c r="AEL3" s="30"/>
      <c r="AEM3" s="30"/>
      <c r="AEN3" s="30"/>
      <c r="AEO3" s="30"/>
      <c r="AEP3" s="30"/>
      <c r="AEQ3" s="30"/>
      <c r="AER3" s="30"/>
      <c r="AES3" s="30"/>
      <c r="AET3" s="30"/>
      <c r="AEU3" s="30"/>
      <c r="AEV3" s="30"/>
      <c r="AEW3" s="30"/>
      <c r="AEX3" s="30"/>
      <c r="AEY3" s="30"/>
      <c r="AEZ3" s="30"/>
      <c r="AFA3" s="30"/>
      <c r="AFB3" s="30"/>
      <c r="AFC3" s="30"/>
      <c r="AFD3" s="30"/>
      <c r="AFE3" s="30"/>
      <c r="AFF3" s="30"/>
      <c r="AFG3" s="30"/>
      <c r="AFH3" s="30"/>
      <c r="AFI3" s="30"/>
      <c r="AFJ3" s="30"/>
      <c r="AFK3" s="30"/>
      <c r="AFL3" s="30"/>
      <c r="AFM3" s="30"/>
      <c r="AFN3" s="30"/>
      <c r="AFO3" s="30"/>
      <c r="AFP3" s="30"/>
      <c r="AFQ3" s="30"/>
      <c r="AFR3" s="30"/>
      <c r="AFS3" s="30"/>
      <c r="AFT3" s="30"/>
      <c r="AFU3" s="30"/>
      <c r="AFV3" s="30"/>
      <c r="AFW3" s="30"/>
      <c r="AFX3" s="30"/>
      <c r="AFY3" s="30"/>
      <c r="AFZ3" s="30"/>
      <c r="AGA3" s="30"/>
      <c r="AGB3" s="30"/>
      <c r="AGC3" s="30"/>
      <c r="AGD3" s="30"/>
      <c r="AGE3" s="30"/>
      <c r="AGF3" s="30"/>
      <c r="AGG3" s="30"/>
      <c r="AGH3" s="30"/>
      <c r="AGI3" s="30"/>
      <c r="AGJ3" s="30"/>
      <c r="AGK3" s="30"/>
      <c r="AGL3" s="30"/>
      <c r="AGM3" s="30"/>
      <c r="AGN3" s="30"/>
      <c r="AGO3" s="30"/>
      <c r="AGP3" s="30"/>
      <c r="AGQ3" s="30"/>
      <c r="AGR3" s="30"/>
      <c r="AGS3" s="30"/>
      <c r="AGT3" s="30"/>
      <c r="AGU3" s="30"/>
      <c r="AGV3" s="30"/>
      <c r="AGW3" s="30"/>
      <c r="AGX3" s="30"/>
      <c r="AGY3" s="30"/>
      <c r="AGZ3" s="30"/>
      <c r="AHA3" s="30"/>
      <c r="AHB3" s="30"/>
      <c r="AHC3" s="30"/>
      <c r="AHD3" s="30"/>
      <c r="AHE3" s="30"/>
      <c r="AHF3" s="30"/>
      <c r="AHG3" s="30"/>
      <c r="AHH3" s="30"/>
      <c r="AHI3" s="30"/>
      <c r="AHJ3" s="30"/>
      <c r="AHK3" s="30"/>
      <c r="AHL3" s="30"/>
      <c r="AHM3" s="30"/>
      <c r="AHN3" s="30"/>
      <c r="AHO3" s="30"/>
      <c r="AHP3" s="30"/>
      <c r="AHQ3" s="30"/>
      <c r="AHR3" s="30"/>
      <c r="AHS3" s="30"/>
      <c r="AHT3" s="30"/>
      <c r="AHU3" s="30"/>
      <c r="AHV3" s="30"/>
      <c r="AHW3" s="30"/>
      <c r="AHX3" s="30"/>
      <c r="AHY3" s="30"/>
      <c r="AHZ3" s="30"/>
      <c r="AIA3" s="30"/>
      <c r="AIB3" s="30"/>
      <c r="AIC3" s="30"/>
      <c r="AID3" s="30"/>
      <c r="AIE3" s="30"/>
      <c r="AIF3" s="30"/>
      <c r="AIG3" s="30"/>
      <c r="AIH3" s="30"/>
      <c r="AII3" s="30"/>
      <c r="AIJ3" s="30"/>
      <c r="AIK3" s="30"/>
      <c r="AIL3" s="30"/>
      <c r="AIM3" s="30"/>
      <c r="AIN3" s="30"/>
      <c r="AIO3" s="30"/>
      <c r="AIP3" s="30"/>
      <c r="AIQ3" s="30"/>
      <c r="AIR3" s="30"/>
      <c r="AIS3" s="30"/>
      <c r="AIT3" s="30"/>
      <c r="AIU3" s="30"/>
      <c r="AIV3" s="30"/>
      <c r="AIW3" s="30"/>
      <c r="AIX3" s="30"/>
      <c r="AIY3" s="30"/>
      <c r="AIZ3" s="30"/>
      <c r="AJA3" s="30"/>
      <c r="AJB3" s="30"/>
      <c r="AJC3" s="30"/>
      <c r="AJD3" s="30"/>
      <c r="AJE3" s="30"/>
      <c r="AJF3" s="30"/>
      <c r="AJG3" s="30"/>
      <c r="AJH3" s="30"/>
      <c r="AJI3" s="30"/>
      <c r="AJJ3" s="30"/>
      <c r="AJK3" s="30"/>
      <c r="AJL3" s="30"/>
      <c r="AJM3" s="30"/>
      <c r="AJN3" s="30"/>
      <c r="AJO3" s="30"/>
      <c r="AJP3" s="30"/>
      <c r="AJQ3" s="30"/>
      <c r="AJR3" s="30"/>
      <c r="AJS3" s="30"/>
      <c r="AJT3" s="30"/>
      <c r="AJU3" s="30"/>
      <c r="AJV3" s="30"/>
      <c r="AJW3" s="30"/>
      <c r="AJX3" s="30"/>
      <c r="AJY3" s="30"/>
      <c r="AJZ3" s="30"/>
      <c r="AKA3" s="30"/>
      <c r="AKB3" s="30"/>
      <c r="AKC3" s="30"/>
      <c r="AKD3" s="30"/>
      <c r="AKE3" s="30"/>
      <c r="AKF3" s="30"/>
      <c r="AKG3" s="30"/>
      <c r="AKH3" s="30"/>
      <c r="AKI3" s="30"/>
      <c r="AKJ3" s="30"/>
      <c r="AKK3" s="30"/>
      <c r="AKL3" s="30"/>
      <c r="AKM3" s="30"/>
      <c r="AKN3" s="30"/>
      <c r="AKO3" s="30"/>
      <c r="AKP3" s="30"/>
      <c r="AKQ3" s="30"/>
      <c r="AKR3" s="30"/>
      <c r="AKS3" s="30"/>
      <c r="AKT3" s="30"/>
      <c r="AKU3" s="30"/>
      <c r="AKV3" s="30"/>
      <c r="AKW3" s="30"/>
      <c r="AKX3" s="30"/>
      <c r="AKY3" s="30"/>
      <c r="AKZ3" s="30"/>
      <c r="ALA3" s="30"/>
      <c r="ALB3" s="30"/>
      <c r="ALC3" s="30"/>
      <c r="ALD3" s="30"/>
      <c r="ALE3" s="30"/>
      <c r="ALF3" s="30"/>
      <c r="ALG3" s="30"/>
      <c r="ALH3" s="30"/>
      <c r="ALI3" s="30"/>
      <c r="ALJ3" s="30"/>
      <c r="ALK3" s="30"/>
      <c r="ALL3" s="30"/>
      <c r="ALM3" s="30"/>
      <c r="ALN3" s="30"/>
      <c r="ALO3" s="30"/>
      <c r="ALP3" s="30"/>
      <c r="ALQ3" s="30"/>
      <c r="ALR3" s="30"/>
      <c r="ALS3" s="30"/>
      <c r="ALT3" s="30"/>
      <c r="ALU3" s="30"/>
      <c r="ALV3" s="30"/>
      <c r="ALW3" s="30"/>
      <c r="ALX3" s="30"/>
      <c r="ALY3" s="30"/>
      <c r="ALZ3" s="30"/>
      <c r="AMA3" s="30"/>
      <c r="AMB3" s="30"/>
      <c r="AMC3" s="30"/>
      <c r="AMD3" s="30"/>
      <c r="AME3" s="30"/>
      <c r="AMF3" s="30"/>
      <c r="AMG3" s="30"/>
      <c r="AMH3" s="30"/>
      <c r="AMI3" s="30"/>
      <c r="AMJ3" s="30"/>
    </row>
    <row r="4" spans="1:1024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1024" ht="12.75" customHeight="1">
      <c r="A5" s="46"/>
      <c r="B5" s="111" t="s">
        <v>119</v>
      </c>
      <c r="C5" s="111"/>
      <c r="D5" s="111"/>
      <c r="E5" s="111"/>
      <c r="F5" s="111"/>
      <c r="G5" s="111"/>
      <c r="H5" s="125" t="s">
        <v>656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46"/>
      <c r="NZ5" s="46"/>
      <c r="OA5" s="46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46"/>
      <c r="PJ5" s="46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46"/>
      <c r="RR5" s="46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46"/>
      <c r="TZ5" s="46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46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46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46"/>
      <c r="AAX5" s="46"/>
      <c r="AAY5" s="46"/>
      <c r="AAZ5" s="46"/>
      <c r="ABA5" s="46"/>
      <c r="ABB5" s="46"/>
      <c r="ABC5" s="46"/>
      <c r="ABD5" s="46"/>
      <c r="ABE5" s="46"/>
      <c r="ABF5" s="46"/>
      <c r="ABG5" s="46"/>
      <c r="ABH5" s="46"/>
      <c r="ABI5" s="46"/>
      <c r="ABJ5" s="46"/>
      <c r="ABK5" s="46"/>
      <c r="ABL5" s="46"/>
      <c r="ABM5" s="46"/>
      <c r="ABN5" s="46"/>
      <c r="ABO5" s="46"/>
      <c r="ABP5" s="46"/>
      <c r="ABQ5" s="46"/>
      <c r="ABR5" s="46"/>
      <c r="ABS5" s="46"/>
      <c r="ABT5" s="46"/>
      <c r="ABU5" s="46"/>
      <c r="ABV5" s="46"/>
      <c r="ABW5" s="46"/>
      <c r="ABX5" s="46"/>
      <c r="ABY5" s="46"/>
      <c r="ABZ5" s="46"/>
      <c r="ACA5" s="46"/>
      <c r="ACB5" s="46"/>
      <c r="ACC5" s="46"/>
      <c r="ACD5" s="46"/>
      <c r="ACE5" s="46"/>
      <c r="ACF5" s="46"/>
      <c r="ACG5" s="46"/>
      <c r="ACH5" s="46"/>
      <c r="ACI5" s="46"/>
      <c r="ACJ5" s="46"/>
      <c r="ACK5" s="46"/>
      <c r="ACL5" s="46"/>
      <c r="ACM5" s="46"/>
      <c r="ACN5" s="46"/>
      <c r="ACO5" s="46"/>
      <c r="ACP5" s="46"/>
      <c r="ACQ5" s="46"/>
      <c r="ACR5" s="46"/>
      <c r="ACS5" s="46"/>
      <c r="ACT5" s="46"/>
      <c r="ACU5" s="46"/>
      <c r="ACV5" s="46"/>
      <c r="ACW5" s="46"/>
      <c r="ACX5" s="46"/>
      <c r="ACY5" s="46"/>
      <c r="ACZ5" s="46"/>
      <c r="ADA5" s="46"/>
      <c r="ADB5" s="46"/>
      <c r="ADC5" s="46"/>
      <c r="ADD5" s="46"/>
      <c r="ADE5" s="46"/>
      <c r="ADF5" s="46"/>
      <c r="ADG5" s="46"/>
      <c r="ADH5" s="46"/>
      <c r="ADI5" s="46"/>
      <c r="ADJ5" s="46"/>
      <c r="ADK5" s="46"/>
      <c r="ADL5" s="46"/>
      <c r="ADM5" s="46"/>
      <c r="ADN5" s="46"/>
      <c r="ADO5" s="46"/>
      <c r="ADP5" s="46"/>
      <c r="ADQ5" s="46"/>
      <c r="ADR5" s="46"/>
      <c r="ADS5" s="46"/>
      <c r="ADT5" s="46"/>
      <c r="ADU5" s="46"/>
      <c r="ADV5" s="46"/>
      <c r="ADW5" s="46"/>
      <c r="ADX5" s="46"/>
      <c r="ADY5" s="46"/>
      <c r="ADZ5" s="46"/>
      <c r="AEA5" s="46"/>
      <c r="AEB5" s="46"/>
      <c r="AEC5" s="46"/>
      <c r="AED5" s="46"/>
      <c r="AEE5" s="46"/>
      <c r="AEF5" s="46"/>
      <c r="AEG5" s="46"/>
      <c r="AEH5" s="46"/>
      <c r="AEI5" s="46"/>
      <c r="AEJ5" s="46"/>
      <c r="AEK5" s="46"/>
      <c r="AEL5" s="46"/>
      <c r="AEM5" s="46"/>
      <c r="AEN5" s="46"/>
      <c r="AEO5" s="46"/>
      <c r="AEP5" s="46"/>
      <c r="AEQ5" s="46"/>
      <c r="AER5" s="46"/>
      <c r="AES5" s="46"/>
      <c r="AET5" s="46"/>
      <c r="AEU5" s="46"/>
      <c r="AEV5" s="46"/>
      <c r="AEW5" s="46"/>
      <c r="AEX5" s="46"/>
      <c r="AEY5" s="46"/>
      <c r="AEZ5" s="46"/>
      <c r="AFA5" s="46"/>
      <c r="AFB5" s="46"/>
      <c r="AFC5" s="46"/>
      <c r="AFD5" s="46"/>
      <c r="AFE5" s="46"/>
      <c r="AFF5" s="46"/>
      <c r="AFG5" s="46"/>
      <c r="AFH5" s="46"/>
      <c r="AFI5" s="46"/>
      <c r="AFJ5" s="46"/>
      <c r="AFK5" s="46"/>
      <c r="AFL5" s="46"/>
      <c r="AFM5" s="46"/>
      <c r="AFN5" s="46"/>
      <c r="AFO5" s="46"/>
      <c r="AFP5" s="46"/>
      <c r="AFQ5" s="46"/>
      <c r="AFR5" s="46"/>
      <c r="AFS5" s="46"/>
      <c r="AFT5" s="46"/>
      <c r="AFU5" s="46"/>
      <c r="AFV5" s="46"/>
      <c r="AFW5" s="46"/>
      <c r="AFX5" s="46"/>
      <c r="AFY5" s="46"/>
      <c r="AFZ5" s="46"/>
      <c r="AGA5" s="46"/>
      <c r="AGB5" s="46"/>
      <c r="AGC5" s="46"/>
      <c r="AGD5" s="46"/>
      <c r="AGE5" s="46"/>
      <c r="AGF5" s="46"/>
      <c r="AGG5" s="46"/>
      <c r="AGH5" s="46"/>
      <c r="AGI5" s="46"/>
      <c r="AGJ5" s="46"/>
      <c r="AGK5" s="46"/>
      <c r="AGL5" s="46"/>
      <c r="AGM5" s="46"/>
      <c r="AGN5" s="46"/>
      <c r="AGO5" s="46"/>
      <c r="AGP5" s="46"/>
      <c r="AGQ5" s="46"/>
      <c r="AGR5" s="46"/>
      <c r="AGS5" s="46"/>
      <c r="AGT5" s="46"/>
      <c r="AGU5" s="46"/>
      <c r="AGV5" s="46"/>
      <c r="AGW5" s="46"/>
      <c r="AGX5" s="46"/>
      <c r="AGY5" s="46"/>
      <c r="AGZ5" s="46"/>
      <c r="AHA5" s="46"/>
      <c r="AHB5" s="46"/>
      <c r="AHC5" s="46"/>
      <c r="AHD5" s="46"/>
      <c r="AHE5" s="46"/>
      <c r="AHF5" s="46"/>
      <c r="AHG5" s="46"/>
      <c r="AHH5" s="46"/>
      <c r="AHI5" s="46"/>
      <c r="AHJ5" s="46"/>
      <c r="AHK5" s="46"/>
      <c r="AHL5" s="46"/>
      <c r="AHM5" s="46"/>
      <c r="AHN5" s="46"/>
      <c r="AHO5" s="46"/>
      <c r="AHP5" s="46"/>
      <c r="AHQ5" s="46"/>
      <c r="AHR5" s="46"/>
      <c r="AHS5" s="46"/>
      <c r="AHT5" s="46"/>
      <c r="AHU5" s="46"/>
      <c r="AHV5" s="46"/>
      <c r="AHW5" s="46"/>
      <c r="AHX5" s="46"/>
      <c r="AHY5" s="46"/>
      <c r="AHZ5" s="46"/>
      <c r="AIA5" s="46"/>
      <c r="AIB5" s="46"/>
      <c r="AIC5" s="46"/>
      <c r="AID5" s="46"/>
      <c r="AIE5" s="46"/>
      <c r="AIF5" s="46"/>
      <c r="AIG5" s="46"/>
      <c r="AIH5" s="46"/>
      <c r="AII5" s="46"/>
      <c r="AIJ5" s="46"/>
      <c r="AIK5" s="46"/>
      <c r="AIL5" s="46"/>
      <c r="AIM5" s="46"/>
      <c r="AIN5" s="46"/>
      <c r="AIO5" s="46"/>
      <c r="AIP5" s="46"/>
      <c r="AIQ5" s="46"/>
      <c r="AIR5" s="46"/>
      <c r="AIS5" s="46"/>
      <c r="AIT5" s="46"/>
      <c r="AIU5" s="46"/>
      <c r="AIV5" s="46"/>
      <c r="AIW5" s="46"/>
      <c r="AIX5" s="46"/>
      <c r="AIY5" s="46"/>
      <c r="AIZ5" s="46"/>
      <c r="AJA5" s="46"/>
      <c r="AJB5" s="46"/>
      <c r="AJC5" s="46"/>
      <c r="AJD5" s="46"/>
      <c r="AJE5" s="46"/>
      <c r="AJF5" s="46"/>
      <c r="AJG5" s="46"/>
      <c r="AJH5" s="46"/>
      <c r="AJI5" s="46"/>
      <c r="AJJ5" s="46"/>
      <c r="AJK5" s="46"/>
      <c r="AJL5" s="46"/>
      <c r="AJM5" s="46"/>
      <c r="AJN5" s="46"/>
      <c r="AJO5" s="46"/>
      <c r="AJP5" s="46"/>
      <c r="AJQ5" s="46"/>
      <c r="AJR5" s="46"/>
      <c r="AJS5" s="46"/>
      <c r="AJT5" s="46"/>
      <c r="AJU5" s="46"/>
      <c r="AJV5" s="46"/>
      <c r="AJW5" s="46"/>
      <c r="AJX5" s="46"/>
      <c r="AJY5" s="46"/>
      <c r="AJZ5" s="46"/>
      <c r="AKA5" s="46"/>
      <c r="AKB5" s="46"/>
      <c r="AKC5" s="46"/>
      <c r="AKD5" s="46"/>
      <c r="AKE5" s="46"/>
      <c r="AKF5" s="46"/>
      <c r="AKG5" s="46"/>
      <c r="AKH5" s="46"/>
      <c r="AKI5" s="46"/>
      <c r="AKJ5" s="46"/>
      <c r="AKK5" s="46"/>
      <c r="AKL5" s="46"/>
      <c r="AKM5" s="46"/>
      <c r="AKN5" s="46"/>
      <c r="AKO5" s="46"/>
      <c r="AKP5" s="46"/>
      <c r="AKQ5" s="46"/>
      <c r="AKR5" s="46"/>
      <c r="AKS5" s="46"/>
      <c r="AKT5" s="46"/>
      <c r="AKU5" s="46"/>
      <c r="AKV5" s="46"/>
      <c r="AKW5" s="46"/>
      <c r="AKX5" s="46"/>
      <c r="AKY5" s="46"/>
      <c r="AKZ5" s="46"/>
      <c r="ALA5" s="46"/>
      <c r="ALB5" s="46"/>
      <c r="ALC5" s="46"/>
      <c r="ALD5" s="46"/>
      <c r="ALE5" s="46"/>
      <c r="ALF5" s="46"/>
      <c r="ALG5" s="46"/>
      <c r="ALH5" s="46"/>
      <c r="ALI5" s="46"/>
      <c r="ALJ5" s="46"/>
      <c r="ALK5" s="46"/>
      <c r="ALL5" s="46"/>
      <c r="ALM5" s="46"/>
      <c r="ALN5" s="46"/>
      <c r="ALO5" s="46"/>
      <c r="ALP5" s="46"/>
      <c r="ALQ5" s="46"/>
      <c r="ALR5" s="46"/>
      <c r="ALS5" s="46"/>
      <c r="ALT5" s="46"/>
      <c r="ALU5" s="46"/>
      <c r="ALV5" s="46"/>
      <c r="ALW5" s="46"/>
      <c r="ALX5" s="46"/>
      <c r="ALY5" s="46"/>
      <c r="ALZ5" s="46"/>
      <c r="AMA5" s="46"/>
      <c r="AMB5" s="46"/>
      <c r="AMC5" s="46"/>
      <c r="AMD5" s="46"/>
      <c r="AME5" s="46"/>
      <c r="AMF5" s="46"/>
      <c r="AMG5" s="46"/>
      <c r="AMH5" s="46"/>
      <c r="AMI5" s="46"/>
      <c r="AMJ5" s="46"/>
    </row>
    <row r="6" spans="1:1024" ht="12.75" customHeight="1">
      <c r="B6" s="111" t="s">
        <v>119</v>
      </c>
      <c r="C6" s="111"/>
      <c r="D6" s="111"/>
      <c r="E6" s="111"/>
      <c r="F6" s="111"/>
      <c r="G6" s="111"/>
      <c r="H6" s="145" t="s">
        <v>97</v>
      </c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1024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1024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1024" ht="12.75" customHeight="1">
      <c r="B9" s="172" t="s">
        <v>46</v>
      </c>
      <c r="C9" s="172"/>
      <c r="D9" s="172" t="s">
        <v>122</v>
      </c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 t="s">
        <v>49</v>
      </c>
      <c r="P9" s="172"/>
      <c r="Q9" s="172"/>
      <c r="R9" s="172"/>
      <c r="S9" s="172"/>
      <c r="T9" s="172"/>
      <c r="U9" s="172"/>
      <c r="V9" s="172"/>
      <c r="W9" s="172"/>
      <c r="X9" s="172"/>
      <c r="Y9" s="172" t="s">
        <v>123</v>
      </c>
      <c r="Z9" s="172"/>
      <c r="AA9" s="172"/>
      <c r="AB9" s="172"/>
      <c r="AC9" s="172"/>
      <c r="AD9" s="172"/>
      <c r="AE9" s="172"/>
      <c r="AF9" s="172"/>
      <c r="AG9" s="178" t="s">
        <v>124</v>
      </c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9" t="s">
        <v>125</v>
      </c>
      <c r="AX9" s="179"/>
      <c r="AY9" s="179"/>
      <c r="AZ9" s="179"/>
      <c r="BA9" s="179"/>
      <c r="BB9" s="179"/>
    </row>
    <row r="10" spans="1:1024" ht="12.75" customHeight="1">
      <c r="B10" s="172"/>
      <c r="C10" s="172"/>
      <c r="D10" s="172" t="s">
        <v>48</v>
      </c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 t="s">
        <v>49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9"/>
      <c r="AX10" s="179"/>
      <c r="AY10" s="179"/>
      <c r="AZ10" s="179"/>
      <c r="BA10" s="179"/>
      <c r="BB10" s="179"/>
    </row>
    <row r="11" spans="1:1024" ht="12.75" customHeight="1">
      <c r="B11" s="175">
        <v>1</v>
      </c>
      <c r="C11" s="175"/>
      <c r="D11" s="176" t="s">
        <v>865</v>
      </c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 t="s">
        <v>866</v>
      </c>
      <c r="P11" s="176"/>
      <c r="Q11" s="176"/>
      <c r="R11" s="176"/>
      <c r="S11" s="176"/>
      <c r="T11" s="176"/>
      <c r="U11" s="176"/>
      <c r="V11" s="176"/>
      <c r="W11" s="176"/>
      <c r="X11" s="176"/>
      <c r="Y11" s="176" t="s">
        <v>137</v>
      </c>
      <c r="Z11" s="176"/>
      <c r="AA11" s="176"/>
      <c r="AB11" s="176"/>
      <c r="AC11" s="176"/>
      <c r="AD11" s="176"/>
      <c r="AE11" s="176"/>
      <c r="AF11" s="176"/>
      <c r="AG11" s="174" t="s">
        <v>129</v>
      </c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 t="s">
        <v>129</v>
      </c>
      <c r="AX11" s="174"/>
      <c r="AY11" s="174"/>
      <c r="AZ11" s="174"/>
      <c r="BA11" s="174"/>
      <c r="BB11" s="174"/>
    </row>
    <row r="12" spans="1:1024" ht="12.75" customHeight="1">
      <c r="B12" s="175">
        <v>2</v>
      </c>
      <c r="C12" s="175"/>
      <c r="D12" s="177" t="s">
        <v>663</v>
      </c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6" t="s">
        <v>664</v>
      </c>
      <c r="P12" s="176"/>
      <c r="Q12" s="176"/>
      <c r="R12" s="176"/>
      <c r="S12" s="176"/>
      <c r="T12" s="176"/>
      <c r="U12" s="176"/>
      <c r="V12" s="176"/>
      <c r="W12" s="176"/>
      <c r="X12" s="176"/>
      <c r="Y12" s="176" t="s">
        <v>132</v>
      </c>
      <c r="Z12" s="176"/>
      <c r="AA12" s="176"/>
      <c r="AB12" s="176"/>
      <c r="AC12" s="176"/>
      <c r="AD12" s="176"/>
      <c r="AE12" s="176"/>
      <c r="AF12" s="176"/>
      <c r="AG12" s="174" t="s">
        <v>129</v>
      </c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 t="s">
        <v>129</v>
      </c>
      <c r="AX12" s="174"/>
      <c r="AY12" s="174"/>
      <c r="AZ12" s="174"/>
      <c r="BA12" s="174"/>
      <c r="BB12" s="174"/>
    </row>
    <row r="13" spans="1:1024" ht="12.75" customHeight="1">
      <c r="B13" s="175">
        <v>3</v>
      </c>
      <c r="C13" s="175"/>
      <c r="D13" s="176" t="s">
        <v>657</v>
      </c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 t="s">
        <v>658</v>
      </c>
      <c r="P13" s="176"/>
      <c r="Q13" s="176"/>
      <c r="R13" s="176"/>
      <c r="S13" s="176"/>
      <c r="T13" s="176"/>
      <c r="U13" s="176"/>
      <c r="V13" s="176"/>
      <c r="W13" s="176"/>
      <c r="X13" s="176"/>
      <c r="Y13" s="176" t="s">
        <v>137</v>
      </c>
      <c r="Z13" s="176"/>
      <c r="AA13" s="176"/>
      <c r="AB13" s="176"/>
      <c r="AC13" s="176"/>
      <c r="AD13" s="176"/>
      <c r="AE13" s="176"/>
      <c r="AF13" s="176"/>
      <c r="AG13" s="174" t="s">
        <v>129</v>
      </c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 t="s">
        <v>129</v>
      </c>
      <c r="AX13" s="174"/>
      <c r="AY13" s="174"/>
      <c r="AZ13" s="174"/>
      <c r="BA13" s="174"/>
      <c r="BB13" s="174"/>
    </row>
    <row r="14" spans="1:1024" ht="12.75" customHeight="1">
      <c r="A14" s="37"/>
      <c r="B14" s="175">
        <v>4</v>
      </c>
      <c r="C14" s="175"/>
      <c r="D14" s="176" t="s">
        <v>638</v>
      </c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 t="s">
        <v>639</v>
      </c>
      <c r="P14" s="176"/>
      <c r="Q14" s="176"/>
      <c r="R14" s="176"/>
      <c r="S14" s="176"/>
      <c r="T14" s="176"/>
      <c r="U14" s="176"/>
      <c r="V14" s="176"/>
      <c r="W14" s="176"/>
      <c r="X14" s="176"/>
      <c r="Y14" s="176" t="s">
        <v>137</v>
      </c>
      <c r="Z14" s="176"/>
      <c r="AA14" s="176"/>
      <c r="AB14" s="176"/>
      <c r="AC14" s="176"/>
      <c r="AD14" s="176"/>
      <c r="AE14" s="176"/>
      <c r="AF14" s="176"/>
      <c r="AG14" s="174" t="s">
        <v>129</v>
      </c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 t="s">
        <v>129</v>
      </c>
      <c r="AX14" s="174"/>
      <c r="AY14" s="174"/>
      <c r="AZ14" s="174"/>
      <c r="BA14" s="174"/>
      <c r="BB14" s="174"/>
    </row>
    <row r="15" spans="1:1024" ht="12.75" customHeight="1">
      <c r="B15" s="175">
        <v>5</v>
      </c>
      <c r="C15" s="175"/>
      <c r="D15" s="177" t="s">
        <v>160</v>
      </c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6" t="s">
        <v>161</v>
      </c>
      <c r="P15" s="176"/>
      <c r="Q15" s="176"/>
      <c r="R15" s="176"/>
      <c r="S15" s="176"/>
      <c r="T15" s="176"/>
      <c r="U15" s="176"/>
      <c r="V15" s="176"/>
      <c r="W15" s="176"/>
      <c r="X15" s="176"/>
      <c r="Y15" s="176" t="s">
        <v>137</v>
      </c>
      <c r="Z15" s="176"/>
      <c r="AA15" s="176"/>
      <c r="AB15" s="176"/>
      <c r="AC15" s="176"/>
      <c r="AD15" s="176"/>
      <c r="AE15" s="176"/>
      <c r="AF15" s="176"/>
      <c r="AG15" s="174" t="s">
        <v>129</v>
      </c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 t="s">
        <v>129</v>
      </c>
      <c r="AX15" s="174"/>
      <c r="AY15" s="174"/>
      <c r="AZ15" s="174"/>
      <c r="BA15" s="174"/>
      <c r="BB15" s="174"/>
    </row>
    <row r="16" spans="1:1024" ht="12.75" customHeight="1">
      <c r="B16" s="175">
        <v>6</v>
      </c>
      <c r="C16" s="175"/>
      <c r="D16" s="177" t="s">
        <v>145</v>
      </c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6" t="s">
        <v>146</v>
      </c>
      <c r="P16" s="176"/>
      <c r="Q16" s="176"/>
      <c r="R16" s="176"/>
      <c r="S16" s="176"/>
      <c r="T16" s="176"/>
      <c r="U16" s="176"/>
      <c r="V16" s="176"/>
      <c r="W16" s="176"/>
      <c r="X16" s="176"/>
      <c r="Y16" s="176" t="s">
        <v>132</v>
      </c>
      <c r="Z16" s="176"/>
      <c r="AA16" s="176"/>
      <c r="AB16" s="176"/>
      <c r="AC16" s="176"/>
      <c r="AD16" s="176"/>
      <c r="AE16" s="176"/>
      <c r="AF16" s="176"/>
      <c r="AG16" s="174" t="s">
        <v>129</v>
      </c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 t="s">
        <v>129</v>
      </c>
      <c r="AX16" s="174"/>
      <c r="AY16" s="174"/>
      <c r="AZ16" s="174"/>
      <c r="BA16" s="174"/>
      <c r="BB16" s="174"/>
    </row>
    <row r="17" spans="2:54" ht="12.75" customHeight="1">
      <c r="B17" s="175">
        <v>7</v>
      </c>
      <c r="C17" s="175"/>
      <c r="D17" s="177" t="s">
        <v>185</v>
      </c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6" t="s">
        <v>186</v>
      </c>
      <c r="P17" s="176"/>
      <c r="Q17" s="176"/>
      <c r="R17" s="176"/>
      <c r="S17" s="176"/>
      <c r="T17" s="176"/>
      <c r="U17" s="176"/>
      <c r="V17" s="176"/>
      <c r="W17" s="176"/>
      <c r="X17" s="176"/>
      <c r="Y17" s="176" t="s">
        <v>132</v>
      </c>
      <c r="Z17" s="176"/>
      <c r="AA17" s="176"/>
      <c r="AB17" s="176"/>
      <c r="AC17" s="176"/>
      <c r="AD17" s="176"/>
      <c r="AE17" s="176"/>
      <c r="AF17" s="176"/>
      <c r="AG17" s="174" t="s">
        <v>129</v>
      </c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 t="s">
        <v>129</v>
      </c>
      <c r="AX17" s="174"/>
      <c r="AY17" s="174"/>
      <c r="AZ17" s="174"/>
      <c r="BA17" s="174"/>
      <c r="BB17" s="174"/>
    </row>
    <row r="18" spans="2:54" ht="12.75" customHeight="1">
      <c r="B18" s="175">
        <v>8</v>
      </c>
      <c r="C18" s="175"/>
      <c r="D18" s="177" t="s">
        <v>665</v>
      </c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6" t="s">
        <v>666</v>
      </c>
      <c r="P18" s="176"/>
      <c r="Q18" s="176"/>
      <c r="R18" s="176"/>
      <c r="S18" s="176"/>
      <c r="T18" s="176"/>
      <c r="U18" s="176"/>
      <c r="V18" s="176"/>
      <c r="W18" s="176"/>
      <c r="X18" s="176"/>
      <c r="Y18" s="176" t="s">
        <v>207</v>
      </c>
      <c r="Z18" s="176"/>
      <c r="AA18" s="176"/>
      <c r="AB18" s="176"/>
      <c r="AC18" s="176"/>
      <c r="AD18" s="176"/>
      <c r="AE18" s="176"/>
      <c r="AF18" s="176"/>
      <c r="AG18" s="174" t="s">
        <v>129</v>
      </c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 t="s">
        <v>129</v>
      </c>
      <c r="AX18" s="174"/>
      <c r="AY18" s="174"/>
      <c r="AZ18" s="174"/>
      <c r="BA18" s="174"/>
      <c r="BB18" s="174"/>
    </row>
    <row r="19" spans="2:54" ht="12.75" customHeight="1">
      <c r="B19" s="175">
        <v>9</v>
      </c>
      <c r="C19" s="175"/>
      <c r="D19" s="176" t="s">
        <v>659</v>
      </c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 t="s">
        <v>660</v>
      </c>
      <c r="P19" s="176"/>
      <c r="Q19" s="176"/>
      <c r="R19" s="176"/>
      <c r="S19" s="176"/>
      <c r="T19" s="176"/>
      <c r="U19" s="176"/>
      <c r="V19" s="176"/>
      <c r="W19" s="176"/>
      <c r="X19" s="176"/>
      <c r="Y19" s="176" t="s">
        <v>132</v>
      </c>
      <c r="Z19" s="176"/>
      <c r="AA19" s="176"/>
      <c r="AB19" s="176"/>
      <c r="AC19" s="176"/>
      <c r="AD19" s="176"/>
      <c r="AE19" s="176"/>
      <c r="AF19" s="176"/>
      <c r="AG19" s="174" t="s">
        <v>129</v>
      </c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 t="s">
        <v>129</v>
      </c>
      <c r="AX19" s="174"/>
      <c r="AY19" s="174"/>
      <c r="AZ19" s="174"/>
      <c r="BA19" s="174"/>
      <c r="BB19" s="174"/>
    </row>
    <row r="20" spans="2:54" ht="12.75" customHeight="1">
      <c r="B20" s="175">
        <v>10</v>
      </c>
      <c r="C20" s="175"/>
      <c r="D20" s="176" t="s">
        <v>661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 t="s">
        <v>662</v>
      </c>
      <c r="P20" s="176"/>
      <c r="Q20" s="176"/>
      <c r="R20" s="176"/>
      <c r="S20" s="176"/>
      <c r="T20" s="176"/>
      <c r="U20" s="176"/>
      <c r="V20" s="176"/>
      <c r="W20" s="176"/>
      <c r="X20" s="176"/>
      <c r="Y20" s="176" t="s">
        <v>132</v>
      </c>
      <c r="Z20" s="176"/>
      <c r="AA20" s="176"/>
      <c r="AB20" s="176"/>
      <c r="AC20" s="176"/>
      <c r="AD20" s="176"/>
      <c r="AE20" s="176"/>
      <c r="AF20" s="176"/>
      <c r="AG20" s="174" t="s">
        <v>129</v>
      </c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 t="s">
        <v>129</v>
      </c>
      <c r="AX20" s="174"/>
      <c r="AY20" s="174"/>
      <c r="AZ20" s="174"/>
      <c r="BA20" s="174"/>
      <c r="BB20" s="174"/>
    </row>
    <row r="21" spans="2:54" ht="12.75" customHeight="1">
      <c r="B21" s="175">
        <v>11</v>
      </c>
      <c r="C21" s="175"/>
      <c r="D21" s="177" t="s">
        <v>651</v>
      </c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6" t="s">
        <v>652</v>
      </c>
      <c r="P21" s="176"/>
      <c r="Q21" s="176"/>
      <c r="R21" s="176"/>
      <c r="S21" s="176"/>
      <c r="T21" s="176"/>
      <c r="U21" s="176"/>
      <c r="V21" s="176"/>
      <c r="W21" s="176"/>
      <c r="X21" s="176"/>
      <c r="Y21" s="176" t="s">
        <v>128</v>
      </c>
      <c r="Z21" s="176"/>
      <c r="AA21" s="176"/>
      <c r="AB21" s="176"/>
      <c r="AC21" s="176"/>
      <c r="AD21" s="176"/>
      <c r="AE21" s="176"/>
      <c r="AF21" s="176"/>
      <c r="AG21" s="174" t="s">
        <v>129</v>
      </c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 t="s">
        <v>129</v>
      </c>
      <c r="AX21" s="174"/>
      <c r="AY21" s="174"/>
      <c r="AZ21" s="174"/>
      <c r="BA21" s="174"/>
      <c r="BB21" s="174"/>
    </row>
    <row r="22" spans="2:54" ht="12.75" customHeight="1"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</sheetData>
  <mergeCells count="92">
    <mergeCell ref="AG14:AV14"/>
    <mergeCell ref="AW14:BB14"/>
    <mergeCell ref="B11:C11"/>
    <mergeCell ref="D11:N11"/>
    <mergeCell ref="O11:X11"/>
    <mergeCell ref="Y11:AF11"/>
    <mergeCell ref="AG11:AV11"/>
    <mergeCell ref="AW11:BB11"/>
    <mergeCell ref="B12:C12"/>
    <mergeCell ref="D12:N12"/>
    <mergeCell ref="O12:X12"/>
    <mergeCell ref="Y12:AF12"/>
    <mergeCell ref="AG12:AV12"/>
    <mergeCell ref="AW12:BB12"/>
    <mergeCell ref="B14:C14"/>
    <mergeCell ref="D14:N14"/>
    <mergeCell ref="AW21:BB21"/>
    <mergeCell ref="B21:C21"/>
    <mergeCell ref="D21:N21"/>
    <mergeCell ref="O21:X21"/>
    <mergeCell ref="Y21:AF21"/>
    <mergeCell ref="AG21:AV21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B16:C16"/>
    <mergeCell ref="D16:N16"/>
    <mergeCell ref="O16:X16"/>
    <mergeCell ref="Y16:AF16"/>
    <mergeCell ref="AG16:AV16"/>
    <mergeCell ref="D15:N15"/>
    <mergeCell ref="O15:X15"/>
    <mergeCell ref="Y15:AF15"/>
    <mergeCell ref="AG15:AV15"/>
    <mergeCell ref="AW15:BB15"/>
    <mergeCell ref="AW20:BB20"/>
    <mergeCell ref="B20:C20"/>
    <mergeCell ref="D20:N20"/>
    <mergeCell ref="O20:X20"/>
    <mergeCell ref="Y20:AF20"/>
    <mergeCell ref="AG20:AV20"/>
    <mergeCell ref="AW13:BB13"/>
    <mergeCell ref="B19:C19"/>
    <mergeCell ref="D19:N19"/>
    <mergeCell ref="O19:X19"/>
    <mergeCell ref="Y19:AF19"/>
    <mergeCell ref="AG19:AV19"/>
    <mergeCell ref="AW19:BB19"/>
    <mergeCell ref="B13:C13"/>
    <mergeCell ref="D13:N13"/>
    <mergeCell ref="O13:X13"/>
    <mergeCell ref="Y13:AF13"/>
    <mergeCell ref="AG13:AV13"/>
    <mergeCell ref="O14:X14"/>
    <mergeCell ref="Y14:AF14"/>
    <mergeCell ref="AW16:BB16"/>
    <mergeCell ref="B15:C15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B744-FA2D-43B5-AF58-C54A39BEB8A2}">
  <dimension ref="A1:AMJ63"/>
  <sheetViews>
    <sheetView view="pageBreakPreview" zoomScaleNormal="100" workbookViewId="0">
      <selection sqref="A1:I1"/>
    </sheetView>
  </sheetViews>
  <sheetFormatPr defaultColWidth="2.59765625" defaultRowHeight="18"/>
  <cols>
    <col min="1" max="1024" width="2.59765625" style="44"/>
  </cols>
  <sheetData>
    <row r="1" spans="1:1024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0"/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  <c r="PF1" s="30"/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30"/>
      <c r="QI1" s="30"/>
      <c r="QJ1" s="30"/>
      <c r="QK1" s="30"/>
      <c r="QL1" s="30"/>
      <c r="QM1" s="30"/>
      <c r="QN1" s="30"/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0"/>
      <c r="QZ1" s="30"/>
      <c r="RA1" s="30"/>
      <c r="RB1" s="30"/>
      <c r="RC1" s="30"/>
      <c r="RD1" s="30"/>
      <c r="RE1" s="30"/>
      <c r="RF1" s="30"/>
      <c r="RG1" s="30"/>
      <c r="RH1" s="30"/>
      <c r="RI1" s="30"/>
      <c r="RJ1" s="30"/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0"/>
      <c r="RV1" s="30"/>
      <c r="RW1" s="30"/>
      <c r="RX1" s="30"/>
      <c r="RY1" s="30"/>
      <c r="RZ1" s="30"/>
      <c r="SA1" s="30"/>
      <c r="SB1" s="30"/>
      <c r="SC1" s="30"/>
      <c r="SD1" s="30"/>
      <c r="SE1" s="30"/>
      <c r="SF1" s="30"/>
      <c r="SG1" s="30"/>
      <c r="SH1" s="30"/>
      <c r="SI1" s="30"/>
      <c r="SJ1" s="30"/>
      <c r="SK1" s="30"/>
      <c r="SL1" s="30"/>
      <c r="SM1" s="30"/>
      <c r="SN1" s="30"/>
      <c r="SO1" s="30"/>
      <c r="SP1" s="30"/>
      <c r="SQ1" s="30"/>
      <c r="SR1" s="30"/>
      <c r="SS1" s="30"/>
      <c r="ST1" s="30"/>
      <c r="SU1" s="30"/>
      <c r="SV1" s="30"/>
      <c r="SW1" s="30"/>
      <c r="SX1" s="30"/>
      <c r="SY1" s="30"/>
      <c r="SZ1" s="30"/>
      <c r="TA1" s="30"/>
      <c r="TB1" s="30"/>
      <c r="TC1" s="30"/>
      <c r="TD1" s="30"/>
      <c r="TE1" s="30"/>
      <c r="TF1" s="30"/>
      <c r="TG1" s="30"/>
      <c r="TH1" s="30"/>
      <c r="TI1" s="30"/>
      <c r="TJ1" s="30"/>
      <c r="TK1" s="30"/>
      <c r="TL1" s="30"/>
      <c r="TM1" s="30"/>
      <c r="TN1" s="30"/>
      <c r="TO1" s="30"/>
      <c r="TP1" s="30"/>
      <c r="TQ1" s="30"/>
      <c r="TR1" s="30"/>
      <c r="TS1" s="30"/>
      <c r="TT1" s="30"/>
      <c r="TU1" s="30"/>
      <c r="TV1" s="30"/>
      <c r="TW1" s="30"/>
      <c r="TX1" s="30"/>
      <c r="TY1" s="30"/>
      <c r="TZ1" s="30"/>
      <c r="UA1" s="30"/>
      <c r="UB1" s="30"/>
      <c r="UC1" s="30"/>
      <c r="UD1" s="30"/>
      <c r="UE1" s="30"/>
      <c r="UF1" s="30"/>
      <c r="UG1" s="30"/>
      <c r="UH1" s="30"/>
      <c r="UI1" s="30"/>
      <c r="UJ1" s="30"/>
      <c r="UK1" s="30"/>
      <c r="UL1" s="30"/>
      <c r="UM1" s="30"/>
      <c r="UN1" s="30"/>
      <c r="UO1" s="30"/>
      <c r="UP1" s="30"/>
      <c r="UQ1" s="30"/>
      <c r="UR1" s="30"/>
      <c r="US1" s="30"/>
      <c r="UT1" s="30"/>
      <c r="UU1" s="30"/>
      <c r="UV1" s="30"/>
      <c r="UW1" s="30"/>
      <c r="UX1" s="30"/>
      <c r="UY1" s="30"/>
      <c r="UZ1" s="30"/>
      <c r="VA1" s="30"/>
      <c r="VB1" s="30"/>
      <c r="VC1" s="30"/>
      <c r="VD1" s="30"/>
      <c r="VE1" s="30"/>
      <c r="VF1" s="30"/>
      <c r="VG1" s="30"/>
      <c r="VH1" s="30"/>
      <c r="VI1" s="30"/>
      <c r="VJ1" s="30"/>
      <c r="VK1" s="30"/>
      <c r="VL1" s="30"/>
      <c r="VM1" s="30"/>
      <c r="VN1" s="30"/>
      <c r="VO1" s="30"/>
      <c r="VP1" s="30"/>
      <c r="VQ1" s="30"/>
      <c r="VR1" s="30"/>
      <c r="VS1" s="30"/>
      <c r="VT1" s="30"/>
      <c r="VU1" s="30"/>
      <c r="VV1" s="30"/>
      <c r="VW1" s="30"/>
      <c r="VX1" s="30"/>
      <c r="VY1" s="30"/>
      <c r="VZ1" s="30"/>
      <c r="WA1" s="30"/>
      <c r="WB1" s="30"/>
      <c r="WC1" s="30"/>
      <c r="WD1" s="30"/>
      <c r="WE1" s="30"/>
      <c r="WF1" s="30"/>
      <c r="WG1" s="30"/>
      <c r="WH1" s="30"/>
      <c r="WI1" s="30"/>
      <c r="WJ1" s="30"/>
      <c r="WK1" s="30"/>
      <c r="WL1" s="30"/>
      <c r="WM1" s="30"/>
      <c r="WN1" s="30"/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0"/>
      <c r="XA1" s="30"/>
      <c r="XB1" s="30"/>
      <c r="XC1" s="30"/>
      <c r="XD1" s="30"/>
      <c r="XE1" s="30"/>
      <c r="XF1" s="30"/>
      <c r="XG1" s="30"/>
      <c r="XH1" s="30"/>
      <c r="XI1" s="30"/>
      <c r="XJ1" s="30"/>
      <c r="XK1" s="30"/>
      <c r="XL1" s="30"/>
      <c r="XM1" s="30"/>
      <c r="XN1" s="30"/>
      <c r="XO1" s="30"/>
      <c r="XP1" s="30"/>
      <c r="XQ1" s="30"/>
      <c r="XR1" s="30"/>
      <c r="XS1" s="30"/>
      <c r="XT1" s="30"/>
      <c r="XU1" s="30"/>
      <c r="XV1" s="30"/>
      <c r="XW1" s="30"/>
      <c r="XX1" s="30"/>
      <c r="XY1" s="30"/>
      <c r="XZ1" s="30"/>
      <c r="YA1" s="30"/>
      <c r="YB1" s="30"/>
      <c r="YC1" s="30"/>
      <c r="YD1" s="30"/>
      <c r="YE1" s="30"/>
      <c r="YF1" s="30"/>
      <c r="YG1" s="30"/>
      <c r="YH1" s="30"/>
      <c r="YI1" s="30"/>
      <c r="YJ1" s="30"/>
      <c r="YK1" s="30"/>
      <c r="YL1" s="30"/>
      <c r="YM1" s="30"/>
      <c r="YN1" s="30"/>
      <c r="YO1" s="30"/>
      <c r="YP1" s="30"/>
      <c r="YQ1" s="30"/>
      <c r="YR1" s="30"/>
      <c r="YS1" s="30"/>
      <c r="YT1" s="30"/>
      <c r="YU1" s="30"/>
      <c r="YV1" s="30"/>
      <c r="YW1" s="30"/>
      <c r="YX1" s="30"/>
      <c r="YY1" s="30"/>
      <c r="YZ1" s="30"/>
      <c r="ZA1" s="30"/>
      <c r="ZB1" s="30"/>
      <c r="ZC1" s="30"/>
      <c r="ZD1" s="30"/>
      <c r="ZE1" s="30"/>
      <c r="ZF1" s="30"/>
      <c r="ZG1" s="30"/>
      <c r="ZH1" s="30"/>
      <c r="ZI1" s="30"/>
      <c r="ZJ1" s="30"/>
      <c r="ZK1" s="30"/>
      <c r="ZL1" s="30"/>
      <c r="ZM1" s="30"/>
      <c r="ZN1" s="30"/>
      <c r="ZO1" s="30"/>
      <c r="ZP1" s="30"/>
      <c r="ZQ1" s="30"/>
      <c r="ZR1" s="30"/>
      <c r="ZS1" s="30"/>
      <c r="ZT1" s="30"/>
      <c r="ZU1" s="30"/>
      <c r="ZV1" s="30"/>
      <c r="ZW1" s="30"/>
      <c r="ZX1" s="30"/>
      <c r="ZY1" s="30"/>
      <c r="ZZ1" s="30"/>
      <c r="AAA1" s="30"/>
      <c r="AAB1" s="30"/>
      <c r="AAC1" s="30"/>
      <c r="AAD1" s="30"/>
      <c r="AAE1" s="30"/>
      <c r="AAF1" s="30"/>
      <c r="AAG1" s="30"/>
      <c r="AAH1" s="30"/>
      <c r="AAI1" s="30"/>
      <c r="AAJ1" s="30"/>
      <c r="AAK1" s="30"/>
      <c r="AAL1" s="30"/>
      <c r="AAM1" s="30"/>
      <c r="AAN1" s="30"/>
      <c r="AAO1" s="30"/>
      <c r="AAP1" s="30"/>
      <c r="AAQ1" s="30"/>
      <c r="AAR1" s="30"/>
      <c r="AAS1" s="30"/>
      <c r="AAT1" s="30"/>
      <c r="AAU1" s="30"/>
      <c r="AAV1" s="30"/>
      <c r="AAW1" s="30"/>
      <c r="AAX1" s="30"/>
      <c r="AAY1" s="30"/>
      <c r="AAZ1" s="30"/>
      <c r="ABA1" s="30"/>
      <c r="ABB1" s="30"/>
      <c r="ABC1" s="30"/>
      <c r="ABD1" s="30"/>
      <c r="ABE1" s="30"/>
      <c r="ABF1" s="30"/>
      <c r="ABG1" s="30"/>
      <c r="ABH1" s="30"/>
      <c r="ABI1" s="30"/>
      <c r="ABJ1" s="30"/>
      <c r="ABK1" s="30"/>
      <c r="ABL1" s="30"/>
      <c r="ABM1" s="30"/>
      <c r="ABN1" s="30"/>
      <c r="ABO1" s="30"/>
      <c r="ABP1" s="30"/>
      <c r="ABQ1" s="30"/>
      <c r="ABR1" s="30"/>
      <c r="ABS1" s="30"/>
      <c r="ABT1" s="30"/>
      <c r="ABU1" s="30"/>
      <c r="ABV1" s="30"/>
      <c r="ABW1" s="30"/>
      <c r="ABX1" s="30"/>
      <c r="ABY1" s="30"/>
      <c r="ABZ1" s="30"/>
      <c r="ACA1" s="30"/>
      <c r="ACB1" s="30"/>
      <c r="ACC1" s="30"/>
      <c r="ACD1" s="30"/>
      <c r="ACE1" s="30"/>
      <c r="ACF1" s="30"/>
      <c r="ACG1" s="30"/>
      <c r="ACH1" s="30"/>
      <c r="ACI1" s="30"/>
      <c r="ACJ1" s="30"/>
      <c r="ACK1" s="30"/>
      <c r="ACL1" s="30"/>
      <c r="ACM1" s="30"/>
      <c r="ACN1" s="30"/>
      <c r="ACO1" s="30"/>
      <c r="ACP1" s="30"/>
      <c r="ACQ1" s="30"/>
      <c r="ACR1" s="30"/>
      <c r="ACS1" s="30"/>
      <c r="ACT1" s="30"/>
      <c r="ACU1" s="30"/>
      <c r="ACV1" s="30"/>
      <c r="ACW1" s="30"/>
      <c r="ACX1" s="30"/>
      <c r="ACY1" s="30"/>
      <c r="ACZ1" s="30"/>
      <c r="ADA1" s="30"/>
      <c r="ADB1" s="30"/>
      <c r="ADC1" s="30"/>
      <c r="ADD1" s="30"/>
      <c r="ADE1" s="30"/>
      <c r="ADF1" s="30"/>
      <c r="ADG1" s="30"/>
      <c r="ADH1" s="30"/>
      <c r="ADI1" s="30"/>
      <c r="ADJ1" s="30"/>
      <c r="ADK1" s="30"/>
      <c r="ADL1" s="30"/>
      <c r="ADM1" s="30"/>
      <c r="ADN1" s="30"/>
      <c r="ADO1" s="30"/>
      <c r="ADP1" s="30"/>
      <c r="ADQ1" s="30"/>
      <c r="ADR1" s="30"/>
      <c r="ADS1" s="30"/>
      <c r="ADT1" s="30"/>
      <c r="ADU1" s="30"/>
      <c r="ADV1" s="30"/>
      <c r="ADW1" s="30"/>
      <c r="ADX1" s="30"/>
      <c r="ADY1" s="30"/>
      <c r="ADZ1" s="30"/>
      <c r="AEA1" s="30"/>
      <c r="AEB1" s="30"/>
      <c r="AEC1" s="30"/>
      <c r="AED1" s="30"/>
      <c r="AEE1" s="30"/>
      <c r="AEF1" s="30"/>
      <c r="AEG1" s="30"/>
      <c r="AEH1" s="30"/>
      <c r="AEI1" s="30"/>
      <c r="AEJ1" s="30"/>
      <c r="AEK1" s="30"/>
      <c r="AEL1" s="30"/>
      <c r="AEM1" s="30"/>
      <c r="AEN1" s="30"/>
      <c r="AEO1" s="30"/>
      <c r="AEP1" s="30"/>
      <c r="AEQ1" s="30"/>
      <c r="AER1" s="30"/>
      <c r="AES1" s="30"/>
      <c r="AET1" s="30"/>
      <c r="AEU1" s="30"/>
      <c r="AEV1" s="30"/>
      <c r="AEW1" s="30"/>
      <c r="AEX1" s="30"/>
      <c r="AEY1" s="30"/>
      <c r="AEZ1" s="30"/>
      <c r="AFA1" s="30"/>
      <c r="AFB1" s="30"/>
      <c r="AFC1" s="30"/>
      <c r="AFD1" s="30"/>
      <c r="AFE1" s="30"/>
      <c r="AFF1" s="30"/>
      <c r="AFG1" s="30"/>
      <c r="AFH1" s="30"/>
      <c r="AFI1" s="30"/>
      <c r="AFJ1" s="30"/>
      <c r="AFK1" s="30"/>
      <c r="AFL1" s="30"/>
      <c r="AFM1" s="30"/>
      <c r="AFN1" s="30"/>
      <c r="AFO1" s="30"/>
      <c r="AFP1" s="30"/>
      <c r="AFQ1" s="30"/>
      <c r="AFR1" s="30"/>
      <c r="AFS1" s="30"/>
      <c r="AFT1" s="30"/>
      <c r="AFU1" s="30"/>
      <c r="AFV1" s="30"/>
      <c r="AFW1" s="30"/>
      <c r="AFX1" s="30"/>
      <c r="AFY1" s="30"/>
      <c r="AFZ1" s="30"/>
      <c r="AGA1" s="30"/>
      <c r="AGB1" s="30"/>
      <c r="AGC1" s="30"/>
      <c r="AGD1" s="30"/>
      <c r="AGE1" s="30"/>
      <c r="AGF1" s="30"/>
      <c r="AGG1" s="30"/>
      <c r="AGH1" s="30"/>
      <c r="AGI1" s="30"/>
      <c r="AGJ1" s="30"/>
      <c r="AGK1" s="30"/>
      <c r="AGL1" s="30"/>
      <c r="AGM1" s="30"/>
      <c r="AGN1" s="30"/>
      <c r="AGO1" s="30"/>
      <c r="AGP1" s="30"/>
      <c r="AGQ1" s="30"/>
      <c r="AGR1" s="30"/>
      <c r="AGS1" s="30"/>
      <c r="AGT1" s="30"/>
      <c r="AGU1" s="30"/>
      <c r="AGV1" s="30"/>
      <c r="AGW1" s="30"/>
      <c r="AGX1" s="30"/>
      <c r="AGY1" s="30"/>
      <c r="AGZ1" s="30"/>
      <c r="AHA1" s="30"/>
      <c r="AHB1" s="30"/>
      <c r="AHC1" s="30"/>
      <c r="AHD1" s="30"/>
      <c r="AHE1" s="30"/>
      <c r="AHF1" s="30"/>
      <c r="AHG1" s="30"/>
      <c r="AHH1" s="30"/>
      <c r="AHI1" s="30"/>
      <c r="AHJ1" s="30"/>
      <c r="AHK1" s="30"/>
      <c r="AHL1" s="30"/>
      <c r="AHM1" s="30"/>
      <c r="AHN1" s="30"/>
      <c r="AHO1" s="30"/>
      <c r="AHP1" s="30"/>
      <c r="AHQ1" s="30"/>
      <c r="AHR1" s="30"/>
      <c r="AHS1" s="30"/>
      <c r="AHT1" s="30"/>
      <c r="AHU1" s="30"/>
      <c r="AHV1" s="30"/>
      <c r="AHW1" s="30"/>
      <c r="AHX1" s="30"/>
      <c r="AHY1" s="30"/>
      <c r="AHZ1" s="30"/>
      <c r="AIA1" s="30"/>
      <c r="AIB1" s="30"/>
      <c r="AIC1" s="30"/>
      <c r="AID1" s="30"/>
      <c r="AIE1" s="30"/>
      <c r="AIF1" s="30"/>
      <c r="AIG1" s="30"/>
      <c r="AIH1" s="30"/>
      <c r="AII1" s="30"/>
      <c r="AIJ1" s="30"/>
      <c r="AIK1" s="30"/>
      <c r="AIL1" s="30"/>
      <c r="AIM1" s="30"/>
      <c r="AIN1" s="30"/>
      <c r="AIO1" s="30"/>
      <c r="AIP1" s="30"/>
      <c r="AIQ1" s="30"/>
      <c r="AIR1" s="30"/>
      <c r="AIS1" s="30"/>
      <c r="AIT1" s="30"/>
      <c r="AIU1" s="30"/>
      <c r="AIV1" s="30"/>
      <c r="AIW1" s="30"/>
      <c r="AIX1" s="30"/>
      <c r="AIY1" s="30"/>
      <c r="AIZ1" s="30"/>
      <c r="AJA1" s="30"/>
      <c r="AJB1" s="30"/>
      <c r="AJC1" s="30"/>
      <c r="AJD1" s="30"/>
      <c r="AJE1" s="30"/>
      <c r="AJF1" s="30"/>
      <c r="AJG1" s="30"/>
      <c r="AJH1" s="30"/>
      <c r="AJI1" s="30"/>
      <c r="AJJ1" s="30"/>
      <c r="AJK1" s="30"/>
      <c r="AJL1" s="30"/>
      <c r="AJM1" s="30"/>
      <c r="AJN1" s="30"/>
      <c r="AJO1" s="30"/>
      <c r="AJP1" s="30"/>
      <c r="AJQ1" s="30"/>
      <c r="AJR1" s="30"/>
      <c r="AJS1" s="30"/>
      <c r="AJT1" s="30"/>
      <c r="AJU1" s="30"/>
      <c r="AJV1" s="30"/>
      <c r="AJW1" s="30"/>
      <c r="AJX1" s="30"/>
      <c r="AJY1" s="30"/>
      <c r="AJZ1" s="30"/>
      <c r="AKA1" s="30"/>
      <c r="AKB1" s="30"/>
      <c r="AKC1" s="30"/>
      <c r="AKD1" s="30"/>
      <c r="AKE1" s="30"/>
      <c r="AKF1" s="30"/>
      <c r="AKG1" s="30"/>
      <c r="AKH1" s="30"/>
      <c r="AKI1" s="30"/>
      <c r="AKJ1" s="30"/>
      <c r="AKK1" s="30"/>
      <c r="AKL1" s="30"/>
      <c r="AKM1" s="30"/>
      <c r="AKN1" s="30"/>
      <c r="AKO1" s="30"/>
      <c r="AKP1" s="30"/>
      <c r="AKQ1" s="30"/>
      <c r="AKR1" s="30"/>
      <c r="AKS1" s="30"/>
      <c r="AKT1" s="30"/>
      <c r="AKU1" s="30"/>
      <c r="AKV1" s="30"/>
      <c r="AKW1" s="30"/>
      <c r="AKX1" s="30"/>
      <c r="AKY1" s="30"/>
      <c r="AKZ1" s="30"/>
      <c r="ALA1" s="30"/>
      <c r="ALB1" s="30"/>
      <c r="ALC1" s="30"/>
      <c r="ALD1" s="30"/>
      <c r="ALE1" s="30"/>
      <c r="ALF1" s="30"/>
      <c r="ALG1" s="30"/>
      <c r="ALH1" s="30"/>
      <c r="ALI1" s="30"/>
      <c r="ALJ1" s="30"/>
      <c r="ALK1" s="30"/>
      <c r="ALL1" s="30"/>
      <c r="ALM1" s="30"/>
      <c r="ALN1" s="30"/>
      <c r="ALO1" s="30"/>
      <c r="ALP1" s="30"/>
      <c r="ALQ1" s="30"/>
      <c r="ALR1" s="30"/>
      <c r="ALS1" s="30"/>
      <c r="ALT1" s="30"/>
      <c r="ALU1" s="30"/>
      <c r="ALV1" s="30"/>
      <c r="ALW1" s="30"/>
      <c r="ALX1" s="30"/>
      <c r="ALY1" s="30"/>
      <c r="ALZ1" s="30"/>
      <c r="AMA1" s="30"/>
      <c r="AMB1" s="30"/>
      <c r="AMC1" s="30"/>
      <c r="AMD1" s="30"/>
      <c r="AME1" s="30"/>
      <c r="AMF1" s="30"/>
      <c r="AMG1" s="30"/>
      <c r="AMH1" s="30"/>
      <c r="AMI1" s="30"/>
      <c r="AMJ1" s="30"/>
    </row>
    <row r="2" spans="1:1024" ht="13.5" customHeight="1" thickBo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826</v>
      </c>
      <c r="AK2" s="87"/>
      <c r="AL2" s="87"/>
      <c r="AM2" s="87"/>
      <c r="AN2" s="87"/>
      <c r="AO2" s="86">
        <v>45313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</row>
    <row r="3" spans="1:1024" ht="13.5" customHeight="1" thickBo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  <c r="SG3" s="30"/>
      <c r="SH3" s="30"/>
      <c r="SI3" s="30"/>
      <c r="SJ3" s="30"/>
      <c r="SK3" s="30"/>
      <c r="SL3" s="30"/>
      <c r="SM3" s="30"/>
      <c r="SN3" s="30"/>
      <c r="SO3" s="30"/>
      <c r="SP3" s="30"/>
      <c r="SQ3" s="30"/>
      <c r="SR3" s="30"/>
      <c r="SS3" s="30"/>
      <c r="ST3" s="30"/>
      <c r="SU3" s="30"/>
      <c r="SV3" s="30"/>
      <c r="SW3" s="30"/>
      <c r="SX3" s="30"/>
      <c r="SY3" s="30"/>
      <c r="SZ3" s="30"/>
      <c r="TA3" s="30"/>
      <c r="TB3" s="30"/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0"/>
      <c r="TQ3" s="30"/>
      <c r="TR3" s="30"/>
      <c r="TS3" s="30"/>
      <c r="TT3" s="30"/>
      <c r="TU3" s="30"/>
      <c r="TV3" s="30"/>
      <c r="TW3" s="30"/>
      <c r="TX3" s="30"/>
      <c r="TY3" s="30"/>
      <c r="TZ3" s="30"/>
      <c r="UA3" s="30"/>
      <c r="UB3" s="30"/>
      <c r="UC3" s="30"/>
      <c r="UD3" s="30"/>
      <c r="UE3" s="30"/>
      <c r="UF3" s="30"/>
      <c r="UG3" s="30"/>
      <c r="UH3" s="30"/>
      <c r="UI3" s="30"/>
      <c r="UJ3" s="30"/>
      <c r="UK3" s="30"/>
      <c r="UL3" s="30"/>
      <c r="UM3" s="30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  <c r="ZZ3" s="30"/>
      <c r="AAA3" s="30"/>
      <c r="AAB3" s="30"/>
      <c r="AAC3" s="30"/>
      <c r="AAD3" s="30"/>
      <c r="AAE3" s="30"/>
      <c r="AAF3" s="30"/>
      <c r="AAG3" s="30"/>
      <c r="AAH3" s="30"/>
      <c r="AAI3" s="30"/>
      <c r="AAJ3" s="30"/>
      <c r="AAK3" s="30"/>
      <c r="AAL3" s="30"/>
      <c r="AAM3" s="30"/>
      <c r="AAN3" s="30"/>
      <c r="AAO3" s="30"/>
      <c r="AAP3" s="30"/>
      <c r="AAQ3" s="30"/>
      <c r="AAR3" s="30"/>
      <c r="AAS3" s="30"/>
      <c r="AAT3" s="30"/>
      <c r="AAU3" s="30"/>
      <c r="AAV3" s="30"/>
      <c r="AAW3" s="30"/>
      <c r="AAX3" s="30"/>
      <c r="AAY3" s="30"/>
      <c r="AAZ3" s="30"/>
      <c r="ABA3" s="30"/>
      <c r="ABB3" s="30"/>
      <c r="ABC3" s="30"/>
      <c r="ABD3" s="30"/>
      <c r="ABE3" s="30"/>
      <c r="ABF3" s="30"/>
      <c r="ABG3" s="30"/>
      <c r="ABH3" s="30"/>
      <c r="ABI3" s="30"/>
      <c r="ABJ3" s="30"/>
      <c r="ABK3" s="30"/>
      <c r="ABL3" s="30"/>
      <c r="ABM3" s="30"/>
      <c r="ABN3" s="30"/>
      <c r="ABO3" s="30"/>
      <c r="ABP3" s="30"/>
      <c r="ABQ3" s="30"/>
      <c r="ABR3" s="30"/>
      <c r="ABS3" s="30"/>
      <c r="ABT3" s="30"/>
      <c r="ABU3" s="30"/>
      <c r="ABV3" s="30"/>
      <c r="ABW3" s="30"/>
      <c r="ABX3" s="30"/>
      <c r="ABY3" s="30"/>
      <c r="ABZ3" s="30"/>
      <c r="ACA3" s="30"/>
      <c r="ACB3" s="30"/>
      <c r="ACC3" s="30"/>
      <c r="ACD3" s="30"/>
      <c r="ACE3" s="30"/>
      <c r="ACF3" s="30"/>
      <c r="ACG3" s="30"/>
      <c r="ACH3" s="30"/>
      <c r="ACI3" s="30"/>
      <c r="ACJ3" s="30"/>
      <c r="ACK3" s="30"/>
      <c r="ACL3" s="30"/>
      <c r="ACM3" s="30"/>
      <c r="ACN3" s="30"/>
      <c r="ACO3" s="30"/>
      <c r="ACP3" s="30"/>
      <c r="ACQ3" s="30"/>
      <c r="ACR3" s="30"/>
      <c r="ACS3" s="30"/>
      <c r="ACT3" s="30"/>
      <c r="ACU3" s="30"/>
      <c r="ACV3" s="30"/>
      <c r="ACW3" s="30"/>
      <c r="ACX3" s="30"/>
      <c r="ACY3" s="30"/>
      <c r="ACZ3" s="30"/>
      <c r="ADA3" s="30"/>
      <c r="ADB3" s="30"/>
      <c r="ADC3" s="30"/>
      <c r="ADD3" s="30"/>
      <c r="ADE3" s="30"/>
      <c r="ADF3" s="30"/>
      <c r="ADG3" s="30"/>
      <c r="ADH3" s="30"/>
      <c r="ADI3" s="30"/>
      <c r="ADJ3" s="30"/>
      <c r="ADK3" s="30"/>
      <c r="ADL3" s="30"/>
      <c r="ADM3" s="30"/>
      <c r="ADN3" s="30"/>
      <c r="ADO3" s="30"/>
      <c r="ADP3" s="30"/>
      <c r="ADQ3" s="30"/>
      <c r="ADR3" s="30"/>
      <c r="ADS3" s="30"/>
      <c r="ADT3" s="30"/>
      <c r="ADU3" s="30"/>
      <c r="ADV3" s="30"/>
      <c r="ADW3" s="30"/>
      <c r="ADX3" s="30"/>
      <c r="ADY3" s="30"/>
      <c r="ADZ3" s="30"/>
      <c r="AEA3" s="30"/>
      <c r="AEB3" s="30"/>
      <c r="AEC3" s="30"/>
      <c r="AED3" s="30"/>
      <c r="AEE3" s="30"/>
      <c r="AEF3" s="30"/>
      <c r="AEG3" s="30"/>
      <c r="AEH3" s="30"/>
      <c r="AEI3" s="30"/>
      <c r="AEJ3" s="30"/>
      <c r="AEK3" s="30"/>
      <c r="AEL3" s="30"/>
      <c r="AEM3" s="30"/>
      <c r="AEN3" s="30"/>
      <c r="AEO3" s="30"/>
      <c r="AEP3" s="30"/>
      <c r="AEQ3" s="30"/>
      <c r="AER3" s="30"/>
      <c r="AES3" s="30"/>
      <c r="AET3" s="30"/>
      <c r="AEU3" s="30"/>
      <c r="AEV3" s="30"/>
      <c r="AEW3" s="30"/>
      <c r="AEX3" s="30"/>
      <c r="AEY3" s="30"/>
      <c r="AEZ3" s="30"/>
      <c r="AFA3" s="30"/>
      <c r="AFB3" s="30"/>
      <c r="AFC3" s="30"/>
      <c r="AFD3" s="30"/>
      <c r="AFE3" s="30"/>
      <c r="AFF3" s="30"/>
      <c r="AFG3" s="30"/>
      <c r="AFH3" s="30"/>
      <c r="AFI3" s="30"/>
      <c r="AFJ3" s="30"/>
      <c r="AFK3" s="30"/>
      <c r="AFL3" s="30"/>
      <c r="AFM3" s="30"/>
      <c r="AFN3" s="30"/>
      <c r="AFO3" s="30"/>
      <c r="AFP3" s="30"/>
      <c r="AFQ3" s="30"/>
      <c r="AFR3" s="30"/>
      <c r="AFS3" s="30"/>
      <c r="AFT3" s="30"/>
      <c r="AFU3" s="30"/>
      <c r="AFV3" s="30"/>
      <c r="AFW3" s="30"/>
      <c r="AFX3" s="30"/>
      <c r="AFY3" s="30"/>
      <c r="AFZ3" s="30"/>
      <c r="AGA3" s="30"/>
      <c r="AGB3" s="30"/>
      <c r="AGC3" s="30"/>
      <c r="AGD3" s="30"/>
      <c r="AGE3" s="30"/>
      <c r="AGF3" s="30"/>
      <c r="AGG3" s="30"/>
      <c r="AGH3" s="30"/>
      <c r="AGI3" s="30"/>
      <c r="AGJ3" s="30"/>
      <c r="AGK3" s="30"/>
      <c r="AGL3" s="30"/>
      <c r="AGM3" s="30"/>
      <c r="AGN3" s="30"/>
      <c r="AGO3" s="30"/>
      <c r="AGP3" s="30"/>
      <c r="AGQ3" s="30"/>
      <c r="AGR3" s="30"/>
      <c r="AGS3" s="30"/>
      <c r="AGT3" s="30"/>
      <c r="AGU3" s="30"/>
      <c r="AGV3" s="30"/>
      <c r="AGW3" s="30"/>
      <c r="AGX3" s="30"/>
      <c r="AGY3" s="30"/>
      <c r="AGZ3" s="30"/>
      <c r="AHA3" s="30"/>
      <c r="AHB3" s="30"/>
      <c r="AHC3" s="30"/>
      <c r="AHD3" s="30"/>
      <c r="AHE3" s="30"/>
      <c r="AHF3" s="30"/>
      <c r="AHG3" s="30"/>
      <c r="AHH3" s="30"/>
      <c r="AHI3" s="30"/>
      <c r="AHJ3" s="30"/>
      <c r="AHK3" s="30"/>
      <c r="AHL3" s="30"/>
      <c r="AHM3" s="30"/>
      <c r="AHN3" s="30"/>
      <c r="AHO3" s="30"/>
      <c r="AHP3" s="30"/>
      <c r="AHQ3" s="30"/>
      <c r="AHR3" s="30"/>
      <c r="AHS3" s="30"/>
      <c r="AHT3" s="30"/>
      <c r="AHU3" s="30"/>
      <c r="AHV3" s="30"/>
      <c r="AHW3" s="30"/>
      <c r="AHX3" s="30"/>
      <c r="AHY3" s="30"/>
      <c r="AHZ3" s="30"/>
      <c r="AIA3" s="30"/>
      <c r="AIB3" s="30"/>
      <c r="AIC3" s="30"/>
      <c r="AID3" s="30"/>
      <c r="AIE3" s="30"/>
      <c r="AIF3" s="30"/>
      <c r="AIG3" s="30"/>
      <c r="AIH3" s="30"/>
      <c r="AII3" s="30"/>
      <c r="AIJ3" s="30"/>
      <c r="AIK3" s="30"/>
      <c r="AIL3" s="30"/>
      <c r="AIM3" s="30"/>
      <c r="AIN3" s="30"/>
      <c r="AIO3" s="30"/>
      <c r="AIP3" s="30"/>
      <c r="AIQ3" s="30"/>
      <c r="AIR3" s="30"/>
      <c r="AIS3" s="30"/>
      <c r="AIT3" s="30"/>
      <c r="AIU3" s="30"/>
      <c r="AIV3" s="30"/>
      <c r="AIW3" s="30"/>
      <c r="AIX3" s="30"/>
      <c r="AIY3" s="30"/>
      <c r="AIZ3" s="30"/>
      <c r="AJA3" s="30"/>
      <c r="AJB3" s="30"/>
      <c r="AJC3" s="30"/>
      <c r="AJD3" s="30"/>
      <c r="AJE3" s="30"/>
      <c r="AJF3" s="30"/>
      <c r="AJG3" s="30"/>
      <c r="AJH3" s="30"/>
      <c r="AJI3" s="30"/>
      <c r="AJJ3" s="30"/>
      <c r="AJK3" s="30"/>
      <c r="AJL3" s="30"/>
      <c r="AJM3" s="30"/>
      <c r="AJN3" s="30"/>
      <c r="AJO3" s="30"/>
      <c r="AJP3" s="30"/>
      <c r="AJQ3" s="30"/>
      <c r="AJR3" s="30"/>
      <c r="AJS3" s="30"/>
      <c r="AJT3" s="30"/>
      <c r="AJU3" s="30"/>
      <c r="AJV3" s="30"/>
      <c r="AJW3" s="30"/>
      <c r="AJX3" s="30"/>
      <c r="AJY3" s="30"/>
      <c r="AJZ3" s="30"/>
      <c r="AKA3" s="30"/>
      <c r="AKB3" s="30"/>
      <c r="AKC3" s="30"/>
      <c r="AKD3" s="30"/>
      <c r="AKE3" s="30"/>
      <c r="AKF3" s="30"/>
      <c r="AKG3" s="30"/>
      <c r="AKH3" s="30"/>
      <c r="AKI3" s="30"/>
      <c r="AKJ3" s="30"/>
      <c r="AKK3" s="30"/>
      <c r="AKL3" s="30"/>
      <c r="AKM3" s="30"/>
      <c r="AKN3" s="30"/>
      <c r="AKO3" s="30"/>
      <c r="AKP3" s="30"/>
      <c r="AKQ3" s="30"/>
      <c r="AKR3" s="30"/>
      <c r="AKS3" s="30"/>
      <c r="AKT3" s="30"/>
      <c r="AKU3" s="30"/>
      <c r="AKV3" s="30"/>
      <c r="AKW3" s="30"/>
      <c r="AKX3" s="30"/>
      <c r="AKY3" s="30"/>
      <c r="AKZ3" s="30"/>
      <c r="ALA3" s="30"/>
      <c r="ALB3" s="30"/>
      <c r="ALC3" s="30"/>
      <c r="ALD3" s="30"/>
      <c r="ALE3" s="30"/>
      <c r="ALF3" s="30"/>
      <c r="ALG3" s="30"/>
      <c r="ALH3" s="30"/>
      <c r="ALI3" s="30"/>
      <c r="ALJ3" s="30"/>
      <c r="ALK3" s="30"/>
      <c r="ALL3" s="30"/>
      <c r="ALM3" s="30"/>
      <c r="ALN3" s="30"/>
      <c r="ALO3" s="30"/>
      <c r="ALP3" s="30"/>
      <c r="ALQ3" s="30"/>
      <c r="ALR3" s="30"/>
      <c r="ALS3" s="30"/>
      <c r="ALT3" s="30"/>
      <c r="ALU3" s="30"/>
      <c r="ALV3" s="30"/>
      <c r="ALW3" s="30"/>
      <c r="ALX3" s="30"/>
      <c r="ALY3" s="30"/>
      <c r="ALZ3" s="30"/>
      <c r="AMA3" s="30"/>
      <c r="AMB3" s="30"/>
      <c r="AMC3" s="30"/>
      <c r="AMD3" s="30"/>
      <c r="AME3" s="30"/>
      <c r="AMF3" s="30"/>
      <c r="AMG3" s="30"/>
      <c r="AMH3" s="30"/>
      <c r="AMI3" s="30"/>
      <c r="AMJ3" s="30"/>
    </row>
    <row r="4" spans="1:1024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1024" ht="12.75" customHeight="1">
      <c r="A5" s="46"/>
      <c r="B5" s="111" t="s">
        <v>119</v>
      </c>
      <c r="C5" s="111"/>
      <c r="D5" s="111"/>
      <c r="E5" s="111"/>
      <c r="F5" s="111"/>
      <c r="G5" s="111"/>
      <c r="H5" s="125" t="s">
        <v>867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46"/>
      <c r="NZ5" s="46"/>
      <c r="OA5" s="46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46"/>
      <c r="PJ5" s="46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46"/>
      <c r="RR5" s="46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46"/>
      <c r="TZ5" s="46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46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46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46"/>
      <c r="AAX5" s="46"/>
      <c r="AAY5" s="46"/>
      <c r="AAZ5" s="46"/>
      <c r="ABA5" s="46"/>
      <c r="ABB5" s="46"/>
      <c r="ABC5" s="46"/>
      <c r="ABD5" s="46"/>
      <c r="ABE5" s="46"/>
      <c r="ABF5" s="46"/>
      <c r="ABG5" s="46"/>
      <c r="ABH5" s="46"/>
      <c r="ABI5" s="46"/>
      <c r="ABJ5" s="46"/>
      <c r="ABK5" s="46"/>
      <c r="ABL5" s="46"/>
      <c r="ABM5" s="46"/>
      <c r="ABN5" s="46"/>
      <c r="ABO5" s="46"/>
      <c r="ABP5" s="46"/>
      <c r="ABQ5" s="46"/>
      <c r="ABR5" s="46"/>
      <c r="ABS5" s="46"/>
      <c r="ABT5" s="46"/>
      <c r="ABU5" s="46"/>
      <c r="ABV5" s="46"/>
      <c r="ABW5" s="46"/>
      <c r="ABX5" s="46"/>
      <c r="ABY5" s="46"/>
      <c r="ABZ5" s="46"/>
      <c r="ACA5" s="46"/>
      <c r="ACB5" s="46"/>
      <c r="ACC5" s="46"/>
      <c r="ACD5" s="46"/>
      <c r="ACE5" s="46"/>
      <c r="ACF5" s="46"/>
      <c r="ACG5" s="46"/>
      <c r="ACH5" s="46"/>
      <c r="ACI5" s="46"/>
      <c r="ACJ5" s="46"/>
      <c r="ACK5" s="46"/>
      <c r="ACL5" s="46"/>
      <c r="ACM5" s="46"/>
      <c r="ACN5" s="46"/>
      <c r="ACO5" s="46"/>
      <c r="ACP5" s="46"/>
      <c r="ACQ5" s="46"/>
      <c r="ACR5" s="46"/>
      <c r="ACS5" s="46"/>
      <c r="ACT5" s="46"/>
      <c r="ACU5" s="46"/>
      <c r="ACV5" s="46"/>
      <c r="ACW5" s="46"/>
      <c r="ACX5" s="46"/>
      <c r="ACY5" s="46"/>
      <c r="ACZ5" s="46"/>
      <c r="ADA5" s="46"/>
      <c r="ADB5" s="46"/>
      <c r="ADC5" s="46"/>
      <c r="ADD5" s="46"/>
      <c r="ADE5" s="46"/>
      <c r="ADF5" s="46"/>
      <c r="ADG5" s="46"/>
      <c r="ADH5" s="46"/>
      <c r="ADI5" s="46"/>
      <c r="ADJ5" s="46"/>
      <c r="ADK5" s="46"/>
      <c r="ADL5" s="46"/>
      <c r="ADM5" s="46"/>
      <c r="ADN5" s="46"/>
      <c r="ADO5" s="46"/>
      <c r="ADP5" s="46"/>
      <c r="ADQ5" s="46"/>
      <c r="ADR5" s="46"/>
      <c r="ADS5" s="46"/>
      <c r="ADT5" s="46"/>
      <c r="ADU5" s="46"/>
      <c r="ADV5" s="46"/>
      <c r="ADW5" s="46"/>
      <c r="ADX5" s="46"/>
      <c r="ADY5" s="46"/>
      <c r="ADZ5" s="46"/>
      <c r="AEA5" s="46"/>
      <c r="AEB5" s="46"/>
      <c r="AEC5" s="46"/>
      <c r="AED5" s="46"/>
      <c r="AEE5" s="46"/>
      <c r="AEF5" s="46"/>
      <c r="AEG5" s="46"/>
      <c r="AEH5" s="46"/>
      <c r="AEI5" s="46"/>
      <c r="AEJ5" s="46"/>
      <c r="AEK5" s="46"/>
      <c r="AEL5" s="46"/>
      <c r="AEM5" s="46"/>
      <c r="AEN5" s="46"/>
      <c r="AEO5" s="46"/>
      <c r="AEP5" s="46"/>
      <c r="AEQ5" s="46"/>
      <c r="AER5" s="46"/>
      <c r="AES5" s="46"/>
      <c r="AET5" s="46"/>
      <c r="AEU5" s="46"/>
      <c r="AEV5" s="46"/>
      <c r="AEW5" s="46"/>
      <c r="AEX5" s="46"/>
      <c r="AEY5" s="46"/>
      <c r="AEZ5" s="46"/>
      <c r="AFA5" s="46"/>
      <c r="AFB5" s="46"/>
      <c r="AFC5" s="46"/>
      <c r="AFD5" s="46"/>
      <c r="AFE5" s="46"/>
      <c r="AFF5" s="46"/>
      <c r="AFG5" s="46"/>
      <c r="AFH5" s="46"/>
      <c r="AFI5" s="46"/>
      <c r="AFJ5" s="46"/>
      <c r="AFK5" s="46"/>
      <c r="AFL5" s="46"/>
      <c r="AFM5" s="46"/>
      <c r="AFN5" s="46"/>
      <c r="AFO5" s="46"/>
      <c r="AFP5" s="46"/>
      <c r="AFQ5" s="46"/>
      <c r="AFR5" s="46"/>
      <c r="AFS5" s="46"/>
      <c r="AFT5" s="46"/>
      <c r="AFU5" s="46"/>
      <c r="AFV5" s="46"/>
      <c r="AFW5" s="46"/>
      <c r="AFX5" s="46"/>
      <c r="AFY5" s="46"/>
      <c r="AFZ5" s="46"/>
      <c r="AGA5" s="46"/>
      <c r="AGB5" s="46"/>
      <c r="AGC5" s="46"/>
      <c r="AGD5" s="46"/>
      <c r="AGE5" s="46"/>
      <c r="AGF5" s="46"/>
      <c r="AGG5" s="46"/>
      <c r="AGH5" s="46"/>
      <c r="AGI5" s="46"/>
      <c r="AGJ5" s="46"/>
      <c r="AGK5" s="46"/>
      <c r="AGL5" s="46"/>
      <c r="AGM5" s="46"/>
      <c r="AGN5" s="46"/>
      <c r="AGO5" s="46"/>
      <c r="AGP5" s="46"/>
      <c r="AGQ5" s="46"/>
      <c r="AGR5" s="46"/>
      <c r="AGS5" s="46"/>
      <c r="AGT5" s="46"/>
      <c r="AGU5" s="46"/>
      <c r="AGV5" s="46"/>
      <c r="AGW5" s="46"/>
      <c r="AGX5" s="46"/>
      <c r="AGY5" s="46"/>
      <c r="AGZ5" s="46"/>
      <c r="AHA5" s="46"/>
      <c r="AHB5" s="46"/>
      <c r="AHC5" s="46"/>
      <c r="AHD5" s="46"/>
      <c r="AHE5" s="46"/>
      <c r="AHF5" s="46"/>
      <c r="AHG5" s="46"/>
      <c r="AHH5" s="46"/>
      <c r="AHI5" s="46"/>
      <c r="AHJ5" s="46"/>
      <c r="AHK5" s="46"/>
      <c r="AHL5" s="46"/>
      <c r="AHM5" s="46"/>
      <c r="AHN5" s="46"/>
      <c r="AHO5" s="46"/>
      <c r="AHP5" s="46"/>
      <c r="AHQ5" s="46"/>
      <c r="AHR5" s="46"/>
      <c r="AHS5" s="46"/>
      <c r="AHT5" s="46"/>
      <c r="AHU5" s="46"/>
      <c r="AHV5" s="46"/>
      <c r="AHW5" s="46"/>
      <c r="AHX5" s="46"/>
      <c r="AHY5" s="46"/>
      <c r="AHZ5" s="46"/>
      <c r="AIA5" s="46"/>
      <c r="AIB5" s="46"/>
      <c r="AIC5" s="46"/>
      <c r="AID5" s="46"/>
      <c r="AIE5" s="46"/>
      <c r="AIF5" s="46"/>
      <c r="AIG5" s="46"/>
      <c r="AIH5" s="46"/>
      <c r="AII5" s="46"/>
      <c r="AIJ5" s="46"/>
      <c r="AIK5" s="46"/>
      <c r="AIL5" s="46"/>
      <c r="AIM5" s="46"/>
      <c r="AIN5" s="46"/>
      <c r="AIO5" s="46"/>
      <c r="AIP5" s="46"/>
      <c r="AIQ5" s="46"/>
      <c r="AIR5" s="46"/>
      <c r="AIS5" s="46"/>
      <c r="AIT5" s="46"/>
      <c r="AIU5" s="46"/>
      <c r="AIV5" s="46"/>
      <c r="AIW5" s="46"/>
      <c r="AIX5" s="46"/>
      <c r="AIY5" s="46"/>
      <c r="AIZ5" s="46"/>
      <c r="AJA5" s="46"/>
      <c r="AJB5" s="46"/>
      <c r="AJC5" s="46"/>
      <c r="AJD5" s="46"/>
      <c r="AJE5" s="46"/>
      <c r="AJF5" s="46"/>
      <c r="AJG5" s="46"/>
      <c r="AJH5" s="46"/>
      <c r="AJI5" s="46"/>
      <c r="AJJ5" s="46"/>
      <c r="AJK5" s="46"/>
      <c r="AJL5" s="46"/>
      <c r="AJM5" s="46"/>
      <c r="AJN5" s="46"/>
      <c r="AJO5" s="46"/>
      <c r="AJP5" s="46"/>
      <c r="AJQ5" s="46"/>
      <c r="AJR5" s="46"/>
      <c r="AJS5" s="46"/>
      <c r="AJT5" s="46"/>
      <c r="AJU5" s="46"/>
      <c r="AJV5" s="46"/>
      <c r="AJW5" s="46"/>
      <c r="AJX5" s="46"/>
      <c r="AJY5" s="46"/>
      <c r="AJZ5" s="46"/>
      <c r="AKA5" s="46"/>
      <c r="AKB5" s="46"/>
      <c r="AKC5" s="46"/>
      <c r="AKD5" s="46"/>
      <c r="AKE5" s="46"/>
      <c r="AKF5" s="46"/>
      <c r="AKG5" s="46"/>
      <c r="AKH5" s="46"/>
      <c r="AKI5" s="46"/>
      <c r="AKJ5" s="46"/>
      <c r="AKK5" s="46"/>
      <c r="AKL5" s="46"/>
      <c r="AKM5" s="46"/>
      <c r="AKN5" s="46"/>
      <c r="AKO5" s="46"/>
      <c r="AKP5" s="46"/>
      <c r="AKQ5" s="46"/>
      <c r="AKR5" s="46"/>
      <c r="AKS5" s="46"/>
      <c r="AKT5" s="46"/>
      <c r="AKU5" s="46"/>
      <c r="AKV5" s="46"/>
      <c r="AKW5" s="46"/>
      <c r="AKX5" s="46"/>
      <c r="AKY5" s="46"/>
      <c r="AKZ5" s="46"/>
      <c r="ALA5" s="46"/>
      <c r="ALB5" s="46"/>
      <c r="ALC5" s="46"/>
      <c r="ALD5" s="46"/>
      <c r="ALE5" s="46"/>
      <c r="ALF5" s="46"/>
      <c r="ALG5" s="46"/>
      <c r="ALH5" s="46"/>
      <c r="ALI5" s="46"/>
      <c r="ALJ5" s="46"/>
      <c r="ALK5" s="46"/>
      <c r="ALL5" s="46"/>
      <c r="ALM5" s="46"/>
      <c r="ALN5" s="46"/>
      <c r="ALO5" s="46"/>
      <c r="ALP5" s="46"/>
      <c r="ALQ5" s="46"/>
      <c r="ALR5" s="46"/>
      <c r="ALS5" s="46"/>
      <c r="ALT5" s="46"/>
      <c r="ALU5" s="46"/>
      <c r="ALV5" s="46"/>
      <c r="ALW5" s="46"/>
      <c r="ALX5" s="46"/>
      <c r="ALY5" s="46"/>
      <c r="ALZ5" s="46"/>
      <c r="AMA5" s="46"/>
      <c r="AMB5" s="46"/>
      <c r="AMC5" s="46"/>
      <c r="AMD5" s="46"/>
      <c r="AME5" s="46"/>
      <c r="AMF5" s="46"/>
      <c r="AMG5" s="46"/>
      <c r="AMH5" s="46"/>
      <c r="AMI5" s="46"/>
      <c r="AMJ5" s="46"/>
    </row>
    <row r="6" spans="1:1024" ht="12.75" customHeight="1">
      <c r="B6" s="111" t="s">
        <v>119</v>
      </c>
      <c r="C6" s="111"/>
      <c r="D6" s="111"/>
      <c r="E6" s="111"/>
      <c r="F6" s="111"/>
      <c r="G6" s="111"/>
      <c r="H6" s="145" t="s">
        <v>868</v>
      </c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1024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1024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1024" ht="12.75" customHeight="1">
      <c r="B9" s="172" t="s">
        <v>46</v>
      </c>
      <c r="C9" s="172"/>
      <c r="D9" s="172" t="s">
        <v>122</v>
      </c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 t="s">
        <v>49</v>
      </c>
      <c r="P9" s="172"/>
      <c r="Q9" s="172"/>
      <c r="R9" s="172"/>
      <c r="S9" s="172"/>
      <c r="T9" s="172"/>
      <c r="U9" s="172"/>
      <c r="V9" s="172"/>
      <c r="W9" s="172"/>
      <c r="X9" s="172"/>
      <c r="Y9" s="172" t="s">
        <v>123</v>
      </c>
      <c r="Z9" s="172"/>
      <c r="AA9" s="172"/>
      <c r="AB9" s="172"/>
      <c r="AC9" s="172"/>
      <c r="AD9" s="172"/>
      <c r="AE9" s="172"/>
      <c r="AF9" s="172"/>
      <c r="AG9" s="178" t="s">
        <v>124</v>
      </c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9" t="s">
        <v>125</v>
      </c>
      <c r="AX9" s="179"/>
      <c r="AY9" s="179"/>
      <c r="AZ9" s="179"/>
      <c r="BA9" s="179"/>
      <c r="BB9" s="179"/>
    </row>
    <row r="10" spans="1:1024" ht="12.75" customHeight="1">
      <c r="B10" s="172"/>
      <c r="C10" s="172"/>
      <c r="D10" s="172" t="s">
        <v>48</v>
      </c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 t="s">
        <v>49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9"/>
      <c r="AX10" s="179"/>
      <c r="AY10" s="179"/>
      <c r="AZ10" s="179"/>
      <c r="BA10" s="179"/>
      <c r="BB10" s="179"/>
    </row>
    <row r="11" spans="1:1024" ht="12.75" customHeight="1">
      <c r="B11" s="175">
        <v>1</v>
      </c>
      <c r="C11" s="175"/>
      <c r="D11" s="176" t="s">
        <v>657</v>
      </c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 t="s">
        <v>658</v>
      </c>
      <c r="P11" s="176"/>
      <c r="Q11" s="176"/>
      <c r="R11" s="176"/>
      <c r="S11" s="176"/>
      <c r="T11" s="176"/>
      <c r="U11" s="176"/>
      <c r="V11" s="176"/>
      <c r="W11" s="176"/>
      <c r="X11" s="176"/>
      <c r="Y11" s="176" t="s">
        <v>137</v>
      </c>
      <c r="Z11" s="176"/>
      <c r="AA11" s="176"/>
      <c r="AB11" s="176"/>
      <c r="AC11" s="176"/>
      <c r="AD11" s="176"/>
      <c r="AE11" s="176"/>
      <c r="AF11" s="176"/>
      <c r="AG11" s="174" t="s">
        <v>129</v>
      </c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 t="s">
        <v>129</v>
      </c>
      <c r="AX11" s="174"/>
      <c r="AY11" s="174"/>
      <c r="AZ11" s="174"/>
      <c r="BA11" s="174"/>
      <c r="BB11" s="174"/>
    </row>
    <row r="12" spans="1:1024" ht="12.75" customHeight="1">
      <c r="A12" s="37"/>
      <c r="B12" s="175">
        <v>2</v>
      </c>
      <c r="C12" s="175"/>
      <c r="D12" s="176" t="s">
        <v>869</v>
      </c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 t="s">
        <v>871</v>
      </c>
      <c r="P12" s="176"/>
      <c r="Q12" s="176"/>
      <c r="R12" s="176"/>
      <c r="S12" s="176"/>
      <c r="T12" s="176"/>
      <c r="U12" s="176"/>
      <c r="V12" s="176"/>
      <c r="W12" s="176"/>
      <c r="X12" s="176"/>
      <c r="Y12" s="176" t="s">
        <v>132</v>
      </c>
      <c r="Z12" s="176"/>
      <c r="AA12" s="176"/>
      <c r="AB12" s="176"/>
      <c r="AC12" s="176"/>
      <c r="AD12" s="176"/>
      <c r="AE12" s="176"/>
      <c r="AF12" s="176"/>
      <c r="AG12" s="174" t="s">
        <v>129</v>
      </c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 t="s">
        <v>129</v>
      </c>
      <c r="AX12" s="174"/>
      <c r="AY12" s="174"/>
      <c r="AZ12" s="174"/>
      <c r="BA12" s="174"/>
      <c r="BB12" s="174"/>
    </row>
    <row r="13" spans="1:1024" ht="12.75" customHeight="1">
      <c r="B13" s="175">
        <v>3</v>
      </c>
      <c r="C13" s="175"/>
      <c r="D13" s="177" t="s">
        <v>160</v>
      </c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6" t="s">
        <v>870</v>
      </c>
      <c r="P13" s="176"/>
      <c r="Q13" s="176"/>
      <c r="R13" s="176"/>
      <c r="S13" s="176"/>
      <c r="T13" s="176"/>
      <c r="U13" s="176"/>
      <c r="V13" s="176"/>
      <c r="W13" s="176"/>
      <c r="X13" s="176"/>
      <c r="Y13" s="176" t="s">
        <v>137</v>
      </c>
      <c r="Z13" s="176"/>
      <c r="AA13" s="176"/>
      <c r="AB13" s="176"/>
      <c r="AC13" s="176"/>
      <c r="AD13" s="176"/>
      <c r="AE13" s="176"/>
      <c r="AF13" s="176"/>
      <c r="AG13" s="174" t="s">
        <v>129</v>
      </c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 t="s">
        <v>129</v>
      </c>
      <c r="AX13" s="174"/>
      <c r="AY13" s="174"/>
      <c r="AZ13" s="174"/>
      <c r="BA13" s="174"/>
      <c r="BB13" s="174"/>
    </row>
    <row r="14" spans="1:1024" ht="12.75" customHeight="1">
      <c r="B14" s="175">
        <v>4</v>
      </c>
      <c r="C14" s="175"/>
      <c r="D14" s="177" t="s">
        <v>145</v>
      </c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6" t="s">
        <v>146</v>
      </c>
      <c r="P14" s="176"/>
      <c r="Q14" s="176"/>
      <c r="R14" s="176"/>
      <c r="S14" s="176"/>
      <c r="T14" s="176"/>
      <c r="U14" s="176"/>
      <c r="V14" s="176"/>
      <c r="W14" s="176"/>
      <c r="X14" s="176"/>
      <c r="Y14" s="176" t="s">
        <v>132</v>
      </c>
      <c r="Z14" s="176"/>
      <c r="AA14" s="176"/>
      <c r="AB14" s="176"/>
      <c r="AC14" s="176"/>
      <c r="AD14" s="176"/>
      <c r="AE14" s="176"/>
      <c r="AF14" s="176"/>
      <c r="AG14" s="174" t="s">
        <v>129</v>
      </c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 t="s">
        <v>129</v>
      </c>
      <c r="AX14" s="174"/>
      <c r="AY14" s="174"/>
      <c r="AZ14" s="174"/>
      <c r="BA14" s="174"/>
      <c r="BB14" s="174"/>
    </row>
    <row r="15" spans="1:1024" ht="12.75" customHeight="1">
      <c r="B15" s="175">
        <v>5</v>
      </c>
      <c r="C15" s="175"/>
      <c r="D15" s="177" t="s">
        <v>872</v>
      </c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6" t="s">
        <v>186</v>
      </c>
      <c r="P15" s="176"/>
      <c r="Q15" s="176"/>
      <c r="R15" s="176"/>
      <c r="S15" s="176"/>
      <c r="T15" s="176"/>
      <c r="U15" s="176"/>
      <c r="V15" s="176"/>
      <c r="W15" s="176"/>
      <c r="X15" s="176"/>
      <c r="Y15" s="176" t="s">
        <v>132</v>
      </c>
      <c r="Z15" s="176"/>
      <c r="AA15" s="176"/>
      <c r="AB15" s="176"/>
      <c r="AC15" s="176"/>
      <c r="AD15" s="176"/>
      <c r="AE15" s="176"/>
      <c r="AF15" s="176"/>
      <c r="AG15" s="174" t="s">
        <v>129</v>
      </c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 t="s">
        <v>129</v>
      </c>
      <c r="AX15" s="174"/>
      <c r="AY15" s="174"/>
      <c r="AZ15" s="174"/>
      <c r="BA15" s="174"/>
      <c r="BB15" s="174"/>
    </row>
    <row r="16" spans="1:1024" ht="12.75" customHeight="1">
      <c r="B16" s="175">
        <v>6</v>
      </c>
      <c r="C16" s="175"/>
      <c r="D16" s="177" t="s">
        <v>873</v>
      </c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6" t="s">
        <v>874</v>
      </c>
      <c r="P16" s="176"/>
      <c r="Q16" s="176"/>
      <c r="R16" s="176"/>
      <c r="S16" s="176"/>
      <c r="T16" s="176"/>
      <c r="U16" s="176"/>
      <c r="V16" s="176"/>
      <c r="W16" s="176"/>
      <c r="X16" s="176"/>
      <c r="Y16" s="176" t="s">
        <v>137</v>
      </c>
      <c r="Z16" s="176"/>
      <c r="AA16" s="176"/>
      <c r="AB16" s="176"/>
      <c r="AC16" s="176"/>
      <c r="AD16" s="176"/>
      <c r="AE16" s="176"/>
      <c r="AF16" s="176"/>
      <c r="AG16" s="174" t="s">
        <v>129</v>
      </c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 t="s">
        <v>129</v>
      </c>
      <c r="AX16" s="174"/>
      <c r="AY16" s="174"/>
      <c r="AZ16" s="174"/>
      <c r="BA16" s="174"/>
      <c r="BB16" s="174"/>
    </row>
    <row r="17" spans="2:54" ht="12.75" customHeight="1">
      <c r="B17" s="175">
        <v>7</v>
      </c>
      <c r="C17" s="175"/>
      <c r="D17" s="176" t="s">
        <v>875</v>
      </c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 t="s">
        <v>876</v>
      </c>
      <c r="P17" s="176"/>
      <c r="Q17" s="176"/>
      <c r="R17" s="176"/>
      <c r="S17" s="176"/>
      <c r="T17" s="176"/>
      <c r="U17" s="176"/>
      <c r="V17" s="176"/>
      <c r="W17" s="176"/>
      <c r="X17" s="176"/>
      <c r="Y17" s="176" t="s">
        <v>132</v>
      </c>
      <c r="Z17" s="176"/>
      <c r="AA17" s="176"/>
      <c r="AB17" s="176"/>
      <c r="AC17" s="176"/>
      <c r="AD17" s="176"/>
      <c r="AE17" s="176"/>
      <c r="AF17" s="176"/>
      <c r="AG17" s="174" t="s">
        <v>129</v>
      </c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 t="s">
        <v>129</v>
      </c>
      <c r="AX17" s="174"/>
      <c r="AY17" s="174"/>
      <c r="AZ17" s="174"/>
      <c r="BA17" s="174"/>
      <c r="BB17" s="174"/>
    </row>
    <row r="18" spans="2:54" ht="12.75" customHeight="1"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spans="2:54" ht="12.75" customHeight="1"/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</sheetData>
  <mergeCells count="68">
    <mergeCell ref="AW17:BB17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5:BB15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3:BB13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B11:C11"/>
    <mergeCell ref="D11:N11"/>
    <mergeCell ref="O11:X11"/>
    <mergeCell ref="Y11:AF11"/>
    <mergeCell ref="AG11:AV11"/>
    <mergeCell ref="AW11:BB11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B9:C10"/>
    <mergeCell ref="D9:X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MJ6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44294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667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98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534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535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536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537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668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649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669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548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207</v>
      </c>
      <c r="Z14" s="125"/>
      <c r="AA14" s="125"/>
      <c r="AB14" s="125"/>
      <c r="AC14" s="125"/>
      <c r="AD14" s="125"/>
      <c r="AE14" s="125"/>
      <c r="AF14" s="12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670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671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137</v>
      </c>
      <c r="Z15" s="125"/>
      <c r="AA15" s="125"/>
      <c r="AB15" s="125"/>
      <c r="AC15" s="125"/>
      <c r="AD15" s="125"/>
      <c r="AE15" s="125"/>
      <c r="AF15" s="12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125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625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132</v>
      </c>
      <c r="Z16" s="125"/>
      <c r="AA16" s="125"/>
      <c r="AB16" s="125"/>
      <c r="AC16" s="125"/>
      <c r="AD16" s="125"/>
      <c r="AE16" s="125"/>
      <c r="AF16" s="12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9">
        <v>7</v>
      </c>
      <c r="C17" s="149"/>
      <c r="D17" s="125" t="s">
        <v>220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221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 t="s">
        <v>207</v>
      </c>
      <c r="Z17" s="125"/>
      <c r="AA17" s="125"/>
      <c r="AB17" s="125"/>
      <c r="AC17" s="125"/>
      <c r="AD17" s="125"/>
      <c r="AE17" s="125"/>
      <c r="AF17" s="12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0" t="s">
        <v>129</v>
      </c>
      <c r="AX17" s="130"/>
      <c r="AY17" s="130"/>
      <c r="AZ17" s="130"/>
      <c r="BA17" s="130"/>
      <c r="BB17" s="130"/>
    </row>
    <row r="18" spans="2:54" ht="12.75" customHeight="1"/>
    <row r="19" spans="2:54" ht="12.75" customHeight="1"/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</sheetData>
  <mergeCells count="68">
    <mergeCell ref="AW17:BB17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MJ6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13</v>
      </c>
      <c r="AK2" s="87"/>
      <c r="AL2" s="87"/>
      <c r="AM2" s="87"/>
      <c r="AN2" s="87"/>
      <c r="AO2" s="86">
        <v>45230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672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99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534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535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536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537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5</v>
      </c>
      <c r="C13" s="149"/>
      <c r="D13" s="125" t="s">
        <v>673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674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137</v>
      </c>
      <c r="Z13" s="125"/>
      <c r="AA13" s="125"/>
      <c r="AB13" s="125"/>
      <c r="AC13" s="125"/>
      <c r="AD13" s="125"/>
      <c r="AE13" s="125"/>
      <c r="AF13" s="12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s="44" customFormat="1" ht="12.75" customHeight="1"/>
    <row r="15" spans="1:55" s="44" customFormat="1" ht="12.75" customHeight="1"/>
    <row r="16" spans="1:55" s="44" customFormat="1" ht="12.75" customHeight="1"/>
    <row r="17" s="44" customFormat="1" ht="12.75" customHeight="1"/>
    <row r="18" s="44" customFormat="1" ht="12.75" customHeight="1"/>
    <row r="19" s="44" customFormat="1" ht="12.75" customHeight="1"/>
    <row r="20" s="44" customFormat="1" ht="12.75" customHeight="1"/>
    <row r="21" s="44" customFormat="1" ht="12.75" customHeight="1"/>
    <row r="22" s="44" customFormat="1" ht="12.75" customHeight="1"/>
    <row r="23" s="44" customFormat="1" ht="12.75" customHeight="1"/>
    <row r="24" s="44" customFormat="1" ht="12.75" customHeight="1"/>
    <row r="25" s="44" customFormat="1" ht="12.75" customHeight="1"/>
    <row r="26" s="44" customFormat="1" ht="12.75" customHeight="1"/>
    <row r="27" s="44" customFormat="1" ht="12.75" customHeight="1"/>
    <row r="28" s="44" customFormat="1" ht="12.75" customHeight="1"/>
    <row r="29" s="44" customFormat="1" ht="12.75" customHeight="1"/>
    <row r="30" s="44" customFormat="1" ht="12.75" customHeight="1"/>
    <row r="31" s="44" customFormat="1" ht="12.75" customHeight="1"/>
    <row r="32" s="44" customFormat="1" ht="12.75" customHeight="1"/>
    <row r="33" s="44" customFormat="1" ht="12.75" customHeight="1"/>
    <row r="34" s="44" customFormat="1" ht="12.75" customHeight="1"/>
    <row r="35" s="44" customFormat="1" ht="12.75" customHeight="1"/>
    <row r="36" s="44" customFormat="1" ht="12.75" customHeight="1"/>
    <row r="37" s="44" customFormat="1" ht="12.75" customHeight="1"/>
    <row r="38" s="44" customFormat="1" ht="12.75" customHeight="1"/>
    <row r="39" s="44" customFormat="1" ht="12.75" customHeight="1"/>
    <row r="40" s="44" customFormat="1" ht="12.75" customHeight="1"/>
    <row r="41" s="44" customFormat="1" ht="12.75" customHeight="1"/>
    <row r="42" s="44" customFormat="1" ht="12.75" customHeight="1"/>
    <row r="43" s="44" customFormat="1" ht="12.75" customHeight="1"/>
    <row r="44" s="44" customFormat="1" ht="12.75" customHeight="1"/>
    <row r="45" s="44" customFormat="1" ht="12.75" customHeight="1"/>
    <row r="46" s="44" customFormat="1" ht="12.75" customHeight="1"/>
    <row r="47" s="44" customFormat="1" ht="12.75" customHeight="1"/>
    <row r="48" s="44" customFormat="1" ht="12.75" customHeight="1"/>
    <row r="49" s="44" customFormat="1" ht="12.75" customHeight="1"/>
    <row r="50" s="44" customFormat="1" ht="12.75" customHeight="1"/>
    <row r="51" s="44" customFormat="1" ht="12.75" customHeight="1"/>
    <row r="52" s="44" customFormat="1" ht="12.75" customHeight="1"/>
    <row r="53" s="44" customFormat="1" ht="12.75" customHeight="1"/>
    <row r="54" s="44" customFormat="1" ht="12.75" customHeight="1"/>
    <row r="55" s="44" customFormat="1" ht="12.75" customHeight="1"/>
    <row r="56" s="44" customFormat="1" ht="12.75" customHeight="1"/>
    <row r="57" s="44" customFormat="1" ht="12.75" customHeight="1"/>
    <row r="58" s="44" customFormat="1" ht="12.75" customHeight="1"/>
    <row r="59" s="44" customFormat="1" ht="12.75" customHeight="1"/>
    <row r="60" s="44" customFormat="1" ht="12.75" customHeight="1"/>
    <row r="61" s="44" customFormat="1" ht="12.75" customHeight="1"/>
    <row r="62" s="44" customFormat="1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593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100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675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676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494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497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593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456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594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677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207</v>
      </c>
      <c r="Z14" s="125"/>
      <c r="AA14" s="125"/>
      <c r="AB14" s="125"/>
      <c r="AC14" s="125"/>
      <c r="AD14" s="125"/>
      <c r="AE14" s="125"/>
      <c r="AF14" s="125"/>
      <c r="AG14" s="138" t="s">
        <v>129</v>
      </c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678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679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207</v>
      </c>
      <c r="Z15" s="125"/>
      <c r="AA15" s="125"/>
      <c r="AB15" s="125"/>
      <c r="AC15" s="125"/>
      <c r="AD15" s="125"/>
      <c r="AE15" s="125"/>
      <c r="AF15" s="125"/>
      <c r="AG15" s="138" t="s">
        <v>129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680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681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132</v>
      </c>
      <c r="Z16" s="125"/>
      <c r="AA16" s="125"/>
      <c r="AB16" s="125"/>
      <c r="AC16" s="125"/>
      <c r="AD16" s="125"/>
      <c r="AE16" s="125"/>
      <c r="AF16" s="125"/>
      <c r="AG16" s="138" t="s">
        <v>129</v>
      </c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49">
        <v>7</v>
      </c>
      <c r="C17" s="149"/>
      <c r="D17" s="125" t="s">
        <v>682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683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 t="s">
        <v>132</v>
      </c>
      <c r="Z17" s="125"/>
      <c r="AA17" s="125"/>
      <c r="AB17" s="125"/>
      <c r="AC17" s="125"/>
      <c r="AD17" s="125"/>
      <c r="AE17" s="125"/>
      <c r="AF17" s="125"/>
      <c r="AG17" s="138" t="s">
        <v>129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44">
        <v>8</v>
      </c>
      <c r="C18" s="144"/>
      <c r="D18" s="145" t="s">
        <v>684</v>
      </c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 t="s">
        <v>685</v>
      </c>
      <c r="P18" s="145"/>
      <c r="Q18" s="145"/>
      <c r="R18" s="145"/>
      <c r="S18" s="145"/>
      <c r="T18" s="145"/>
      <c r="U18" s="145"/>
      <c r="V18" s="145"/>
      <c r="W18" s="145"/>
      <c r="X18" s="145"/>
      <c r="Y18" s="145" t="s">
        <v>132</v>
      </c>
      <c r="Z18" s="145"/>
      <c r="AA18" s="145"/>
      <c r="AB18" s="145"/>
      <c r="AC18" s="145"/>
      <c r="AD18" s="145"/>
      <c r="AE18" s="145"/>
      <c r="AF18" s="145"/>
      <c r="AG18" s="138" t="s">
        <v>129</v>
      </c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44">
        <v>9</v>
      </c>
      <c r="C19" s="144"/>
      <c r="D19" s="145" t="s">
        <v>686</v>
      </c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 t="s">
        <v>687</v>
      </c>
      <c r="P19" s="145"/>
      <c r="Q19" s="145"/>
      <c r="R19" s="145"/>
      <c r="S19" s="145"/>
      <c r="T19" s="145"/>
      <c r="U19" s="145"/>
      <c r="V19" s="145"/>
      <c r="W19" s="145"/>
      <c r="X19" s="145"/>
      <c r="Y19" s="145" t="s">
        <v>132</v>
      </c>
      <c r="Z19" s="145"/>
      <c r="AA19" s="145"/>
      <c r="AB19" s="145"/>
      <c r="AC19" s="145"/>
      <c r="AD19" s="145"/>
      <c r="AE19" s="145"/>
      <c r="AF19" s="145"/>
      <c r="AG19" s="138" t="s">
        <v>129</v>
      </c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44">
        <v>10</v>
      </c>
      <c r="C20" s="144"/>
      <c r="D20" s="145" t="s">
        <v>688</v>
      </c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 t="s">
        <v>689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 t="s">
        <v>690</v>
      </c>
      <c r="Z20" s="145"/>
      <c r="AA20" s="145"/>
      <c r="AB20" s="145"/>
      <c r="AC20" s="145"/>
      <c r="AD20" s="145"/>
      <c r="AE20" s="145"/>
      <c r="AF20" s="145"/>
      <c r="AG20" s="138" t="s">
        <v>129</v>
      </c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44">
        <v>11</v>
      </c>
      <c r="C21" s="144"/>
      <c r="D21" s="145" t="s">
        <v>691</v>
      </c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 t="s">
        <v>692</v>
      </c>
      <c r="P21" s="145"/>
      <c r="Q21" s="145"/>
      <c r="R21" s="145"/>
      <c r="S21" s="145"/>
      <c r="T21" s="145"/>
      <c r="U21" s="145"/>
      <c r="V21" s="145"/>
      <c r="W21" s="145"/>
      <c r="X21" s="145"/>
      <c r="Y21" s="145" t="s">
        <v>132</v>
      </c>
      <c r="Z21" s="145"/>
      <c r="AA21" s="145"/>
      <c r="AB21" s="145"/>
      <c r="AC21" s="145"/>
      <c r="AD21" s="145"/>
      <c r="AE21" s="145"/>
      <c r="AF21" s="145"/>
      <c r="AG21" s="138" t="s">
        <v>129</v>
      </c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0" t="s">
        <v>129</v>
      </c>
      <c r="AX21" s="130"/>
      <c r="AY21" s="130"/>
      <c r="AZ21" s="130"/>
      <c r="BA21" s="130"/>
      <c r="BB21" s="130"/>
    </row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92">
    <mergeCell ref="AW21:BB21"/>
    <mergeCell ref="B21:C21"/>
    <mergeCell ref="D21:N21"/>
    <mergeCell ref="O21:X21"/>
    <mergeCell ref="Y21:AF21"/>
    <mergeCell ref="AG21:AV21"/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MJ7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880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101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52" t="s">
        <v>124</v>
      </c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693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694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38" t="s">
        <v>129</v>
      </c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17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290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38" t="s">
        <v>129</v>
      </c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568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357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210</v>
      </c>
      <c r="Z13" s="125"/>
      <c r="AA13" s="125"/>
      <c r="AB13" s="125"/>
      <c r="AC13" s="125"/>
      <c r="AD13" s="125"/>
      <c r="AE13" s="125"/>
      <c r="AF13" s="125"/>
      <c r="AG13" s="138" t="s">
        <v>129</v>
      </c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0" t="s">
        <v>129</v>
      </c>
      <c r="AX13" s="130"/>
      <c r="AY13" s="130"/>
      <c r="AZ13" s="130"/>
      <c r="BA13" s="130"/>
      <c r="BB13" s="130"/>
    </row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MJ76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695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102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696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262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697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275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386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330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15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235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210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233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234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137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</sheetData>
  <mergeCells count="56">
    <mergeCell ref="AW15:BB15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MJ73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698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103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374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375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378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379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/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</sheetData>
  <mergeCells count="38"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MJ74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29</v>
      </c>
      <c r="AU2" s="85"/>
      <c r="AV2" s="85"/>
      <c r="AW2" s="85"/>
      <c r="AX2" s="85"/>
      <c r="AY2" s="123">
        <v>44328</v>
      </c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699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104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360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377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700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381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701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702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s="49" customFormat="1" ht="31.5" customHeight="1">
      <c r="B13" s="149">
        <v>3</v>
      </c>
      <c r="C13" s="149"/>
      <c r="D13" s="180" t="s">
        <v>703</v>
      </c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704</v>
      </c>
      <c r="P13" s="181"/>
      <c r="Q13" s="181"/>
      <c r="R13" s="181"/>
      <c r="S13" s="181"/>
      <c r="T13" s="181"/>
      <c r="U13" s="181"/>
      <c r="V13" s="181"/>
      <c r="W13" s="181"/>
      <c r="X13" s="181"/>
      <c r="Y13" s="182" t="s">
        <v>705</v>
      </c>
      <c r="Z13" s="182"/>
      <c r="AA13" s="182"/>
      <c r="AB13" s="182"/>
      <c r="AC13" s="182"/>
      <c r="AD13" s="182"/>
      <c r="AE13" s="182"/>
      <c r="AF13" s="182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MJ7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706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105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 t="s">
        <v>125</v>
      </c>
      <c r="AX9" s="148"/>
      <c r="AY9" s="148"/>
      <c r="AZ9" s="148"/>
      <c r="BA9" s="148"/>
      <c r="BB9" s="148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</row>
    <row r="11" spans="1:55" ht="12.75" customHeight="1">
      <c r="B11" s="149">
        <v>1</v>
      </c>
      <c r="C11" s="149"/>
      <c r="D11" s="125" t="s">
        <v>402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403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137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</row>
    <row r="12" spans="1:55" ht="12.75" customHeight="1">
      <c r="B12" s="149">
        <v>2</v>
      </c>
      <c r="C12" s="149"/>
      <c r="D12" s="125" t="s">
        <v>404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405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137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 t="s">
        <v>129</v>
      </c>
      <c r="AX12" s="150"/>
      <c r="AY12" s="150"/>
      <c r="AZ12" s="150"/>
      <c r="BA12" s="150"/>
      <c r="BB12" s="150"/>
    </row>
    <row r="13" spans="1:55" ht="12.75" customHeight="1">
      <c r="B13" s="149">
        <v>3</v>
      </c>
      <c r="C13" s="149"/>
      <c r="D13" s="125" t="s">
        <v>406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407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 t="s">
        <v>129</v>
      </c>
      <c r="AX13" s="150"/>
      <c r="AY13" s="150"/>
      <c r="AZ13" s="150"/>
      <c r="BA13" s="150"/>
      <c r="BB13" s="150"/>
    </row>
    <row r="14" spans="1:55" ht="12.75" customHeight="1">
      <c r="B14" s="149">
        <v>4</v>
      </c>
      <c r="C14" s="149"/>
      <c r="D14" s="125" t="s">
        <v>707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423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137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 t="s">
        <v>129</v>
      </c>
      <c r="AX14" s="150"/>
      <c r="AY14" s="150"/>
      <c r="AZ14" s="150"/>
      <c r="BA14" s="150"/>
      <c r="BB14" s="150"/>
    </row>
    <row r="15" spans="1:55" ht="12.75" customHeight="1">
      <c r="B15" s="149">
        <v>5</v>
      </c>
      <c r="C15" s="149"/>
      <c r="D15" s="125" t="s">
        <v>408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409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708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 t="s">
        <v>129</v>
      </c>
      <c r="AX15" s="150"/>
      <c r="AY15" s="150"/>
      <c r="AZ15" s="150"/>
      <c r="BA15" s="150"/>
      <c r="BB15" s="150"/>
    </row>
    <row r="16" spans="1:55" ht="12.75" customHeight="1">
      <c r="B16" s="149">
        <v>6</v>
      </c>
      <c r="C16" s="149"/>
      <c r="D16" s="125" t="s">
        <v>709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83" t="s">
        <v>710</v>
      </c>
      <c r="P16" s="183"/>
      <c r="Q16" s="183"/>
      <c r="R16" s="183"/>
      <c r="S16" s="183"/>
      <c r="T16" s="183"/>
      <c r="U16" s="183"/>
      <c r="V16" s="183"/>
      <c r="W16" s="183"/>
      <c r="X16" s="183"/>
      <c r="Y16" s="125" t="s">
        <v>128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 t="s">
        <v>129</v>
      </c>
      <c r="AX16" s="150"/>
      <c r="AY16" s="150"/>
      <c r="AZ16" s="150"/>
      <c r="BA16" s="150"/>
      <c r="BB16" s="150"/>
    </row>
    <row r="17" spans="2:54" ht="12.75" customHeight="1">
      <c r="B17" s="149">
        <v>7</v>
      </c>
      <c r="C17" s="149"/>
      <c r="D17" s="125" t="s">
        <v>711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 t="s">
        <v>234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 t="s">
        <v>137</v>
      </c>
      <c r="Z17" s="125"/>
      <c r="AA17" s="125"/>
      <c r="AB17" s="125"/>
      <c r="AC17" s="125"/>
      <c r="AD17" s="125"/>
      <c r="AE17" s="125"/>
      <c r="AF17" s="125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 t="s">
        <v>129</v>
      </c>
      <c r="AX17" s="150"/>
      <c r="AY17" s="150"/>
      <c r="AZ17" s="150"/>
      <c r="BA17" s="150"/>
      <c r="BB17" s="150"/>
    </row>
    <row r="18" spans="2:54" ht="12.75" customHeight="1">
      <c r="B18" s="149">
        <v>8</v>
      </c>
      <c r="C18" s="149"/>
      <c r="D18" s="125" t="s">
        <v>712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 t="s">
        <v>165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 t="s">
        <v>137</v>
      </c>
      <c r="Z18" s="125"/>
      <c r="AA18" s="125"/>
      <c r="AB18" s="125"/>
      <c r="AC18" s="125"/>
      <c r="AD18" s="125"/>
      <c r="AE18" s="125"/>
      <c r="AF18" s="125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 t="s">
        <v>129</v>
      </c>
      <c r="AX18" s="150"/>
      <c r="AY18" s="150"/>
      <c r="AZ18" s="150"/>
      <c r="BA18" s="150"/>
      <c r="BB18" s="150"/>
    </row>
    <row r="19" spans="2:54" ht="12.75" customHeight="1">
      <c r="B19" s="149">
        <v>9</v>
      </c>
      <c r="C19" s="149"/>
      <c r="D19" s="154" t="s">
        <v>713</v>
      </c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 t="s">
        <v>240</v>
      </c>
      <c r="P19" s="154"/>
      <c r="Q19" s="154"/>
      <c r="R19" s="154"/>
      <c r="S19" s="154"/>
      <c r="T19" s="154"/>
      <c r="U19" s="154"/>
      <c r="V19" s="154"/>
      <c r="W19" s="154"/>
      <c r="X19" s="154"/>
      <c r="Y19" s="154" t="s">
        <v>128</v>
      </c>
      <c r="Z19" s="154"/>
      <c r="AA19" s="154"/>
      <c r="AB19" s="154"/>
      <c r="AC19" s="154"/>
      <c r="AD19" s="154"/>
      <c r="AE19" s="154"/>
      <c r="AF19" s="154"/>
      <c r="AG19" s="133" t="s">
        <v>129</v>
      </c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 t="s">
        <v>129</v>
      </c>
      <c r="AX19" s="133"/>
      <c r="AY19" s="133"/>
      <c r="AZ19" s="133"/>
      <c r="BA19" s="133"/>
      <c r="BB19" s="133"/>
    </row>
    <row r="20" spans="2:54" ht="12.75" customHeight="1"/>
    <row r="21" spans="2:54" ht="12.75" customHeight="1"/>
    <row r="22" spans="2:54" ht="12.75" customHeight="1"/>
    <row r="23" spans="2:54" ht="12.75" customHeight="1"/>
    <row r="24" spans="2:54" ht="12.75" customHeight="1"/>
    <row r="25" spans="2:54" ht="12.75" customHeight="1"/>
    <row r="26" spans="2:54" ht="12.75" customHeight="1"/>
    <row r="27" spans="2:54" ht="12.75" customHeight="1"/>
    <row r="28" spans="2:54" ht="12.75" customHeight="1"/>
    <row r="29" spans="2:54" ht="12.75" customHeight="1"/>
    <row r="30" spans="2:54" ht="12.75" customHeight="1"/>
    <row r="31" spans="2:54" ht="12.75" customHeight="1"/>
    <row r="32" spans="2:5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mergeCells count="80">
    <mergeCell ref="AW19:BB19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MJ72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714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106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 t="s">
        <v>125</v>
      </c>
      <c r="AX9" s="148"/>
      <c r="AY9" s="148"/>
      <c r="AZ9" s="148"/>
      <c r="BA9" s="148"/>
      <c r="BB9" s="148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</row>
    <row r="11" spans="1:55" ht="12.75" customHeight="1">
      <c r="B11" s="149">
        <v>1</v>
      </c>
      <c r="C11" s="149"/>
      <c r="D11" s="125" t="s">
        <v>715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460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461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</row>
    <row r="12" spans="1:55" ht="12.75" customHeight="1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</row>
    <row r="13" spans="1:55" ht="12.75" customHeight="1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</row>
    <row r="14" spans="1:55" ht="12.75" customHeight="1"/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</sheetData>
  <mergeCells count="32">
    <mergeCell ref="AW11:BB11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MJ74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716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107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463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464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132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293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294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366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367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</row>
    <row r="15" spans="1:55" ht="12.75" customHeight="1"/>
    <row r="16" spans="1:5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44">
    <mergeCell ref="AW13:BB13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MJ8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61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61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826</v>
      </c>
      <c r="AU2" s="85"/>
      <c r="AV2" s="85"/>
      <c r="AW2" s="85"/>
      <c r="AX2" s="85"/>
      <c r="AY2" s="123">
        <v>45254</v>
      </c>
      <c r="AZ2" s="123"/>
      <c r="BA2" s="123"/>
      <c r="BB2" s="123"/>
      <c r="BC2" s="123"/>
    </row>
    <row r="3" spans="1:61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61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61" s="46" customFormat="1" ht="12.75" customHeight="1">
      <c r="A5" s="40"/>
      <c r="B5" s="111" t="s">
        <v>119</v>
      </c>
      <c r="C5" s="111"/>
      <c r="D5" s="111"/>
      <c r="E5" s="111"/>
      <c r="F5" s="111"/>
      <c r="G5" s="111"/>
      <c r="H5" s="125" t="s">
        <v>717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</row>
    <row r="6" spans="1:61" ht="12.75" customHeight="1">
      <c r="A6" s="40"/>
      <c r="B6" s="111" t="s">
        <v>119</v>
      </c>
      <c r="C6" s="111"/>
      <c r="D6" s="111"/>
      <c r="E6" s="111"/>
      <c r="F6" s="111"/>
      <c r="G6" s="111"/>
      <c r="H6" s="125" t="s">
        <v>108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</row>
    <row r="7" spans="1:61" ht="12.75" customHeight="1">
      <c r="A7" s="40"/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</row>
    <row r="8" spans="1:61" ht="12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</row>
    <row r="9" spans="1:61" ht="12.75" customHeight="1">
      <c r="A9" s="40"/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 t="s">
        <v>125</v>
      </c>
      <c r="AX9" s="148"/>
      <c r="AY9" s="148"/>
      <c r="AZ9" s="148"/>
      <c r="BA9" s="148"/>
      <c r="BB9" s="148"/>
      <c r="BC9" s="40"/>
      <c r="BD9" s="40"/>
      <c r="BE9" s="40"/>
      <c r="BF9" s="40"/>
      <c r="BG9" s="40"/>
      <c r="BH9" s="40"/>
      <c r="BI9" s="40"/>
    </row>
    <row r="10" spans="1:61" ht="12.75" customHeight="1">
      <c r="A10" s="40"/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40"/>
      <c r="BD10" s="40"/>
      <c r="BE10" s="40"/>
      <c r="BF10" s="40"/>
      <c r="BG10" s="40"/>
      <c r="BH10" s="40"/>
      <c r="BI10" s="40"/>
    </row>
    <row r="11" spans="1:61" ht="12.75" customHeight="1">
      <c r="A11" s="40"/>
      <c r="B11" s="149">
        <v>1</v>
      </c>
      <c r="C11" s="149"/>
      <c r="D11" s="181" t="s">
        <v>233</v>
      </c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 t="s">
        <v>234</v>
      </c>
      <c r="P11" s="181"/>
      <c r="Q11" s="181"/>
      <c r="R11" s="181"/>
      <c r="S11" s="181"/>
      <c r="T11" s="181"/>
      <c r="U11" s="181"/>
      <c r="V11" s="181"/>
      <c r="W11" s="181"/>
      <c r="X11" s="181"/>
      <c r="Y11" s="181" t="s">
        <v>137</v>
      </c>
      <c r="Z11" s="181"/>
      <c r="AA11" s="181"/>
      <c r="AB11" s="181"/>
      <c r="AC11" s="181"/>
      <c r="AD11" s="181"/>
      <c r="AE11" s="181"/>
      <c r="AF11" s="181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  <c r="BC11" s="40"/>
      <c r="BD11" s="40"/>
      <c r="BE11" s="40"/>
      <c r="BF11" s="40"/>
      <c r="BG11" s="40"/>
      <c r="BH11" s="40"/>
      <c r="BI11" s="40"/>
    </row>
    <row r="12" spans="1:61" ht="12.75" customHeight="1">
      <c r="A12" s="40"/>
      <c r="B12" s="149">
        <v>2</v>
      </c>
      <c r="C12" s="149"/>
      <c r="D12" s="181" t="s">
        <v>133</v>
      </c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 t="s">
        <v>134</v>
      </c>
      <c r="P12" s="181"/>
      <c r="Q12" s="181"/>
      <c r="R12" s="181"/>
      <c r="S12" s="181"/>
      <c r="T12" s="181"/>
      <c r="U12" s="181"/>
      <c r="V12" s="181"/>
      <c r="W12" s="181"/>
      <c r="X12" s="181"/>
      <c r="Y12" s="181" t="s">
        <v>132</v>
      </c>
      <c r="Z12" s="181"/>
      <c r="AA12" s="181"/>
      <c r="AB12" s="181"/>
      <c r="AC12" s="181"/>
      <c r="AD12" s="181"/>
      <c r="AE12" s="181"/>
      <c r="AF12" s="181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 t="s">
        <v>129</v>
      </c>
      <c r="AX12" s="150"/>
      <c r="AY12" s="150"/>
      <c r="AZ12" s="150"/>
      <c r="BA12" s="150"/>
      <c r="BB12" s="150"/>
      <c r="BC12" s="40"/>
      <c r="BD12" s="40"/>
      <c r="BE12" s="40"/>
      <c r="BF12" s="40"/>
      <c r="BG12" s="40"/>
      <c r="BH12" s="40"/>
      <c r="BI12" s="40"/>
    </row>
    <row r="13" spans="1:61" ht="12.75" customHeight="1">
      <c r="A13" s="40"/>
      <c r="B13" s="149">
        <v>3</v>
      </c>
      <c r="C13" s="149"/>
      <c r="D13" s="181" t="s">
        <v>212</v>
      </c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 t="s">
        <v>718</v>
      </c>
      <c r="P13" s="181"/>
      <c r="Q13" s="181"/>
      <c r="R13" s="181"/>
      <c r="S13" s="181"/>
      <c r="T13" s="181"/>
      <c r="U13" s="181"/>
      <c r="V13" s="181"/>
      <c r="W13" s="181"/>
      <c r="X13" s="181"/>
      <c r="Y13" s="181" t="s">
        <v>132</v>
      </c>
      <c r="Z13" s="181"/>
      <c r="AA13" s="181"/>
      <c r="AB13" s="181"/>
      <c r="AC13" s="181"/>
      <c r="AD13" s="181"/>
      <c r="AE13" s="181"/>
      <c r="AF13" s="181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 t="s">
        <v>129</v>
      </c>
      <c r="AX13" s="150"/>
      <c r="AY13" s="150"/>
      <c r="AZ13" s="150"/>
      <c r="BA13" s="150"/>
      <c r="BB13" s="150"/>
      <c r="BC13" s="40"/>
      <c r="BD13" s="40"/>
      <c r="BE13" s="40"/>
      <c r="BF13" s="40"/>
      <c r="BG13" s="40"/>
      <c r="BH13" s="40"/>
      <c r="BI13" s="40"/>
    </row>
    <row r="14" spans="1:61" ht="12.75" customHeight="1">
      <c r="A14" s="40"/>
      <c r="B14" s="149">
        <v>4</v>
      </c>
      <c r="C14" s="149"/>
      <c r="D14" s="181" t="s">
        <v>164</v>
      </c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 t="s">
        <v>165</v>
      </c>
      <c r="P14" s="181"/>
      <c r="Q14" s="181"/>
      <c r="R14" s="181"/>
      <c r="S14" s="181"/>
      <c r="T14" s="181"/>
      <c r="U14" s="181"/>
      <c r="V14" s="181"/>
      <c r="W14" s="181"/>
      <c r="X14" s="181"/>
      <c r="Y14" s="181" t="s">
        <v>137</v>
      </c>
      <c r="Z14" s="181"/>
      <c r="AA14" s="181"/>
      <c r="AB14" s="181"/>
      <c r="AC14" s="181"/>
      <c r="AD14" s="181"/>
      <c r="AE14" s="181"/>
      <c r="AF14" s="181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 t="s">
        <v>129</v>
      </c>
      <c r="AX14" s="150"/>
      <c r="AY14" s="150"/>
      <c r="AZ14" s="150"/>
      <c r="BA14" s="150"/>
      <c r="BB14" s="150"/>
      <c r="BC14" s="40"/>
      <c r="BD14" s="40"/>
      <c r="BE14" s="40"/>
      <c r="BF14" s="40"/>
      <c r="BG14" s="40"/>
      <c r="BH14" s="40"/>
      <c r="BI14" s="40"/>
    </row>
    <row r="15" spans="1:61" ht="12.75" customHeight="1">
      <c r="A15" s="40"/>
      <c r="B15" s="149">
        <v>5</v>
      </c>
      <c r="C15" s="149"/>
      <c r="D15" s="181" t="s">
        <v>828</v>
      </c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 t="s">
        <v>812</v>
      </c>
      <c r="P15" s="181"/>
      <c r="Q15" s="181"/>
      <c r="R15" s="181"/>
      <c r="S15" s="181"/>
      <c r="T15" s="181"/>
      <c r="U15" s="181"/>
      <c r="V15" s="181"/>
      <c r="W15" s="181"/>
      <c r="X15" s="181"/>
      <c r="Y15" s="181" t="s">
        <v>137</v>
      </c>
      <c r="Z15" s="181"/>
      <c r="AA15" s="181"/>
      <c r="AB15" s="181"/>
      <c r="AC15" s="181"/>
      <c r="AD15" s="181"/>
      <c r="AE15" s="181"/>
      <c r="AF15" s="181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 t="s">
        <v>850</v>
      </c>
      <c r="AX15" s="150"/>
      <c r="AY15" s="150"/>
      <c r="AZ15" s="150"/>
      <c r="BA15" s="150"/>
      <c r="BB15" s="150"/>
      <c r="BC15" s="40"/>
      <c r="BD15" s="40"/>
      <c r="BE15" s="40"/>
      <c r="BF15" s="40"/>
      <c r="BG15" s="40"/>
      <c r="BH15" s="40"/>
      <c r="BI15" s="40"/>
    </row>
    <row r="16" spans="1:61" ht="12.75" customHeight="1">
      <c r="A16" s="40"/>
      <c r="B16" s="149">
        <v>6</v>
      </c>
      <c r="C16" s="149"/>
      <c r="D16" s="181" t="s">
        <v>368</v>
      </c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 t="s">
        <v>719</v>
      </c>
      <c r="P16" s="181"/>
      <c r="Q16" s="181"/>
      <c r="R16" s="181"/>
      <c r="S16" s="181"/>
      <c r="T16" s="181"/>
      <c r="U16" s="181"/>
      <c r="V16" s="181"/>
      <c r="W16" s="181"/>
      <c r="X16" s="181"/>
      <c r="Y16" s="181" t="s">
        <v>132</v>
      </c>
      <c r="Z16" s="181"/>
      <c r="AA16" s="181"/>
      <c r="AB16" s="181"/>
      <c r="AC16" s="181"/>
      <c r="AD16" s="181"/>
      <c r="AE16" s="181"/>
      <c r="AF16" s="181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 t="s">
        <v>129</v>
      </c>
      <c r="AX16" s="150"/>
      <c r="AY16" s="150"/>
      <c r="AZ16" s="150"/>
      <c r="BA16" s="150"/>
      <c r="BB16" s="150"/>
      <c r="BC16" s="40"/>
      <c r="BD16" s="40"/>
      <c r="BE16" s="40"/>
      <c r="BF16" s="40"/>
      <c r="BG16" s="40"/>
      <c r="BH16" s="40"/>
      <c r="BI16" s="40"/>
    </row>
    <row r="17" spans="1:61" ht="12.75" customHeight="1">
      <c r="A17" s="40"/>
      <c r="B17" s="149">
        <v>7</v>
      </c>
      <c r="C17" s="149"/>
      <c r="D17" s="181" t="s">
        <v>15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 t="s">
        <v>235</v>
      </c>
      <c r="P17" s="181"/>
      <c r="Q17" s="181"/>
      <c r="R17" s="181"/>
      <c r="S17" s="181"/>
      <c r="T17" s="181"/>
      <c r="U17" s="181"/>
      <c r="V17" s="181"/>
      <c r="W17" s="181"/>
      <c r="X17" s="181"/>
      <c r="Y17" s="181" t="s">
        <v>210</v>
      </c>
      <c r="Z17" s="181"/>
      <c r="AA17" s="181"/>
      <c r="AB17" s="181"/>
      <c r="AC17" s="181"/>
      <c r="AD17" s="181"/>
      <c r="AE17" s="181"/>
      <c r="AF17" s="181"/>
      <c r="AG17" s="150" t="s">
        <v>129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 t="s">
        <v>129</v>
      </c>
      <c r="AX17" s="150"/>
      <c r="AY17" s="150"/>
      <c r="AZ17" s="150"/>
      <c r="BA17" s="150"/>
      <c r="BB17" s="150"/>
      <c r="BC17" s="40"/>
      <c r="BD17" s="40"/>
      <c r="BE17" s="40"/>
      <c r="BF17" s="40"/>
      <c r="BG17" s="40"/>
      <c r="BH17" s="40"/>
      <c r="BI17" s="40"/>
    </row>
    <row r="18" spans="1:61" ht="21" customHeight="1">
      <c r="A18" s="40"/>
      <c r="B18" s="149">
        <v>8</v>
      </c>
      <c r="C18" s="149"/>
      <c r="D18" s="180" t="s">
        <v>720</v>
      </c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1" t="s">
        <v>575</v>
      </c>
      <c r="P18" s="181"/>
      <c r="Q18" s="181"/>
      <c r="R18" s="181"/>
      <c r="S18" s="181"/>
      <c r="T18" s="181"/>
      <c r="U18" s="181"/>
      <c r="V18" s="181"/>
      <c r="W18" s="181"/>
      <c r="X18" s="181"/>
      <c r="Y18" s="182" t="s">
        <v>721</v>
      </c>
      <c r="Z18" s="182"/>
      <c r="AA18" s="182"/>
      <c r="AB18" s="182"/>
      <c r="AC18" s="182"/>
      <c r="AD18" s="182"/>
      <c r="AE18" s="182"/>
      <c r="AF18" s="182"/>
      <c r="AG18" s="150" t="s">
        <v>129</v>
      </c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 t="s">
        <v>129</v>
      </c>
      <c r="AX18" s="150"/>
      <c r="AY18" s="150"/>
      <c r="AZ18" s="150"/>
      <c r="BA18" s="150"/>
      <c r="BB18" s="150"/>
      <c r="BC18" s="40"/>
      <c r="BD18" s="40"/>
      <c r="BE18" s="40"/>
      <c r="BF18" s="40"/>
      <c r="BG18" s="40"/>
      <c r="BH18" s="40"/>
      <c r="BI18" s="40"/>
    </row>
    <row r="19" spans="1:61" ht="21" customHeight="1">
      <c r="A19" s="40"/>
      <c r="B19" s="149">
        <v>9</v>
      </c>
      <c r="C19" s="149"/>
      <c r="D19" s="180" t="s">
        <v>722</v>
      </c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1" t="s">
        <v>723</v>
      </c>
      <c r="P19" s="181"/>
      <c r="Q19" s="181"/>
      <c r="R19" s="181"/>
      <c r="S19" s="181"/>
      <c r="T19" s="181"/>
      <c r="U19" s="181"/>
      <c r="V19" s="181"/>
      <c r="W19" s="181"/>
      <c r="X19" s="181"/>
      <c r="Y19" s="182" t="s">
        <v>724</v>
      </c>
      <c r="Z19" s="182"/>
      <c r="AA19" s="182"/>
      <c r="AB19" s="182"/>
      <c r="AC19" s="182"/>
      <c r="AD19" s="182"/>
      <c r="AE19" s="182"/>
      <c r="AF19" s="182"/>
      <c r="AG19" s="150" t="s">
        <v>129</v>
      </c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 t="s">
        <v>129</v>
      </c>
      <c r="AX19" s="150"/>
      <c r="AY19" s="150"/>
      <c r="AZ19" s="150"/>
      <c r="BA19" s="150"/>
      <c r="BB19" s="150"/>
      <c r="BC19" s="40"/>
      <c r="BD19" s="40"/>
      <c r="BE19" s="40"/>
      <c r="BF19" s="40"/>
      <c r="BG19" s="40"/>
      <c r="BH19" s="40"/>
      <c r="BI19" s="40"/>
    </row>
    <row r="20" spans="1:61" ht="21" customHeight="1">
      <c r="A20" s="40"/>
      <c r="B20" s="149">
        <v>10</v>
      </c>
      <c r="C20" s="149"/>
      <c r="D20" s="180" t="s">
        <v>725</v>
      </c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1" t="s">
        <v>726</v>
      </c>
      <c r="P20" s="181"/>
      <c r="Q20" s="181"/>
      <c r="R20" s="181"/>
      <c r="S20" s="181"/>
      <c r="T20" s="181"/>
      <c r="U20" s="181"/>
      <c r="V20" s="181"/>
      <c r="W20" s="181"/>
      <c r="X20" s="181"/>
      <c r="Y20" s="182" t="s">
        <v>727</v>
      </c>
      <c r="Z20" s="182"/>
      <c r="AA20" s="182"/>
      <c r="AB20" s="182"/>
      <c r="AC20" s="182"/>
      <c r="AD20" s="182"/>
      <c r="AE20" s="182"/>
      <c r="AF20" s="182"/>
      <c r="AG20" s="150" t="s">
        <v>129</v>
      </c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 t="s">
        <v>129</v>
      </c>
      <c r="AX20" s="150"/>
      <c r="AY20" s="150"/>
      <c r="AZ20" s="150"/>
      <c r="BA20" s="150"/>
      <c r="BB20" s="150"/>
      <c r="BC20" s="40"/>
      <c r="BD20" s="40"/>
      <c r="BE20" s="40"/>
      <c r="BF20" s="40"/>
      <c r="BG20" s="40"/>
      <c r="BH20" s="40"/>
      <c r="BI20" s="40"/>
    </row>
    <row r="21" spans="1:61" ht="21" customHeight="1">
      <c r="A21" s="40"/>
      <c r="B21" s="149">
        <v>11</v>
      </c>
      <c r="C21" s="149"/>
      <c r="D21" s="180" t="s">
        <v>728</v>
      </c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1" t="s">
        <v>729</v>
      </c>
      <c r="P21" s="181"/>
      <c r="Q21" s="181"/>
      <c r="R21" s="181"/>
      <c r="S21" s="181"/>
      <c r="T21" s="181"/>
      <c r="U21" s="181"/>
      <c r="V21" s="181"/>
      <c r="W21" s="181"/>
      <c r="X21" s="181"/>
      <c r="Y21" s="182" t="s">
        <v>730</v>
      </c>
      <c r="Z21" s="182"/>
      <c r="AA21" s="182"/>
      <c r="AB21" s="182"/>
      <c r="AC21" s="182"/>
      <c r="AD21" s="182"/>
      <c r="AE21" s="182"/>
      <c r="AF21" s="182"/>
      <c r="AG21" s="150" t="s">
        <v>129</v>
      </c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 t="s">
        <v>129</v>
      </c>
      <c r="AX21" s="150"/>
      <c r="AY21" s="150"/>
      <c r="AZ21" s="150"/>
      <c r="BA21" s="150"/>
      <c r="BB21" s="150"/>
      <c r="BC21" s="40"/>
      <c r="BD21" s="40"/>
      <c r="BE21" s="40"/>
      <c r="BF21" s="40"/>
      <c r="BG21" s="40"/>
      <c r="BH21" s="40"/>
      <c r="BI21" s="40"/>
    </row>
    <row r="22" spans="1:61" ht="12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</row>
    <row r="23" spans="1:61" ht="12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</row>
    <row r="24" spans="1:61" ht="12.75" customHeight="1"/>
    <row r="25" spans="1:61" ht="12.75" customHeight="1"/>
    <row r="26" spans="1:61" ht="12.75" customHeight="1"/>
    <row r="27" spans="1:61" ht="12.75" customHeight="1"/>
    <row r="28" spans="1:61" ht="12.75" customHeight="1"/>
    <row r="29" spans="1:61" ht="12.75" customHeight="1"/>
    <row r="30" spans="1:61" ht="12.75" customHeight="1"/>
    <row r="31" spans="1:61" ht="12.75" customHeight="1"/>
    <row r="32" spans="1:6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</sheetData>
  <mergeCells count="92">
    <mergeCell ref="AG14:AV14"/>
    <mergeCell ref="AW14:BB14"/>
    <mergeCell ref="AW20:BB20"/>
    <mergeCell ref="B21:C21"/>
    <mergeCell ref="D21:N21"/>
    <mergeCell ref="O21:X21"/>
    <mergeCell ref="Y21:AF21"/>
    <mergeCell ref="AG21:AV21"/>
    <mergeCell ref="AW21:BB21"/>
    <mergeCell ref="B20:C20"/>
    <mergeCell ref="D20:N20"/>
    <mergeCell ref="O20:X20"/>
    <mergeCell ref="Y20:AF20"/>
    <mergeCell ref="AG20:AV20"/>
    <mergeCell ref="AW18:BB18"/>
    <mergeCell ref="B19:C19"/>
    <mergeCell ref="D19:N19"/>
    <mergeCell ref="O19:X19"/>
    <mergeCell ref="Y19:AF19"/>
    <mergeCell ref="AG19:AV19"/>
    <mergeCell ref="AW19:BB19"/>
    <mergeCell ref="B18:C18"/>
    <mergeCell ref="D18:N18"/>
    <mergeCell ref="O18:X18"/>
    <mergeCell ref="Y18:AF18"/>
    <mergeCell ref="AG18:AV18"/>
    <mergeCell ref="AW16:BB16"/>
    <mergeCell ref="B17:C17"/>
    <mergeCell ref="D17:N17"/>
    <mergeCell ref="O17:X17"/>
    <mergeCell ref="Y17:AF17"/>
    <mergeCell ref="AG17:AV17"/>
    <mergeCell ref="AW17:BB17"/>
    <mergeCell ref="B16:C16"/>
    <mergeCell ref="D16:N16"/>
    <mergeCell ref="O16:X16"/>
    <mergeCell ref="Y16:AF16"/>
    <mergeCell ref="AG16:AV16"/>
    <mergeCell ref="AW13:BB13"/>
    <mergeCell ref="B15:C15"/>
    <mergeCell ref="D15:N15"/>
    <mergeCell ref="O15:X15"/>
    <mergeCell ref="Y15:AF15"/>
    <mergeCell ref="AG15:AV15"/>
    <mergeCell ref="AW15:BB15"/>
    <mergeCell ref="B13:C13"/>
    <mergeCell ref="D13:N13"/>
    <mergeCell ref="O13:X13"/>
    <mergeCell ref="Y13:AF13"/>
    <mergeCell ref="AG13:AV13"/>
    <mergeCell ref="B14:C14"/>
    <mergeCell ref="D14:N14"/>
    <mergeCell ref="O14:X14"/>
    <mergeCell ref="Y14:AF14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MJ77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11" t="s">
        <v>119</v>
      </c>
      <c r="C5" s="111"/>
      <c r="D5" s="111"/>
      <c r="E5" s="111"/>
      <c r="F5" s="111"/>
      <c r="G5" s="111"/>
      <c r="H5" s="125" t="s">
        <v>731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</row>
    <row r="6" spans="1:55" ht="12.75" customHeight="1">
      <c r="B6" s="111" t="s">
        <v>119</v>
      </c>
      <c r="C6" s="111"/>
      <c r="D6" s="111"/>
      <c r="E6" s="111"/>
      <c r="F6" s="111"/>
      <c r="G6" s="111"/>
      <c r="H6" s="125" t="s">
        <v>109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6"/>
      <c r="AW6" s="46"/>
      <c r="AX6" s="46"/>
      <c r="AY6" s="46"/>
      <c r="AZ6" s="46"/>
      <c r="BA6" s="46"/>
      <c r="BB6" s="46"/>
    </row>
    <row r="7" spans="1:55" ht="12.75" customHeight="1"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6"/>
      <c r="AW7" s="46"/>
      <c r="AX7" s="46"/>
      <c r="AY7" s="46"/>
      <c r="AZ7" s="46"/>
      <c r="BA7" s="46"/>
      <c r="BB7" s="46"/>
    </row>
    <row r="8" spans="1:55" ht="12.75" customHeight="1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</row>
    <row r="9" spans="1:55" ht="12.75" customHeight="1"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34" t="s">
        <v>125</v>
      </c>
      <c r="AX9" s="134"/>
      <c r="AY9" s="134"/>
      <c r="AZ9" s="134"/>
      <c r="BA9" s="134"/>
      <c r="BB9" s="134"/>
    </row>
    <row r="10" spans="1:55" ht="12.75" customHeight="1"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34"/>
      <c r="AX10" s="134"/>
      <c r="AY10" s="134"/>
      <c r="AZ10" s="134"/>
      <c r="BA10" s="134"/>
      <c r="BB10" s="134"/>
    </row>
    <row r="11" spans="1:55" ht="12.75" customHeight="1">
      <c r="B11" s="149">
        <v>1</v>
      </c>
      <c r="C11" s="149"/>
      <c r="D11" s="125" t="s">
        <v>732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467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132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49">
        <v>2</v>
      </c>
      <c r="C12" s="149"/>
      <c r="D12" s="125" t="s">
        <v>733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 t="s">
        <v>734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 t="s">
        <v>690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49">
        <v>3</v>
      </c>
      <c r="C13" s="149"/>
      <c r="D13" s="125" t="s">
        <v>735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 t="s">
        <v>736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 t="s">
        <v>132</v>
      </c>
      <c r="Z13" s="125"/>
      <c r="AA13" s="125"/>
      <c r="AB13" s="125"/>
      <c r="AC13" s="125"/>
      <c r="AD13" s="125"/>
      <c r="AE13" s="125"/>
      <c r="AF13" s="125"/>
      <c r="AG13" s="150" t="s">
        <v>129</v>
      </c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49">
        <v>4</v>
      </c>
      <c r="C14" s="149"/>
      <c r="D14" s="125" t="s">
        <v>737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 t="s">
        <v>738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 t="s">
        <v>132</v>
      </c>
      <c r="Z14" s="125"/>
      <c r="AA14" s="125"/>
      <c r="AB14" s="125"/>
      <c r="AC14" s="125"/>
      <c r="AD14" s="125"/>
      <c r="AE14" s="125"/>
      <c r="AF14" s="125"/>
      <c r="AG14" s="150" t="s">
        <v>129</v>
      </c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49">
        <v>5</v>
      </c>
      <c r="C15" s="149"/>
      <c r="D15" s="125" t="s">
        <v>739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 t="s">
        <v>740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 t="s">
        <v>132</v>
      </c>
      <c r="Z15" s="125"/>
      <c r="AA15" s="125"/>
      <c r="AB15" s="125"/>
      <c r="AC15" s="125"/>
      <c r="AD15" s="125"/>
      <c r="AE15" s="125"/>
      <c r="AF15" s="125"/>
      <c r="AG15" s="150" t="s">
        <v>129</v>
      </c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49">
        <v>6</v>
      </c>
      <c r="C16" s="149"/>
      <c r="D16" s="125" t="s">
        <v>301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 t="s">
        <v>302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 t="s">
        <v>132</v>
      </c>
      <c r="Z16" s="125"/>
      <c r="AA16" s="125"/>
      <c r="AB16" s="125"/>
      <c r="AC16" s="125"/>
      <c r="AD16" s="125"/>
      <c r="AE16" s="125"/>
      <c r="AF16" s="125"/>
      <c r="AG16" s="150" t="s">
        <v>129</v>
      </c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30" t="s">
        <v>129</v>
      </c>
      <c r="AX16" s="130"/>
      <c r="AY16" s="130"/>
      <c r="AZ16" s="130"/>
      <c r="BA16" s="130"/>
      <c r="BB16" s="130"/>
    </row>
    <row r="17" spans="2:47" ht="12.75" customHeight="1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</row>
    <row r="18" spans="2:47" ht="12.75" customHeight="1"/>
    <row r="19" spans="2:47" ht="12.75" customHeight="1"/>
    <row r="20" spans="2:47" ht="12.75" customHeight="1"/>
    <row r="21" spans="2:47" ht="12.75" customHeight="1"/>
    <row r="22" spans="2:47" ht="12.75" customHeight="1"/>
    <row r="23" spans="2:47" ht="12.75" customHeight="1"/>
    <row r="24" spans="2:47" ht="12.75" customHeight="1"/>
    <row r="25" spans="2:47" ht="12.75" customHeight="1"/>
    <row r="26" spans="2:47" ht="12.75" customHeight="1"/>
    <row r="27" spans="2:47" ht="12.75" customHeight="1"/>
    <row r="28" spans="2:47" ht="12.75" customHeight="1"/>
    <row r="29" spans="2:47" ht="12.75" customHeight="1"/>
    <row r="30" spans="2:47" ht="12.75" customHeight="1"/>
    <row r="31" spans="2:47" ht="12.75" customHeight="1"/>
    <row r="32" spans="2:4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</sheetData>
  <mergeCells count="62"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MJ1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13</v>
      </c>
      <c r="AK2" s="87"/>
      <c r="AL2" s="87"/>
      <c r="AM2" s="87"/>
      <c r="AN2" s="87"/>
      <c r="AO2" s="86">
        <v>45230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>
      <c r="B5" s="124" t="s">
        <v>119</v>
      </c>
      <c r="C5" s="124"/>
      <c r="D5" s="124"/>
      <c r="E5" s="124"/>
      <c r="F5" s="124"/>
      <c r="G5" s="124"/>
      <c r="H5" s="137" t="s">
        <v>603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</row>
    <row r="6" spans="1:55">
      <c r="B6" s="124" t="s">
        <v>119</v>
      </c>
      <c r="C6" s="124"/>
      <c r="D6" s="124"/>
      <c r="E6" s="124"/>
      <c r="F6" s="124"/>
      <c r="G6" s="124"/>
      <c r="H6" s="125" t="s">
        <v>110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9" spans="1:55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>
      <c r="B11" s="112">
        <v>1</v>
      </c>
      <c r="C11" s="112"/>
      <c r="D11" s="114" t="s">
        <v>534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535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 t="s">
        <v>137</v>
      </c>
      <c r="Z11" s="114"/>
      <c r="AA11" s="114"/>
      <c r="AB11" s="114"/>
      <c r="AC11" s="114"/>
      <c r="AD11" s="114"/>
      <c r="AE11" s="114"/>
      <c r="AF11" s="114"/>
      <c r="AG11" s="114" t="s">
        <v>129</v>
      </c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 t="s">
        <v>129</v>
      </c>
      <c r="AX11" s="114"/>
      <c r="AY11" s="114"/>
      <c r="AZ11" s="114"/>
      <c r="BA11" s="114"/>
      <c r="BB11" s="114"/>
    </row>
    <row r="12" spans="1:55">
      <c r="B12" s="112">
        <v>2</v>
      </c>
      <c r="C12" s="112"/>
      <c r="D12" s="114" t="s">
        <v>536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537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 t="s">
        <v>132</v>
      </c>
      <c r="Z12" s="114"/>
      <c r="AA12" s="114"/>
      <c r="AB12" s="114"/>
      <c r="AC12" s="114"/>
      <c r="AD12" s="114"/>
      <c r="AE12" s="114"/>
      <c r="AF12" s="114"/>
      <c r="AG12" s="114" t="s">
        <v>129</v>
      </c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 t="s">
        <v>129</v>
      </c>
      <c r="AX12" s="114"/>
      <c r="AY12" s="114"/>
      <c r="AZ12" s="114"/>
      <c r="BA12" s="114"/>
      <c r="BB12" s="114"/>
    </row>
    <row r="13" spans="1:55">
      <c r="B13" s="112">
        <v>3</v>
      </c>
      <c r="C13" s="112"/>
      <c r="D13" s="114" t="s">
        <v>301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302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 t="s">
        <v>132</v>
      </c>
      <c r="Z13" s="114"/>
      <c r="AA13" s="114"/>
      <c r="AB13" s="114"/>
      <c r="AC13" s="114"/>
      <c r="AD13" s="114"/>
      <c r="AE13" s="114"/>
      <c r="AF13" s="114"/>
      <c r="AG13" s="114" t="s">
        <v>129</v>
      </c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 t="s">
        <v>129</v>
      </c>
      <c r="AX13" s="114"/>
      <c r="AY13" s="114"/>
      <c r="AZ13" s="114"/>
      <c r="BA13" s="114"/>
      <c r="BB13" s="114"/>
    </row>
    <row r="14" spans="1:55">
      <c r="B14" s="112">
        <v>4</v>
      </c>
      <c r="C14" s="112"/>
      <c r="D14" s="114" t="s">
        <v>741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742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14" t="s">
        <v>132</v>
      </c>
      <c r="Z14" s="114"/>
      <c r="AA14" s="114"/>
      <c r="AB14" s="114"/>
      <c r="AC14" s="114"/>
      <c r="AD14" s="114"/>
      <c r="AE14" s="114"/>
      <c r="AF14" s="114"/>
      <c r="AG14" s="114" t="s">
        <v>129</v>
      </c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 t="s">
        <v>129</v>
      </c>
      <c r="AX14" s="114"/>
      <c r="AY14" s="114"/>
      <c r="AZ14" s="114"/>
      <c r="BA14" s="114"/>
      <c r="BB14" s="114"/>
    </row>
    <row r="15" spans="1:55">
      <c r="B15" s="112">
        <v>5</v>
      </c>
      <c r="C15" s="112"/>
      <c r="D15" s="114" t="s">
        <v>743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744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14" t="s">
        <v>207</v>
      </c>
      <c r="Z15" s="114"/>
      <c r="AA15" s="114"/>
      <c r="AB15" s="114"/>
      <c r="AC15" s="114"/>
      <c r="AD15" s="114"/>
      <c r="AE15" s="114"/>
      <c r="AF15" s="114"/>
      <c r="AG15" s="114" t="s">
        <v>129</v>
      </c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 t="s">
        <v>129</v>
      </c>
      <c r="AX15" s="114"/>
      <c r="AY15" s="114"/>
      <c r="AZ15" s="114"/>
      <c r="BA15" s="114"/>
      <c r="BB15" s="114"/>
    </row>
    <row r="16" spans="1:55">
      <c r="B16" s="112">
        <v>6</v>
      </c>
      <c r="C16" s="112"/>
      <c r="D16" s="114" t="s">
        <v>745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746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14" t="s">
        <v>132</v>
      </c>
      <c r="Z16" s="114"/>
      <c r="AA16" s="114"/>
      <c r="AB16" s="114"/>
      <c r="AC16" s="114"/>
      <c r="AD16" s="114"/>
      <c r="AE16" s="114"/>
      <c r="AF16" s="114"/>
      <c r="AG16" s="114" t="s">
        <v>129</v>
      </c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 t="s">
        <v>129</v>
      </c>
      <c r="AX16" s="114"/>
      <c r="AY16" s="114"/>
      <c r="AZ16" s="114"/>
      <c r="BA16" s="114"/>
      <c r="BB16" s="114"/>
    </row>
    <row r="17" spans="2:54">
      <c r="B17" s="112">
        <v>7</v>
      </c>
      <c r="C17" s="112"/>
      <c r="D17" s="114" t="s">
        <v>747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748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14" t="s">
        <v>137</v>
      </c>
      <c r="Z17" s="114"/>
      <c r="AA17" s="114"/>
      <c r="AB17" s="114"/>
      <c r="AC17" s="114"/>
      <c r="AD17" s="114"/>
      <c r="AE17" s="114"/>
      <c r="AF17" s="114"/>
      <c r="AG17" s="114" t="s">
        <v>129</v>
      </c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 t="s">
        <v>129</v>
      </c>
      <c r="AX17" s="114"/>
      <c r="AY17" s="114"/>
      <c r="AZ17" s="114"/>
      <c r="BA17" s="114"/>
      <c r="BB17" s="114"/>
    </row>
    <row r="18" spans="2:54" s="44" customFormat="1" ht="16.2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</row>
  </sheetData>
  <mergeCells count="68">
    <mergeCell ref="AW17:BB17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MJ20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>
      <c r="B5" s="124" t="s">
        <v>119</v>
      </c>
      <c r="C5" s="124"/>
      <c r="D5" s="124"/>
      <c r="E5" s="124"/>
      <c r="F5" s="124"/>
      <c r="G5" s="124"/>
      <c r="H5" s="137" t="s">
        <v>749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</row>
    <row r="6" spans="1:55">
      <c r="B6" s="124" t="s">
        <v>119</v>
      </c>
      <c r="C6" s="124"/>
      <c r="D6" s="124"/>
      <c r="E6" s="124"/>
      <c r="F6" s="124"/>
      <c r="G6" s="124"/>
      <c r="H6" s="125" t="s">
        <v>111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9" spans="1:55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>
      <c r="B11" s="112">
        <v>1</v>
      </c>
      <c r="C11" s="112"/>
      <c r="D11" s="114" t="s">
        <v>750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751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 t="s">
        <v>137</v>
      </c>
      <c r="Z11" s="114"/>
      <c r="AA11" s="114"/>
      <c r="AB11" s="114"/>
      <c r="AC11" s="114"/>
      <c r="AD11" s="114"/>
      <c r="AE11" s="114"/>
      <c r="AF11" s="114"/>
      <c r="AG11" s="114" t="s">
        <v>129</v>
      </c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 t="s">
        <v>129</v>
      </c>
      <c r="AX11" s="114"/>
      <c r="AY11" s="114"/>
      <c r="AZ11" s="114"/>
      <c r="BA11" s="114"/>
      <c r="BB11" s="114"/>
    </row>
    <row r="12" spans="1:55">
      <c r="B12" s="112">
        <v>2</v>
      </c>
      <c r="C12" s="112"/>
      <c r="D12" s="114" t="s">
        <v>390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355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 t="s">
        <v>132</v>
      </c>
      <c r="Z12" s="114"/>
      <c r="AA12" s="114"/>
      <c r="AB12" s="114"/>
      <c r="AC12" s="114"/>
      <c r="AD12" s="114"/>
      <c r="AE12" s="114"/>
      <c r="AF12" s="114"/>
      <c r="AG12" s="114" t="s">
        <v>129</v>
      </c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 t="s">
        <v>129</v>
      </c>
      <c r="AX12" s="114"/>
      <c r="AY12" s="114"/>
      <c r="AZ12" s="114"/>
      <c r="BA12" s="114"/>
      <c r="BB12" s="114"/>
    </row>
    <row r="13" spans="1:55">
      <c r="B13" s="112">
        <v>3</v>
      </c>
      <c r="C13" s="112"/>
      <c r="D13" s="114" t="s">
        <v>15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752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 t="s">
        <v>210</v>
      </c>
      <c r="Z13" s="114"/>
      <c r="AA13" s="114"/>
      <c r="AB13" s="114"/>
      <c r="AC13" s="114"/>
      <c r="AD13" s="114"/>
      <c r="AE13" s="114"/>
      <c r="AF13" s="114"/>
      <c r="AG13" s="114" t="s">
        <v>129</v>
      </c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 t="s">
        <v>129</v>
      </c>
      <c r="AX13" s="114"/>
      <c r="AY13" s="114"/>
      <c r="AZ13" s="114"/>
      <c r="BA13" s="114"/>
      <c r="BB13" s="114"/>
    </row>
    <row r="14" spans="1:55">
      <c r="B14" s="112">
        <v>4</v>
      </c>
      <c r="C14" s="112"/>
      <c r="D14" s="114" t="s">
        <v>753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754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14" t="s">
        <v>132</v>
      </c>
      <c r="Z14" s="114"/>
      <c r="AA14" s="114"/>
      <c r="AB14" s="114"/>
      <c r="AC14" s="114"/>
      <c r="AD14" s="114"/>
      <c r="AE14" s="114"/>
      <c r="AF14" s="114"/>
      <c r="AG14" s="114" t="s">
        <v>129</v>
      </c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 t="s">
        <v>129</v>
      </c>
      <c r="AX14" s="114"/>
      <c r="AY14" s="114"/>
      <c r="AZ14" s="114"/>
      <c r="BA14" s="114"/>
      <c r="BB14" s="114"/>
    </row>
    <row r="15" spans="1:55">
      <c r="B15" s="112">
        <v>5</v>
      </c>
      <c r="C15" s="112"/>
      <c r="D15" s="114" t="s">
        <v>755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756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14" t="s">
        <v>132</v>
      </c>
      <c r="Z15" s="114"/>
      <c r="AA15" s="114"/>
      <c r="AB15" s="114"/>
      <c r="AC15" s="114"/>
      <c r="AD15" s="114"/>
      <c r="AE15" s="114"/>
      <c r="AF15" s="114"/>
      <c r="AG15" s="114" t="s">
        <v>129</v>
      </c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 t="s">
        <v>129</v>
      </c>
      <c r="AX15" s="114"/>
      <c r="AY15" s="114"/>
      <c r="AZ15" s="114"/>
      <c r="BA15" s="114"/>
      <c r="BB15" s="114"/>
    </row>
    <row r="16" spans="1:55">
      <c r="B16" s="112">
        <v>6</v>
      </c>
      <c r="C16" s="112"/>
      <c r="D16" s="114" t="s">
        <v>757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758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14" t="s">
        <v>207</v>
      </c>
      <c r="Z16" s="114"/>
      <c r="AA16" s="114"/>
      <c r="AB16" s="114"/>
      <c r="AC16" s="114"/>
      <c r="AD16" s="114"/>
      <c r="AE16" s="114"/>
      <c r="AF16" s="114"/>
      <c r="AG16" s="114" t="s">
        <v>129</v>
      </c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 t="s">
        <v>129</v>
      </c>
      <c r="AX16" s="114"/>
      <c r="AY16" s="114"/>
      <c r="AZ16" s="114"/>
      <c r="BA16" s="114"/>
      <c r="BB16" s="114"/>
    </row>
    <row r="17" spans="2:54">
      <c r="B17" s="112">
        <v>7</v>
      </c>
      <c r="C17" s="112"/>
      <c r="D17" s="114" t="s">
        <v>125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380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14" t="s">
        <v>132</v>
      </c>
      <c r="Z17" s="114"/>
      <c r="AA17" s="114"/>
      <c r="AB17" s="114"/>
      <c r="AC17" s="114"/>
      <c r="AD17" s="114"/>
      <c r="AE17" s="114"/>
      <c r="AF17" s="114"/>
      <c r="AG17" s="114" t="s">
        <v>129</v>
      </c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 t="s">
        <v>129</v>
      </c>
      <c r="AX17" s="114"/>
      <c r="AY17" s="114"/>
      <c r="AZ17" s="114"/>
      <c r="BA17" s="114"/>
      <c r="BB17" s="114"/>
    </row>
    <row r="18" spans="2:54">
      <c r="B18" s="112">
        <v>8</v>
      </c>
      <c r="C18" s="112"/>
      <c r="D18" s="114" t="s">
        <v>759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760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14" t="s">
        <v>137</v>
      </c>
      <c r="Z18" s="114"/>
      <c r="AA18" s="114"/>
      <c r="AB18" s="114"/>
      <c r="AC18" s="114"/>
      <c r="AD18" s="114"/>
      <c r="AE18" s="114"/>
      <c r="AF18" s="114"/>
      <c r="AG18" s="114" t="s">
        <v>129</v>
      </c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 t="s">
        <v>129</v>
      </c>
      <c r="AX18" s="114"/>
      <c r="AY18" s="114"/>
      <c r="AZ18" s="114"/>
      <c r="BA18" s="114"/>
      <c r="BB18" s="114"/>
    </row>
    <row r="19" spans="2:54">
      <c r="B19" s="112">
        <v>9</v>
      </c>
      <c r="C19" s="112"/>
      <c r="D19" s="114" t="s">
        <v>761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762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14" t="s">
        <v>132</v>
      </c>
      <c r="Z19" s="114"/>
      <c r="AA19" s="114"/>
      <c r="AB19" s="114"/>
      <c r="AC19" s="114"/>
      <c r="AD19" s="114"/>
      <c r="AE19" s="114"/>
      <c r="AF19" s="114"/>
      <c r="AG19" s="114" t="s">
        <v>129</v>
      </c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 t="s">
        <v>129</v>
      </c>
      <c r="AX19" s="114"/>
      <c r="AY19" s="114"/>
      <c r="AZ19" s="114"/>
      <c r="BA19" s="114"/>
      <c r="BB19" s="114"/>
    </row>
    <row r="20" spans="2:54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</row>
  </sheetData>
  <mergeCells count="80">
    <mergeCell ref="AW19:BB19"/>
    <mergeCell ref="B19:C19"/>
    <mergeCell ref="D19:N19"/>
    <mergeCell ref="O19:X19"/>
    <mergeCell ref="Y19:AF19"/>
    <mergeCell ref="AG19:AV19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MJ13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13</v>
      </c>
      <c r="AK2" s="87"/>
      <c r="AL2" s="87"/>
      <c r="AM2" s="87"/>
      <c r="AN2" s="87"/>
      <c r="AO2" s="86">
        <v>45230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>
      <c r="B5" s="124" t="s">
        <v>119</v>
      </c>
      <c r="C5" s="124"/>
      <c r="D5" s="124"/>
      <c r="E5" s="124"/>
      <c r="F5" s="124"/>
      <c r="G5" s="124"/>
      <c r="H5" s="137" t="s">
        <v>763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</row>
    <row r="6" spans="1:55">
      <c r="B6" s="124" t="s">
        <v>119</v>
      </c>
      <c r="C6" s="124"/>
      <c r="D6" s="124"/>
      <c r="E6" s="124"/>
      <c r="F6" s="124"/>
      <c r="G6" s="124"/>
      <c r="H6" s="125" t="s">
        <v>112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5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</row>
    <row r="9" spans="1:55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>
      <c r="B11" s="112">
        <v>1</v>
      </c>
      <c r="C11" s="112"/>
      <c r="D11" s="114" t="s">
        <v>747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748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 t="s">
        <v>137</v>
      </c>
      <c r="Z11" s="114"/>
      <c r="AA11" s="114"/>
      <c r="AB11" s="114"/>
      <c r="AC11" s="114"/>
      <c r="AD11" s="114"/>
      <c r="AE11" s="114"/>
      <c r="AF11" s="114"/>
      <c r="AG11" s="114" t="s">
        <v>129</v>
      </c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 t="s">
        <v>129</v>
      </c>
      <c r="AX11" s="114"/>
      <c r="AY11" s="114"/>
      <c r="AZ11" s="114"/>
      <c r="BA11" s="114"/>
      <c r="BB11" s="114"/>
    </row>
    <row r="12" spans="1:55">
      <c r="B12" s="112">
        <v>2</v>
      </c>
      <c r="C12" s="112"/>
      <c r="D12" s="114" t="s">
        <v>764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765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 t="s">
        <v>132</v>
      </c>
      <c r="Z12" s="114"/>
      <c r="AA12" s="114"/>
      <c r="AB12" s="114"/>
      <c r="AC12" s="114"/>
      <c r="AD12" s="114"/>
      <c r="AE12" s="114"/>
      <c r="AF12" s="114"/>
      <c r="AG12" s="114" t="s">
        <v>129</v>
      </c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 t="s">
        <v>129</v>
      </c>
      <c r="AX12" s="114"/>
      <c r="AY12" s="114"/>
      <c r="AZ12" s="114"/>
      <c r="BA12" s="114"/>
      <c r="BB12" s="114"/>
    </row>
    <row r="13" spans="1:55" s="44" customFormat="1" ht="16.2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</row>
  </sheetData>
  <mergeCells count="38"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MJ2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44294</v>
      </c>
      <c r="AP2" s="86"/>
      <c r="AQ2" s="86"/>
      <c r="AR2" s="86"/>
      <c r="AS2" s="86"/>
      <c r="AT2" s="87" t="s">
        <v>13</v>
      </c>
      <c r="AU2" s="87"/>
      <c r="AV2" s="87"/>
      <c r="AW2" s="87"/>
      <c r="AX2" s="87"/>
      <c r="AY2" s="123">
        <v>45257</v>
      </c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8" t="s">
        <v>834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28" t="s">
        <v>113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766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767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768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645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132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769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770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210</v>
      </c>
      <c r="Z13" s="130"/>
      <c r="AA13" s="130"/>
      <c r="AB13" s="130"/>
      <c r="AC13" s="130"/>
      <c r="AD13" s="130"/>
      <c r="AE13" s="130"/>
      <c r="AF13" s="130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4</v>
      </c>
      <c r="C14" s="127"/>
      <c r="D14" s="114" t="s">
        <v>771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772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210</v>
      </c>
      <c r="Z14" s="130"/>
      <c r="AA14" s="130"/>
      <c r="AB14" s="130"/>
      <c r="AC14" s="130"/>
      <c r="AD14" s="130"/>
      <c r="AE14" s="130"/>
      <c r="AF14" s="130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5</v>
      </c>
      <c r="C15" s="127"/>
      <c r="D15" s="114" t="s">
        <v>773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641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210</v>
      </c>
      <c r="Z15" s="130"/>
      <c r="AA15" s="130"/>
      <c r="AB15" s="130"/>
      <c r="AC15" s="130"/>
      <c r="AD15" s="130"/>
      <c r="AE15" s="130"/>
      <c r="AF15" s="130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6</v>
      </c>
      <c r="C16" s="127"/>
      <c r="D16" s="166" t="s">
        <v>774</v>
      </c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14" t="s">
        <v>775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137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14" t="s">
        <v>534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535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137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s="46" customFormat="1" ht="13.5" customHeight="1">
      <c r="B18" s="127">
        <v>8</v>
      </c>
      <c r="C18" s="127"/>
      <c r="D18" s="114" t="s">
        <v>536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537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30" t="s">
        <v>132</v>
      </c>
      <c r="Z18" s="130"/>
      <c r="AA18" s="130"/>
      <c r="AB18" s="130"/>
      <c r="AC18" s="130"/>
      <c r="AD18" s="130"/>
      <c r="AE18" s="130"/>
      <c r="AF18" s="130"/>
      <c r="AG18" s="118" t="s">
        <v>129</v>
      </c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26" t="s">
        <v>129</v>
      </c>
      <c r="AX18" s="126"/>
      <c r="AY18" s="126"/>
      <c r="AZ18" s="126"/>
      <c r="BA18" s="126"/>
      <c r="BB18" s="126"/>
    </row>
    <row r="19" spans="2:54" s="46" customFormat="1" ht="13.5" customHeight="1">
      <c r="B19" s="127">
        <v>9</v>
      </c>
      <c r="C19" s="127"/>
      <c r="D19" s="114" t="s">
        <v>668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649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30" t="s">
        <v>132</v>
      </c>
      <c r="Z19" s="130"/>
      <c r="AA19" s="130"/>
      <c r="AB19" s="130"/>
      <c r="AC19" s="130"/>
      <c r="AD19" s="130"/>
      <c r="AE19" s="130"/>
      <c r="AF19" s="130"/>
      <c r="AG19" s="118" t="s">
        <v>129</v>
      </c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26" t="s">
        <v>849</v>
      </c>
      <c r="AX19" s="126"/>
      <c r="AY19" s="126"/>
      <c r="AZ19" s="126"/>
      <c r="BA19" s="126"/>
      <c r="BB19" s="126"/>
    </row>
    <row r="20" spans="2:54" s="46" customFormat="1" ht="13.5" customHeight="1">
      <c r="B20" s="127">
        <v>10</v>
      </c>
      <c r="C20" s="127"/>
      <c r="D20" s="114" t="s">
        <v>776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625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30" t="s">
        <v>132</v>
      </c>
      <c r="Z20" s="130"/>
      <c r="AA20" s="130"/>
      <c r="AB20" s="130"/>
      <c r="AC20" s="130"/>
      <c r="AD20" s="130"/>
      <c r="AE20" s="130"/>
      <c r="AF20" s="130"/>
      <c r="AG20" s="118" t="s">
        <v>129</v>
      </c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26" t="s">
        <v>849</v>
      </c>
      <c r="AX20" s="126"/>
      <c r="AY20" s="126"/>
      <c r="AZ20" s="126"/>
      <c r="BA20" s="126"/>
      <c r="BB20" s="126"/>
    </row>
    <row r="21" spans="2:54" s="46" customFormat="1" ht="13.5" customHeight="1">
      <c r="B21" s="127">
        <v>11</v>
      </c>
      <c r="C21" s="127"/>
      <c r="D21" s="114" t="s">
        <v>830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 t="s">
        <v>832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30" t="s">
        <v>137</v>
      </c>
      <c r="Z21" s="130"/>
      <c r="AA21" s="130"/>
      <c r="AB21" s="130"/>
      <c r="AC21" s="130"/>
      <c r="AD21" s="130"/>
      <c r="AE21" s="130"/>
      <c r="AF21" s="130"/>
      <c r="AG21" s="118" t="s">
        <v>129</v>
      </c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26" t="s">
        <v>849</v>
      </c>
      <c r="AX21" s="126"/>
      <c r="AY21" s="126"/>
      <c r="AZ21" s="126"/>
      <c r="BA21" s="126"/>
      <c r="BB21" s="126"/>
    </row>
    <row r="22" spans="2:54" s="46" customFormat="1" ht="13.5" customHeight="1">
      <c r="B22" s="127">
        <v>12</v>
      </c>
      <c r="C22" s="127"/>
      <c r="D22" s="114" t="s">
        <v>831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 t="s">
        <v>833</v>
      </c>
      <c r="P22" s="114"/>
      <c r="Q22" s="114"/>
      <c r="R22" s="114"/>
      <c r="S22" s="114"/>
      <c r="T22" s="114"/>
      <c r="U22" s="114"/>
      <c r="V22" s="114"/>
      <c r="W22" s="114"/>
      <c r="X22" s="114"/>
      <c r="Y22" s="130" t="s">
        <v>137</v>
      </c>
      <c r="Z22" s="130"/>
      <c r="AA22" s="130"/>
      <c r="AB22" s="130"/>
      <c r="AC22" s="130"/>
      <c r="AD22" s="130"/>
      <c r="AE22" s="130"/>
      <c r="AF22" s="130"/>
      <c r="AG22" s="118" t="s">
        <v>129</v>
      </c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26" t="s">
        <v>849</v>
      </c>
      <c r="AX22" s="126"/>
      <c r="AY22" s="126"/>
      <c r="AZ22" s="126"/>
      <c r="BA22" s="126"/>
      <c r="BB22" s="126"/>
    </row>
  </sheetData>
  <mergeCells count="98">
    <mergeCell ref="AW21:BB21"/>
    <mergeCell ref="B22:C22"/>
    <mergeCell ref="D22:N22"/>
    <mergeCell ref="O22:X22"/>
    <mergeCell ref="Y22:AF22"/>
    <mergeCell ref="AG22:AV22"/>
    <mergeCell ref="AW22:BB22"/>
    <mergeCell ref="B21:C21"/>
    <mergeCell ref="D21:N21"/>
    <mergeCell ref="O21:X21"/>
    <mergeCell ref="Y21:AF21"/>
    <mergeCell ref="AG21:AV21"/>
    <mergeCell ref="AW17:BB17"/>
    <mergeCell ref="B18:C18"/>
    <mergeCell ref="D18:N18"/>
    <mergeCell ref="O18:X18"/>
    <mergeCell ref="Y18:AF18"/>
    <mergeCell ref="AG18:AV18"/>
    <mergeCell ref="AW18:BB18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W19:BB19"/>
    <mergeCell ref="B20:C20"/>
    <mergeCell ref="D20:N20"/>
    <mergeCell ref="O20:X20"/>
    <mergeCell ref="Y20:AF20"/>
    <mergeCell ref="AG20:AV20"/>
    <mergeCell ref="AW20:BB20"/>
    <mergeCell ref="B19:C19"/>
    <mergeCell ref="D19:N19"/>
    <mergeCell ref="O19:X19"/>
    <mergeCell ref="Y19:AF19"/>
    <mergeCell ref="AG19:AV19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MJ2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13</v>
      </c>
      <c r="AK2" s="87"/>
      <c r="AL2" s="87"/>
      <c r="AM2" s="87"/>
      <c r="AN2" s="87"/>
      <c r="AO2" s="123">
        <v>45236</v>
      </c>
      <c r="AP2" s="123"/>
      <c r="AQ2" s="123"/>
      <c r="AR2" s="123"/>
      <c r="AS2" s="123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123"/>
      <c r="AP3" s="123"/>
      <c r="AQ3" s="123"/>
      <c r="AR3" s="123"/>
      <c r="AS3" s="123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28" t="s">
        <v>777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28" t="s">
        <v>114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778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779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0" t="s">
        <v>137</v>
      </c>
      <c r="Z11" s="130"/>
      <c r="AA11" s="130"/>
      <c r="AB11" s="130"/>
      <c r="AC11" s="130"/>
      <c r="AD11" s="130"/>
      <c r="AE11" s="130"/>
      <c r="AF11" s="130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780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781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0" t="s">
        <v>210</v>
      </c>
      <c r="Z12" s="130"/>
      <c r="AA12" s="130"/>
      <c r="AB12" s="130"/>
      <c r="AC12" s="130"/>
      <c r="AD12" s="130"/>
      <c r="AE12" s="130"/>
      <c r="AF12" s="130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782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783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0" t="s">
        <v>132</v>
      </c>
      <c r="Z13" s="130"/>
      <c r="AA13" s="130"/>
      <c r="AB13" s="130"/>
      <c r="AC13" s="130"/>
      <c r="AD13" s="130"/>
      <c r="AE13" s="130"/>
      <c r="AF13" s="130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4</v>
      </c>
      <c r="C14" s="127"/>
      <c r="D14" s="114" t="s">
        <v>160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 t="s">
        <v>161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30" t="s">
        <v>137</v>
      </c>
      <c r="Z14" s="130"/>
      <c r="AA14" s="130"/>
      <c r="AB14" s="130"/>
      <c r="AC14" s="130"/>
      <c r="AD14" s="130"/>
      <c r="AE14" s="130"/>
      <c r="AF14" s="130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5</v>
      </c>
      <c r="C15" s="127"/>
      <c r="D15" s="114" t="s">
        <v>784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785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0" t="s">
        <v>137</v>
      </c>
      <c r="Z15" s="130"/>
      <c r="AA15" s="130"/>
      <c r="AB15" s="130"/>
      <c r="AC15" s="130"/>
      <c r="AD15" s="130"/>
      <c r="AE15" s="130"/>
      <c r="AF15" s="130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6</v>
      </c>
      <c r="C16" s="127"/>
      <c r="D16" s="114" t="s">
        <v>659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660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0" t="s">
        <v>137</v>
      </c>
      <c r="Z16" s="130"/>
      <c r="AA16" s="130"/>
      <c r="AB16" s="130"/>
      <c r="AC16" s="130"/>
      <c r="AD16" s="130"/>
      <c r="AE16" s="130"/>
      <c r="AF16" s="130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66" t="s">
        <v>786</v>
      </c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14" t="s">
        <v>787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0" t="s">
        <v>132</v>
      </c>
      <c r="Z17" s="130"/>
      <c r="AA17" s="130"/>
      <c r="AB17" s="130"/>
      <c r="AC17" s="130"/>
      <c r="AD17" s="130"/>
      <c r="AE17" s="130"/>
      <c r="AF17" s="130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s="44" customFormat="1" ht="16.2"/>
    <row r="19" spans="2:54" s="44" customFormat="1" ht="16.2"/>
    <row r="20" spans="2:54" s="44" customFormat="1" ht="16.2"/>
    <row r="21" spans="2:54" s="44" customFormat="1" ht="16.2"/>
    <row r="22" spans="2:54" s="44" customFormat="1" ht="16.2"/>
  </sheetData>
  <mergeCells count="68">
    <mergeCell ref="AW17:BB17"/>
    <mergeCell ref="B17:C17"/>
    <mergeCell ref="D17:N17"/>
    <mergeCell ref="O17:X17"/>
    <mergeCell ref="Y17:AF17"/>
    <mergeCell ref="AG17:AV17"/>
    <mergeCell ref="AW15:BB15"/>
    <mergeCell ref="B16:C16"/>
    <mergeCell ref="D16:N16"/>
    <mergeCell ref="O16:X16"/>
    <mergeCell ref="Y16:AF16"/>
    <mergeCell ref="AG16:AV16"/>
    <mergeCell ref="AW16:BB16"/>
    <mergeCell ref="B15:C15"/>
    <mergeCell ref="D15:N15"/>
    <mergeCell ref="O15:X15"/>
    <mergeCell ref="Y15:AF15"/>
    <mergeCell ref="AG15:AV15"/>
    <mergeCell ref="AW13:BB13"/>
    <mergeCell ref="B14:C14"/>
    <mergeCell ref="D14:N14"/>
    <mergeCell ref="O14:X14"/>
    <mergeCell ref="Y14:AF14"/>
    <mergeCell ref="AG14:AV14"/>
    <mergeCell ref="AW14:BB14"/>
    <mergeCell ref="B13:C13"/>
    <mergeCell ref="D13:N13"/>
    <mergeCell ref="O13:X13"/>
    <mergeCell ref="Y13:AF13"/>
    <mergeCell ref="AG13:AV13"/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MJ27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44313</v>
      </c>
      <c r="AP2" s="86"/>
      <c r="AQ2" s="86"/>
      <c r="AR2" s="86"/>
      <c r="AS2" s="86"/>
      <c r="AT2" s="85"/>
      <c r="AU2" s="85"/>
      <c r="AV2" s="85"/>
      <c r="AW2" s="85"/>
      <c r="AX2" s="85"/>
      <c r="AY2" s="86"/>
      <c r="AZ2" s="86"/>
      <c r="BA2" s="86"/>
      <c r="BB2" s="86"/>
      <c r="BC2" s="86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86"/>
      <c r="AZ3" s="86"/>
      <c r="BA3" s="86"/>
      <c r="BB3" s="86"/>
      <c r="BC3" s="86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788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5" s="46" customFormat="1" ht="12.75" customHeight="1">
      <c r="B6" s="124" t="s">
        <v>119</v>
      </c>
      <c r="C6" s="124"/>
      <c r="D6" s="124"/>
      <c r="E6" s="124"/>
      <c r="F6" s="124"/>
      <c r="G6" s="124"/>
      <c r="H6" s="128" t="s">
        <v>115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5" s="46" customFormat="1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</row>
    <row r="8" spans="1:55" ht="12.75" customHeight="1"/>
    <row r="9" spans="1:55" s="46" customFormat="1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5" s="46" customFormat="1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5" ht="12.75" customHeight="1">
      <c r="B11" s="135">
        <v>1</v>
      </c>
      <c r="C11" s="135"/>
      <c r="D11" s="136" t="s">
        <v>534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 t="s">
        <v>535</v>
      </c>
      <c r="P11" s="136"/>
      <c r="Q11" s="136"/>
      <c r="R11" s="136"/>
      <c r="S11" s="136"/>
      <c r="T11" s="136"/>
      <c r="U11" s="136"/>
      <c r="V11" s="136"/>
      <c r="W11" s="136"/>
      <c r="X11" s="136"/>
      <c r="Y11" s="136" t="s">
        <v>137</v>
      </c>
      <c r="Z11" s="136"/>
      <c r="AA11" s="136"/>
      <c r="AB11" s="136"/>
      <c r="AC11" s="136"/>
      <c r="AD11" s="136"/>
      <c r="AE11" s="136"/>
      <c r="AF11" s="136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5" ht="12.75" customHeight="1">
      <c r="B12" s="135">
        <v>2</v>
      </c>
      <c r="C12" s="135"/>
      <c r="D12" s="136" t="s">
        <v>390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 t="s">
        <v>355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 t="s">
        <v>137</v>
      </c>
      <c r="Z12" s="136"/>
      <c r="AA12" s="136"/>
      <c r="AB12" s="136"/>
      <c r="AC12" s="136"/>
      <c r="AD12" s="136"/>
      <c r="AE12" s="136"/>
      <c r="AF12" s="136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5" ht="12.75" customHeight="1">
      <c r="B13" s="135">
        <v>3</v>
      </c>
      <c r="C13" s="135"/>
      <c r="D13" s="136" t="s">
        <v>301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 t="s">
        <v>302</v>
      </c>
      <c r="P13" s="136"/>
      <c r="Q13" s="136"/>
      <c r="R13" s="136"/>
      <c r="S13" s="136"/>
      <c r="T13" s="136"/>
      <c r="U13" s="136"/>
      <c r="V13" s="136"/>
      <c r="W13" s="136"/>
      <c r="X13" s="136"/>
      <c r="Y13" s="136" t="s">
        <v>132</v>
      </c>
      <c r="Z13" s="136"/>
      <c r="AA13" s="136"/>
      <c r="AB13" s="136"/>
      <c r="AC13" s="136"/>
      <c r="AD13" s="136"/>
      <c r="AE13" s="136"/>
      <c r="AF13" s="136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5" ht="12.75" customHeight="1">
      <c r="B14" s="135">
        <v>4</v>
      </c>
      <c r="C14" s="135"/>
      <c r="D14" s="136" t="s">
        <v>164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 t="s">
        <v>165</v>
      </c>
      <c r="P14" s="136"/>
      <c r="Q14" s="136"/>
      <c r="R14" s="136"/>
      <c r="S14" s="136"/>
      <c r="T14" s="136"/>
      <c r="U14" s="136"/>
      <c r="V14" s="136"/>
      <c r="W14" s="136"/>
      <c r="X14" s="136"/>
      <c r="Y14" s="136" t="s">
        <v>137</v>
      </c>
      <c r="Z14" s="136"/>
      <c r="AA14" s="136"/>
      <c r="AB14" s="136"/>
      <c r="AC14" s="136"/>
      <c r="AD14" s="136"/>
      <c r="AE14" s="136"/>
      <c r="AF14" s="136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5" ht="12.75" customHeight="1">
      <c r="B15" s="135">
        <v>5</v>
      </c>
      <c r="C15" s="135"/>
      <c r="D15" s="136" t="s">
        <v>153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 t="s">
        <v>154</v>
      </c>
      <c r="P15" s="136"/>
      <c r="Q15" s="136"/>
      <c r="R15" s="136"/>
      <c r="S15" s="136"/>
      <c r="T15" s="136"/>
      <c r="U15" s="136"/>
      <c r="V15" s="136"/>
      <c r="W15" s="136"/>
      <c r="X15" s="136"/>
      <c r="Y15" s="136" t="s">
        <v>132</v>
      </c>
      <c r="Z15" s="136"/>
      <c r="AA15" s="136"/>
      <c r="AB15" s="136"/>
      <c r="AC15" s="136"/>
      <c r="AD15" s="136"/>
      <c r="AE15" s="136"/>
      <c r="AF15" s="136"/>
      <c r="AG15" s="130" t="s">
        <v>129</v>
      </c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 t="s">
        <v>129</v>
      </c>
      <c r="AX15" s="130"/>
      <c r="AY15" s="130"/>
      <c r="AZ15" s="130"/>
      <c r="BA15" s="130"/>
      <c r="BB15" s="130"/>
    </row>
    <row r="16" spans="1:55" ht="12.75" customHeight="1">
      <c r="B16" s="135">
        <v>6</v>
      </c>
      <c r="C16" s="135"/>
      <c r="D16" s="136" t="s">
        <v>789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 t="s">
        <v>790</v>
      </c>
      <c r="P16" s="136"/>
      <c r="Q16" s="136"/>
      <c r="R16" s="136"/>
      <c r="S16" s="136"/>
      <c r="T16" s="136"/>
      <c r="U16" s="136"/>
      <c r="V16" s="136"/>
      <c r="W16" s="136"/>
      <c r="X16" s="136"/>
      <c r="Y16" s="136" t="s">
        <v>137</v>
      </c>
      <c r="Z16" s="136"/>
      <c r="AA16" s="136"/>
      <c r="AB16" s="136"/>
      <c r="AC16" s="136"/>
      <c r="AD16" s="136"/>
      <c r="AE16" s="136"/>
      <c r="AF16" s="136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spans="2:54" ht="12.75" customHeight="1">
      <c r="B17" s="135">
        <v>7</v>
      </c>
      <c r="C17" s="135"/>
      <c r="D17" s="136" t="s">
        <v>750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 t="s">
        <v>751</v>
      </c>
      <c r="P17" s="136"/>
      <c r="Q17" s="136"/>
      <c r="R17" s="136"/>
      <c r="S17" s="136"/>
      <c r="T17" s="136"/>
      <c r="U17" s="136"/>
      <c r="V17" s="136"/>
      <c r="W17" s="136"/>
      <c r="X17" s="136"/>
      <c r="Y17" s="136" t="s">
        <v>137</v>
      </c>
      <c r="Z17" s="136"/>
      <c r="AA17" s="136"/>
      <c r="AB17" s="136"/>
      <c r="AC17" s="136"/>
      <c r="AD17" s="136"/>
      <c r="AE17" s="136"/>
      <c r="AF17" s="136"/>
      <c r="AG17" s="130" t="s">
        <v>129</v>
      </c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 t="s">
        <v>129</v>
      </c>
      <c r="AX17" s="130"/>
      <c r="AY17" s="130"/>
      <c r="AZ17" s="130"/>
      <c r="BA17" s="130"/>
      <c r="BB17" s="130"/>
    </row>
    <row r="18" spans="2:54" ht="12.75" customHeight="1">
      <c r="B18" s="135">
        <v>8</v>
      </c>
      <c r="C18" s="135"/>
      <c r="D18" s="136" t="s">
        <v>15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 t="s">
        <v>752</v>
      </c>
      <c r="P18" s="136"/>
      <c r="Q18" s="136"/>
      <c r="R18" s="136"/>
      <c r="S18" s="136"/>
      <c r="T18" s="136"/>
      <c r="U18" s="136"/>
      <c r="V18" s="136"/>
      <c r="W18" s="136"/>
      <c r="X18" s="136"/>
      <c r="Y18" s="136" t="s">
        <v>210</v>
      </c>
      <c r="Z18" s="136"/>
      <c r="AA18" s="136"/>
      <c r="AB18" s="136"/>
      <c r="AC18" s="136"/>
      <c r="AD18" s="136"/>
      <c r="AE18" s="136"/>
      <c r="AF18" s="136"/>
      <c r="AG18" s="130" t="s">
        <v>129</v>
      </c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 t="s">
        <v>129</v>
      </c>
      <c r="AX18" s="130"/>
      <c r="AY18" s="130"/>
      <c r="AZ18" s="130"/>
      <c r="BA18" s="130"/>
      <c r="BB18" s="130"/>
    </row>
    <row r="19" spans="2:54" ht="12.75" customHeight="1">
      <c r="B19" s="135">
        <v>9</v>
      </c>
      <c r="C19" s="135"/>
      <c r="D19" s="136" t="s">
        <v>753</v>
      </c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 t="s">
        <v>754</v>
      </c>
      <c r="P19" s="136"/>
      <c r="Q19" s="136"/>
      <c r="R19" s="136"/>
      <c r="S19" s="136"/>
      <c r="T19" s="136"/>
      <c r="U19" s="136"/>
      <c r="V19" s="136"/>
      <c r="W19" s="136"/>
      <c r="X19" s="136"/>
      <c r="Y19" s="136" t="s">
        <v>132</v>
      </c>
      <c r="Z19" s="136"/>
      <c r="AA19" s="136"/>
      <c r="AB19" s="136"/>
      <c r="AC19" s="136"/>
      <c r="AD19" s="136"/>
      <c r="AE19" s="136"/>
      <c r="AF19" s="136"/>
      <c r="AG19" s="130" t="s">
        <v>129</v>
      </c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 t="s">
        <v>129</v>
      </c>
      <c r="AX19" s="130"/>
      <c r="AY19" s="130"/>
      <c r="AZ19" s="130"/>
      <c r="BA19" s="130"/>
      <c r="BB19" s="130"/>
    </row>
    <row r="20" spans="2:54" ht="12.75" customHeight="1">
      <c r="B20" s="135">
        <v>10</v>
      </c>
      <c r="C20" s="135"/>
      <c r="D20" s="136" t="s">
        <v>755</v>
      </c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 t="s">
        <v>756</v>
      </c>
      <c r="P20" s="136"/>
      <c r="Q20" s="136"/>
      <c r="R20" s="136"/>
      <c r="S20" s="136"/>
      <c r="T20" s="136"/>
      <c r="U20" s="136"/>
      <c r="V20" s="136"/>
      <c r="W20" s="136"/>
      <c r="X20" s="136"/>
      <c r="Y20" s="136" t="s">
        <v>132</v>
      </c>
      <c r="Z20" s="136"/>
      <c r="AA20" s="136"/>
      <c r="AB20" s="136"/>
      <c r="AC20" s="136"/>
      <c r="AD20" s="136"/>
      <c r="AE20" s="136"/>
      <c r="AF20" s="136"/>
      <c r="AG20" s="130" t="s">
        <v>129</v>
      </c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 t="s">
        <v>129</v>
      </c>
      <c r="AX20" s="130"/>
      <c r="AY20" s="130"/>
      <c r="AZ20" s="130"/>
      <c r="BA20" s="130"/>
      <c r="BB20" s="130"/>
    </row>
    <row r="21" spans="2:54" ht="12.75" customHeight="1">
      <c r="B21" s="135">
        <v>11</v>
      </c>
      <c r="C21" s="135"/>
      <c r="D21" s="136" t="s">
        <v>759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 t="s">
        <v>760</v>
      </c>
      <c r="P21" s="136"/>
      <c r="Q21" s="136"/>
      <c r="R21" s="136"/>
      <c r="S21" s="136"/>
      <c r="T21" s="136"/>
      <c r="U21" s="136"/>
      <c r="V21" s="136"/>
      <c r="W21" s="136"/>
      <c r="X21" s="136"/>
      <c r="Y21" s="136" t="s">
        <v>137</v>
      </c>
      <c r="Z21" s="136"/>
      <c r="AA21" s="136"/>
      <c r="AB21" s="136"/>
      <c r="AC21" s="136"/>
      <c r="AD21" s="136"/>
      <c r="AE21" s="136"/>
      <c r="AF21" s="136"/>
      <c r="AG21" s="130" t="s">
        <v>129</v>
      </c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 t="s">
        <v>129</v>
      </c>
      <c r="AX21" s="130"/>
      <c r="AY21" s="130"/>
      <c r="AZ21" s="130"/>
      <c r="BA21" s="130"/>
      <c r="BB21" s="130"/>
    </row>
    <row r="22" spans="2:54" ht="12.75" customHeight="1">
      <c r="B22" s="135">
        <v>12</v>
      </c>
      <c r="C22" s="135"/>
      <c r="D22" s="136" t="s">
        <v>791</v>
      </c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 t="s">
        <v>758</v>
      </c>
      <c r="P22" s="136"/>
      <c r="Q22" s="136"/>
      <c r="R22" s="136"/>
      <c r="S22" s="136"/>
      <c r="T22" s="136"/>
      <c r="U22" s="136"/>
      <c r="V22" s="136"/>
      <c r="W22" s="136"/>
      <c r="X22" s="136"/>
      <c r="Y22" s="136" t="s">
        <v>207</v>
      </c>
      <c r="Z22" s="136"/>
      <c r="AA22" s="136"/>
      <c r="AB22" s="136"/>
      <c r="AC22" s="136"/>
      <c r="AD22" s="136"/>
      <c r="AE22" s="136"/>
      <c r="AF22" s="136"/>
      <c r="AG22" s="130" t="s">
        <v>129</v>
      </c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 t="s">
        <v>129</v>
      </c>
      <c r="AX22" s="130"/>
      <c r="AY22" s="130"/>
      <c r="AZ22" s="130"/>
      <c r="BA22" s="130"/>
      <c r="BB22" s="130"/>
    </row>
    <row r="23" spans="2:54" ht="12.75" customHeight="1">
      <c r="B23" s="135">
        <v>13</v>
      </c>
      <c r="C23" s="135"/>
      <c r="D23" s="136" t="s">
        <v>125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 t="s">
        <v>380</v>
      </c>
      <c r="P23" s="136"/>
      <c r="Q23" s="136"/>
      <c r="R23" s="136"/>
      <c r="S23" s="136"/>
      <c r="T23" s="136"/>
      <c r="U23" s="136"/>
      <c r="V23" s="136"/>
      <c r="W23" s="136"/>
      <c r="X23" s="136"/>
      <c r="Y23" s="136" t="s">
        <v>132</v>
      </c>
      <c r="Z23" s="136"/>
      <c r="AA23" s="136"/>
      <c r="AB23" s="136"/>
      <c r="AC23" s="136"/>
      <c r="AD23" s="136"/>
      <c r="AE23" s="136"/>
      <c r="AF23" s="136"/>
      <c r="AG23" s="130" t="s">
        <v>129</v>
      </c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 t="s">
        <v>129</v>
      </c>
      <c r="AX23" s="130"/>
      <c r="AY23" s="130"/>
      <c r="AZ23" s="130"/>
      <c r="BA23" s="130"/>
      <c r="BB23" s="130"/>
    </row>
    <row r="24" spans="2:54" ht="12.75" customHeight="1"/>
    <row r="25" spans="2:54" ht="12.75" customHeight="1"/>
    <row r="26" spans="2:54" ht="12.75" customHeight="1"/>
    <row r="27" spans="2:54" ht="12.75" customHeight="1"/>
  </sheetData>
  <mergeCells count="104"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5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MJ29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更新履歴!R1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81" t="s">
        <v>11</v>
      </c>
      <c r="AZ1" s="81"/>
      <c r="BA1" s="81"/>
      <c r="BB1" s="81"/>
      <c r="BC1" s="81"/>
    </row>
    <row r="2" spans="1:55" s="30" customFormat="1" ht="13.5" customHeight="1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44316</v>
      </c>
      <c r="AP2" s="86"/>
      <c r="AQ2" s="86"/>
      <c r="AR2" s="86"/>
      <c r="AS2" s="86"/>
      <c r="AT2" s="87"/>
      <c r="AU2" s="87"/>
      <c r="AV2" s="87"/>
      <c r="AW2" s="87"/>
      <c r="AX2" s="87"/>
      <c r="AY2" s="123"/>
      <c r="AZ2" s="123"/>
      <c r="BA2" s="123"/>
      <c r="BB2" s="123"/>
      <c r="BC2" s="123"/>
    </row>
    <row r="3" spans="1:55" s="30" customFormat="1" ht="13.5" customHeight="1">
      <c r="A3" s="121"/>
      <c r="B3" s="121"/>
      <c r="C3" s="121"/>
      <c r="D3" s="121"/>
      <c r="E3" s="121"/>
      <c r="F3" s="121"/>
      <c r="G3" s="121"/>
      <c r="H3" s="121"/>
      <c r="I3" s="121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7"/>
      <c r="AU3" s="87"/>
      <c r="AV3" s="87"/>
      <c r="AW3" s="87"/>
      <c r="AX3" s="87"/>
      <c r="AY3" s="123"/>
      <c r="AZ3" s="123"/>
      <c r="BA3" s="123"/>
      <c r="BB3" s="123"/>
      <c r="BC3" s="123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5" s="46" customFormat="1" ht="13.5" customHeight="1">
      <c r="B5" s="124" t="s">
        <v>119</v>
      </c>
      <c r="C5" s="124"/>
      <c r="D5" s="124"/>
      <c r="E5" s="124"/>
      <c r="F5" s="124"/>
      <c r="G5" s="124"/>
      <c r="H5" s="137" t="s">
        <v>792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</row>
    <row r="6" spans="1:55" s="46" customFormat="1" ht="13.5" customHeight="1">
      <c r="B6" s="124" t="s">
        <v>119</v>
      </c>
      <c r="C6" s="124"/>
      <c r="D6" s="124"/>
      <c r="E6" s="124"/>
      <c r="F6" s="124"/>
      <c r="G6" s="124"/>
      <c r="H6" s="137" t="s">
        <v>117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 spans="1:55" s="46" customFormat="1" ht="13.5" customHeight="1">
      <c r="B7" s="124" t="s">
        <v>121</v>
      </c>
      <c r="C7" s="124"/>
      <c r="D7" s="124"/>
      <c r="E7" s="124"/>
      <c r="F7" s="124"/>
      <c r="G7" s="124"/>
      <c r="H7" s="118" t="s">
        <v>129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spans="1:55" ht="13.5" customHeight="1"/>
    <row r="9" spans="1:55" s="46" customFormat="1" ht="13.5" customHeight="1">
      <c r="B9" s="124" t="s">
        <v>46</v>
      </c>
      <c r="C9" s="12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24" t="s">
        <v>123</v>
      </c>
      <c r="Z9" s="124"/>
      <c r="AA9" s="124"/>
      <c r="AB9" s="124"/>
      <c r="AC9" s="124"/>
      <c r="AD9" s="124"/>
      <c r="AE9" s="124"/>
      <c r="AF9" s="124"/>
      <c r="AG9" s="124" t="s">
        <v>124</v>
      </c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 t="s">
        <v>125</v>
      </c>
      <c r="AX9" s="124"/>
      <c r="AY9" s="124"/>
      <c r="AZ9" s="124"/>
      <c r="BA9" s="124"/>
      <c r="BB9" s="124"/>
    </row>
    <row r="10" spans="1:55" s="46" customFormat="1" ht="13.5" customHeight="1">
      <c r="B10" s="124"/>
      <c r="C10" s="124"/>
      <c r="D10" s="124" t="s">
        <v>48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 t="s">
        <v>49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</row>
    <row r="11" spans="1:55" s="46" customFormat="1" ht="13.5" customHeight="1">
      <c r="B11" s="127">
        <v>1</v>
      </c>
      <c r="C11" s="127"/>
      <c r="D11" s="114" t="s">
        <v>390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 t="s">
        <v>355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36" t="s">
        <v>137</v>
      </c>
      <c r="Z11" s="136"/>
      <c r="AA11" s="136"/>
      <c r="AB11" s="136"/>
      <c r="AC11" s="136"/>
      <c r="AD11" s="136"/>
      <c r="AE11" s="136"/>
      <c r="AF11" s="136"/>
      <c r="AG11" s="118" t="s">
        <v>129</v>
      </c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26" t="s">
        <v>129</v>
      </c>
      <c r="AX11" s="126"/>
      <c r="AY11" s="126"/>
      <c r="AZ11" s="126"/>
      <c r="BA11" s="126"/>
      <c r="BB11" s="126"/>
    </row>
    <row r="12" spans="1:55" s="46" customFormat="1" ht="13.5" customHeight="1">
      <c r="B12" s="127">
        <v>2</v>
      </c>
      <c r="C12" s="127"/>
      <c r="D12" s="114" t="s">
        <v>793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531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36" t="s">
        <v>137</v>
      </c>
      <c r="Z12" s="136"/>
      <c r="AA12" s="136"/>
      <c r="AB12" s="136"/>
      <c r="AC12" s="136"/>
      <c r="AD12" s="136"/>
      <c r="AE12" s="136"/>
      <c r="AF12" s="136"/>
      <c r="AG12" s="118" t="s">
        <v>129</v>
      </c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26" t="s">
        <v>129</v>
      </c>
      <c r="AX12" s="126"/>
      <c r="AY12" s="126"/>
      <c r="AZ12" s="126"/>
      <c r="BA12" s="126"/>
      <c r="BB12" s="126"/>
    </row>
    <row r="13" spans="1:55" s="46" customFormat="1" ht="13.5" customHeight="1">
      <c r="B13" s="127">
        <v>3</v>
      </c>
      <c r="C13" s="127"/>
      <c r="D13" s="114" t="s">
        <v>794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 t="s">
        <v>302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36" t="s">
        <v>132</v>
      </c>
      <c r="Z13" s="136"/>
      <c r="AA13" s="136"/>
      <c r="AB13" s="136"/>
      <c r="AC13" s="136"/>
      <c r="AD13" s="136"/>
      <c r="AE13" s="136"/>
      <c r="AF13" s="136"/>
      <c r="AG13" s="118" t="s">
        <v>129</v>
      </c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26" t="s">
        <v>129</v>
      </c>
      <c r="AX13" s="126"/>
      <c r="AY13" s="126"/>
      <c r="AZ13" s="126"/>
      <c r="BA13" s="126"/>
      <c r="BB13" s="126"/>
    </row>
    <row r="14" spans="1:55" s="46" customFormat="1" ht="13.5" customHeight="1">
      <c r="B14" s="127">
        <v>4</v>
      </c>
      <c r="C14" s="127"/>
      <c r="D14" s="126" t="s">
        <v>177</v>
      </c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 t="s">
        <v>178</v>
      </c>
      <c r="P14" s="126"/>
      <c r="Q14" s="126"/>
      <c r="R14" s="126"/>
      <c r="S14" s="126"/>
      <c r="T14" s="126"/>
      <c r="U14" s="126"/>
      <c r="V14" s="126"/>
      <c r="W14" s="126"/>
      <c r="X14" s="126"/>
      <c r="Y14" s="136" t="s">
        <v>137</v>
      </c>
      <c r="Z14" s="136"/>
      <c r="AA14" s="136"/>
      <c r="AB14" s="136"/>
      <c r="AC14" s="136"/>
      <c r="AD14" s="136"/>
      <c r="AE14" s="136"/>
      <c r="AF14" s="136"/>
      <c r="AG14" s="118" t="s">
        <v>129</v>
      </c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26" t="s">
        <v>129</v>
      </c>
      <c r="AX14" s="126"/>
      <c r="AY14" s="126"/>
      <c r="AZ14" s="126"/>
      <c r="BA14" s="126"/>
      <c r="BB14" s="126"/>
    </row>
    <row r="15" spans="1:55" s="46" customFormat="1" ht="13.5" customHeight="1">
      <c r="B15" s="127">
        <v>5</v>
      </c>
      <c r="C15" s="127"/>
      <c r="D15" s="114" t="s">
        <v>160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 t="s">
        <v>161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36" t="s">
        <v>137</v>
      </c>
      <c r="Z15" s="136"/>
      <c r="AA15" s="136"/>
      <c r="AB15" s="136"/>
      <c r="AC15" s="136"/>
      <c r="AD15" s="136"/>
      <c r="AE15" s="136"/>
      <c r="AF15" s="136"/>
      <c r="AG15" s="118" t="s">
        <v>129</v>
      </c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26" t="s">
        <v>129</v>
      </c>
      <c r="AX15" s="126"/>
      <c r="AY15" s="126"/>
      <c r="AZ15" s="126"/>
      <c r="BA15" s="126"/>
      <c r="BB15" s="126"/>
    </row>
    <row r="16" spans="1:55" s="46" customFormat="1" ht="13.5" customHeight="1">
      <c r="B16" s="127">
        <v>6</v>
      </c>
      <c r="C16" s="127"/>
      <c r="D16" s="114" t="s">
        <v>145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146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36" t="s">
        <v>132</v>
      </c>
      <c r="Z16" s="136"/>
      <c r="AA16" s="136"/>
      <c r="AB16" s="136"/>
      <c r="AC16" s="136"/>
      <c r="AD16" s="136"/>
      <c r="AE16" s="136"/>
      <c r="AF16" s="136"/>
      <c r="AG16" s="118" t="s">
        <v>129</v>
      </c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26" t="s">
        <v>129</v>
      </c>
      <c r="AX16" s="126"/>
      <c r="AY16" s="126"/>
      <c r="AZ16" s="126"/>
      <c r="BA16" s="126"/>
      <c r="BB16" s="126"/>
    </row>
    <row r="17" spans="2:54" s="46" customFormat="1" ht="13.5" customHeight="1">
      <c r="B17" s="127">
        <v>7</v>
      </c>
      <c r="C17" s="127"/>
      <c r="D17" s="114" t="s">
        <v>534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 t="s">
        <v>535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36" t="s">
        <v>137</v>
      </c>
      <c r="Z17" s="136"/>
      <c r="AA17" s="136"/>
      <c r="AB17" s="136"/>
      <c r="AC17" s="136"/>
      <c r="AD17" s="136"/>
      <c r="AE17" s="136"/>
      <c r="AF17" s="136"/>
      <c r="AG17" s="118" t="s">
        <v>129</v>
      </c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26" t="s">
        <v>129</v>
      </c>
      <c r="AX17" s="126"/>
      <c r="AY17" s="126"/>
      <c r="AZ17" s="126"/>
      <c r="BA17" s="126"/>
      <c r="BB17" s="126"/>
    </row>
    <row r="18" spans="2:54" s="46" customFormat="1" ht="13.5" customHeight="1">
      <c r="B18" s="127">
        <v>8</v>
      </c>
      <c r="C18" s="127"/>
      <c r="D18" s="114" t="s">
        <v>536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 t="s">
        <v>537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36" t="s">
        <v>132</v>
      </c>
      <c r="Z18" s="136"/>
      <c r="AA18" s="136"/>
      <c r="AB18" s="136"/>
      <c r="AC18" s="136"/>
      <c r="AD18" s="136"/>
      <c r="AE18" s="136"/>
      <c r="AF18" s="136"/>
      <c r="AG18" s="118" t="s">
        <v>129</v>
      </c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26" t="s">
        <v>129</v>
      </c>
      <c r="AX18" s="126"/>
      <c r="AY18" s="126"/>
      <c r="AZ18" s="126"/>
      <c r="BA18" s="126"/>
      <c r="BB18" s="126"/>
    </row>
    <row r="19" spans="2:54" s="46" customFormat="1" ht="13.5" customHeight="1">
      <c r="B19" s="127">
        <v>9</v>
      </c>
      <c r="C19" s="127"/>
      <c r="D19" s="114" t="s">
        <v>776</v>
      </c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 t="s">
        <v>625</v>
      </c>
      <c r="P19" s="114"/>
      <c r="Q19" s="114"/>
      <c r="R19" s="114"/>
      <c r="S19" s="114"/>
      <c r="T19" s="114"/>
      <c r="U19" s="114"/>
      <c r="V19" s="114"/>
      <c r="W19" s="114"/>
      <c r="X19" s="114"/>
      <c r="Y19" s="136" t="s">
        <v>132</v>
      </c>
      <c r="Z19" s="136"/>
      <c r="AA19" s="136"/>
      <c r="AB19" s="136"/>
      <c r="AC19" s="136"/>
      <c r="AD19" s="136"/>
      <c r="AE19" s="136"/>
      <c r="AF19" s="136"/>
      <c r="AG19" s="118" t="s">
        <v>129</v>
      </c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26" t="s">
        <v>129</v>
      </c>
      <c r="AX19" s="126"/>
      <c r="AY19" s="126"/>
      <c r="AZ19" s="126"/>
      <c r="BA19" s="126"/>
      <c r="BB19" s="126"/>
    </row>
    <row r="20" spans="2:54" s="46" customFormat="1" ht="13.5" customHeight="1">
      <c r="B20" s="127">
        <v>10</v>
      </c>
      <c r="C20" s="127"/>
      <c r="D20" s="114" t="s">
        <v>164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165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36" t="s">
        <v>137</v>
      </c>
      <c r="Z20" s="136"/>
      <c r="AA20" s="136"/>
      <c r="AB20" s="136"/>
      <c r="AC20" s="136"/>
      <c r="AD20" s="136"/>
      <c r="AE20" s="136"/>
      <c r="AF20" s="136"/>
      <c r="AG20" s="118" t="s">
        <v>129</v>
      </c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26" t="s">
        <v>129</v>
      </c>
      <c r="AX20" s="126"/>
      <c r="AY20" s="126"/>
      <c r="AZ20" s="126"/>
      <c r="BA20" s="126"/>
      <c r="BB20" s="126"/>
    </row>
    <row r="21" spans="2:54" s="46" customFormat="1" ht="13.5" customHeight="1">
      <c r="B21" s="127">
        <v>11</v>
      </c>
      <c r="C21" s="127"/>
      <c r="D21" s="114" t="s">
        <v>153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 t="s">
        <v>154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36" t="s">
        <v>132</v>
      </c>
      <c r="Z21" s="136"/>
      <c r="AA21" s="136"/>
      <c r="AB21" s="136"/>
      <c r="AC21" s="136"/>
      <c r="AD21" s="136"/>
      <c r="AE21" s="136"/>
      <c r="AF21" s="136"/>
      <c r="AG21" s="118" t="s">
        <v>129</v>
      </c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26" t="s">
        <v>129</v>
      </c>
      <c r="AX21" s="126"/>
      <c r="AY21" s="126"/>
      <c r="AZ21" s="126"/>
      <c r="BA21" s="126"/>
      <c r="BB21" s="126"/>
    </row>
    <row r="22" spans="2:54" s="46" customFormat="1" ht="13.5" customHeight="1">
      <c r="B22" s="127">
        <v>12</v>
      </c>
      <c r="C22" s="127"/>
      <c r="D22" s="114" t="s">
        <v>233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 t="s">
        <v>234</v>
      </c>
      <c r="P22" s="114"/>
      <c r="Q22" s="114"/>
      <c r="R22" s="114"/>
      <c r="S22" s="114"/>
      <c r="T22" s="114"/>
      <c r="U22" s="114"/>
      <c r="V22" s="114"/>
      <c r="W22" s="114"/>
      <c r="X22" s="114"/>
      <c r="Y22" s="136" t="s">
        <v>137</v>
      </c>
      <c r="Z22" s="136"/>
      <c r="AA22" s="136"/>
      <c r="AB22" s="136"/>
      <c r="AC22" s="136"/>
      <c r="AD22" s="136"/>
      <c r="AE22" s="136"/>
      <c r="AF22" s="136"/>
      <c r="AG22" s="118" t="s">
        <v>129</v>
      </c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26" t="s">
        <v>129</v>
      </c>
      <c r="AX22" s="126"/>
      <c r="AY22" s="126"/>
      <c r="AZ22" s="126"/>
      <c r="BA22" s="126"/>
      <c r="BB22" s="126"/>
    </row>
    <row r="23" spans="2:54" s="46" customFormat="1" ht="13.5" customHeight="1">
      <c r="B23" s="127">
        <v>13</v>
      </c>
      <c r="C23" s="127"/>
      <c r="D23" s="114" t="s">
        <v>133</v>
      </c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 t="s">
        <v>134</v>
      </c>
      <c r="P23" s="114"/>
      <c r="Q23" s="114"/>
      <c r="R23" s="114"/>
      <c r="S23" s="114"/>
      <c r="T23" s="114"/>
      <c r="U23" s="114"/>
      <c r="V23" s="114"/>
      <c r="W23" s="114"/>
      <c r="X23" s="114"/>
      <c r="Y23" s="136" t="s">
        <v>132</v>
      </c>
      <c r="Z23" s="136"/>
      <c r="AA23" s="136"/>
      <c r="AB23" s="136"/>
      <c r="AC23" s="136"/>
      <c r="AD23" s="136"/>
      <c r="AE23" s="136"/>
      <c r="AF23" s="136"/>
      <c r="AG23" s="118" t="s">
        <v>129</v>
      </c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26" t="s">
        <v>129</v>
      </c>
      <c r="AX23" s="126"/>
      <c r="AY23" s="126"/>
      <c r="AZ23" s="126"/>
      <c r="BA23" s="126"/>
      <c r="BB23" s="126"/>
    </row>
    <row r="24" spans="2:54" s="46" customFormat="1" ht="13.5" customHeight="1">
      <c r="B24" s="127">
        <v>14</v>
      </c>
      <c r="C24" s="127"/>
      <c r="D24" s="114" t="s">
        <v>795</v>
      </c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 t="s">
        <v>796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30" t="s">
        <v>210</v>
      </c>
      <c r="Z24" s="130"/>
      <c r="AA24" s="130"/>
      <c r="AB24" s="130"/>
      <c r="AC24" s="130"/>
      <c r="AD24" s="130"/>
      <c r="AE24" s="130"/>
      <c r="AF24" s="130"/>
      <c r="AG24" s="118" t="s">
        <v>129</v>
      </c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26" t="s">
        <v>129</v>
      </c>
      <c r="AX24" s="126"/>
      <c r="AY24" s="126"/>
      <c r="AZ24" s="126"/>
      <c r="BA24" s="126"/>
      <c r="BB24" s="126"/>
    </row>
    <row r="25" spans="2:54" s="46" customFormat="1" ht="13.5" customHeight="1">
      <c r="B25" s="127">
        <v>15</v>
      </c>
      <c r="C25" s="127"/>
      <c r="D25" s="114" t="s">
        <v>261</v>
      </c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 t="s">
        <v>262</v>
      </c>
      <c r="P25" s="114"/>
      <c r="Q25" s="114"/>
      <c r="R25" s="114"/>
      <c r="S25" s="114"/>
      <c r="T25" s="114"/>
      <c r="U25" s="114"/>
      <c r="V25" s="114"/>
      <c r="W25" s="114"/>
      <c r="X25" s="114"/>
      <c r="Y25" s="136" t="s">
        <v>137</v>
      </c>
      <c r="Z25" s="136"/>
      <c r="AA25" s="136"/>
      <c r="AB25" s="136"/>
      <c r="AC25" s="136"/>
      <c r="AD25" s="136"/>
      <c r="AE25" s="136"/>
      <c r="AF25" s="136"/>
      <c r="AG25" s="118" t="s">
        <v>129</v>
      </c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26" t="s">
        <v>129</v>
      </c>
      <c r="AX25" s="126"/>
      <c r="AY25" s="126"/>
      <c r="AZ25" s="126"/>
      <c r="BA25" s="126"/>
      <c r="BB25" s="126"/>
    </row>
    <row r="26" spans="2:54" s="46" customFormat="1" ht="13.5" customHeight="1">
      <c r="B26" s="127">
        <v>16</v>
      </c>
      <c r="C26" s="127"/>
      <c r="D26" s="114" t="s">
        <v>263</v>
      </c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 t="s">
        <v>330</v>
      </c>
      <c r="P26" s="114"/>
      <c r="Q26" s="114"/>
      <c r="R26" s="114"/>
      <c r="S26" s="114"/>
      <c r="T26" s="114"/>
      <c r="U26" s="114"/>
      <c r="V26" s="114"/>
      <c r="W26" s="114"/>
      <c r="X26" s="114"/>
      <c r="Y26" s="136" t="s">
        <v>132</v>
      </c>
      <c r="Z26" s="136"/>
      <c r="AA26" s="136"/>
      <c r="AB26" s="136"/>
      <c r="AC26" s="136"/>
      <c r="AD26" s="136"/>
      <c r="AE26" s="136"/>
      <c r="AF26" s="136"/>
      <c r="AG26" s="118" t="s">
        <v>129</v>
      </c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26" t="s">
        <v>129</v>
      </c>
      <c r="AX26" s="126"/>
      <c r="AY26" s="126"/>
      <c r="AZ26" s="126"/>
      <c r="BA26" s="126"/>
      <c r="BB26" s="126"/>
    </row>
    <row r="27" spans="2:54" s="46" customFormat="1" ht="13.5" customHeight="1">
      <c r="B27" s="127">
        <v>17</v>
      </c>
      <c r="C27" s="127"/>
      <c r="D27" s="114" t="s">
        <v>292</v>
      </c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 t="s">
        <v>275</v>
      </c>
      <c r="P27" s="114"/>
      <c r="Q27" s="114"/>
      <c r="R27" s="114"/>
      <c r="S27" s="114"/>
      <c r="T27" s="114"/>
      <c r="U27" s="114"/>
      <c r="V27" s="114"/>
      <c r="W27" s="114"/>
      <c r="X27" s="114"/>
      <c r="Y27" s="136" t="s">
        <v>137</v>
      </c>
      <c r="Z27" s="136"/>
      <c r="AA27" s="136"/>
      <c r="AB27" s="136"/>
      <c r="AC27" s="136"/>
      <c r="AD27" s="136"/>
      <c r="AE27" s="136"/>
      <c r="AF27" s="136"/>
      <c r="AG27" s="118" t="s">
        <v>129</v>
      </c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26" t="s">
        <v>129</v>
      </c>
      <c r="AX27" s="126"/>
      <c r="AY27" s="126"/>
      <c r="AZ27" s="126"/>
      <c r="BA27" s="126"/>
      <c r="BB27" s="126"/>
    </row>
    <row r="28" spans="2:54" s="46" customFormat="1" ht="13.5" customHeight="1">
      <c r="B28" s="127">
        <v>18</v>
      </c>
      <c r="C28" s="127"/>
      <c r="D28" s="114" t="s">
        <v>797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 t="s">
        <v>798</v>
      </c>
      <c r="P28" s="114"/>
      <c r="Q28" s="114"/>
      <c r="R28" s="114"/>
      <c r="S28" s="114"/>
      <c r="T28" s="114"/>
      <c r="U28" s="114"/>
      <c r="V28" s="114"/>
      <c r="W28" s="114"/>
      <c r="X28" s="114"/>
      <c r="Y28" s="130" t="s">
        <v>210</v>
      </c>
      <c r="Z28" s="130"/>
      <c r="AA28" s="130"/>
      <c r="AB28" s="130"/>
      <c r="AC28" s="130"/>
      <c r="AD28" s="130"/>
      <c r="AE28" s="130"/>
      <c r="AF28" s="130"/>
      <c r="AG28" s="118" t="s">
        <v>129</v>
      </c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26" t="s">
        <v>129</v>
      </c>
      <c r="AX28" s="126"/>
      <c r="AY28" s="126"/>
      <c r="AZ28" s="126"/>
      <c r="BA28" s="126"/>
      <c r="BB28" s="126"/>
    </row>
    <row r="29" spans="2:54" s="46" customFormat="1" ht="13.5" customHeight="1">
      <c r="B29" s="127">
        <v>19</v>
      </c>
      <c r="C29" s="127"/>
      <c r="D29" s="114" t="s">
        <v>799</v>
      </c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 t="s">
        <v>343</v>
      </c>
      <c r="P29" s="114"/>
      <c r="Q29" s="114"/>
      <c r="R29" s="114"/>
      <c r="S29" s="114"/>
      <c r="T29" s="114"/>
      <c r="U29" s="114"/>
      <c r="V29" s="114"/>
      <c r="W29" s="114"/>
      <c r="X29" s="114"/>
      <c r="Y29" s="136" t="s">
        <v>137</v>
      </c>
      <c r="Z29" s="136"/>
      <c r="AA29" s="136"/>
      <c r="AB29" s="136"/>
      <c r="AC29" s="136"/>
      <c r="AD29" s="136"/>
      <c r="AE29" s="136"/>
      <c r="AF29" s="136"/>
      <c r="AG29" s="118" t="s">
        <v>129</v>
      </c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26" t="s">
        <v>129</v>
      </c>
      <c r="AX29" s="126"/>
      <c r="AY29" s="126"/>
      <c r="AZ29" s="126"/>
      <c r="BA29" s="126"/>
      <c r="BB29" s="126"/>
    </row>
  </sheetData>
  <mergeCells count="140">
    <mergeCell ref="B28:C28"/>
    <mergeCell ref="D28:N28"/>
    <mergeCell ref="O28:X28"/>
    <mergeCell ref="Y28:AF28"/>
    <mergeCell ref="AG28:AV28"/>
    <mergeCell ref="AW28:BB28"/>
    <mergeCell ref="B29:C29"/>
    <mergeCell ref="D29:N29"/>
    <mergeCell ref="O29:X29"/>
    <mergeCell ref="Y29:AF29"/>
    <mergeCell ref="AG29:AV29"/>
    <mergeCell ref="AW29:BB29"/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MJ3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44"/>
  </cols>
  <sheetData>
    <row r="1" spans="1:57" s="30" customFormat="1" ht="13.5" customHeight="1">
      <c r="A1" s="76" t="s">
        <v>845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7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 t="s">
        <v>6</v>
      </c>
      <c r="AU2" s="85"/>
      <c r="AV2" s="85"/>
      <c r="AW2" s="85"/>
      <c r="AX2" s="85"/>
      <c r="AY2" s="86">
        <v>44294</v>
      </c>
      <c r="AZ2" s="86"/>
      <c r="BA2" s="86"/>
      <c r="BB2" s="86"/>
      <c r="BC2" s="86"/>
    </row>
    <row r="3" spans="1:57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86"/>
      <c r="AZ3" s="86"/>
      <c r="BA3" s="86"/>
      <c r="BB3" s="86"/>
      <c r="BC3" s="86"/>
    </row>
    <row r="4" spans="1:57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6"/>
      <c r="AZ4" s="46"/>
      <c r="BA4" s="46"/>
      <c r="BB4" s="46"/>
      <c r="BC4" s="46"/>
    </row>
    <row r="5" spans="1:57" s="46" customFormat="1" ht="12.75" customHeight="1">
      <c r="B5" s="124" t="s">
        <v>119</v>
      </c>
      <c r="C5" s="124"/>
      <c r="D5" s="124"/>
      <c r="E5" s="124"/>
      <c r="F5" s="124"/>
      <c r="G5" s="124"/>
      <c r="H5" s="128" t="s">
        <v>800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57" s="46" customFormat="1" ht="12.75" customHeight="1">
      <c r="B6" s="124" t="s">
        <v>119</v>
      </c>
      <c r="C6" s="124"/>
      <c r="D6" s="124"/>
      <c r="E6" s="124"/>
      <c r="F6" s="124"/>
      <c r="G6" s="124"/>
      <c r="H6" s="128" t="s">
        <v>116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 spans="1:57" s="46" customFormat="1" ht="12.75" customHeight="1">
      <c r="B7" s="124" t="s">
        <v>121</v>
      </c>
      <c r="C7" s="124"/>
      <c r="D7" s="124"/>
      <c r="E7" s="124"/>
      <c r="F7" s="124"/>
      <c r="G7" s="124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</row>
    <row r="8" spans="1:57" ht="12.75" customHeight="1"/>
    <row r="9" spans="1:57" s="46" customFormat="1" ht="12.75" customHeight="1">
      <c r="B9" s="134" t="s">
        <v>46</v>
      </c>
      <c r="C9" s="134"/>
      <c r="D9" s="124" t="s">
        <v>122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 t="s">
        <v>49</v>
      </c>
      <c r="P9" s="124"/>
      <c r="Q9" s="124"/>
      <c r="R9" s="124"/>
      <c r="S9" s="124"/>
      <c r="T9" s="124"/>
      <c r="U9" s="124"/>
      <c r="V9" s="124"/>
      <c r="W9" s="124"/>
      <c r="X9" s="124"/>
      <c r="Y9" s="134" t="s">
        <v>123</v>
      </c>
      <c r="Z9" s="134"/>
      <c r="AA9" s="134"/>
      <c r="AB9" s="134"/>
      <c r="AC9" s="134"/>
      <c r="AD9" s="134"/>
      <c r="AE9" s="134"/>
      <c r="AF9" s="134"/>
      <c r="AG9" s="134" t="s">
        <v>124</v>
      </c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 t="s">
        <v>125</v>
      </c>
      <c r="AX9" s="134"/>
      <c r="AY9" s="134"/>
      <c r="AZ9" s="134"/>
      <c r="BA9" s="134"/>
      <c r="BB9" s="134"/>
    </row>
    <row r="10" spans="1:57" s="46" customFormat="1" ht="12.75" customHeight="1">
      <c r="B10" s="134"/>
      <c r="C10" s="134"/>
      <c r="D10" s="134" t="s">
        <v>48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 t="s">
        <v>49</v>
      </c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</row>
    <row r="11" spans="1:57" s="46" customFormat="1" ht="12.75" customHeight="1">
      <c r="B11" s="135">
        <v>1</v>
      </c>
      <c r="C11" s="135"/>
      <c r="D11" s="136" t="s">
        <v>354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 t="s">
        <v>355</v>
      </c>
      <c r="P11" s="136"/>
      <c r="Q11" s="136"/>
      <c r="R11" s="136"/>
      <c r="S11" s="136"/>
      <c r="T11" s="136"/>
      <c r="U11" s="136"/>
      <c r="V11" s="136"/>
      <c r="W11" s="136"/>
      <c r="X11" s="136"/>
      <c r="Y11" s="136" t="s">
        <v>137</v>
      </c>
      <c r="Z11" s="136"/>
      <c r="AA11" s="136"/>
      <c r="AB11" s="136"/>
      <c r="AC11" s="136"/>
      <c r="AD11" s="136"/>
      <c r="AE11" s="136"/>
      <c r="AF11" s="136"/>
      <c r="AG11" s="130" t="s">
        <v>129</v>
      </c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 t="s">
        <v>129</v>
      </c>
      <c r="AX11" s="130"/>
      <c r="AY11" s="130"/>
      <c r="AZ11" s="130"/>
      <c r="BA11" s="130"/>
      <c r="BB11" s="130"/>
    </row>
    <row r="12" spans="1:57" ht="12.75" customHeight="1">
      <c r="B12" s="135">
        <v>2</v>
      </c>
      <c r="C12" s="135"/>
      <c r="D12" s="136" t="s">
        <v>530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 t="s">
        <v>531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 t="s">
        <v>137</v>
      </c>
      <c r="Z12" s="136"/>
      <c r="AA12" s="136"/>
      <c r="AB12" s="136"/>
      <c r="AC12" s="136"/>
      <c r="AD12" s="136"/>
      <c r="AE12" s="136"/>
      <c r="AF12" s="136"/>
      <c r="AG12" s="130" t="s">
        <v>129</v>
      </c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 t="s">
        <v>129</v>
      </c>
      <c r="AX12" s="130"/>
      <c r="AY12" s="130"/>
      <c r="AZ12" s="130"/>
      <c r="BA12" s="130"/>
      <c r="BB12" s="130"/>
    </row>
    <row r="13" spans="1:57" ht="12.75" customHeight="1">
      <c r="B13" s="135">
        <v>3</v>
      </c>
      <c r="C13" s="135"/>
      <c r="D13" s="136" t="s">
        <v>301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 t="s">
        <v>302</v>
      </c>
      <c r="P13" s="136"/>
      <c r="Q13" s="136"/>
      <c r="R13" s="136"/>
      <c r="S13" s="136"/>
      <c r="T13" s="136"/>
      <c r="U13" s="136"/>
      <c r="V13" s="136"/>
      <c r="W13" s="136"/>
      <c r="X13" s="136"/>
      <c r="Y13" s="136" t="s">
        <v>132</v>
      </c>
      <c r="Z13" s="136"/>
      <c r="AA13" s="136"/>
      <c r="AB13" s="136"/>
      <c r="AC13" s="136"/>
      <c r="AD13" s="136"/>
      <c r="AE13" s="136"/>
      <c r="AF13" s="136"/>
      <c r="AG13" s="130" t="s">
        <v>129</v>
      </c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 t="s">
        <v>129</v>
      </c>
      <c r="AX13" s="130"/>
      <c r="AY13" s="130"/>
      <c r="AZ13" s="130"/>
      <c r="BA13" s="130"/>
      <c r="BB13" s="130"/>
    </row>
    <row r="14" spans="1:57" ht="12.75" customHeight="1">
      <c r="B14" s="135">
        <v>4</v>
      </c>
      <c r="C14" s="135"/>
      <c r="D14" s="136" t="s">
        <v>532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 t="s">
        <v>533</v>
      </c>
      <c r="P14" s="136"/>
      <c r="Q14" s="136"/>
      <c r="R14" s="136"/>
      <c r="S14" s="136"/>
      <c r="T14" s="136"/>
      <c r="U14" s="136"/>
      <c r="V14" s="136"/>
      <c r="W14" s="136"/>
      <c r="X14" s="136"/>
      <c r="Y14" s="136" t="s">
        <v>132</v>
      </c>
      <c r="Z14" s="136"/>
      <c r="AA14" s="136"/>
      <c r="AB14" s="136"/>
      <c r="AC14" s="136"/>
      <c r="AD14" s="136"/>
      <c r="AE14" s="136"/>
      <c r="AF14" s="136"/>
      <c r="AG14" s="130" t="s">
        <v>129</v>
      </c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 t="s">
        <v>129</v>
      </c>
      <c r="AX14" s="130"/>
      <c r="AY14" s="130"/>
      <c r="AZ14" s="130"/>
      <c r="BA14" s="130"/>
      <c r="BB14" s="130"/>
    </row>
    <row r="15" spans="1:57" s="53" customFormat="1" ht="12.75" hidden="1" customHeight="1">
      <c r="B15" s="158">
        <v>5</v>
      </c>
      <c r="C15" s="158"/>
      <c r="D15" s="184" t="s">
        <v>623</v>
      </c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 t="s">
        <v>624</v>
      </c>
      <c r="P15" s="184"/>
      <c r="Q15" s="184"/>
      <c r="R15" s="184"/>
      <c r="S15" s="184"/>
      <c r="T15" s="184"/>
      <c r="U15" s="184"/>
      <c r="V15" s="184"/>
      <c r="W15" s="184"/>
      <c r="X15" s="184"/>
      <c r="Y15" s="184" t="s">
        <v>132</v>
      </c>
      <c r="Z15" s="184"/>
      <c r="AA15" s="184"/>
      <c r="AB15" s="184"/>
      <c r="AC15" s="184"/>
      <c r="AD15" s="184"/>
      <c r="AE15" s="184"/>
      <c r="AF15" s="184"/>
      <c r="AG15" s="133" t="s">
        <v>129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 t="s">
        <v>129</v>
      </c>
      <c r="AX15" s="133"/>
      <c r="AY15" s="133"/>
      <c r="AZ15" s="133"/>
      <c r="BA15" s="133"/>
      <c r="BB15" s="133"/>
      <c r="BE15" s="57" t="s">
        <v>523</v>
      </c>
    </row>
    <row r="16" spans="1:57" ht="12.75" customHeight="1">
      <c r="B16" s="135">
        <v>6</v>
      </c>
      <c r="C16" s="135"/>
      <c r="D16" s="136" t="s">
        <v>801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 t="s">
        <v>802</v>
      </c>
      <c r="P16" s="136"/>
      <c r="Q16" s="136"/>
      <c r="R16" s="136"/>
      <c r="S16" s="136"/>
      <c r="T16" s="136"/>
      <c r="U16" s="136"/>
      <c r="V16" s="136"/>
      <c r="W16" s="136"/>
      <c r="X16" s="136"/>
      <c r="Y16" s="136" t="s">
        <v>132</v>
      </c>
      <c r="Z16" s="136"/>
      <c r="AA16" s="136"/>
      <c r="AB16" s="136"/>
      <c r="AC16" s="136"/>
      <c r="AD16" s="136"/>
      <c r="AE16" s="136"/>
      <c r="AF16" s="136"/>
      <c r="AG16" s="130" t="s">
        <v>129</v>
      </c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 t="s">
        <v>129</v>
      </c>
      <c r="AX16" s="130"/>
      <c r="AY16" s="130"/>
      <c r="AZ16" s="130"/>
      <c r="BA16" s="130"/>
      <c r="BB16" s="130"/>
    </row>
    <row r="17" spans="2:57" ht="12.75" customHeight="1">
      <c r="B17" s="135">
        <v>7</v>
      </c>
      <c r="C17" s="135"/>
      <c r="D17" s="136" t="s">
        <v>745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 t="s">
        <v>746</v>
      </c>
      <c r="P17" s="136"/>
      <c r="Q17" s="136"/>
      <c r="R17" s="136"/>
      <c r="S17" s="136"/>
      <c r="T17" s="136"/>
      <c r="U17" s="136"/>
      <c r="V17" s="136"/>
      <c r="W17" s="136"/>
      <c r="X17" s="136"/>
      <c r="Y17" s="136" t="s">
        <v>132</v>
      </c>
      <c r="Z17" s="136"/>
      <c r="AA17" s="136"/>
      <c r="AB17" s="136"/>
      <c r="AC17" s="136"/>
      <c r="AD17" s="136"/>
      <c r="AE17" s="136"/>
      <c r="AF17" s="136"/>
      <c r="AG17" s="130" t="s">
        <v>129</v>
      </c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 t="s">
        <v>129</v>
      </c>
      <c r="AX17" s="130"/>
      <c r="AY17" s="130"/>
      <c r="AZ17" s="130"/>
      <c r="BA17" s="130"/>
      <c r="BB17" s="130"/>
    </row>
    <row r="18" spans="2:57" ht="12.75" customHeight="1">
      <c r="B18" s="135">
        <v>8</v>
      </c>
      <c r="C18" s="135"/>
      <c r="D18" s="136" t="s">
        <v>743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 t="s">
        <v>744</v>
      </c>
      <c r="P18" s="136"/>
      <c r="Q18" s="136"/>
      <c r="R18" s="136"/>
      <c r="S18" s="136"/>
      <c r="T18" s="136"/>
      <c r="U18" s="136"/>
      <c r="V18" s="136"/>
      <c r="W18" s="136"/>
      <c r="X18" s="136"/>
      <c r="Y18" s="136" t="s">
        <v>207</v>
      </c>
      <c r="Z18" s="136"/>
      <c r="AA18" s="136"/>
      <c r="AB18" s="136"/>
      <c r="AC18" s="136"/>
      <c r="AD18" s="136"/>
      <c r="AE18" s="136"/>
      <c r="AF18" s="136"/>
      <c r="AG18" s="130" t="s">
        <v>129</v>
      </c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 t="s">
        <v>129</v>
      </c>
      <c r="AX18" s="130"/>
      <c r="AY18" s="130"/>
      <c r="AZ18" s="130"/>
      <c r="BA18" s="130"/>
      <c r="BB18" s="130"/>
    </row>
    <row r="19" spans="2:57" ht="12.75" customHeight="1">
      <c r="B19" s="135">
        <v>9</v>
      </c>
      <c r="C19" s="135"/>
      <c r="D19" s="136" t="s">
        <v>145</v>
      </c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 t="s">
        <v>146</v>
      </c>
      <c r="P19" s="136"/>
      <c r="Q19" s="136"/>
      <c r="R19" s="136"/>
      <c r="S19" s="136"/>
      <c r="T19" s="136"/>
      <c r="U19" s="136"/>
      <c r="V19" s="136"/>
      <c r="W19" s="136"/>
      <c r="X19" s="136"/>
      <c r="Y19" s="136" t="s">
        <v>132</v>
      </c>
      <c r="Z19" s="136"/>
      <c r="AA19" s="136"/>
      <c r="AB19" s="136"/>
      <c r="AC19" s="136"/>
      <c r="AD19" s="136"/>
      <c r="AE19" s="136"/>
      <c r="AF19" s="136"/>
      <c r="AG19" s="130" t="s">
        <v>129</v>
      </c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 t="s">
        <v>129</v>
      </c>
      <c r="AX19" s="130"/>
      <c r="AY19" s="130"/>
      <c r="AZ19" s="130"/>
      <c r="BA19" s="130"/>
      <c r="BB19" s="130"/>
    </row>
    <row r="20" spans="2:57" ht="12.75" customHeight="1">
      <c r="B20" s="135">
        <v>10</v>
      </c>
      <c r="C20" s="135"/>
      <c r="D20" s="136" t="s">
        <v>164</v>
      </c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 t="s">
        <v>165</v>
      </c>
      <c r="P20" s="136"/>
      <c r="Q20" s="136"/>
      <c r="R20" s="136"/>
      <c r="S20" s="136"/>
      <c r="T20" s="136"/>
      <c r="U20" s="136"/>
      <c r="V20" s="136"/>
      <c r="W20" s="136"/>
      <c r="X20" s="136"/>
      <c r="Y20" s="136" t="s">
        <v>137</v>
      </c>
      <c r="Z20" s="136"/>
      <c r="AA20" s="136"/>
      <c r="AB20" s="136"/>
      <c r="AC20" s="136"/>
      <c r="AD20" s="136"/>
      <c r="AE20" s="136"/>
      <c r="AF20" s="136"/>
      <c r="AG20" s="130" t="s">
        <v>129</v>
      </c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 t="s">
        <v>129</v>
      </c>
      <c r="AX20" s="130"/>
      <c r="AY20" s="130"/>
      <c r="AZ20" s="130"/>
      <c r="BA20" s="130"/>
      <c r="BB20" s="130"/>
    </row>
    <row r="21" spans="2:57" ht="12.75" customHeight="1">
      <c r="B21" s="135">
        <v>11</v>
      </c>
      <c r="C21" s="135"/>
      <c r="D21" s="136" t="s">
        <v>153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 t="s">
        <v>154</v>
      </c>
      <c r="P21" s="136"/>
      <c r="Q21" s="136"/>
      <c r="R21" s="136"/>
      <c r="S21" s="136"/>
      <c r="T21" s="136"/>
      <c r="U21" s="136"/>
      <c r="V21" s="136"/>
      <c r="W21" s="136"/>
      <c r="X21" s="136"/>
      <c r="Y21" s="136" t="s">
        <v>132</v>
      </c>
      <c r="Z21" s="136"/>
      <c r="AA21" s="136"/>
      <c r="AB21" s="136"/>
      <c r="AC21" s="136"/>
      <c r="AD21" s="136"/>
      <c r="AE21" s="136"/>
      <c r="AF21" s="136"/>
      <c r="AG21" s="130" t="s">
        <v>129</v>
      </c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 t="s">
        <v>129</v>
      </c>
      <c r="AX21" s="130"/>
      <c r="AY21" s="130"/>
      <c r="AZ21" s="130"/>
      <c r="BA21" s="130"/>
      <c r="BB21" s="130"/>
    </row>
    <row r="22" spans="2:57" ht="12.75" customHeight="1">
      <c r="B22" s="135">
        <v>12</v>
      </c>
      <c r="C22" s="135"/>
      <c r="D22" s="136" t="s">
        <v>536</v>
      </c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 t="s">
        <v>537</v>
      </c>
      <c r="P22" s="136"/>
      <c r="Q22" s="136"/>
      <c r="R22" s="136"/>
      <c r="S22" s="136"/>
      <c r="T22" s="136"/>
      <c r="U22" s="136"/>
      <c r="V22" s="136"/>
      <c r="W22" s="136"/>
      <c r="X22" s="136"/>
      <c r="Y22" s="136" t="s">
        <v>132</v>
      </c>
      <c r="Z22" s="136"/>
      <c r="AA22" s="136"/>
      <c r="AB22" s="136"/>
      <c r="AC22" s="136"/>
      <c r="AD22" s="136"/>
      <c r="AE22" s="136"/>
      <c r="AF22" s="136"/>
      <c r="AG22" s="130" t="s">
        <v>129</v>
      </c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 t="s">
        <v>129</v>
      </c>
      <c r="AX22" s="130"/>
      <c r="AY22" s="130"/>
      <c r="AZ22" s="130"/>
      <c r="BA22" s="130"/>
      <c r="BB22" s="130"/>
    </row>
    <row r="23" spans="2:57" ht="12.75" customHeight="1">
      <c r="B23" s="135">
        <v>13</v>
      </c>
      <c r="C23" s="135"/>
      <c r="D23" s="136" t="s">
        <v>125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 t="s">
        <v>625</v>
      </c>
      <c r="P23" s="136"/>
      <c r="Q23" s="136"/>
      <c r="R23" s="136"/>
      <c r="S23" s="136"/>
      <c r="T23" s="136"/>
      <c r="U23" s="136"/>
      <c r="V23" s="136"/>
      <c r="W23" s="136"/>
      <c r="X23" s="136"/>
      <c r="Y23" s="136" t="s">
        <v>132</v>
      </c>
      <c r="Z23" s="136"/>
      <c r="AA23" s="136"/>
      <c r="AB23" s="136"/>
      <c r="AC23" s="136"/>
      <c r="AD23" s="136"/>
      <c r="AE23" s="136"/>
      <c r="AF23" s="136"/>
      <c r="AG23" s="130" t="s">
        <v>129</v>
      </c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 t="s">
        <v>129</v>
      </c>
      <c r="AX23" s="130"/>
      <c r="AY23" s="130"/>
      <c r="AZ23" s="130"/>
      <c r="BA23" s="130"/>
      <c r="BB23" s="130"/>
    </row>
    <row r="24" spans="2:57" ht="12.75" customHeight="1">
      <c r="B24" s="135">
        <v>14</v>
      </c>
      <c r="C24" s="135"/>
      <c r="D24" s="136" t="s">
        <v>668</v>
      </c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 t="s">
        <v>649</v>
      </c>
      <c r="P24" s="136"/>
      <c r="Q24" s="136"/>
      <c r="R24" s="136"/>
      <c r="S24" s="136"/>
      <c r="T24" s="136"/>
      <c r="U24" s="136"/>
      <c r="V24" s="136"/>
      <c r="W24" s="136"/>
      <c r="X24" s="136"/>
      <c r="Y24" s="136" t="s">
        <v>132</v>
      </c>
      <c r="Z24" s="136"/>
      <c r="AA24" s="136"/>
      <c r="AB24" s="136"/>
      <c r="AC24" s="136"/>
      <c r="AD24" s="136"/>
      <c r="AE24" s="136"/>
      <c r="AF24" s="136"/>
      <c r="AG24" s="130" t="s">
        <v>129</v>
      </c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 t="s">
        <v>129</v>
      </c>
      <c r="AX24" s="130"/>
      <c r="AY24" s="130"/>
      <c r="AZ24" s="130"/>
      <c r="BA24" s="130"/>
      <c r="BB24" s="130"/>
    </row>
    <row r="25" spans="2:57" s="53" customFormat="1" ht="12.75" customHeight="1">
      <c r="B25" s="158">
        <v>15</v>
      </c>
      <c r="C25" s="158"/>
      <c r="D25" s="184" t="s">
        <v>177</v>
      </c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 t="s">
        <v>178</v>
      </c>
      <c r="P25" s="184"/>
      <c r="Q25" s="184"/>
      <c r="R25" s="184"/>
      <c r="S25" s="184"/>
      <c r="T25" s="184"/>
      <c r="U25" s="184"/>
      <c r="V25" s="184"/>
      <c r="W25" s="184"/>
      <c r="X25" s="184"/>
      <c r="Y25" s="184" t="s">
        <v>137</v>
      </c>
      <c r="Z25" s="184"/>
      <c r="AA25" s="184"/>
      <c r="AB25" s="184"/>
      <c r="AC25" s="184"/>
      <c r="AD25" s="184"/>
      <c r="AE25" s="184"/>
      <c r="AF25" s="184"/>
      <c r="AG25" s="133" t="s">
        <v>129</v>
      </c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 t="s">
        <v>129</v>
      </c>
      <c r="AX25" s="133"/>
      <c r="AY25" s="133"/>
      <c r="AZ25" s="133"/>
      <c r="BA25" s="133"/>
      <c r="BB25" s="133"/>
      <c r="BE25" s="57"/>
    </row>
    <row r="26" spans="2:57" s="53" customFormat="1" ht="12.75" customHeight="1">
      <c r="B26" s="158">
        <v>16</v>
      </c>
      <c r="C26" s="158"/>
      <c r="D26" s="184" t="s">
        <v>551</v>
      </c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 t="s">
        <v>552</v>
      </c>
      <c r="P26" s="184"/>
      <c r="Q26" s="184"/>
      <c r="R26" s="184"/>
      <c r="S26" s="184"/>
      <c r="T26" s="184"/>
      <c r="U26" s="184"/>
      <c r="V26" s="184"/>
      <c r="W26" s="184"/>
      <c r="X26" s="184"/>
      <c r="Y26" s="184" t="s">
        <v>207</v>
      </c>
      <c r="Z26" s="184"/>
      <c r="AA26" s="184"/>
      <c r="AB26" s="184"/>
      <c r="AC26" s="184"/>
      <c r="AD26" s="184"/>
      <c r="AE26" s="184"/>
      <c r="AF26" s="184"/>
      <c r="AG26" s="133" t="s">
        <v>129</v>
      </c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 t="s">
        <v>129</v>
      </c>
      <c r="AX26" s="133"/>
      <c r="AY26" s="133"/>
      <c r="AZ26" s="133"/>
      <c r="BA26" s="133"/>
      <c r="BB26" s="133"/>
      <c r="BE26" s="57"/>
    </row>
    <row r="27" spans="2:57" s="53" customFormat="1" ht="12.75" customHeight="1">
      <c r="B27" s="158">
        <v>17</v>
      </c>
      <c r="C27" s="158"/>
      <c r="D27" s="184" t="s">
        <v>553</v>
      </c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 t="s">
        <v>554</v>
      </c>
      <c r="P27" s="184"/>
      <c r="Q27" s="184"/>
      <c r="R27" s="184"/>
      <c r="S27" s="184"/>
      <c r="T27" s="184"/>
      <c r="U27" s="184"/>
      <c r="V27" s="184"/>
      <c r="W27" s="184"/>
      <c r="X27" s="184"/>
      <c r="Y27" s="184" t="s">
        <v>210</v>
      </c>
      <c r="Z27" s="184"/>
      <c r="AA27" s="184"/>
      <c r="AB27" s="184"/>
      <c r="AC27" s="184"/>
      <c r="AD27" s="184"/>
      <c r="AE27" s="184"/>
      <c r="AF27" s="184"/>
      <c r="AG27" s="133" t="s">
        <v>129</v>
      </c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 t="s">
        <v>129</v>
      </c>
      <c r="AX27" s="133"/>
      <c r="AY27" s="133"/>
      <c r="AZ27" s="133"/>
      <c r="BA27" s="133"/>
      <c r="BB27" s="133"/>
      <c r="BE27" s="57"/>
    </row>
    <row r="28" spans="2:57" ht="12.75" customHeight="1"/>
    <row r="29" spans="2:57" ht="12.75" customHeight="1"/>
    <row r="30" spans="2:57" ht="12.75" customHeight="1"/>
    <row r="31" spans="2:57" ht="12.75" customHeight="1"/>
    <row r="32" spans="2:57" ht="12.75" customHeight="1"/>
    <row r="33" ht="12.75" customHeight="1"/>
  </sheetData>
  <mergeCells count="128">
    <mergeCell ref="B26:C26"/>
    <mergeCell ref="D26:N26"/>
    <mergeCell ref="O26:X26"/>
    <mergeCell ref="Y26:AF26"/>
    <mergeCell ref="AG26:AV26"/>
    <mergeCell ref="AW26:BB26"/>
    <mergeCell ref="B27:C27"/>
    <mergeCell ref="D27:N27"/>
    <mergeCell ref="O27:X27"/>
    <mergeCell ref="Y27:AF27"/>
    <mergeCell ref="AG27:AV27"/>
    <mergeCell ref="AW27:BB27"/>
    <mergeCell ref="B24:C24"/>
    <mergeCell ref="D24:N24"/>
    <mergeCell ref="O24:X24"/>
    <mergeCell ref="Y24:AF24"/>
    <mergeCell ref="AG24:AV24"/>
    <mergeCell ref="AW24:BB24"/>
    <mergeCell ref="B25:C25"/>
    <mergeCell ref="D25:N25"/>
    <mergeCell ref="O25:X25"/>
    <mergeCell ref="Y25:AF25"/>
    <mergeCell ref="AG25:AV25"/>
    <mergeCell ref="AW25:BB25"/>
    <mergeCell ref="B22:C22"/>
    <mergeCell ref="D22:N22"/>
    <mergeCell ref="O22:X22"/>
    <mergeCell ref="Y22:AF22"/>
    <mergeCell ref="AG22:AV22"/>
    <mergeCell ref="AW22:BB22"/>
    <mergeCell ref="B23:C23"/>
    <mergeCell ref="D23:N23"/>
    <mergeCell ref="O23:X23"/>
    <mergeCell ref="Y23:AF23"/>
    <mergeCell ref="AG23:AV23"/>
    <mergeCell ref="AW23:BB23"/>
    <mergeCell ref="B20:C20"/>
    <mergeCell ref="D20:N20"/>
    <mergeCell ref="O20:X20"/>
    <mergeCell ref="Y20:AF20"/>
    <mergeCell ref="AG20:AV20"/>
    <mergeCell ref="AW20:BB20"/>
    <mergeCell ref="B21:C21"/>
    <mergeCell ref="D21:N21"/>
    <mergeCell ref="O21:X21"/>
    <mergeCell ref="Y21:AF21"/>
    <mergeCell ref="AG21:AV21"/>
    <mergeCell ref="AW21:BB21"/>
    <mergeCell ref="B18:C18"/>
    <mergeCell ref="D18:N18"/>
    <mergeCell ref="O18:X18"/>
    <mergeCell ref="Y18:AF18"/>
    <mergeCell ref="AG18:AV18"/>
    <mergeCell ref="AW18:BB18"/>
    <mergeCell ref="B19:C19"/>
    <mergeCell ref="D19:N19"/>
    <mergeCell ref="O19:X19"/>
    <mergeCell ref="Y19:AF19"/>
    <mergeCell ref="AG19:AV19"/>
    <mergeCell ref="AW19:BB19"/>
    <mergeCell ref="B16:C16"/>
    <mergeCell ref="D16:N16"/>
    <mergeCell ref="O16:X16"/>
    <mergeCell ref="Y16:AF16"/>
    <mergeCell ref="AG16:AV16"/>
    <mergeCell ref="AW16:BB16"/>
    <mergeCell ref="B17:C17"/>
    <mergeCell ref="D17:N17"/>
    <mergeCell ref="O17:X17"/>
    <mergeCell ref="Y17:AF17"/>
    <mergeCell ref="AG17:AV17"/>
    <mergeCell ref="AW17:BB17"/>
    <mergeCell ref="B14:C14"/>
    <mergeCell ref="D14:N14"/>
    <mergeCell ref="O14:X14"/>
    <mergeCell ref="Y14:AF14"/>
    <mergeCell ref="AG14:AV14"/>
    <mergeCell ref="AW14:BB14"/>
    <mergeCell ref="B15:C15"/>
    <mergeCell ref="D15:N15"/>
    <mergeCell ref="O15:X15"/>
    <mergeCell ref="Y15:AF15"/>
    <mergeCell ref="AG15:AV15"/>
    <mergeCell ref="AW15:BB15"/>
    <mergeCell ref="B12:C12"/>
    <mergeCell ref="D12:N12"/>
    <mergeCell ref="O12:X12"/>
    <mergeCell ref="Y12:AF12"/>
    <mergeCell ref="AG12:AV12"/>
    <mergeCell ref="AW12:BB12"/>
    <mergeCell ref="B13:C13"/>
    <mergeCell ref="D13:N13"/>
    <mergeCell ref="O13:X13"/>
    <mergeCell ref="Y13:AF13"/>
    <mergeCell ref="AG13:AV13"/>
    <mergeCell ref="AW13:BB13"/>
    <mergeCell ref="AW9:BB10"/>
    <mergeCell ref="D10:N10"/>
    <mergeCell ref="O10:X10"/>
    <mergeCell ref="B11:C11"/>
    <mergeCell ref="D11:N11"/>
    <mergeCell ref="O11:X11"/>
    <mergeCell ref="Y11:AF11"/>
    <mergeCell ref="AG11:AV11"/>
    <mergeCell ref="AW11:BB11"/>
    <mergeCell ref="B5:G6"/>
    <mergeCell ref="H5:W5"/>
    <mergeCell ref="H6:W6"/>
    <mergeCell ref="B7:G7"/>
    <mergeCell ref="H7:W7"/>
    <mergeCell ref="B9:C10"/>
    <mergeCell ref="D9:X9"/>
    <mergeCell ref="Y9:AF10"/>
    <mergeCell ref="AG9:AV1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MJ73"/>
  <sheetViews>
    <sheetView showGridLines="0" view="pageBreakPreview" zoomScaleNormal="60" workbookViewId="0"/>
  </sheetViews>
  <sheetFormatPr defaultColWidth="2.59765625" defaultRowHeight="18"/>
  <cols>
    <col min="1" max="1024" width="2.59765625" style="44"/>
  </cols>
  <sheetData>
    <row r="1" spans="1:55" s="30" customFormat="1" ht="13.5" customHeight="1">
      <c r="A1" s="76" t="s">
        <v>7</v>
      </c>
      <c r="B1" s="76"/>
      <c r="C1" s="76"/>
      <c r="D1" s="76"/>
      <c r="E1" s="76"/>
      <c r="F1" s="76"/>
      <c r="G1" s="76"/>
      <c r="H1" s="76"/>
      <c r="I1" s="76"/>
      <c r="J1" s="77" t="s">
        <v>8</v>
      </c>
      <c r="K1" s="77"/>
      <c r="L1" s="77"/>
      <c r="M1" s="77"/>
      <c r="N1" s="77"/>
      <c r="O1" s="77"/>
      <c r="P1" s="77"/>
      <c r="Q1" s="77"/>
      <c r="R1" s="78" t="str">
        <f>表紙!S10</f>
        <v>DTO設計書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9" t="s">
        <v>3</v>
      </c>
      <c r="AK1" s="79"/>
      <c r="AL1" s="79"/>
      <c r="AM1" s="79"/>
      <c r="AN1" s="79"/>
      <c r="AO1" s="80" t="s">
        <v>9</v>
      </c>
      <c r="AP1" s="80"/>
      <c r="AQ1" s="80"/>
      <c r="AR1" s="80"/>
      <c r="AS1" s="80"/>
      <c r="AT1" s="80" t="s">
        <v>10</v>
      </c>
      <c r="AU1" s="80"/>
      <c r="AV1" s="80"/>
      <c r="AW1" s="80"/>
      <c r="AX1" s="80"/>
      <c r="AY1" s="110" t="s">
        <v>11</v>
      </c>
      <c r="AZ1" s="110"/>
      <c r="BA1" s="110"/>
      <c r="BB1" s="110"/>
      <c r="BC1" s="110"/>
    </row>
    <row r="2" spans="1:55" s="30" customFormat="1" ht="13.5" customHeight="1">
      <c r="A2" s="82" t="str">
        <f>表紙!O9</f>
        <v>体験型Java研修</v>
      </c>
      <c r="B2" s="82"/>
      <c r="C2" s="82"/>
      <c r="D2" s="82"/>
      <c r="E2" s="82"/>
      <c r="F2" s="82"/>
      <c r="G2" s="82"/>
      <c r="H2" s="82"/>
      <c r="I2" s="82"/>
      <c r="J2" s="83" t="str">
        <f>表紙!O8</f>
        <v>LMS学習管理システム</v>
      </c>
      <c r="K2" s="83"/>
      <c r="L2" s="83"/>
      <c r="M2" s="83"/>
      <c r="N2" s="83"/>
      <c r="O2" s="83"/>
      <c r="P2" s="83"/>
      <c r="Q2" s="83"/>
      <c r="R2" s="84" t="str">
        <f>表紙!S10</f>
        <v>DTO設計書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7" t="s">
        <v>6</v>
      </c>
      <c r="AK2" s="87"/>
      <c r="AL2" s="87"/>
      <c r="AM2" s="87"/>
      <c r="AN2" s="87"/>
      <c r="AO2" s="86">
        <v>44258</v>
      </c>
      <c r="AP2" s="86"/>
      <c r="AQ2" s="86"/>
      <c r="AR2" s="86"/>
      <c r="AS2" s="86"/>
      <c r="AT2" s="85"/>
      <c r="AU2" s="85"/>
      <c r="AV2" s="85"/>
      <c r="AW2" s="85"/>
      <c r="AX2" s="85"/>
      <c r="AY2" s="123"/>
      <c r="AZ2" s="123"/>
      <c r="BA2" s="123"/>
      <c r="BB2" s="123"/>
      <c r="BC2" s="123"/>
    </row>
    <row r="3" spans="1:55" s="30" customFormat="1" ht="13.5" customHeight="1">
      <c r="A3" s="82"/>
      <c r="B3" s="82"/>
      <c r="C3" s="82"/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3"/>
      <c r="Q3" s="83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7"/>
      <c r="AK3" s="87"/>
      <c r="AL3" s="87"/>
      <c r="AM3" s="87"/>
      <c r="AN3" s="87"/>
      <c r="AO3" s="86"/>
      <c r="AP3" s="86"/>
      <c r="AQ3" s="86"/>
      <c r="AR3" s="86"/>
      <c r="AS3" s="86"/>
      <c r="AT3" s="85"/>
      <c r="AU3" s="85"/>
      <c r="AV3" s="85"/>
      <c r="AW3" s="85"/>
      <c r="AX3" s="85"/>
      <c r="AY3" s="123"/>
      <c r="AZ3" s="123"/>
      <c r="BA3" s="123"/>
      <c r="BB3" s="123"/>
      <c r="BC3" s="123"/>
    </row>
    <row r="4" spans="1:55" ht="13.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40"/>
      <c r="AZ4" s="46"/>
      <c r="BA4" s="46"/>
      <c r="BB4" s="46"/>
      <c r="BC4" s="46"/>
    </row>
    <row r="5" spans="1:55" s="46" customFormat="1" ht="12.75" customHeight="1">
      <c r="A5" s="40"/>
      <c r="B5" s="111" t="s">
        <v>119</v>
      </c>
      <c r="C5" s="111"/>
      <c r="D5" s="111"/>
      <c r="E5" s="111"/>
      <c r="F5" s="111"/>
      <c r="G5" s="111"/>
      <c r="H5" s="125" t="s">
        <v>803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</row>
    <row r="6" spans="1:55" ht="12.75" customHeight="1">
      <c r="A6" s="40"/>
      <c r="B6" s="111" t="s">
        <v>119</v>
      </c>
      <c r="C6" s="111"/>
      <c r="D6" s="111"/>
      <c r="E6" s="111"/>
      <c r="F6" s="111"/>
      <c r="G6" s="111"/>
      <c r="H6" s="125" t="s">
        <v>118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6"/>
      <c r="BA6" s="46"/>
      <c r="BB6" s="46"/>
    </row>
    <row r="7" spans="1:55" ht="12.75" customHeight="1">
      <c r="A7" s="40"/>
      <c r="B7" s="111" t="s">
        <v>121</v>
      </c>
      <c r="C7" s="111"/>
      <c r="D7" s="111"/>
      <c r="E7" s="111"/>
      <c r="F7" s="111"/>
      <c r="G7" s="111"/>
      <c r="H7" s="114" t="s">
        <v>129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6"/>
      <c r="BA7" s="46"/>
      <c r="BB7" s="46"/>
    </row>
    <row r="8" spans="1:55" ht="12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</row>
    <row r="9" spans="1:55" ht="12.75" customHeight="1">
      <c r="A9" s="40"/>
      <c r="B9" s="148" t="s">
        <v>46</v>
      </c>
      <c r="C9" s="148"/>
      <c r="D9" s="111" t="s">
        <v>122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 t="s">
        <v>49</v>
      </c>
      <c r="P9" s="111"/>
      <c r="Q9" s="111"/>
      <c r="R9" s="111"/>
      <c r="S9" s="111"/>
      <c r="T9" s="111"/>
      <c r="U9" s="111"/>
      <c r="V9" s="111"/>
      <c r="W9" s="111"/>
      <c r="X9" s="111"/>
      <c r="Y9" s="148" t="s">
        <v>123</v>
      </c>
      <c r="Z9" s="148"/>
      <c r="AA9" s="148"/>
      <c r="AB9" s="148"/>
      <c r="AC9" s="148"/>
      <c r="AD9" s="148"/>
      <c r="AE9" s="148"/>
      <c r="AF9" s="148"/>
      <c r="AG9" s="148" t="s">
        <v>124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 t="s">
        <v>125</v>
      </c>
      <c r="AX9" s="148"/>
      <c r="AY9" s="148"/>
      <c r="AZ9" s="148"/>
      <c r="BA9" s="148"/>
      <c r="BB9" s="148"/>
    </row>
    <row r="10" spans="1:55" ht="12.75" customHeight="1">
      <c r="A10" s="40"/>
      <c r="B10" s="148"/>
      <c r="C10" s="148"/>
      <c r="D10" s="148" t="s">
        <v>48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 t="s">
        <v>49</v>
      </c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</row>
    <row r="11" spans="1:55" ht="12.75" customHeight="1">
      <c r="A11" s="40"/>
      <c r="B11" s="149">
        <v>1</v>
      </c>
      <c r="C11" s="149"/>
      <c r="D11" s="125" t="s">
        <v>804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 t="s">
        <v>805</v>
      </c>
      <c r="P11" s="125"/>
      <c r="Q11" s="125"/>
      <c r="R11" s="125"/>
      <c r="S11" s="125"/>
      <c r="T11" s="125"/>
      <c r="U11" s="125"/>
      <c r="V11" s="125"/>
      <c r="W11" s="125"/>
      <c r="X11" s="125"/>
      <c r="Y11" s="125" t="s">
        <v>806</v>
      </c>
      <c r="Z11" s="125"/>
      <c r="AA11" s="125"/>
      <c r="AB11" s="125"/>
      <c r="AC11" s="125"/>
      <c r="AD11" s="125"/>
      <c r="AE11" s="125"/>
      <c r="AF11" s="125"/>
      <c r="AG11" s="150" t="s">
        <v>129</v>
      </c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 t="s">
        <v>129</v>
      </c>
      <c r="AX11" s="150"/>
      <c r="AY11" s="150"/>
      <c r="AZ11" s="150"/>
      <c r="BA11" s="150"/>
      <c r="BB11" s="150"/>
    </row>
    <row r="12" spans="1:55" ht="12.75" customHeight="1">
      <c r="A12" s="40"/>
      <c r="B12" s="149">
        <v>2</v>
      </c>
      <c r="C12" s="149"/>
      <c r="D12" s="125" t="s">
        <v>807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85" t="s">
        <v>808</v>
      </c>
      <c r="P12" s="185"/>
      <c r="Q12" s="185"/>
      <c r="R12" s="185"/>
      <c r="S12" s="185"/>
      <c r="T12" s="185"/>
      <c r="U12" s="185"/>
      <c r="V12" s="185"/>
      <c r="W12" s="185"/>
      <c r="X12" s="185"/>
      <c r="Y12" s="125" t="s">
        <v>132</v>
      </c>
      <c r="Z12" s="125"/>
      <c r="AA12" s="125"/>
      <c r="AB12" s="125"/>
      <c r="AC12" s="125"/>
      <c r="AD12" s="125"/>
      <c r="AE12" s="125"/>
      <c r="AF12" s="125"/>
      <c r="AG12" s="150" t="s">
        <v>129</v>
      </c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 t="s">
        <v>129</v>
      </c>
      <c r="AX12" s="150"/>
      <c r="AY12" s="150"/>
      <c r="AZ12" s="150"/>
      <c r="BA12" s="150"/>
      <c r="BB12" s="150"/>
    </row>
    <row r="13" spans="1:55" ht="12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</row>
    <row r="14" spans="1:55" ht="12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</row>
    <row r="15" spans="1:55" ht="12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</row>
    <row r="16" spans="1:55" ht="12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</sheetData>
  <mergeCells count="38">
    <mergeCell ref="AW11:BB11"/>
    <mergeCell ref="B12:C12"/>
    <mergeCell ref="D12:N12"/>
    <mergeCell ref="O12:X12"/>
    <mergeCell ref="Y12:AF12"/>
    <mergeCell ref="AG12:AV12"/>
    <mergeCell ref="AW12:BB12"/>
    <mergeCell ref="B11:C11"/>
    <mergeCell ref="D11:N11"/>
    <mergeCell ref="O11:X11"/>
    <mergeCell ref="Y11:AF11"/>
    <mergeCell ref="AG11:AV11"/>
    <mergeCell ref="B9:C10"/>
    <mergeCell ref="D9:X9"/>
    <mergeCell ref="Y9:AF10"/>
    <mergeCell ref="AG9:AV10"/>
    <mergeCell ref="AW9:BB10"/>
    <mergeCell ref="D10:N10"/>
    <mergeCell ref="O10:X10"/>
    <mergeCell ref="B5:G6"/>
    <mergeCell ref="H5:W5"/>
    <mergeCell ref="H6:W6"/>
    <mergeCell ref="B7:G7"/>
    <mergeCell ref="H7:W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9"/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75</vt:i4>
      </vt:variant>
      <vt:variant>
        <vt:lpstr>名前付き一覧</vt:lpstr>
      </vt:variant>
      <vt:variant>
        <vt:i4>7</vt:i4>
      </vt:variant>
    </vt:vector>
  </HeadingPairs>
  <TitlesOfParts>
    <vt:vector size="82" baseType="lpstr">
      <vt:lpstr>表紙</vt:lpstr>
      <vt:lpstr>更新履歴</vt:lpstr>
      <vt:lpstr>DTO一覧</vt:lpstr>
      <vt:lpstr>勤怠管理画面用</vt:lpstr>
      <vt:lpstr>契約内容</vt:lpstr>
      <vt:lpstr>契約同意</vt:lpstr>
      <vt:lpstr>カテゴリ</vt:lpstr>
      <vt:lpstr>企業</vt:lpstr>
      <vt:lpstr>企業コース</vt:lpstr>
      <vt:lpstr>コース</vt:lpstr>
      <vt:lpstr>コース情報サービス コース</vt:lpstr>
      <vt:lpstr>コース情報サービス カテゴリ</vt:lpstr>
      <vt:lpstr>コース情報サービス セクション</vt:lpstr>
      <vt:lpstr>コース・紐付き教材件数</vt:lpstr>
      <vt:lpstr>コース教材紐づけ</vt:lpstr>
      <vt:lpstr>コースレポート</vt:lpstr>
      <vt:lpstr>レポート詳細</vt:lpstr>
      <vt:lpstr>レポートダウンロード</vt:lpstr>
      <vt:lpstr>レポート</vt:lpstr>
      <vt:lpstr>レポートフィードバック</vt:lpstr>
      <vt:lpstr>成果物詳細</vt:lpstr>
      <vt:lpstr>成果物サービス</vt:lpstr>
      <vt:lpstr>評価レポート</vt:lpstr>
      <vt:lpstr>評価レポート結果詳細</vt:lpstr>
      <vt:lpstr>試験詳細</vt:lpstr>
      <vt:lpstr>試験</vt:lpstr>
      <vt:lpstr>試験問題</vt:lpstr>
      <vt:lpstr>試験結果詳細</vt:lpstr>
      <vt:lpstr>試験結果</vt:lpstr>
      <vt:lpstr>よくある質問カテゴリ</vt:lpstr>
      <vt:lpstr>よくある質問</vt:lpstr>
      <vt:lpstr>ファイルダウンロード</vt:lpstr>
      <vt:lpstr>ファイル</vt:lpstr>
      <vt:lpstr>ファイルリストユーザー</vt:lpstr>
      <vt:lpstr>ファイル共有</vt:lpstr>
      <vt:lpstr>ジャンル詳細</vt:lpstr>
      <vt:lpstr>ジャンル</vt:lpstr>
      <vt:lpstr>お知らせ</vt:lpstr>
      <vt:lpstr>理解度</vt:lpstr>
      <vt:lpstr>ユーザー詳細</vt:lpstr>
      <vt:lpstr>ログイン情報</vt:lpstr>
      <vt:lpstr>メール送信キュー</vt:lpstr>
      <vt:lpstr>メールテンプレート</vt:lpstr>
      <vt:lpstr>面談ファイル</vt:lpstr>
      <vt:lpstr>面談</vt:lpstr>
      <vt:lpstr>面談詳細</vt:lpstr>
      <vt:lpstr>面談ダウンロード</vt:lpstr>
      <vt:lpstr>動画カテゴリ</vt:lpstr>
      <vt:lpstr>動画情報</vt:lpstr>
      <vt:lpstr>マイアカウント</vt:lpstr>
      <vt:lpstr>オペレーター</vt:lpstr>
      <vt:lpstr>成果報告会</vt:lpstr>
      <vt:lpstr>成果報告会詳細</vt:lpstr>
      <vt:lpstr>成果報告会チーム詳細</vt:lpstr>
      <vt:lpstr>会場</vt:lpstr>
      <vt:lpstr>会場アサイン情報</vt:lpstr>
      <vt:lpstr>問題</vt:lpstr>
      <vt:lpstr>改修履歴</vt:lpstr>
      <vt:lpstr>セクションサービスレポート</vt:lpstr>
      <vt:lpstr>セクションサービス成果物</vt:lpstr>
      <vt:lpstr>セクションサービス成果物セクション</vt:lpstr>
      <vt:lpstr>セクションサービス試験</vt:lpstr>
      <vt:lpstr>セクションサービスファイルダウンロード</vt:lpstr>
      <vt:lpstr>セクションファイル</vt:lpstr>
      <vt:lpstr>セクションサービス</vt:lpstr>
      <vt:lpstr>ファイル共有ユーザー</vt:lpstr>
      <vt:lpstr>受講生</vt:lpstr>
      <vt:lpstr>勤怠情報</vt:lpstr>
      <vt:lpstr>助成金カテゴリ</vt:lpstr>
      <vt:lpstr>引継面談_会場見学スケジュール</vt:lpstr>
      <vt:lpstr>引継面談_会場見学スケジュール詳細</vt:lpstr>
      <vt:lpstr>ユーザー勤怠情報</vt:lpstr>
      <vt:lpstr>ユーザーレポート情報</vt:lpstr>
      <vt:lpstr>ユーザー基本情報</vt:lpstr>
      <vt:lpstr>ワークシート</vt:lpstr>
      <vt:lpstr>DTO一覧!Print_Area</vt:lpstr>
      <vt:lpstr>コースレポート!Print_Area</vt:lpstr>
      <vt:lpstr>ユーザー基本情報!Print_Area</vt:lpstr>
      <vt:lpstr>ユーザー詳細!Print_Area</vt:lpstr>
      <vt:lpstr>よくある質問カテゴリ!Print_Area</vt:lpstr>
      <vt:lpstr>レポート!Print_Area</vt:lpstr>
      <vt:lpstr>更新履歴!Print_Area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269</cp:revision>
  <cp:lastPrinted>2018-02-01T12:44:26Z</cp:lastPrinted>
  <dcterms:created xsi:type="dcterms:W3CDTF">2017-09-13T04:58:44Z</dcterms:created>
  <dcterms:modified xsi:type="dcterms:W3CDTF">2024-01-25T00:45:42Z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