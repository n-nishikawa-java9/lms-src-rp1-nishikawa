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プロジェクトGit\document_12new_requirementanswer\10_設計書\04_共通設計\"/>
    </mc:Choice>
  </mc:AlternateContent>
  <xr:revisionPtr revIDLastSave="0" documentId="13_ncr:1_{E0FDD3F0-2EF8-45FE-B811-AE7CB8D8D38A}" xr6:coauthVersionLast="47" xr6:coauthVersionMax="47" xr10:uidLastSave="{00000000-0000-0000-0000-000000000000}"/>
  <bookViews>
    <workbookView xWindow="19275" yWindow="2055" windowWidth="23017" windowHeight="12217" xr2:uid="{B78863A4-C52B-4249-A7E5-4B9276740D6A}"/>
  </bookViews>
  <sheets>
    <sheet name="表紙" sheetId="1" r:id="rId1"/>
    <sheet name="更新履歴" sheetId="2" r:id="rId2"/>
    <sheet name="クラス名一覧" sheetId="3" r:id="rId3"/>
    <sheet name="関数名一覧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B18" i="3"/>
  <c r="B19" i="3" l="1"/>
  <c r="B20" i="3"/>
  <c r="B17" i="3"/>
  <c r="B16" i="3"/>
  <c r="B15" i="3"/>
  <c r="B14" i="3"/>
  <c r="B13" i="3"/>
  <c r="B12" i="3"/>
  <c r="B11" i="3"/>
  <c r="B10" i="3"/>
  <c r="B9" i="3"/>
  <c r="B8" i="3"/>
  <c r="B7" i="3"/>
  <c r="A7" i="4" l="1"/>
  <c r="U2" i="4"/>
  <c r="K2" i="4"/>
  <c r="A2" i="4"/>
  <c r="U1" i="4"/>
  <c r="U2" i="3"/>
  <c r="K2" i="3"/>
  <c r="A2" i="3"/>
  <c r="U1" i="3"/>
  <c r="K2" i="2"/>
  <c r="A2" i="2"/>
  <c r="U1" i="2"/>
  <c r="AA16" i="1"/>
  <c r="X16" i="1"/>
</calcChain>
</file>

<file path=xl/sharedStrings.xml><?xml version="1.0" encoding="utf-8"?>
<sst xmlns="http://schemas.openxmlformats.org/spreadsheetml/2006/main" count="876" uniqueCount="415">
  <si>
    <t>LMS学習管理システム</t>
  </si>
  <si>
    <t>体験型Java研修</t>
  </si>
  <si>
    <t>共通設計書</t>
  </si>
  <si>
    <t>ユーティリティクラス設計書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</si>
  <si>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</si>
  <si>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</si>
  <si>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</si>
  <si>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</si>
  <si>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</si>
  <si>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</si>
  <si>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</si>
  <si>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</si>
  <si>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</si>
  <si>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</si>
  <si>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岡野</t>
    <rPh sb="0" eb="2">
      <t>オカノ</t>
    </rPh>
    <phoneticPr fontId="10"/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</si>
  <si>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</si>
  <si>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</si>
  <si>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</si>
  <si>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</si>
  <si>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</si>
  <si>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</si>
  <si>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</si>
  <si>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関数名一覧</t>
    <rPh sb="0" eb="3">
      <t>カンスウメイ</t>
    </rPh>
    <rPh sb="3" eb="5">
      <t>イチラン</t>
    </rPh>
    <phoneticPr fontId="10"/>
  </si>
  <si>
    <t>No.</t>
  </si>
  <si>
    <t>クラス</t>
  </si>
  <si>
    <t>論理名</t>
  </si>
  <si>
    <t>物理名</t>
  </si>
  <si>
    <t>勤怠</t>
  </si>
  <si>
    <t>AttendanceUtil</t>
  </si>
  <si>
    <t>DateUtil</t>
  </si>
  <si>
    <t>ファイル</t>
  </si>
  <si>
    <t>FileUtil</t>
  </si>
  <si>
    <t>ログイン</t>
  </si>
  <si>
    <t>LoggingUtil</t>
  </si>
  <si>
    <t>メッセージ</t>
  </si>
  <si>
    <t>MessageUtil</t>
  </si>
  <si>
    <t>パスワード</t>
  </si>
  <si>
    <t>PasswordUtil</t>
  </si>
  <si>
    <t>研修時間</t>
  </si>
  <si>
    <t>TrainingTime</t>
  </si>
  <si>
    <t>関数名</t>
  </si>
  <si>
    <t>引数</t>
  </si>
  <si>
    <t>戻り値</t>
  </si>
  <si>
    <t>備考</t>
  </si>
  <si>
    <t>中抜け時間を時(hour)と分(minute)に変換</t>
  </si>
  <si>
    <t>中抜け時間</t>
  </si>
  <si>
    <t>int</t>
  </si>
  <si>
    <t>時(hour)と分(minute)に変換したクラス</t>
  </si>
  <si>
    <t>本日日付（yyyy/M/d形式）を取得</t>
    <phoneticPr fontId="10"/>
  </si>
  <si>
    <t>getTrainingDate</t>
  </si>
  <si>
    <t>-</t>
  </si>
  <si>
    <t>本日日付</t>
  </si>
  <si>
    <t>Date</t>
  </si>
  <si>
    <t>SSS定時・出退勤時間を基に、遅刻早退を判定</t>
  </si>
  <si>
    <t>getStatus</t>
  </si>
  <si>
    <t>開始時刻
終了時刻</t>
  </si>
  <si>
    <t>TrainingTime
TrainingTime</t>
  </si>
  <si>
    <t>勤怠管理画面用ステ-タスクラス</t>
  </si>
  <si>
    <t>AttendanceStatusEnum</t>
  </si>
  <si>
    <t>与えられた定時・出退勤時間を基に、遅刻早退を判定</t>
  </si>
  <si>
    <t>開始時刻
終了時刻
定時開始時刻
定時終了時刻</t>
    <phoneticPr fontId="10"/>
  </si>
  <si>
    <t>TrainingTime
TrainingTime
TrainingTime
TrainingTime</t>
    <phoneticPr fontId="10"/>
  </si>
  <si>
    <t>中抜け時間のプルダウンマップを生成</t>
    <phoneticPr fontId="10"/>
  </si>
  <si>
    <t>setBlankTime</t>
  </si>
  <si>
    <t>15分刻みの時間(数値)と〇〇時〇〇分の文字列がセットになったマップ</t>
    <phoneticPr fontId="10"/>
  </si>
  <si>
    <t>LinkedHashMap&lt;Integer, String&gt;</t>
  </si>
  <si>
    <t>時間のプルダウンマップを生成</t>
    <phoneticPr fontId="10"/>
  </si>
  <si>
    <t>getHourMap</t>
    <phoneticPr fontId="10"/>
  </si>
  <si>
    <t>1時間刻みの時間(数値)マップ</t>
    <rPh sb="1" eb="3">
      <t>ジカン</t>
    </rPh>
    <rPh sb="3" eb="4">
      <t>キザ</t>
    </rPh>
    <phoneticPr fontId="10"/>
  </si>
  <si>
    <t>分のプルダウンマップを生成</t>
    <phoneticPr fontId="10"/>
  </si>
  <si>
    <t>getMinuteMap</t>
    <phoneticPr fontId="10"/>
  </si>
  <si>
    <t>1分刻みの分(数値)マップ</t>
    <rPh sb="1" eb="2">
      <t>フン</t>
    </rPh>
    <rPh sb="2" eb="3">
      <t>キザ</t>
    </rPh>
    <rPh sb="5" eb="6">
      <t>フン</t>
    </rPh>
    <phoneticPr fontId="10"/>
  </si>
  <si>
    <t>時間(時)の切り出し</t>
    <phoneticPr fontId="10"/>
  </si>
  <si>
    <t>getHour</t>
    <phoneticPr fontId="10"/>
  </si>
  <si>
    <t>開始時刻or終了時刻</t>
    <phoneticPr fontId="10"/>
  </si>
  <si>
    <t>String</t>
    <phoneticPr fontId="10"/>
  </si>
  <si>
    <t>出退勤時間(時間)</t>
    <phoneticPr fontId="10"/>
  </si>
  <si>
    <t>Integer</t>
    <phoneticPr fontId="10"/>
  </si>
  <si>
    <t>時間(分)の切り出し</t>
    <phoneticPr fontId="10"/>
  </si>
  <si>
    <t>getMinute</t>
    <phoneticPr fontId="10"/>
  </si>
  <si>
    <t>出退勤時間(分)</t>
    <rPh sb="6" eb="7">
      <t>フン</t>
    </rPh>
    <phoneticPr fontId="10"/>
  </si>
  <si>
    <t>受講時間数を算出</t>
    <phoneticPr fontId="10"/>
  </si>
  <si>
    <t>calcJukoTime</t>
    <phoneticPr fontId="10"/>
  </si>
  <si>
    <t>開始時刻
終了時刻</t>
    <phoneticPr fontId="10"/>
  </si>
  <si>
    <t>TrainingTime
TrainingTime</t>
    <phoneticPr fontId="10"/>
  </si>
  <si>
    <t>受講トータル時間</t>
    <phoneticPr fontId="10"/>
  </si>
  <si>
    <t>TrainingTime</t>
    <phoneticPr fontId="10"/>
  </si>
  <si>
    <t>中抜け時間(文字列)を数字に変換</t>
    <phoneticPr fontId="10"/>
  </si>
  <si>
    <t>reverseBlankTime</t>
    <phoneticPr fontId="10"/>
  </si>
  <si>
    <t>中抜け時間</t>
    <phoneticPr fontId="10"/>
  </si>
  <si>
    <t>プルダウン初期表示用の中抜け時間を返却</t>
  </si>
  <si>
    <t>convertBlankTime</t>
    <phoneticPr fontId="10"/>
  </si>
  <si>
    <t>Integer</t>
  </si>
  <si>
    <t>中抜け時間（〇〇時〇〇分の文字列）</t>
  </si>
  <si>
    <t>String</t>
  </si>
  <si>
    <t>Date型をString型（yyyy/M/d形式）に変換</t>
  </si>
  <si>
    <t>toString</t>
  </si>
  <si>
    <t>変換前の日付</t>
  </si>
  <si>
    <t>変換後の日付（yyyy/M/d形式）</t>
  </si>
  <si>
    <t>Date型をString型（指定した形式）に変換</t>
  </si>
  <si>
    <t>変換前の日付
日付形式</t>
  </si>
  <si>
    <t>Date
String</t>
  </si>
  <si>
    <t>変換後の日付（指定した形式）</t>
  </si>
  <si>
    <t>String型をDate型（yyyy/M/d形式）に変換</t>
  </si>
  <si>
    <t>parse</t>
  </si>
  <si>
    <t>String型をDate型（指定した形式）に変換</t>
  </si>
  <si>
    <t>String
String</t>
  </si>
  <si>
    <t>現在の年齢を算出</t>
  </si>
  <si>
    <t>calcAge</t>
  </si>
  <si>
    <t>誕生日</t>
  </si>
  <si>
    <t>年齢</t>
  </si>
  <si>
    <t>指定された時点での年齢を算出</t>
  </si>
  <si>
    <t>誕生日
日付</t>
  </si>
  <si>
    <t>Date
Date</t>
  </si>
  <si>
    <t>第一引数の日付を第二引数の値に変更する
例）第一引数⇒2001/12/01 16:25:31
第二引数⇒2015/05/24 12:00:00の場合、
戻り値は2015/02/24 16:25:31</t>
  </si>
  <si>
    <t>replaceDate</t>
  </si>
  <si>
    <t>日付１
日付２</t>
  </si>
  <si>
    <t>Timestamp
Timestamp</t>
  </si>
  <si>
    <t>日付１と２を組み合わせた日付</t>
  </si>
  <si>
    <t>Timestamp</t>
  </si>
  <si>
    <t>2つの日付（Strng型）の差分取得</t>
  </si>
  <si>
    <t>differenceDays</t>
  </si>
  <si>
    <t>2つの日付の差</t>
  </si>
  <si>
    <t>日付１
日付２
日付形式</t>
  </si>
  <si>
    <t>String
String
String</t>
  </si>
  <si>
    <t>2つの日付（Date型）の差分取得</t>
  </si>
  <si>
    <t>String型をCalendar型に変換</t>
  </si>
  <si>
    <t>getCalendar</t>
  </si>
  <si>
    <t>変換前の日付
区切り文字</t>
  </si>
  <si>
    <t>カレンダークラス</t>
  </si>
  <si>
    <t>Calendar</t>
  </si>
  <si>
    <t>String型をCalendar型に変換
（日にちは第三引数で指定）</t>
  </si>
  <si>
    <t>変換前の日付
区切り文字
日</t>
  </si>
  <si>
    <t>現在日時取得</t>
  </si>
  <si>
    <t>getCurrentDateString</t>
    <phoneticPr fontId="10"/>
  </si>
  <si>
    <t>現在日時</t>
  </si>
  <si>
    <t>現在日時を指定した形式で取得</t>
  </si>
  <si>
    <t>getCurrentDateString</t>
  </si>
  <si>
    <t>日付形式</t>
  </si>
  <si>
    <t>現在日時（指定した形式）</t>
  </si>
  <si>
    <t>dateToString</t>
  </si>
  <si>
    <t>Date型をString型（指定した形式）に変換
（ロケールを日本に設定）</t>
  </si>
  <si>
    <t>dateToStringJ</t>
  </si>
  <si>
    <t>変換後の日付（yyyy/MM/dd HH:mm:ss形式）</t>
  </si>
  <si>
    <t>Date型をString型（yyyy/MM/dd HH:mm:ss形式）に変換</t>
  </si>
  <si>
    <t>変換後の日付</t>
  </si>
  <si>
    <t>Timestamp型をCalendar型に変換</t>
  </si>
  <si>
    <t>timestampToCalender</t>
  </si>
  <si>
    <t>Calendar型をTimestamp型に変換</t>
  </si>
  <si>
    <t>calenderToTimestamp</t>
  </si>
  <si>
    <t>String型をTimestamp型（yyyy/MM/dd HH:mm:ss形式）に変換</t>
  </si>
  <si>
    <t>stringToTimestamp</t>
  </si>
  <si>
    <t>String型をTimestamp型（指定した形式）に変換</t>
  </si>
  <si>
    <t>String型をjava.sql.Date型（yyyy-MM-dd形式）に変換</t>
  </si>
  <si>
    <t>stringToSqlDate</t>
  </si>
  <si>
    <t>java.sql.Date</t>
  </si>
  <si>
    <t>String型をjava.sql.Date型（指定した形式）に変換</t>
  </si>
  <si>
    <t>stringToDate</t>
  </si>
  <si>
    <t>toCalendar</t>
  </si>
  <si>
    <t>変換後のCalendarクラス</t>
  </si>
  <si>
    <t>日付のフォーマット
*日付だけの場合：yyyy/MM/dd
*日付+時刻の場合：yyyy/MM/dd HH:mm:ss.SSS</t>
  </si>
  <si>
    <t>format</t>
  </si>
  <si>
    <t>文字列に対して、補充する文字列を指定の位置に指定の長さに満たすまで挿入
（事前に引数チェックを行う）</t>
  </si>
  <si>
    <t>fillString</t>
  </si>
  <si>
    <t>対象文字列名
対象文字列
挿入位置（前後）
挿入する文字列
補充するまでの桁数</t>
  </si>
  <si>
    <t>String
String
String
String
int</t>
  </si>
  <si>
    <t>変換後の文字列</t>
  </si>
  <si>
    <t>文字列に対して、補充する文字列を指定の位置に指定の長さに満たすまで挿入</t>
  </si>
  <si>
    <t>対象文字列
挿入位置（前後）
補充するまでの桁数
挿入する文字列</t>
  </si>
  <si>
    <t>String
String
int
String</t>
  </si>
  <si>
    <t>日付部分のみを取得</t>
  </si>
  <si>
    <t>getDateWithoutTime</t>
  </si>
  <si>
    <t>日時</t>
  </si>
  <si>
    <t>指定した時間分加算</t>
  </si>
  <si>
    <t>addHour</t>
  </si>
  <si>
    <t>加算前の日付
加算する時間</t>
  </si>
  <si>
    <t>Date
Int</t>
  </si>
  <si>
    <t>加算後の日付</t>
  </si>
  <si>
    <t>指定した月分加算（Date型）</t>
  </si>
  <si>
    <t>addMonth</t>
  </si>
  <si>
    <t>加算前の日付
加算する月</t>
  </si>
  <si>
    <t>指定した月分加算し、Timestamp型に変換</t>
  </si>
  <si>
    <t>addMonthTimeStamp</t>
  </si>
  <si>
    <t>第一引数～第二引数の間に跨いだ月の数を取得</t>
  </si>
  <si>
    <t>getAcrossMonth</t>
  </si>
  <si>
    <t>月数</t>
  </si>
  <si>
    <t>yyyy/MM/dd HH:mm:ss形式か判定</t>
  </si>
  <si>
    <t>isDate</t>
  </si>
  <si>
    <t>判定結果</t>
  </si>
  <si>
    <t>boolean</t>
  </si>
  <si>
    <t>指定した形式か判定</t>
  </si>
  <si>
    <t>日付
日付形式</t>
  </si>
  <si>
    <t>月の最終日を取得</t>
  </si>
  <si>
    <t>getLastDayOfMonth</t>
  </si>
  <si>
    <t>最終日</t>
  </si>
  <si>
    <t>日本語の曜日を取得
例）日、月、火</t>
  </si>
  <si>
    <t>getDayOfTheWeekShort</t>
  </si>
  <si>
    <t>曜日</t>
  </si>
  <si>
    <t>PlaneFileIdの取得</t>
  </si>
  <si>
    <t>getPlaneFileId</t>
  </si>
  <si>
    <t>FileDownloadDto
String</t>
  </si>
  <si>
    <t>PlaneFileId</t>
  </si>
  <si>
    <t>拡張子抜きのファイル名取得</t>
  </si>
  <si>
    <t>getPrefix</t>
  </si>
  <si>
    <t>ファイル名</t>
  </si>
  <si>
    <t>拡張子無しのファイル名</t>
  </si>
  <si>
    <t>ファイルの拡張子取得</t>
  </si>
  <si>
    <t>getSuffix</t>
  </si>
  <si>
    <t>拡張子</t>
  </si>
  <si>
    <t>ファイルサイズ（String型）を単位をつけた形に変換</t>
  </si>
  <si>
    <t>parseFileSize</t>
  </si>
  <si>
    <t>変換前のファイルサイズ</t>
  </si>
  <si>
    <t>変換後のファイルサイズ</t>
  </si>
  <si>
    <t>ファイルサイズ（Integer型）を単位をつけた形に変換</t>
  </si>
  <si>
    <t>ファイルサイズ（Long型）を単位をつけた形に変換</t>
  </si>
  <si>
    <t>Long</t>
  </si>
  <si>
    <t>メッセ-ジ</t>
  </si>
  <si>
    <t>メッセ-ジを取得</t>
  </si>
  <si>
    <t>getMessage</t>
  </si>
  <si>
    <t>メッセ-ジID</t>
  </si>
  <si>
    <t>メッセ-ジを取得（挿入文字あり）</t>
  </si>
  <si>
    <t>メッセ-ジID
挿入文字列</t>
  </si>
  <si>
    <t>String
String[]</t>
  </si>
  <si>
    <t>パスワ-ド</t>
  </si>
  <si>
    <t>salt +ハッシュ化+ストレッチングしたパスワ-ドを                                                                                                                                                                                                                                                          取得</t>
  </si>
  <si>
    <t>getSaltedAndStrechedPassword</t>
  </si>
  <si>
    <t>パスワ-ド
ユ-ザ-ID</t>
  </si>
  <si>
    <t>salt+ハッシュ+ストレッチングした
パスワ-ド</t>
  </si>
  <si>
    <t>salt＋ハッシュ化したパスワ-ドを取得</t>
  </si>
  <si>
    <t>getSaltedPassword</t>
  </si>
  <si>
    <t>salt+ハッシュしたパスワ-ド</t>
  </si>
  <si>
    <t>salt + ストレッチングしたパスワ-ドを取得(推奨)</t>
  </si>
  <si>
    <t>getStretchedPassword</t>
  </si>
  <si>
    <t>salt+ストレッチングしたパスワ-ド</t>
  </si>
  <si>
    <t>文字列から SHA256 のハッシュ値を取得</t>
  </si>
  <si>
    <t>getSha256</t>
  </si>
  <si>
    <t>ハッシュ化前の文字列</t>
  </si>
  <si>
    <t>SHA256のハッシュ値</t>
  </si>
  <si>
    <t>パスワ-ド自動生成</t>
  </si>
  <si>
    <t>generatePassword</t>
  </si>
  <si>
    <t>パスワードポリシーに沿っているパスワードであるか判定</t>
  </si>
  <si>
    <t>inValidPassword</t>
  </si>
  <si>
    <t>現在時刻でインスタンスを作成</t>
  </si>
  <si>
    <t xml:space="preserve">TrainingTime </t>
  </si>
  <si>
    <t>指定時刻でインスタンスを作成</t>
  </si>
  <si>
    <t>時
分</t>
  </si>
  <si>
    <t>Integer
Integer</t>
  </si>
  <si>
    <t>文字列からインスタンスを作成</t>
  </si>
  <si>
    <t>時刻</t>
  </si>
  <si>
    <t>インスタンス可能か判定</t>
  </si>
  <si>
    <t>isValidTrainingTime</t>
  </si>
  <si>
    <t>時刻を設定</t>
  </si>
  <si>
    <t>setTimeStr</t>
  </si>
  <si>
    <t>指定した時刻分加算</t>
  </si>
  <si>
    <t>add</t>
  </si>
  <si>
    <t>加算分の時刻</t>
  </si>
  <si>
    <t>加算後の研修時間クラス</t>
  </si>
  <si>
    <t>指定した時刻分減算</t>
  </si>
  <si>
    <t>subtract</t>
  </si>
  <si>
    <t>減算分の時刻</t>
  </si>
  <si>
    <t>減算後の研修時間クラス</t>
  </si>
  <si>
    <t>与えられた引数のうち、最大を返却</t>
  </si>
  <si>
    <t>max</t>
  </si>
  <si>
    <t>研修時間クラス</t>
  </si>
  <si>
    <t>最大の研修時間クラス</t>
  </si>
  <si>
    <t>与えられた引数のうち、最小を返却</t>
  </si>
  <si>
    <t>min</t>
  </si>
  <si>
    <t>最小の研修時間クラス</t>
  </si>
  <si>
    <t>時刻をHH:mm形式で返却</t>
  </si>
  <si>
    <t>指定した研修時間インスタンスが一致しているか判定</t>
  </si>
  <si>
    <t>equals</t>
  </si>
  <si>
    <t>オブジェクト</t>
  </si>
  <si>
    <t>Object</t>
  </si>
  <si>
    <t>指定した研修時間インスタンスの比較</t>
  </si>
  <si>
    <t>compareTo</t>
  </si>
  <si>
    <t>比較対象の検証時間インスタンス</t>
  </si>
  <si>
    <t>比較結果</t>
  </si>
  <si>
    <t>フィールド変数に値が設定されているかどうか</t>
  </si>
  <si>
    <t>isBlank</t>
  </si>
  <si>
    <t>フィールド変数に値が設定されていないかどうか</t>
  </si>
  <si>
    <t>isNotBlank</t>
  </si>
  <si>
    <t>getFormattedString</t>
  </si>
  <si>
    <t>分を15分刻みで切り上げ</t>
  </si>
  <si>
    <t>roundUp</t>
  </si>
  <si>
    <t>自身のインスタンス</t>
  </si>
  <si>
    <t>分を15分刻みで切り捨て</t>
  </si>
  <si>
    <t>roundDown</t>
  </si>
  <si>
    <t>フィールド変数がnullかどうか判定</t>
  </si>
  <si>
    <t>isEmpty</t>
  </si>
  <si>
    <t>休憩時間範囲</t>
  </si>
  <si>
    <t>restTimeZone</t>
  </si>
  <si>
    <t>休憩時間
休憩開始時間
休憩終了時間</t>
  </si>
  <si>
    <t>TrainingTime
TrainingTime
TrainingTime</t>
  </si>
  <si>
    <t>休憩時間</t>
  </si>
  <si>
    <t>AWSS3Util</t>
  </si>
  <si>
    <t>定数</t>
    <rPh sb="0" eb="2">
      <t>テイスウ</t>
    </rPh>
    <phoneticPr fontId="3"/>
  </si>
  <si>
    <t>Constants</t>
  </si>
  <si>
    <t>ExcelUtil</t>
  </si>
  <si>
    <t>ロギング</t>
  </si>
  <si>
    <t>LoginUserUtil</t>
  </si>
  <si>
    <t>メール</t>
  </si>
  <si>
    <t>MailUtil</t>
  </si>
  <si>
    <t>StringUtil</t>
    <phoneticPr fontId="2"/>
  </si>
  <si>
    <t>文字列</t>
    <rPh sb="0" eb="3">
      <t>モジレツ</t>
    </rPh>
    <phoneticPr fontId="2"/>
  </si>
  <si>
    <r>
      <t xml:space="preserve">ファイルダウンロードDTO
</t>
    </r>
    <r>
      <rPr>
        <sz val="10"/>
        <rFont val="ＭＳ Ｐゴシック"/>
        <family val="3"/>
        <charset val="1"/>
      </rPr>
      <t>ハッシュ済ファイルID</t>
    </r>
  </si>
  <si>
    <t>Amazon S3</t>
    <phoneticPr fontId="2"/>
  </si>
  <si>
    <t>エクセル</t>
    <phoneticPr fontId="2"/>
  </si>
  <si>
    <t>ログイン</t>
    <phoneticPr fontId="2"/>
  </si>
  <si>
    <t>ロギング</t>
    <phoneticPr fontId="2"/>
  </si>
  <si>
    <t>メール</t>
    <phoneticPr fontId="2"/>
  </si>
  <si>
    <t>文字列</t>
    <phoneticPr fontId="2"/>
  </si>
  <si>
    <t>※Amazon S3未作動の為省略</t>
    <rPh sb="15" eb="17">
      <t>ショウリャク</t>
    </rPh>
    <phoneticPr fontId="2"/>
  </si>
  <si>
    <t>downloadBook</t>
    <phoneticPr fontId="2"/>
  </si>
  <si>
    <t>downloadBookInZip</t>
    <phoneticPr fontId="2"/>
  </si>
  <si>
    <t>downloadReportInZip</t>
    <phoneticPr fontId="2"/>
  </si>
  <si>
    <t>ExcelUtil</t>
    <phoneticPr fontId="2"/>
  </si>
  <si>
    <t>getCell</t>
    <phoneticPr fontId="2"/>
  </si>
  <si>
    <t>getCellType</t>
    <phoneticPr fontId="2"/>
  </si>
  <si>
    <t>getCellValue</t>
    <phoneticPr fontId="2"/>
  </si>
  <si>
    <t>getValue</t>
    <phoneticPr fontId="2"/>
  </si>
  <si>
    <t>getWb</t>
    <phoneticPr fontId="2"/>
  </si>
  <si>
    <t>isExistSheet</t>
    <phoneticPr fontId="2"/>
  </si>
  <si>
    <t>setPrintArea</t>
    <phoneticPr fontId="2"/>
  </si>
  <si>
    <t>setVal</t>
    <phoneticPr fontId="2"/>
  </si>
  <si>
    <t>sheetCopy</t>
    <phoneticPr fontId="2"/>
  </si>
  <si>
    <t>WorkbookDto</t>
    <phoneticPr fontId="2"/>
  </si>
  <si>
    <t>calcBlankTime</t>
    <phoneticPr fontId="2"/>
  </si>
  <si>
    <t>-</t>
    <phoneticPr fontId="2"/>
  </si>
  <si>
    <t>workbookDtoList</t>
    <phoneticPr fontId="2"/>
  </si>
  <si>
    <t>TrainingTime</t>
    <phoneticPr fontId="2"/>
  </si>
  <si>
    <t>ファイルパス</t>
    <phoneticPr fontId="2"/>
  </si>
  <si>
    <t>HttpServletResponse</t>
    <phoneticPr fontId="2"/>
  </si>
  <si>
    <t>WorkbookDto
HttpServletResponse</t>
    <phoneticPr fontId="2"/>
  </si>
  <si>
    <t>List&lt;WorkbookDto&gt;
HttpServletResponse</t>
    <phoneticPr fontId="2"/>
  </si>
  <si>
    <t>String
int
int
String</t>
    <phoneticPr fontId="2"/>
  </si>
  <si>
    <t>String
int
int
Integer</t>
    <phoneticPr fontId="2"/>
  </si>
  <si>
    <t>String
int
int
double</t>
    <phoneticPr fontId="2"/>
  </si>
  <si>
    <t>シート名
行
列
double型</t>
    <rPh sb="3" eb="4">
      <t>メイ</t>
    </rPh>
    <rPh sb="5" eb="6">
      <t>ギョウ</t>
    </rPh>
    <rPh sb="7" eb="8">
      <t>レツ</t>
    </rPh>
    <rPh sb="15" eb="16">
      <t>ガタ</t>
    </rPh>
    <phoneticPr fontId="2"/>
  </si>
  <si>
    <t>シート名
行
列
String型</t>
    <rPh sb="3" eb="4">
      <t>メイ</t>
    </rPh>
    <rPh sb="5" eb="6">
      <t>ギョウ</t>
    </rPh>
    <rPh sb="7" eb="8">
      <t>レツ</t>
    </rPh>
    <rPh sb="15" eb="16">
      <t>ガタ</t>
    </rPh>
    <phoneticPr fontId="2"/>
  </si>
  <si>
    <t>シート名
行
列
Integer型</t>
    <rPh sb="3" eb="4">
      <t>メイ</t>
    </rPh>
    <rPh sb="5" eb="6">
      <t>ギョウ</t>
    </rPh>
    <rPh sb="7" eb="8">
      <t>レツ</t>
    </rPh>
    <rPh sb="16" eb="17">
      <t>ガタ</t>
    </rPh>
    <phoneticPr fontId="2"/>
  </si>
  <si>
    <t>String
int
int
Date</t>
    <phoneticPr fontId="2"/>
  </si>
  <si>
    <t>シート名
行
列
Date型</t>
    <rPh sb="3" eb="4">
      <t>メイ</t>
    </rPh>
    <rPh sb="5" eb="6">
      <t>ギョウ</t>
    </rPh>
    <rPh sb="7" eb="8">
      <t>レツ</t>
    </rPh>
    <rPh sb="13" eb="14">
      <t>ガタ</t>
    </rPh>
    <phoneticPr fontId="2"/>
  </si>
  <si>
    <t>String
int
int</t>
    <phoneticPr fontId="2"/>
  </si>
  <si>
    <t>シート名
行
列</t>
    <rPh sb="3" eb="4">
      <t>メイ</t>
    </rPh>
    <rPh sb="5" eb="6">
      <t>ギョウ</t>
    </rPh>
    <rPh sb="7" eb="8">
      <t>レツ</t>
    </rPh>
    <phoneticPr fontId="2"/>
  </si>
  <si>
    <t>int
int
int
int
int</t>
    <phoneticPr fontId="2"/>
  </si>
  <si>
    <t>シートインデックス
開始列
終了列
開始行
開始行</t>
    <rPh sb="10" eb="12">
      <t>カイシ</t>
    </rPh>
    <rPh sb="12" eb="13">
      <t>レツ</t>
    </rPh>
    <rPh sb="14" eb="17">
      <t>シュウリョウレツ</t>
    </rPh>
    <rPh sb="18" eb="20">
      <t>カイシ</t>
    </rPh>
    <rPh sb="20" eb="21">
      <t>ギョウ</t>
    </rPh>
    <rPh sb="22" eb="25">
      <t>カイシギョウ</t>
    </rPh>
    <phoneticPr fontId="2"/>
  </si>
  <si>
    <t>String
int
int
int</t>
    <phoneticPr fontId="2"/>
  </si>
  <si>
    <t>シート名
sheetworksheet
コピー開始行
コピー最終行</t>
    <rPh sb="3" eb="4">
      <t>メイ</t>
    </rPh>
    <rPh sb="23" eb="26">
      <t>カイシギョウ</t>
    </rPh>
    <rPh sb="30" eb="33">
      <t>サイシュウギョウ</t>
    </rPh>
    <phoneticPr fontId="2"/>
  </si>
  <si>
    <t>String</t>
    <phoneticPr fontId="2"/>
  </si>
  <si>
    <t>シート名</t>
    <rPh sb="3" eb="4">
      <t>メイ</t>
    </rPh>
    <phoneticPr fontId="2"/>
  </si>
  <si>
    <t>シート名
行数
列数</t>
    <rPh sb="3" eb="4">
      <t>メイ</t>
    </rPh>
    <rPh sb="5" eb="6">
      <t>ギョウ</t>
    </rPh>
    <rPh sb="6" eb="7">
      <t>スウ</t>
    </rPh>
    <rPh sb="8" eb="9">
      <t>レツ</t>
    </rPh>
    <rPh sb="9" eb="10">
      <t>スウ</t>
    </rPh>
    <phoneticPr fontId="2"/>
  </si>
  <si>
    <t>int</t>
    <phoneticPr fontId="2"/>
  </si>
  <si>
    <t>セルタイプ</t>
    <phoneticPr fontId="2"/>
  </si>
  <si>
    <t>セル文字</t>
    <rPh sb="2" eb="4">
      <t>モジ</t>
    </rPh>
    <phoneticPr fontId="2"/>
  </si>
  <si>
    <t>Cell</t>
    <phoneticPr fontId="2"/>
  </si>
  <si>
    <t>セル</t>
    <phoneticPr fontId="2"/>
  </si>
  <si>
    <t>Workbook</t>
    <phoneticPr fontId="2"/>
  </si>
  <si>
    <t>ワークブック</t>
    <phoneticPr fontId="2"/>
  </si>
  <si>
    <t>リクエスト</t>
    <phoneticPr fontId="2"/>
  </si>
  <si>
    <t>作成済みのファイルを開く</t>
    <phoneticPr fontId="2"/>
  </si>
  <si>
    <t>ファイルパスから作成済みのファイルを開く</t>
    <phoneticPr fontId="2"/>
  </si>
  <si>
    <t>ワークブックを取得</t>
    <phoneticPr fontId="2"/>
  </si>
  <si>
    <t>印刷範囲を設定する</t>
    <phoneticPr fontId="2"/>
  </si>
  <si>
    <t>指定された位置のシートをコピーする</t>
    <phoneticPr fontId="2"/>
  </si>
  <si>
    <t xml:space="preserve"> Workbookのダウンロードを行う</t>
    <phoneticPr fontId="2"/>
  </si>
  <si>
    <t>レポートの一括ダウンロードを行う</t>
    <phoneticPr fontId="2"/>
  </si>
  <si>
    <t>Workbookの一括ダウンロードを行う</t>
    <phoneticPr fontId="2"/>
  </si>
  <si>
    <t>シート存在チェック</t>
    <phoneticPr fontId="2"/>
  </si>
  <si>
    <t xml:space="preserve"> セル内のタイプを取得</t>
    <phoneticPr fontId="2"/>
  </si>
  <si>
    <t>セル内の文字を取得</t>
    <phoneticPr fontId="2"/>
  </si>
  <si>
    <t>セルタイプ(数値)からセル内を文字列へ変換</t>
    <phoneticPr fontId="2"/>
  </si>
  <si>
    <t>セルを取得</t>
    <rPh sb="3" eb="5">
      <t>シュトク</t>
    </rPh>
    <phoneticPr fontId="2"/>
  </si>
  <si>
    <t>Excelシート名、行列からセルを取得
	入力文字(String)がある場合はセルに設定</t>
    <phoneticPr fontId="2"/>
  </si>
  <si>
    <t>Excelシート名、行列からセルを取得
	入力文字(Integer)がある場合はセルに設定</t>
    <phoneticPr fontId="2"/>
  </si>
  <si>
    <t xml:space="preserve">	 Excelシート名、行列からセルを取得
	 入力文字(double)をセルに設定</t>
    <phoneticPr fontId="2"/>
  </si>
  <si>
    <t xml:space="preserve">	 Excelシート名、行列からセルを取得
	 入力文字(Date)をセルに設定</t>
    <phoneticPr fontId="2"/>
  </si>
  <si>
    <t>appendLog</t>
    <phoneticPr fontId="2"/>
  </si>
  <si>
    <t>StringBuffer</t>
    <phoneticPr fontId="2"/>
  </si>
  <si>
    <t>ログの追加</t>
    <phoneticPr fontId="2"/>
  </si>
  <si>
    <t>ログイン情報を取得</t>
    <phoneticPr fontId="2"/>
  </si>
  <si>
    <t xml:space="preserve"> ログインしているユーザーが管理者か判定</t>
    <phoneticPr fontId="2"/>
  </si>
  <si>
    <t>ログインしているユーザーが受講生か判定</t>
    <phoneticPr fontId="2"/>
  </si>
  <si>
    <t>ログインしているユーザーが講師か判定</t>
    <phoneticPr fontId="2"/>
  </si>
  <si>
    <t>ログインしているユーザーが企業担当者か判定</t>
    <phoneticPr fontId="2"/>
  </si>
  <si>
    <t>ログインしているユーザーが育成担当者か判定</t>
    <phoneticPr fontId="2"/>
  </si>
  <si>
    <t>ログインチェック</t>
    <phoneticPr fontId="2"/>
  </si>
  <si>
    <t>sendMail</t>
    <phoneticPr fontId="2"/>
  </si>
  <si>
    <t>getLoginUserDto</t>
  </si>
  <si>
    <t>isLogin</t>
  </si>
  <si>
    <t>isAdmin</t>
  </si>
  <si>
    <t>isCompany</t>
  </si>
  <si>
    <t>isStudent</t>
  </si>
  <si>
    <t>isTeacher</t>
  </si>
  <si>
    <t>isTraining</t>
  </si>
  <si>
    <t>メール送信</t>
    <phoneticPr fontId="2"/>
  </si>
  <si>
    <t>String
String[]
String
String</t>
    <phoneticPr fontId="2"/>
  </si>
  <si>
    <t>宛先
CC先
件名
内容</t>
    <rPh sb="5" eb="6">
      <t>サキ</t>
    </rPh>
    <rPh sb="7" eb="9">
      <t>ケンメイ</t>
    </rPh>
    <rPh sb="10" eb="12">
      <t>ナイヨウ</t>
    </rPh>
    <phoneticPr fontId="2"/>
  </si>
  <si>
    <t>会場</t>
    <rPh sb="0" eb="2">
      <t>カイジョウ</t>
    </rPh>
    <phoneticPr fontId="2"/>
  </si>
  <si>
    <t>PlaceUtil</t>
    <phoneticPr fontId="2"/>
  </si>
  <si>
    <t>getPlaceNoteClassRoomName</t>
  </si>
  <si>
    <t>getPlaceNoteRemarks</t>
  </si>
  <si>
    <t>getPlaceNoteTitle</t>
  </si>
  <si>
    <t>備考よりタイトルを取得</t>
    <phoneticPr fontId="2"/>
  </si>
  <si>
    <t>備考より教室名を取得</t>
    <phoneticPr fontId="2"/>
  </si>
  <si>
    <t>備考より会場備考を取得</t>
    <rPh sb="4" eb="6">
      <t>カイジョウ</t>
    </rPh>
    <phoneticPr fontId="2"/>
  </si>
  <si>
    <t>会場備考</t>
    <rPh sb="0" eb="2">
      <t>カイジョウ</t>
    </rPh>
    <phoneticPr fontId="2"/>
  </si>
  <si>
    <t>教室名</t>
    <rPh sb="0" eb="2">
      <t>キョウシツ</t>
    </rPh>
    <rPh sb="2" eb="3">
      <t>メイ</t>
    </rPh>
    <phoneticPr fontId="2"/>
  </si>
  <si>
    <t>備考</t>
    <rPh sb="0" eb="2">
      <t>ビコウ</t>
    </rPh>
    <phoneticPr fontId="2"/>
  </si>
  <si>
    <t>タイトル</t>
    <phoneticPr fontId="2"/>
  </si>
  <si>
    <t>separatorCount</t>
    <phoneticPr fontId="2"/>
  </si>
  <si>
    <t>第一引数の値が第二引数の文字列内に幾つ入っているかカウント</t>
    <phoneticPr fontId="2"/>
  </si>
  <si>
    <t>char
String</t>
    <phoneticPr fontId="2"/>
  </si>
  <si>
    <t>検索文字
検索対象文字</t>
    <rPh sb="0" eb="2">
      <t>ケンサク</t>
    </rPh>
    <rPh sb="2" eb="4">
      <t>モジ</t>
    </rPh>
    <rPh sb="5" eb="7">
      <t>ケンサク</t>
    </rPh>
    <rPh sb="7" eb="9">
      <t>タイショウ</t>
    </rPh>
    <rPh sb="9" eb="11">
      <t>モジ</t>
    </rPh>
    <phoneticPr fontId="2"/>
  </si>
  <si>
    <t>カウント数</t>
    <rPh sb="4" eb="5">
      <t>スウ</t>
    </rPh>
    <phoneticPr fontId="2"/>
  </si>
  <si>
    <t>Task.26 勤怠：時間(時)の切り出し
　　　　勤怠：時間(分)の切り出し
        勤怠：時間プルダウンマップを生成
　　　　勤怠：分プルダウンマップを生成
　　　　勤怠：受講時間数を算出
　　　　勤怠：中抜け時間(文字列)を数字に変換</t>
    <rPh sb="32" eb="33">
      <t>フン</t>
    </rPh>
    <rPh sb="48" eb="50">
      <t>キンタイ</t>
    </rPh>
    <rPh sb="69" eb="71">
      <t>キンタイ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</si>
</sst>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\ 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color rgb="FF000000"/>
      <name val="ＭＳ Ｐゴシック"/>
      <family val="3"/>
      <charset val="128"/>
    </font>
    <font>
      <sz val="10"/>
      <color rgb="FF000000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0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1"/>
      <color rgb="FF000000"/>
      <name val="游ゴシック"/>
      <family val="3"/>
      <charset val="128"/>
    </font>
    <font>
      <sz val="6"/>
      <name val="游ゴシック"/>
      <family val="3"/>
      <charset val="128"/>
    </font>
    <font>
      <sz val="9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"/>
    </font>
    <font>
      <sz val="10"/>
      <name val="ＭＳ Ｐゴシック"/>
      <family val="3"/>
      <charset val="1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8CBAD"/>
        <bgColor rgb="FFC5E0B4"/>
      </patternFill>
    </fill>
    <fill>
      <patternFill patternType="solid">
        <fgColor rgb="FFC5E0B4"/>
        <bgColor rgb="FFCCFFCC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Border="0" applyProtection="0"/>
    <xf numFmtId="0" fontId="1" fillId="0" borderId="0" applyBorder="0" applyProtection="0"/>
    <xf numFmtId="0" fontId="1" fillId="0" borderId="0" applyBorder="0" applyProtection="0">
      <alignment vertical="center"/>
    </xf>
  </cellStyleXfs>
  <cellXfs count="142">
    <xf numFmtId="0" fontId="0" fillId="0" borderId="0" xfId="0">
      <alignment vertical="center"/>
    </xf>
    <xf numFmtId="0" fontId="1" fillId="2" borderId="0" xfId="1" applyFill="1" applyBorder="1" applyProtection="1"/>
    <xf numFmtId="0" fontId="4" fillId="2" borderId="0" xfId="1" applyFont="1" applyFill="1" applyBorder="1" applyProtection="1"/>
    <xf numFmtId="176" fontId="4" fillId="2" borderId="0" xfId="1" applyNumberFormat="1" applyFont="1" applyFill="1" applyBorder="1" applyAlignment="1" applyProtection="1">
      <alignment horizontal="center"/>
    </xf>
    <xf numFmtId="177" fontId="4" fillId="2" borderId="0" xfId="1" applyNumberFormat="1" applyFont="1" applyFill="1" applyBorder="1" applyAlignment="1" applyProtection="1">
      <alignment horizontal="left"/>
    </xf>
    <xf numFmtId="178" fontId="4" fillId="2" borderId="0" xfId="1" applyNumberFormat="1" applyFont="1" applyFill="1" applyBorder="1" applyAlignment="1" applyProtection="1">
      <alignment horizontal="center"/>
    </xf>
    <xf numFmtId="0" fontId="5" fillId="2" borderId="0" xfId="1" applyFont="1" applyFill="1" applyBorder="1" applyProtection="1"/>
    <xf numFmtId="0" fontId="7" fillId="2" borderId="0" xfId="1" applyFont="1" applyFill="1" applyBorder="1" applyProtection="1"/>
    <xf numFmtId="0" fontId="1" fillId="2" borderId="0" xfId="1" applyFill="1" applyBorder="1" applyAlignment="1" applyProtection="1">
      <alignment horizontal="right"/>
    </xf>
    <xf numFmtId="0" fontId="1" fillId="2" borderId="10" xfId="1" applyFill="1" applyBorder="1" applyProtection="1"/>
    <xf numFmtId="0" fontId="1" fillId="2" borderId="11" xfId="1" applyFill="1" applyBorder="1" applyProtection="1"/>
    <xf numFmtId="0" fontId="1" fillId="2" borderId="12" xfId="1" applyFill="1" applyBorder="1" applyProtection="1"/>
    <xf numFmtId="0" fontId="1" fillId="2" borderId="13" xfId="1" applyFill="1" applyBorder="1" applyProtection="1"/>
    <xf numFmtId="0" fontId="1" fillId="2" borderId="14" xfId="1" applyFill="1" applyBorder="1" applyProtection="1"/>
    <xf numFmtId="0" fontId="1" fillId="2" borderId="15" xfId="1" applyFill="1" applyBorder="1" applyProtection="1"/>
    <xf numFmtId="0" fontId="1" fillId="2" borderId="16" xfId="1" applyFill="1" applyBorder="1" applyProtection="1"/>
    <xf numFmtId="0" fontId="1" fillId="2" borderId="17" xfId="1" applyFill="1" applyBorder="1" applyProtection="1"/>
    <xf numFmtId="0" fontId="11" fillId="2" borderId="0" xfId="1" applyFont="1" applyFill="1" applyBorder="1" applyAlignment="1" applyProtection="1">
      <alignment horizontal="center" vertical="center"/>
    </xf>
    <xf numFmtId="0" fontId="11" fillId="2" borderId="0" xfId="1" applyFont="1" applyFill="1" applyBorder="1" applyAlignment="1" applyProtection="1">
      <alignment horizontal="center"/>
    </xf>
    <xf numFmtId="0" fontId="11" fillId="2" borderId="0" xfId="1" applyFont="1" applyFill="1" applyBorder="1" applyProtection="1"/>
    <xf numFmtId="0" fontId="11" fillId="2" borderId="0" xfId="1" applyFont="1" applyFill="1" applyBorder="1" applyAlignment="1" applyProtection="1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19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178" fontId="4" fillId="2" borderId="0" xfId="1" applyNumberFormat="1" applyFont="1" applyFill="1" applyBorder="1" applyAlignment="1" applyProtection="1">
      <alignment horizontal="center"/>
    </xf>
    <xf numFmtId="0" fontId="3" fillId="2" borderId="0" xfId="1" applyFont="1" applyFill="1" applyBorder="1" applyAlignment="1" applyProtection="1">
      <alignment horizontal="center" shrinkToFit="1"/>
    </xf>
    <xf numFmtId="0" fontId="3" fillId="2" borderId="0" xfId="1" applyFont="1" applyFill="1" applyBorder="1" applyAlignment="1" applyProtection="1">
      <alignment horizontal="center"/>
    </xf>
    <xf numFmtId="176" fontId="4" fillId="2" borderId="0" xfId="1" applyNumberFormat="1" applyFont="1" applyFill="1" applyBorder="1" applyAlignment="1" applyProtection="1">
      <alignment horizontal="center"/>
    </xf>
    <xf numFmtId="0" fontId="1" fillId="2" borderId="0" xfId="1" applyFill="1" applyBorder="1" applyAlignment="1" applyProtection="1">
      <alignment horizontal="center" vertical="center"/>
    </xf>
    <xf numFmtId="0" fontId="1" fillId="2" borderId="9" xfId="1" applyFill="1" applyBorder="1" applyAlignment="1" applyProtection="1">
      <alignment horizontal="center"/>
    </xf>
    <xf numFmtId="178" fontId="6" fillId="2" borderId="9" xfId="1" applyNumberFormat="1" applyFont="1" applyFill="1" applyBorder="1" applyAlignment="1" applyProtection="1">
      <alignment horizontal="center"/>
    </xf>
    <xf numFmtId="0" fontId="1" fillId="2" borderId="9" xfId="1" applyFill="1" applyBorder="1" applyAlignment="1" applyProtection="1">
      <alignment horizontal="center" vertical="center"/>
    </xf>
    <xf numFmtId="178" fontId="1" fillId="2" borderId="1" xfId="1" applyNumberFormat="1" applyFill="1" applyBorder="1" applyAlignment="1" applyProtection="1">
      <alignment horizontal="center"/>
    </xf>
    <xf numFmtId="178" fontId="1" fillId="2" borderId="2" xfId="1" applyNumberFormat="1" applyFill="1" applyBorder="1" applyAlignment="1" applyProtection="1">
      <alignment horizontal="center"/>
    </xf>
    <xf numFmtId="178" fontId="1" fillId="2" borderId="3" xfId="1" applyNumberFormat="1" applyFill="1" applyBorder="1" applyAlignment="1" applyProtection="1">
      <alignment horizontal="center"/>
    </xf>
    <xf numFmtId="178" fontId="1" fillId="2" borderId="4" xfId="1" applyNumberFormat="1" applyFill="1" applyBorder="1" applyAlignment="1" applyProtection="1">
      <alignment horizontal="center"/>
    </xf>
    <xf numFmtId="178" fontId="1" fillId="2" borderId="0" xfId="1" applyNumberFormat="1" applyFill="1" applyBorder="1" applyAlignment="1" applyProtection="1">
      <alignment horizontal="center"/>
    </xf>
    <xf numFmtId="178" fontId="1" fillId="2" borderId="5" xfId="1" applyNumberFormat="1" applyFill="1" applyBorder="1" applyAlignment="1" applyProtection="1">
      <alignment horizontal="center"/>
    </xf>
    <xf numFmtId="178" fontId="1" fillId="2" borderId="6" xfId="1" applyNumberFormat="1" applyFill="1" applyBorder="1" applyAlignment="1" applyProtection="1">
      <alignment horizontal="center"/>
    </xf>
    <xf numFmtId="178" fontId="1" fillId="2" borderId="7" xfId="1" applyNumberFormat="1" applyFill="1" applyBorder="1" applyAlignment="1" applyProtection="1">
      <alignment horizontal="center"/>
    </xf>
    <xf numFmtId="178" fontId="1" fillId="2" borderId="8" xfId="1" applyNumberFormat="1" applyFill="1" applyBorder="1" applyAlignment="1" applyProtection="1">
      <alignment horizontal="center"/>
    </xf>
    <xf numFmtId="0" fontId="1" fillId="2" borderId="1" xfId="1" applyFill="1" applyBorder="1" applyAlignment="1" applyProtection="1">
      <alignment horizontal="center"/>
    </xf>
    <xf numFmtId="0" fontId="1" fillId="2" borderId="2" xfId="1" applyFill="1" applyBorder="1" applyAlignment="1" applyProtection="1">
      <alignment horizontal="center"/>
    </xf>
    <xf numFmtId="0" fontId="1" fillId="2" borderId="3" xfId="1" applyFill="1" applyBorder="1" applyAlignment="1" applyProtection="1">
      <alignment horizontal="center"/>
    </xf>
    <xf numFmtId="0" fontId="1" fillId="2" borderId="4" xfId="1" applyFill="1" applyBorder="1" applyAlignment="1" applyProtection="1">
      <alignment horizontal="center"/>
    </xf>
    <xf numFmtId="0" fontId="1" fillId="2" borderId="0" xfId="1" applyFill="1" applyBorder="1" applyAlignment="1" applyProtection="1">
      <alignment horizontal="center"/>
    </xf>
    <xf numFmtId="0" fontId="1" fillId="2" borderId="5" xfId="1" applyFill="1" applyBorder="1" applyAlignment="1" applyProtection="1">
      <alignment horizontal="center"/>
    </xf>
    <xf numFmtId="0" fontId="1" fillId="2" borderId="6" xfId="1" applyFill="1" applyBorder="1" applyAlignment="1" applyProtection="1">
      <alignment horizontal="center"/>
    </xf>
    <xf numFmtId="0" fontId="1" fillId="2" borderId="7" xfId="1" applyFill="1" applyBorder="1" applyAlignment="1" applyProtection="1">
      <alignment horizontal="center"/>
    </xf>
    <xf numFmtId="0" fontId="1" fillId="2" borderId="8" xfId="1" applyFill="1" applyBorder="1" applyAlignment="1" applyProtection="1">
      <alignment horizontal="center"/>
    </xf>
    <xf numFmtId="0" fontId="1" fillId="3" borderId="22" xfId="2" applyFill="1" applyBorder="1" applyAlignment="1" applyProtection="1">
      <alignment horizontal="center" vertical="center"/>
    </xf>
    <xf numFmtId="0" fontId="1" fillId="3" borderId="23" xfId="2" applyFill="1" applyBorder="1" applyAlignment="1" applyProtection="1">
      <alignment horizontal="center" vertical="center"/>
    </xf>
    <xf numFmtId="0" fontId="6" fillId="0" borderId="24" xfId="2" applyFont="1" applyBorder="1" applyAlignment="1" applyProtection="1">
      <alignment horizontal="center" vertical="center" wrapText="1"/>
    </xf>
    <xf numFmtId="0" fontId="6" fillId="0" borderId="9" xfId="2" applyFont="1" applyBorder="1" applyAlignment="1" applyProtection="1">
      <alignment horizontal="center" vertical="center" wrapText="1"/>
    </xf>
    <xf numFmtId="0" fontId="6" fillId="0" borderId="26" xfId="2" applyFont="1" applyBorder="1" applyAlignment="1" applyProtection="1">
      <alignment horizontal="center" vertical="center" wrapText="1"/>
    </xf>
    <xf numFmtId="0" fontId="6" fillId="0" borderId="27" xfId="2" applyFont="1" applyBorder="1" applyAlignment="1" applyProtection="1">
      <alignment horizontal="center" vertical="center" wrapText="1"/>
    </xf>
    <xf numFmtId="0" fontId="8" fillId="0" borderId="9" xfId="2" applyFont="1" applyBorder="1" applyAlignment="1" applyProtection="1">
      <alignment horizontal="center" vertical="center"/>
    </xf>
    <xf numFmtId="0" fontId="8" fillId="0" borderId="27" xfId="2" applyFont="1" applyBorder="1" applyAlignment="1" applyProtection="1">
      <alignment horizontal="center" vertical="center"/>
    </xf>
    <xf numFmtId="0" fontId="9" fillId="0" borderId="9" xfId="2" applyFont="1" applyBorder="1" applyAlignment="1" applyProtection="1">
      <alignment horizontal="center" vertical="center"/>
    </xf>
    <xf numFmtId="0" fontId="9" fillId="0" borderId="27" xfId="2" applyFont="1" applyBorder="1" applyAlignment="1" applyProtection="1">
      <alignment horizontal="center" vertical="center"/>
    </xf>
    <xf numFmtId="179" fontId="1" fillId="0" borderId="9" xfId="2" applyNumberFormat="1" applyBorder="1" applyAlignment="1" applyProtection="1">
      <alignment horizontal="center" vertical="center"/>
    </xf>
    <xf numFmtId="179" fontId="1" fillId="0" borderId="27" xfId="2" applyNumberFormat="1" applyBorder="1" applyAlignment="1" applyProtection="1">
      <alignment horizontal="center" vertical="center"/>
    </xf>
    <xf numFmtId="0" fontId="0" fillId="0" borderId="9" xfId="2" applyFont="1" applyBorder="1" applyAlignment="1" applyProtection="1">
      <alignment horizontal="center" vertical="center"/>
    </xf>
    <xf numFmtId="0" fontId="0" fillId="0" borderId="27" xfId="2" applyFont="1" applyBorder="1" applyAlignment="1" applyProtection="1">
      <alignment horizontal="center" vertical="center"/>
    </xf>
    <xf numFmtId="179" fontId="1" fillId="0" borderId="25" xfId="2" applyNumberFormat="1" applyBorder="1" applyAlignment="1" applyProtection="1">
      <alignment horizontal="center" vertical="center"/>
    </xf>
    <xf numFmtId="179" fontId="1" fillId="0" borderId="28" xfId="2" applyNumberFormat="1" applyBorder="1" applyAlignment="1" applyProtection="1">
      <alignment horizontal="center" vertical="center"/>
    </xf>
    <xf numFmtId="0" fontId="1" fillId="3" borderId="21" xfId="2" applyFill="1" applyBorder="1" applyAlignment="1" applyProtection="1">
      <alignment horizontal="center" vertical="center"/>
    </xf>
    <xf numFmtId="0" fontId="8" fillId="3" borderId="22" xfId="2" applyFont="1" applyFill="1" applyBorder="1" applyAlignment="1" applyProtection="1">
      <alignment horizontal="center" vertical="center" wrapText="1"/>
    </xf>
    <xf numFmtId="180" fontId="12" fillId="0" borderId="24" xfId="2" applyNumberFormat="1" applyFont="1" applyBorder="1" applyAlignment="1" applyProtection="1">
      <alignment horizontal="center" vertical="center"/>
    </xf>
    <xf numFmtId="180" fontId="12" fillId="0" borderId="9" xfId="2" applyNumberFormat="1" applyFont="1" applyBorder="1" applyAlignment="1" applyProtection="1">
      <alignment horizontal="center" vertical="center"/>
    </xf>
    <xf numFmtId="179" fontId="12" fillId="0" borderId="9" xfId="2" applyNumberFormat="1" applyFont="1" applyBorder="1" applyAlignment="1" applyProtection="1">
      <alignment horizontal="center" vertical="center"/>
    </xf>
    <xf numFmtId="0" fontId="12" fillId="0" borderId="9" xfId="2" applyFont="1" applyBorder="1" applyAlignment="1" applyProtection="1">
      <alignment horizontal="center" vertical="center"/>
    </xf>
    <xf numFmtId="0" fontId="12" fillId="0" borderId="9" xfId="2" applyFont="1" applyBorder="1" applyAlignment="1" applyProtection="1">
      <alignment vertical="center" wrapText="1"/>
    </xf>
    <xf numFmtId="0" fontId="12" fillId="0" borderId="25" xfId="2" applyFont="1" applyBorder="1" applyAlignment="1" applyProtection="1">
      <alignment horizontal="center" vertical="center"/>
    </xf>
    <xf numFmtId="0" fontId="12" fillId="3" borderId="21" xfId="2" applyFont="1" applyFill="1" applyBorder="1" applyAlignment="1" applyProtection="1">
      <alignment horizontal="center" vertical="center"/>
    </xf>
    <xf numFmtId="0" fontId="12" fillId="3" borderId="22" xfId="2" applyFont="1" applyFill="1" applyBorder="1" applyAlignment="1" applyProtection="1">
      <alignment horizontal="center" vertical="center"/>
    </xf>
    <xf numFmtId="0" fontId="12" fillId="3" borderId="24" xfId="2" applyFont="1" applyFill="1" applyBorder="1" applyAlignment="1" applyProtection="1">
      <alignment horizontal="center" vertical="center"/>
    </xf>
    <xf numFmtId="0" fontId="12" fillId="3" borderId="9" xfId="2" applyFont="1" applyFill="1" applyBorder="1" applyAlignment="1" applyProtection="1">
      <alignment horizontal="center" vertical="center"/>
    </xf>
    <xf numFmtId="0" fontId="12" fillId="3" borderId="23" xfId="2" applyFont="1" applyFill="1" applyBorder="1" applyAlignment="1" applyProtection="1">
      <alignment horizontal="center" vertical="center"/>
    </xf>
    <xf numFmtId="0" fontId="12" fillId="3" borderId="25" xfId="2" applyFont="1" applyFill="1" applyBorder="1" applyAlignment="1" applyProtection="1">
      <alignment horizontal="center" vertical="center"/>
    </xf>
    <xf numFmtId="0" fontId="12" fillId="0" borderId="9" xfId="2" applyFont="1" applyBorder="1" applyAlignment="1" applyProtection="1">
      <alignment horizontal="center" vertical="center" wrapText="1"/>
    </xf>
    <xf numFmtId="0" fontId="13" fillId="0" borderId="24" xfId="2" applyFont="1" applyBorder="1" applyAlignment="1" applyProtection="1">
      <alignment horizontal="center" vertical="center"/>
    </xf>
    <xf numFmtId="0" fontId="13" fillId="0" borderId="9" xfId="2" applyFont="1" applyBorder="1" applyAlignment="1" applyProtection="1">
      <alignment horizontal="center" vertical="center"/>
    </xf>
    <xf numFmtId="179" fontId="13" fillId="0" borderId="9" xfId="2" applyNumberFormat="1" applyFont="1" applyBorder="1" applyAlignment="1" applyProtection="1">
      <alignment horizontal="center" vertical="center"/>
    </xf>
    <xf numFmtId="0" fontId="13" fillId="0" borderId="9" xfId="2" applyFont="1" applyBorder="1" applyAlignment="1" applyProtection="1">
      <alignment horizontal="center" vertical="center" wrapText="1"/>
    </xf>
    <xf numFmtId="0" fontId="13" fillId="0" borderId="9" xfId="2" applyFont="1" applyBorder="1" applyAlignment="1" applyProtection="1">
      <alignment vertical="center" wrapText="1"/>
    </xf>
    <xf numFmtId="0" fontId="13" fillId="0" borderId="25" xfId="2" applyFont="1" applyBorder="1" applyAlignment="1" applyProtection="1">
      <alignment horizontal="center" vertical="center"/>
    </xf>
    <xf numFmtId="0" fontId="12" fillId="0" borderId="24" xfId="2" applyFont="1" applyBorder="1" applyAlignment="1" applyProtection="1">
      <alignment horizontal="center" vertical="center"/>
    </xf>
    <xf numFmtId="180" fontId="12" fillId="0" borderId="26" xfId="2" applyNumberFormat="1" applyFont="1" applyBorder="1" applyAlignment="1" applyProtection="1">
      <alignment horizontal="center" vertical="center"/>
    </xf>
    <xf numFmtId="180" fontId="12" fillId="0" borderId="27" xfId="2" applyNumberFormat="1" applyFont="1" applyBorder="1" applyAlignment="1" applyProtection="1">
      <alignment horizontal="center" vertical="center"/>
    </xf>
    <xf numFmtId="179" fontId="12" fillId="0" borderId="27" xfId="2" applyNumberFormat="1" applyFont="1" applyBorder="1" applyAlignment="1" applyProtection="1">
      <alignment horizontal="center" vertical="center"/>
    </xf>
    <xf numFmtId="0" fontId="12" fillId="0" borderId="27" xfId="2" applyFont="1" applyBorder="1" applyAlignment="1" applyProtection="1">
      <alignment horizontal="center" vertical="center"/>
    </xf>
    <xf numFmtId="0" fontId="12" fillId="0" borderId="27" xfId="2" applyFont="1" applyBorder="1" applyAlignment="1" applyProtection="1">
      <alignment vertical="center" wrapText="1"/>
    </xf>
    <xf numFmtId="0" fontId="12" fillId="0" borderId="28" xfId="2" applyFont="1" applyBorder="1" applyAlignment="1" applyProtection="1">
      <alignment horizontal="center" vertical="center"/>
    </xf>
    <xf numFmtId="0" fontId="12" fillId="0" borderId="9" xfId="2" applyFont="1" applyBorder="1" applyAlignment="1" applyProtection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4" fillId="3" borderId="9" xfId="2" applyFont="1" applyFill="1" applyBorder="1" applyAlignment="1" applyProtection="1">
      <alignment horizontal="center" vertical="center"/>
    </xf>
    <xf numFmtId="0" fontId="14" fillId="3" borderId="9" xfId="3" applyFont="1" applyFill="1" applyBorder="1" applyAlignment="1" applyProtection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/>
    </xf>
    <xf numFmtId="0" fontId="6" fillId="6" borderId="20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7" fillId="3" borderId="22" xfId="2" applyFont="1" applyFill="1" applyBorder="1" applyAlignment="1" applyProtection="1">
      <alignment horizontal="center" vertical="center"/>
    </xf>
    <xf numFmtId="0" fontId="17" fillId="3" borderId="23" xfId="2" applyFont="1" applyFill="1" applyBorder="1" applyAlignment="1" applyProtection="1">
      <alignment horizontal="center" vertical="center"/>
    </xf>
    <xf numFmtId="0" fontId="14" fillId="0" borderId="24" xfId="2" applyFont="1" applyBorder="1" applyAlignment="1" applyProtection="1">
      <alignment horizontal="center" vertical="center" wrapText="1"/>
    </xf>
    <xf numFmtId="0" fontId="14" fillId="0" borderId="9" xfId="2" applyFont="1" applyBorder="1" applyAlignment="1" applyProtection="1">
      <alignment horizontal="center" vertical="center" wrapText="1"/>
    </xf>
    <xf numFmtId="0" fontId="14" fillId="0" borderId="26" xfId="2" applyFont="1" applyBorder="1" applyAlignment="1" applyProtection="1">
      <alignment horizontal="center" vertical="center" wrapText="1"/>
    </xf>
    <xf numFmtId="0" fontId="14" fillId="0" borderId="27" xfId="2" applyFont="1" applyBorder="1" applyAlignment="1" applyProtection="1">
      <alignment horizontal="center" vertical="center" wrapText="1"/>
    </xf>
    <xf numFmtId="0" fontId="18" fillId="0" borderId="9" xfId="2" applyFont="1" applyBorder="1" applyAlignment="1" applyProtection="1">
      <alignment horizontal="center" vertical="center"/>
    </xf>
    <xf numFmtId="0" fontId="18" fillId="0" borderId="27" xfId="2" applyFont="1" applyBorder="1" applyAlignment="1" applyProtection="1">
      <alignment horizontal="center" vertical="center"/>
    </xf>
    <xf numFmtId="0" fontId="20" fillId="0" borderId="9" xfId="2" applyFont="1" applyBorder="1" applyAlignment="1" applyProtection="1">
      <alignment horizontal="center" vertical="center"/>
    </xf>
    <xf numFmtId="0" fontId="20" fillId="0" borderId="27" xfId="2" applyFont="1" applyBorder="1" applyAlignment="1" applyProtection="1">
      <alignment horizontal="center" vertical="center"/>
    </xf>
    <xf numFmtId="179" fontId="17" fillId="0" borderId="9" xfId="2" applyNumberFormat="1" applyFont="1" applyBorder="1" applyAlignment="1" applyProtection="1">
      <alignment horizontal="center" vertical="center"/>
    </xf>
    <xf numFmtId="179" fontId="17" fillId="0" borderId="27" xfId="2" applyNumberFormat="1" applyFont="1" applyBorder="1" applyAlignment="1" applyProtection="1">
      <alignment horizontal="center" vertical="center"/>
    </xf>
    <xf numFmtId="0" fontId="19" fillId="0" borderId="9" xfId="2" applyFont="1" applyBorder="1" applyAlignment="1" applyProtection="1">
      <alignment horizontal="center" vertical="center"/>
    </xf>
    <xf numFmtId="0" fontId="19" fillId="0" borderId="27" xfId="2" applyFont="1" applyBorder="1" applyAlignment="1" applyProtection="1">
      <alignment horizontal="center" vertical="center"/>
    </xf>
    <xf numFmtId="179" fontId="17" fillId="0" borderId="25" xfId="2" applyNumberFormat="1" applyFont="1" applyBorder="1" applyAlignment="1" applyProtection="1">
      <alignment horizontal="center" vertical="center"/>
    </xf>
    <xf numFmtId="179" fontId="17" fillId="0" borderId="28" xfId="2" applyNumberFormat="1" applyFont="1" applyBorder="1" applyAlignment="1" applyProtection="1">
      <alignment horizontal="center" vertical="center"/>
    </xf>
    <xf numFmtId="0" fontId="17" fillId="3" borderId="21" xfId="2" applyFont="1" applyFill="1" applyBorder="1" applyAlignment="1" applyProtection="1">
      <alignment horizontal="center" vertical="center"/>
    </xf>
    <xf numFmtId="0" fontId="18" fillId="3" borderId="22" xfId="2" applyFont="1" applyFill="1" applyBorder="1" applyAlignment="1" applyProtection="1">
      <alignment horizontal="center" vertical="center" wrapText="1"/>
    </xf>
    <xf numFmtId="0" fontId="14" fillId="0" borderId="9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4" fillId="0" borderId="9" xfId="0" applyFont="1" applyBorder="1" applyAlignment="1">
      <alignment vertical="top" wrapText="1"/>
    </xf>
    <xf numFmtId="0" fontId="15" fillId="0" borderId="9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/>
    </xf>
    <xf numFmtId="0" fontId="14" fillId="0" borderId="2" xfId="0" applyFont="1" applyBorder="1" applyAlignment="1">
      <alignment vertical="top"/>
    </xf>
    <xf numFmtId="0" fontId="14" fillId="0" borderId="3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</cellXfs>
  <cellStyles count="4">
    <cellStyle name="標準" xfId="0" builtinId="0"/>
    <cellStyle name="標準 2" xfId="3" xr:uid="{B0541851-6FAF-402C-9891-BF9C041339AA}"/>
    <cellStyle name="標準_開発計画_110720_v11" xfId="2" xr:uid="{0B40E391-EA0A-4824-8021-F677BA47CE20}"/>
    <cellStyle name="標準_朝日生命_バースデーキャンペーン_DB設計書_080415_社内_情報活用セミナー_Createテキストデータ設計書_081107-2" xfId="1" xr:uid="{133DEE5E-B311-450D-9FBA-30A51DC1F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0A24-E063-40D6-8C1B-21DEAFA2331E}">
  <dimension ref="A1:BB39"/>
  <sheetViews>
    <sheetView tabSelected="1" view="pageBreakPreview" zoomScaleNormal="100" zoomScaleSheetLayoutView="100" workbookViewId="0"/>
  </sheetViews>
  <sheetFormatPr defaultColWidth="2.59765625" defaultRowHeight="13.2" customHeight="1" x14ac:dyDescent="0.45"/>
  <sheetData>
    <row r="1" spans="1:54" ht="13.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ht="13.2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13.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3.2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3.2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3.2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8.600000000000001" thickTop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9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9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2"/>
      <c r="O8" s="26" t="s">
        <v>0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13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9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2"/>
      <c r="O9" s="26" t="s">
        <v>1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13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9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2"/>
      <c r="O10" s="26" t="s">
        <v>2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13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8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3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9.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2"/>
      <c r="O12" s="1"/>
      <c r="P12" s="1"/>
      <c r="Q12" s="1"/>
      <c r="R12" s="1"/>
      <c r="S12" s="27" t="s">
        <v>3</v>
      </c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1"/>
      <c r="AL12" s="1"/>
      <c r="AM12" s="1"/>
      <c r="AN12" s="1"/>
      <c r="AO12" s="13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8.600000000000001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3.2" customHeight="1" thickTop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1"/>
      <c r="Z14" s="1"/>
      <c r="AA14" s="28"/>
      <c r="AB14" s="28"/>
      <c r="AC14" s="28"/>
      <c r="AD14" s="28"/>
      <c r="AE14" s="28"/>
      <c r="AF14" s="28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3.2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1"/>
      <c r="Z15" s="1"/>
      <c r="AA15" s="3"/>
      <c r="AB15" s="3"/>
      <c r="AC15" s="3"/>
      <c r="AD15" s="3"/>
      <c r="AE15" s="3"/>
      <c r="AF15" s="3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3.2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tr">
        <f>"第"&amp;TEXT(MAX(更新履歴!A8:J166),"#0.0")&amp;"版"</f>
        <v>第1.1版</v>
      </c>
      <c r="Y16" s="4"/>
      <c r="Z16" s="4"/>
      <c r="AA16" s="25">
        <f>MAX(更新履歴!K8:T166)</f>
        <v>44550</v>
      </c>
      <c r="AB16" s="25"/>
      <c r="AC16" s="25"/>
      <c r="AD16" s="25"/>
      <c r="AE16" s="25"/>
      <c r="AF16" s="2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3.2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1"/>
      <c r="Z17" s="1"/>
      <c r="AA17" s="5"/>
      <c r="AB17" s="5"/>
      <c r="AC17" s="5"/>
      <c r="AD17" s="5"/>
      <c r="AE17" s="5"/>
      <c r="AF17" s="5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13.2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1"/>
      <c r="Z18" s="1"/>
      <c r="AA18" s="25"/>
      <c r="AB18" s="25"/>
      <c r="AC18" s="25"/>
      <c r="AD18" s="25"/>
      <c r="AE18" s="25"/>
      <c r="AF18" s="25"/>
      <c r="AG18" s="6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3.2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30" t="s">
        <v>4</v>
      </c>
      <c r="V19" s="30"/>
      <c r="W19" s="30"/>
      <c r="X19" s="30"/>
      <c r="Y19" s="30"/>
      <c r="Z19" s="31" t="s">
        <v>5</v>
      </c>
      <c r="AA19" s="31"/>
      <c r="AB19" s="31"/>
      <c r="AC19" s="31"/>
      <c r="AD19" s="31"/>
      <c r="AE19" s="30" t="s">
        <v>6</v>
      </c>
      <c r="AF19" s="30"/>
      <c r="AG19" s="30"/>
      <c r="AH19" s="30"/>
      <c r="AI19" s="3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13.2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32" t="s">
        <v>7</v>
      </c>
      <c r="V20" s="32"/>
      <c r="W20" s="32"/>
      <c r="X20" s="32"/>
      <c r="Y20" s="32"/>
      <c r="Z20" s="33"/>
      <c r="AA20" s="34"/>
      <c r="AB20" s="34"/>
      <c r="AC20" s="34"/>
      <c r="AD20" s="35"/>
      <c r="AE20" s="42"/>
      <c r="AF20" s="43"/>
      <c r="AG20" s="43"/>
      <c r="AH20" s="43"/>
      <c r="AI20" s="44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13.2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32"/>
      <c r="V21" s="32"/>
      <c r="W21" s="32"/>
      <c r="X21" s="32"/>
      <c r="Y21" s="32"/>
      <c r="Z21" s="36"/>
      <c r="AA21" s="37"/>
      <c r="AB21" s="37"/>
      <c r="AC21" s="37"/>
      <c r="AD21" s="38"/>
      <c r="AE21" s="45"/>
      <c r="AF21" s="46"/>
      <c r="AG21" s="46"/>
      <c r="AH21" s="46"/>
      <c r="AI21" s="47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3.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32"/>
      <c r="V22" s="32"/>
      <c r="W22" s="32"/>
      <c r="X22" s="32"/>
      <c r="Y22" s="32"/>
      <c r="Z22" s="36"/>
      <c r="AA22" s="37"/>
      <c r="AB22" s="37"/>
      <c r="AC22" s="37"/>
      <c r="AD22" s="38"/>
      <c r="AE22" s="45"/>
      <c r="AF22" s="46"/>
      <c r="AG22" s="46"/>
      <c r="AH22" s="46"/>
      <c r="AI22" s="47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13.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32"/>
      <c r="V23" s="32"/>
      <c r="W23" s="32"/>
      <c r="X23" s="32"/>
      <c r="Y23" s="32"/>
      <c r="Z23" s="39"/>
      <c r="AA23" s="40"/>
      <c r="AB23" s="40"/>
      <c r="AC23" s="40"/>
      <c r="AD23" s="41"/>
      <c r="AE23" s="48"/>
      <c r="AF23" s="49"/>
      <c r="AG23" s="49"/>
      <c r="AH23" s="49"/>
      <c r="AI23" s="5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13.2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13.2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13.2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ht="13.2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ht="13.2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ht="13.2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ht="13.2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13.2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13.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ht="13.2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ht="13.2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ht="13.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ht="13.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ht="13.2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ht="13.2" customHeight="1" x14ac:dyDescent="0.2">
      <c r="A38" s="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8"/>
      <c r="BB38" s="1"/>
    </row>
    <row r="39" spans="1:54" ht="13.2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8"/>
    </row>
  </sheetData>
  <mergeCells count="15">
    <mergeCell ref="S34:AJ34"/>
    <mergeCell ref="S35:AJ36"/>
    <mergeCell ref="AA18:AF18"/>
    <mergeCell ref="U19:Y19"/>
    <mergeCell ref="Z19:AD19"/>
    <mergeCell ref="AE19:AI19"/>
    <mergeCell ref="U20:Y23"/>
    <mergeCell ref="Z20:AD23"/>
    <mergeCell ref="AE20:AI23"/>
    <mergeCell ref="AA16:AF16"/>
    <mergeCell ref="O8:AN8"/>
    <mergeCell ref="O9:AN9"/>
    <mergeCell ref="O10:AN10"/>
    <mergeCell ref="S12:AJ12"/>
    <mergeCell ref="AA14:AF14"/>
  </mergeCells>
  <phoneticPr fontId="2"/>
  <pageMargins left="0.7" right="0.7" top="0.75" bottom="0.75" header="0.3" footer="0.3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D5EC-B39E-43EC-957A-4D8270F7D18F}">
  <dimension ref="A1:BL40"/>
  <sheetViews>
    <sheetView view="pageBreakPreview" zoomScaleNormal="100" zoomScaleSheetLayoutView="100" workbookViewId="0">
      <selection sqref="A1:J1"/>
    </sheetView>
  </sheetViews>
  <sheetFormatPr defaultColWidth="2.59765625" defaultRowHeight="13.2" customHeight="1" x14ac:dyDescent="0.45"/>
  <sheetData>
    <row r="1" spans="1:64" ht="13.2" customHeight="1" x14ac:dyDescent="0.45">
      <c r="A1" s="67" t="s">
        <v>8</v>
      </c>
      <c r="B1" s="51"/>
      <c r="C1" s="51"/>
      <c r="D1" s="51"/>
      <c r="E1" s="51"/>
      <c r="F1" s="51"/>
      <c r="G1" s="51"/>
      <c r="H1" s="51"/>
      <c r="I1" s="51"/>
      <c r="J1" s="51"/>
      <c r="K1" s="51" t="s">
        <v>9</v>
      </c>
      <c r="L1" s="51"/>
      <c r="M1" s="51"/>
      <c r="N1" s="51"/>
      <c r="O1" s="51"/>
      <c r="P1" s="51"/>
      <c r="Q1" s="51"/>
      <c r="R1" s="51"/>
      <c r="S1" s="51"/>
      <c r="T1" s="51"/>
      <c r="U1" s="68" t="str">
        <f>表紙!O10</f>
        <v>共通設計書</v>
      </c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51" t="s">
        <v>4</v>
      </c>
      <c r="AP1" s="51"/>
      <c r="AQ1" s="51"/>
      <c r="AR1" s="51"/>
      <c r="AS1" s="51"/>
      <c r="AT1" s="51"/>
      <c r="AU1" s="51" t="s">
        <v>10</v>
      </c>
      <c r="AV1" s="51"/>
      <c r="AW1" s="51"/>
      <c r="AX1" s="51"/>
      <c r="AY1" s="51"/>
      <c r="AZ1" s="51"/>
      <c r="BA1" s="51" t="s">
        <v>11</v>
      </c>
      <c r="BB1" s="51"/>
      <c r="BC1" s="51"/>
      <c r="BD1" s="51"/>
      <c r="BE1" s="51"/>
      <c r="BF1" s="51"/>
      <c r="BG1" s="51" t="s">
        <v>12</v>
      </c>
      <c r="BH1" s="51"/>
      <c r="BI1" s="51"/>
      <c r="BJ1" s="51"/>
      <c r="BK1" s="51"/>
      <c r="BL1" s="52"/>
    </row>
    <row r="2" spans="1:64" ht="13.2" customHeight="1" x14ac:dyDescent="0.45">
      <c r="A2" s="53" t="str">
        <f>表紙!O9</f>
        <v>体験型Java研修</v>
      </c>
      <c r="B2" s="54"/>
      <c r="C2" s="54"/>
      <c r="D2" s="54"/>
      <c r="E2" s="54"/>
      <c r="F2" s="54"/>
      <c r="G2" s="54"/>
      <c r="H2" s="54"/>
      <c r="I2" s="54"/>
      <c r="J2" s="54"/>
      <c r="K2" s="54" t="str">
        <f>表紙!O8</f>
        <v>LMS学習管理システム</v>
      </c>
      <c r="L2" s="54"/>
      <c r="M2" s="54"/>
      <c r="N2" s="54"/>
      <c r="O2" s="54"/>
      <c r="P2" s="54"/>
      <c r="Q2" s="54"/>
      <c r="R2" s="54"/>
      <c r="S2" s="54"/>
      <c r="T2" s="54"/>
      <c r="U2" s="57" t="s">
        <v>13</v>
      </c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9" t="s">
        <v>7</v>
      </c>
      <c r="AP2" s="59"/>
      <c r="AQ2" s="59"/>
      <c r="AR2" s="59"/>
      <c r="AS2" s="59"/>
      <c r="AT2" s="59"/>
      <c r="AU2" s="61">
        <v>44258</v>
      </c>
      <c r="AV2" s="61"/>
      <c r="AW2" s="61"/>
      <c r="AX2" s="61"/>
      <c r="AY2" s="61"/>
      <c r="AZ2" s="61"/>
      <c r="BA2" s="59" t="s">
        <v>14</v>
      </c>
      <c r="BB2" s="63"/>
      <c r="BC2" s="63"/>
      <c r="BD2" s="63"/>
      <c r="BE2" s="63"/>
      <c r="BF2" s="63"/>
      <c r="BG2" s="61">
        <v>44550</v>
      </c>
      <c r="BH2" s="61"/>
      <c r="BI2" s="61"/>
      <c r="BJ2" s="61"/>
      <c r="BK2" s="61"/>
      <c r="BL2" s="65"/>
    </row>
    <row r="3" spans="1:64" ht="13.2" customHeight="1" thickBot="1" x14ac:dyDescent="0.5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60"/>
      <c r="AP3" s="60"/>
      <c r="AQ3" s="60"/>
      <c r="AR3" s="60"/>
      <c r="AS3" s="60"/>
      <c r="AT3" s="60"/>
      <c r="AU3" s="62"/>
      <c r="AV3" s="62"/>
      <c r="AW3" s="62"/>
      <c r="AX3" s="62"/>
      <c r="AY3" s="62"/>
      <c r="AZ3" s="62"/>
      <c r="BA3" s="64"/>
      <c r="BB3" s="64"/>
      <c r="BC3" s="64"/>
      <c r="BD3" s="64"/>
      <c r="BE3" s="64"/>
      <c r="BF3" s="64"/>
      <c r="BG3" s="62"/>
      <c r="BH3" s="62"/>
      <c r="BI3" s="62"/>
      <c r="BJ3" s="62"/>
      <c r="BK3" s="62"/>
      <c r="BL3" s="66"/>
    </row>
    <row r="4" spans="1:64" ht="13.2" customHeight="1" thickBo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8"/>
      <c r="N4" s="18"/>
      <c r="O4" s="18"/>
      <c r="P4" s="18"/>
      <c r="Q4" s="18"/>
      <c r="R4" s="18"/>
      <c r="S4" s="19"/>
      <c r="T4" s="20"/>
      <c r="U4" s="20"/>
      <c r="V4" s="20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8"/>
      <c r="AW4" s="18"/>
      <c r="AX4" s="18"/>
      <c r="AY4" s="18"/>
      <c r="AZ4" s="18"/>
      <c r="BA4" s="18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7"/>
    </row>
    <row r="5" spans="1:64" ht="13.2" customHeight="1" x14ac:dyDescent="0.45">
      <c r="A5" s="75" t="s">
        <v>15</v>
      </c>
      <c r="B5" s="76"/>
      <c r="C5" s="76"/>
      <c r="D5" s="76"/>
      <c r="E5" s="76"/>
      <c r="F5" s="76"/>
      <c r="G5" s="76"/>
      <c r="H5" s="76"/>
      <c r="I5" s="76"/>
      <c r="J5" s="76"/>
      <c r="K5" s="76" t="s">
        <v>16</v>
      </c>
      <c r="L5" s="76"/>
      <c r="M5" s="76"/>
      <c r="N5" s="76"/>
      <c r="O5" s="76"/>
      <c r="P5" s="76"/>
      <c r="Q5" s="76"/>
      <c r="R5" s="76"/>
      <c r="S5" s="76"/>
      <c r="T5" s="76"/>
      <c r="U5" s="76" t="s">
        <v>17</v>
      </c>
      <c r="V5" s="76"/>
      <c r="W5" s="76"/>
      <c r="X5" s="76"/>
      <c r="Y5" s="76" t="s">
        <v>18</v>
      </c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 t="s">
        <v>19</v>
      </c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9"/>
    </row>
    <row r="6" spans="1:64" ht="13.2" customHeight="1" x14ac:dyDescent="0.45">
      <c r="A6" s="77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80"/>
    </row>
    <row r="7" spans="1:64" ht="13.2" customHeight="1" x14ac:dyDescent="0.45">
      <c r="A7" s="77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80"/>
    </row>
    <row r="8" spans="1:64" ht="13.2" customHeight="1" x14ac:dyDescent="0.45">
      <c r="A8" s="69">
        <v>1</v>
      </c>
      <c r="B8" s="70"/>
      <c r="C8" s="70"/>
      <c r="D8" s="70"/>
      <c r="E8" s="70"/>
      <c r="F8" s="70"/>
      <c r="G8" s="70"/>
      <c r="H8" s="70"/>
      <c r="I8" s="70"/>
      <c r="J8" s="70"/>
      <c r="K8" s="71">
        <v>44258</v>
      </c>
      <c r="L8" s="71"/>
      <c r="M8" s="71"/>
      <c r="N8" s="71"/>
      <c r="O8" s="71"/>
      <c r="P8" s="71"/>
      <c r="Q8" s="71"/>
      <c r="R8" s="71"/>
      <c r="S8" s="71"/>
      <c r="T8" s="71"/>
      <c r="U8" s="72" t="s">
        <v>20</v>
      </c>
      <c r="V8" s="72"/>
      <c r="W8" s="72"/>
      <c r="X8" s="72"/>
      <c r="Y8" s="73" t="s">
        <v>21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2" t="s">
        <v>7</v>
      </c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4"/>
    </row>
    <row r="9" spans="1:64" ht="13.2" customHeight="1" x14ac:dyDescent="0.45">
      <c r="A9" s="69"/>
      <c r="B9" s="70"/>
      <c r="C9" s="70"/>
      <c r="D9" s="70"/>
      <c r="E9" s="70"/>
      <c r="F9" s="70"/>
      <c r="G9" s="70"/>
      <c r="H9" s="70"/>
      <c r="I9" s="70"/>
      <c r="J9" s="70"/>
      <c r="K9" s="71"/>
      <c r="L9" s="71"/>
      <c r="M9" s="71"/>
      <c r="N9" s="71"/>
      <c r="O9" s="71"/>
      <c r="P9" s="71"/>
      <c r="Q9" s="71"/>
      <c r="R9" s="71"/>
      <c r="S9" s="71"/>
      <c r="T9" s="71"/>
      <c r="U9" s="72"/>
      <c r="V9" s="72"/>
      <c r="W9" s="72"/>
      <c r="X9" s="7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4"/>
    </row>
    <row r="10" spans="1:64" ht="13.2" customHeight="1" x14ac:dyDescent="0.45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2"/>
      <c r="V10" s="72"/>
      <c r="W10" s="72"/>
      <c r="X10" s="72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4"/>
    </row>
    <row r="11" spans="1:64" ht="13.2" customHeight="1" x14ac:dyDescent="0.45">
      <c r="A11" s="69">
        <v>1.1000000000000001</v>
      </c>
      <c r="B11" s="70"/>
      <c r="C11" s="70"/>
      <c r="D11" s="70"/>
      <c r="E11" s="70"/>
      <c r="F11" s="70"/>
      <c r="G11" s="70"/>
      <c r="H11" s="70"/>
      <c r="I11" s="70"/>
      <c r="J11" s="70"/>
      <c r="K11" s="71">
        <v>44550</v>
      </c>
      <c r="L11" s="71"/>
      <c r="M11" s="71"/>
      <c r="N11" s="71"/>
      <c r="O11" s="71"/>
      <c r="P11" s="71"/>
      <c r="Q11" s="71"/>
      <c r="R11" s="71"/>
      <c r="S11" s="71"/>
      <c r="T11" s="71"/>
      <c r="U11" s="81" t="s">
        <v>22</v>
      </c>
      <c r="V11" s="81"/>
      <c r="W11" s="81"/>
      <c r="X11" s="81"/>
      <c r="Y11" s="73" t="s">
        <v>414</v>
      </c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2" t="s">
        <v>14</v>
      </c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4"/>
    </row>
    <row r="12" spans="1:64" ht="13.2" customHeight="1" x14ac:dyDescent="0.45">
      <c r="A12" s="69"/>
      <c r="B12" s="70"/>
      <c r="C12" s="70"/>
      <c r="D12" s="70"/>
      <c r="E12" s="70"/>
      <c r="F12" s="70"/>
      <c r="G12" s="70"/>
      <c r="H12" s="70"/>
      <c r="I12" s="70"/>
      <c r="J12" s="70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81"/>
      <c r="V12" s="81"/>
      <c r="W12" s="81"/>
      <c r="X12" s="81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4"/>
    </row>
    <row r="13" spans="1:64" ht="13.2" customHeight="1" x14ac:dyDescent="0.45">
      <c r="A13" s="69"/>
      <c r="B13" s="70"/>
      <c r="C13" s="70"/>
      <c r="D13" s="70"/>
      <c r="E13" s="70"/>
      <c r="F13" s="70"/>
      <c r="G13" s="70"/>
      <c r="H13" s="70"/>
      <c r="I13" s="70"/>
      <c r="J13" s="70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81"/>
      <c r="V13" s="81"/>
      <c r="W13" s="81"/>
      <c r="X13" s="81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4"/>
    </row>
    <row r="14" spans="1:64" ht="13.2" customHeight="1" x14ac:dyDescent="0.45">
      <c r="A14" s="69"/>
      <c r="B14" s="70"/>
      <c r="C14" s="70"/>
      <c r="D14" s="70"/>
      <c r="E14" s="70"/>
      <c r="F14" s="70"/>
      <c r="G14" s="70"/>
      <c r="H14" s="70"/>
      <c r="I14" s="70"/>
      <c r="J14" s="70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2"/>
      <c r="V14" s="72"/>
      <c r="W14" s="72"/>
      <c r="X14" s="72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4"/>
    </row>
    <row r="15" spans="1:64" ht="13.2" customHeight="1" x14ac:dyDescent="0.45">
      <c r="A15" s="69"/>
      <c r="B15" s="70"/>
      <c r="C15" s="70"/>
      <c r="D15" s="70"/>
      <c r="E15" s="70"/>
      <c r="F15" s="70"/>
      <c r="G15" s="70"/>
      <c r="H15" s="70"/>
      <c r="I15" s="70"/>
      <c r="J15" s="70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2"/>
      <c r="V15" s="72"/>
      <c r="W15" s="72"/>
      <c r="X15" s="72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4"/>
    </row>
    <row r="16" spans="1:64" ht="13.2" customHeight="1" x14ac:dyDescent="0.45">
      <c r="A16" s="69"/>
      <c r="B16" s="70"/>
      <c r="C16" s="70"/>
      <c r="D16" s="70"/>
      <c r="E16" s="70"/>
      <c r="F16" s="70"/>
      <c r="G16" s="70"/>
      <c r="H16" s="70"/>
      <c r="I16" s="70"/>
      <c r="J16" s="70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2"/>
      <c r="V16" s="72"/>
      <c r="W16" s="72"/>
      <c r="X16" s="72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4"/>
    </row>
    <row r="17" spans="1:64" ht="13.2" customHeight="1" x14ac:dyDescent="0.45">
      <c r="A17" s="69"/>
      <c r="B17" s="70"/>
      <c r="C17" s="70"/>
      <c r="D17" s="70"/>
      <c r="E17" s="70"/>
      <c r="F17" s="70"/>
      <c r="G17" s="70"/>
      <c r="H17" s="70"/>
      <c r="I17" s="70"/>
      <c r="J17" s="70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2"/>
      <c r="V17" s="72"/>
      <c r="W17" s="72"/>
      <c r="X17" s="72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4"/>
    </row>
    <row r="18" spans="1:64" ht="13.2" customHeight="1" x14ac:dyDescent="0.45">
      <c r="A18" s="69"/>
      <c r="B18" s="70"/>
      <c r="C18" s="70"/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72"/>
      <c r="W18" s="72"/>
      <c r="X18" s="72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4"/>
    </row>
    <row r="19" spans="1:64" ht="13.2" customHeight="1" x14ac:dyDescent="0.45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72"/>
      <c r="W19" s="72"/>
      <c r="X19" s="72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4"/>
    </row>
    <row r="20" spans="1:64" ht="13.2" customHeight="1" x14ac:dyDescent="0.4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81"/>
      <c r="V20" s="81"/>
      <c r="W20" s="81"/>
      <c r="X20" s="81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4"/>
    </row>
    <row r="21" spans="1:64" ht="13.2" customHeight="1" x14ac:dyDescent="0.45">
      <c r="A21" s="69"/>
      <c r="B21" s="70"/>
      <c r="C21" s="70"/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81"/>
      <c r="V21" s="81"/>
      <c r="W21" s="81"/>
      <c r="X21" s="81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4"/>
    </row>
    <row r="22" spans="1:64" ht="13.2" customHeight="1" x14ac:dyDescent="0.45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81"/>
      <c r="V22" s="81"/>
      <c r="W22" s="81"/>
      <c r="X22" s="81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4"/>
    </row>
    <row r="23" spans="1:64" ht="13.2" customHeight="1" x14ac:dyDescent="0.45">
      <c r="A23" s="69"/>
      <c r="B23" s="70"/>
      <c r="C23" s="70"/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81"/>
      <c r="V23" s="81"/>
      <c r="W23" s="81"/>
      <c r="X23" s="81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4"/>
    </row>
    <row r="24" spans="1:64" ht="13.2" customHeight="1" x14ac:dyDescent="0.45">
      <c r="A24" s="69"/>
      <c r="B24" s="70"/>
      <c r="C24" s="70"/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81"/>
      <c r="V24" s="81"/>
      <c r="W24" s="81"/>
      <c r="X24" s="81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4"/>
    </row>
    <row r="25" spans="1:64" ht="13.2" customHeight="1" x14ac:dyDescent="0.45">
      <c r="A25" s="69"/>
      <c r="B25" s="70"/>
      <c r="C25" s="70"/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81"/>
      <c r="V25" s="81"/>
      <c r="W25" s="81"/>
      <c r="X25" s="81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4"/>
    </row>
    <row r="26" spans="1:64" ht="13.2" customHeight="1" x14ac:dyDescent="0.45">
      <c r="A26" s="69"/>
      <c r="B26" s="70"/>
      <c r="C26" s="70"/>
      <c r="D26" s="70"/>
      <c r="E26" s="70"/>
      <c r="F26" s="70"/>
      <c r="G26" s="70"/>
      <c r="H26" s="70"/>
      <c r="I26" s="70"/>
      <c r="J26" s="70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81"/>
      <c r="V26" s="81"/>
      <c r="W26" s="81"/>
      <c r="X26" s="81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4"/>
    </row>
    <row r="27" spans="1:64" ht="13.2" customHeight="1" x14ac:dyDescent="0.45">
      <c r="A27" s="69"/>
      <c r="B27" s="70"/>
      <c r="C27" s="70"/>
      <c r="D27" s="70"/>
      <c r="E27" s="70"/>
      <c r="F27" s="70"/>
      <c r="G27" s="70"/>
      <c r="H27" s="70"/>
      <c r="I27" s="70"/>
      <c r="J27" s="70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81"/>
      <c r="V27" s="81"/>
      <c r="W27" s="81"/>
      <c r="X27" s="81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4"/>
    </row>
    <row r="28" spans="1:64" ht="13.2" customHeight="1" x14ac:dyDescent="0.45">
      <c r="A28" s="69"/>
      <c r="B28" s="70"/>
      <c r="C28" s="70"/>
      <c r="D28" s="70"/>
      <c r="E28" s="70"/>
      <c r="F28" s="70"/>
      <c r="G28" s="70"/>
      <c r="H28" s="70"/>
      <c r="I28" s="70"/>
      <c r="J28" s="70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81"/>
      <c r="V28" s="81"/>
      <c r="W28" s="81"/>
      <c r="X28" s="81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4"/>
    </row>
    <row r="29" spans="1:64" ht="13.2" customHeight="1" x14ac:dyDescent="0.45">
      <c r="A29" s="88"/>
      <c r="B29" s="72"/>
      <c r="C29" s="72"/>
      <c r="D29" s="72"/>
      <c r="E29" s="72"/>
      <c r="F29" s="72"/>
      <c r="G29" s="72"/>
      <c r="H29" s="72"/>
      <c r="I29" s="72"/>
      <c r="J29" s="72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81"/>
      <c r="V29" s="81"/>
      <c r="W29" s="81"/>
      <c r="X29" s="81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4"/>
    </row>
    <row r="30" spans="1:64" ht="13.2" customHeight="1" x14ac:dyDescent="0.45">
      <c r="A30" s="88"/>
      <c r="B30" s="72"/>
      <c r="C30" s="72"/>
      <c r="D30" s="72"/>
      <c r="E30" s="72"/>
      <c r="F30" s="72"/>
      <c r="G30" s="72"/>
      <c r="H30" s="72"/>
      <c r="I30" s="72"/>
      <c r="J30" s="72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81"/>
      <c r="V30" s="81"/>
      <c r="W30" s="81"/>
      <c r="X30" s="81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4"/>
    </row>
    <row r="31" spans="1:64" ht="13.2" customHeight="1" x14ac:dyDescent="0.45">
      <c r="A31" s="88"/>
      <c r="B31" s="72"/>
      <c r="C31" s="72"/>
      <c r="D31" s="72"/>
      <c r="E31" s="72"/>
      <c r="F31" s="72"/>
      <c r="G31" s="72"/>
      <c r="H31" s="72"/>
      <c r="I31" s="72"/>
      <c r="J31" s="72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81"/>
      <c r="V31" s="81"/>
      <c r="W31" s="81"/>
      <c r="X31" s="81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4"/>
    </row>
    <row r="32" spans="1:64" ht="13.2" customHeight="1" x14ac:dyDescent="0.45">
      <c r="A32" s="82"/>
      <c r="B32" s="83"/>
      <c r="C32" s="83"/>
      <c r="D32" s="83"/>
      <c r="E32" s="83"/>
      <c r="F32" s="83"/>
      <c r="G32" s="83"/>
      <c r="H32" s="83"/>
      <c r="I32" s="83"/>
      <c r="J32" s="83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5"/>
      <c r="V32" s="85"/>
      <c r="W32" s="85"/>
      <c r="X32" s="85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7"/>
    </row>
    <row r="33" spans="1:64" ht="13.2" customHeight="1" x14ac:dyDescent="0.45">
      <c r="A33" s="82"/>
      <c r="B33" s="83"/>
      <c r="C33" s="83"/>
      <c r="D33" s="83"/>
      <c r="E33" s="83"/>
      <c r="F33" s="83"/>
      <c r="G33" s="83"/>
      <c r="H33" s="83"/>
      <c r="I33" s="83"/>
      <c r="J33" s="83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5"/>
      <c r="V33" s="85"/>
      <c r="W33" s="85"/>
      <c r="X33" s="85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7"/>
    </row>
    <row r="34" spans="1:64" ht="13.2" customHeight="1" x14ac:dyDescent="0.4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5"/>
      <c r="V34" s="85"/>
      <c r="W34" s="85"/>
      <c r="X34" s="85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6"/>
      <c r="AU34" s="86"/>
      <c r="AV34" s="86"/>
      <c r="AW34" s="86"/>
      <c r="AX34" s="86"/>
      <c r="AY34" s="86"/>
      <c r="AZ34" s="86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7"/>
    </row>
    <row r="35" spans="1:64" ht="13.2" customHeight="1" x14ac:dyDescent="0.45">
      <c r="A35" s="88"/>
      <c r="B35" s="72"/>
      <c r="C35" s="72"/>
      <c r="D35" s="72"/>
      <c r="E35" s="72"/>
      <c r="F35" s="72"/>
      <c r="G35" s="72"/>
      <c r="H35" s="72"/>
      <c r="I35" s="72"/>
      <c r="J35" s="72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/>
      <c r="V35" s="72"/>
      <c r="W35" s="72"/>
      <c r="X35" s="72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4"/>
    </row>
    <row r="36" spans="1:64" ht="13.2" customHeight="1" x14ac:dyDescent="0.45">
      <c r="A36" s="88"/>
      <c r="B36" s="72"/>
      <c r="C36" s="72"/>
      <c r="D36" s="72"/>
      <c r="E36" s="72"/>
      <c r="F36" s="72"/>
      <c r="G36" s="72"/>
      <c r="H36" s="72"/>
      <c r="I36" s="72"/>
      <c r="J36" s="72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/>
      <c r="V36" s="72"/>
      <c r="W36" s="72"/>
      <c r="X36" s="72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4"/>
    </row>
    <row r="37" spans="1:64" ht="13.2" customHeight="1" x14ac:dyDescent="0.45">
      <c r="A37" s="88"/>
      <c r="B37" s="72"/>
      <c r="C37" s="72"/>
      <c r="D37" s="72"/>
      <c r="E37" s="72"/>
      <c r="F37" s="72"/>
      <c r="G37" s="72"/>
      <c r="H37" s="72"/>
      <c r="I37" s="72"/>
      <c r="J37" s="72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/>
      <c r="V37" s="72"/>
      <c r="W37" s="72"/>
      <c r="X37" s="72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4"/>
    </row>
    <row r="38" spans="1:64" ht="13.2" customHeight="1" x14ac:dyDescent="0.45">
      <c r="A38" s="69"/>
      <c r="B38" s="70"/>
      <c r="C38" s="70"/>
      <c r="D38" s="70"/>
      <c r="E38" s="70"/>
      <c r="F38" s="70"/>
      <c r="G38" s="70"/>
      <c r="H38" s="70"/>
      <c r="I38" s="70"/>
      <c r="J38" s="70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/>
      <c r="V38" s="72"/>
      <c r="W38" s="72"/>
      <c r="X38" s="72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4"/>
    </row>
    <row r="39" spans="1:64" ht="13.2" customHeight="1" x14ac:dyDescent="0.45">
      <c r="A39" s="69"/>
      <c r="B39" s="70"/>
      <c r="C39" s="70"/>
      <c r="D39" s="70"/>
      <c r="E39" s="70"/>
      <c r="F39" s="70"/>
      <c r="G39" s="70"/>
      <c r="H39" s="70"/>
      <c r="I39" s="70"/>
      <c r="J39" s="70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/>
      <c r="V39" s="72"/>
      <c r="W39" s="72"/>
      <c r="X39" s="72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4"/>
    </row>
    <row r="40" spans="1:64" ht="13.2" customHeight="1" thickBot="1" x14ac:dyDescent="0.5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2"/>
      <c r="V40" s="92"/>
      <c r="W40" s="92"/>
      <c r="X40" s="92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4"/>
    </row>
  </sheetData>
  <mergeCells count="74">
    <mergeCell ref="A35:J37"/>
    <mergeCell ref="K35:T37"/>
    <mergeCell ref="U35:X37"/>
    <mergeCell ref="Y35:AZ37"/>
    <mergeCell ref="BA35:BL37"/>
    <mergeCell ref="A38:J40"/>
    <mergeCell ref="K38:T40"/>
    <mergeCell ref="U38:X40"/>
    <mergeCell ref="Y38:AZ40"/>
    <mergeCell ref="BA38:BL40"/>
    <mergeCell ref="A29:J31"/>
    <mergeCell ref="K29:T31"/>
    <mergeCell ref="U29:X31"/>
    <mergeCell ref="Y29:AZ31"/>
    <mergeCell ref="BA29:BL31"/>
    <mergeCell ref="A32:J34"/>
    <mergeCell ref="K32:T34"/>
    <mergeCell ref="U32:X34"/>
    <mergeCell ref="Y32:AZ34"/>
    <mergeCell ref="BA32:BL34"/>
    <mergeCell ref="A23:J25"/>
    <mergeCell ref="K23:T25"/>
    <mergeCell ref="U23:X25"/>
    <mergeCell ref="Y23:AZ25"/>
    <mergeCell ref="BA23:BL25"/>
    <mergeCell ref="A26:J28"/>
    <mergeCell ref="K26:T28"/>
    <mergeCell ref="U26:X28"/>
    <mergeCell ref="Y26:AZ28"/>
    <mergeCell ref="BA26:BL28"/>
    <mergeCell ref="A17:J19"/>
    <mergeCell ref="K17:T19"/>
    <mergeCell ref="U17:X19"/>
    <mergeCell ref="Y17:AZ19"/>
    <mergeCell ref="BA17:BL19"/>
    <mergeCell ref="A20:J22"/>
    <mergeCell ref="K20:T22"/>
    <mergeCell ref="U20:X22"/>
    <mergeCell ref="Y20:AZ22"/>
    <mergeCell ref="BA20:BL22"/>
    <mergeCell ref="A11:J13"/>
    <mergeCell ref="K11:T13"/>
    <mergeCell ref="U11:X13"/>
    <mergeCell ref="Y11:AZ13"/>
    <mergeCell ref="BA11:BL13"/>
    <mergeCell ref="A14:J16"/>
    <mergeCell ref="K14:T16"/>
    <mergeCell ref="U14:X16"/>
    <mergeCell ref="Y14:AZ16"/>
    <mergeCell ref="BA14:BL16"/>
    <mergeCell ref="A5:J7"/>
    <mergeCell ref="K5:T7"/>
    <mergeCell ref="U5:X7"/>
    <mergeCell ref="Y5:AZ7"/>
    <mergeCell ref="BA5:BL7"/>
    <mergeCell ref="A8:J10"/>
    <mergeCell ref="K8:T10"/>
    <mergeCell ref="U8:X10"/>
    <mergeCell ref="Y8:AZ10"/>
    <mergeCell ref="BA8:BL10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</mergeCells>
  <phoneticPr fontId="2"/>
  <pageMargins left="0.7" right="0.7" top="0.75" bottom="0.75" header="0.3" footer="0.3"/>
  <pageSetup paperSize="9" scale="4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E36D-A9E1-491B-AFB1-4053E8B19962}">
  <dimension ref="A1:BL20"/>
  <sheetViews>
    <sheetView showGridLines="0" view="pageBreakPreview" zoomScaleNormal="100" zoomScaleSheetLayoutView="100" workbookViewId="0">
      <selection sqref="A1:J1"/>
    </sheetView>
  </sheetViews>
  <sheetFormatPr defaultColWidth="2.59765625" defaultRowHeight="13.2" customHeight="1" x14ac:dyDescent="0.45"/>
  <sheetData>
    <row r="1" spans="1:64" ht="13.2" customHeight="1" x14ac:dyDescent="0.45">
      <c r="A1" s="67" t="s">
        <v>8</v>
      </c>
      <c r="B1" s="51"/>
      <c r="C1" s="51"/>
      <c r="D1" s="51"/>
      <c r="E1" s="51"/>
      <c r="F1" s="51"/>
      <c r="G1" s="51"/>
      <c r="H1" s="51"/>
      <c r="I1" s="51"/>
      <c r="J1" s="51"/>
      <c r="K1" s="51" t="s">
        <v>9</v>
      </c>
      <c r="L1" s="51"/>
      <c r="M1" s="51"/>
      <c r="N1" s="51"/>
      <c r="O1" s="51"/>
      <c r="P1" s="51"/>
      <c r="Q1" s="51"/>
      <c r="R1" s="51"/>
      <c r="S1" s="51"/>
      <c r="T1" s="51"/>
      <c r="U1" s="68" t="str">
        <f>表紙!O10</f>
        <v>共通設計書</v>
      </c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51" t="s">
        <v>4</v>
      </c>
      <c r="AP1" s="51"/>
      <c r="AQ1" s="51"/>
      <c r="AR1" s="51"/>
      <c r="AS1" s="51"/>
      <c r="AT1" s="51"/>
      <c r="AU1" s="51" t="s">
        <v>10</v>
      </c>
      <c r="AV1" s="51"/>
      <c r="AW1" s="51"/>
      <c r="AX1" s="51"/>
      <c r="AY1" s="51"/>
      <c r="AZ1" s="51"/>
      <c r="BA1" s="51" t="s">
        <v>11</v>
      </c>
      <c r="BB1" s="51"/>
      <c r="BC1" s="51"/>
      <c r="BD1" s="51"/>
      <c r="BE1" s="51"/>
      <c r="BF1" s="51"/>
      <c r="BG1" s="51" t="s">
        <v>12</v>
      </c>
      <c r="BH1" s="51"/>
      <c r="BI1" s="51"/>
      <c r="BJ1" s="51"/>
      <c r="BK1" s="51"/>
      <c r="BL1" s="52"/>
    </row>
    <row r="2" spans="1:64" ht="13.2" customHeight="1" x14ac:dyDescent="0.45">
      <c r="A2" s="53" t="str">
        <f>表紙!O9</f>
        <v>体験型Java研修</v>
      </c>
      <c r="B2" s="54"/>
      <c r="C2" s="54"/>
      <c r="D2" s="54"/>
      <c r="E2" s="54"/>
      <c r="F2" s="54"/>
      <c r="G2" s="54"/>
      <c r="H2" s="54"/>
      <c r="I2" s="54"/>
      <c r="J2" s="54"/>
      <c r="K2" s="54" t="str">
        <f>表紙!O8</f>
        <v>LMS学習管理システム</v>
      </c>
      <c r="L2" s="54"/>
      <c r="M2" s="54"/>
      <c r="N2" s="54"/>
      <c r="O2" s="54"/>
      <c r="P2" s="54"/>
      <c r="Q2" s="54"/>
      <c r="R2" s="54"/>
      <c r="S2" s="54"/>
      <c r="T2" s="54"/>
      <c r="U2" s="57" t="str">
        <f>表紙!S12</f>
        <v>ユーティリティクラス設計書</v>
      </c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9" t="s">
        <v>7</v>
      </c>
      <c r="AP2" s="59"/>
      <c r="AQ2" s="59"/>
      <c r="AR2" s="59"/>
      <c r="AS2" s="59"/>
      <c r="AT2" s="59"/>
      <c r="AU2" s="61">
        <v>44257</v>
      </c>
      <c r="AV2" s="61"/>
      <c r="AW2" s="61"/>
      <c r="AX2" s="61"/>
      <c r="AY2" s="61"/>
      <c r="AZ2" s="61"/>
      <c r="BA2" s="63"/>
      <c r="BB2" s="63"/>
      <c r="BC2" s="63"/>
      <c r="BD2" s="63"/>
      <c r="BE2" s="63"/>
      <c r="BF2" s="63"/>
      <c r="BG2" s="61"/>
      <c r="BH2" s="61"/>
      <c r="BI2" s="61"/>
      <c r="BJ2" s="61"/>
      <c r="BK2" s="61"/>
      <c r="BL2" s="65"/>
    </row>
    <row r="3" spans="1:64" ht="13.2" customHeight="1" thickBot="1" x14ac:dyDescent="0.5">
      <c r="A3" s="55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60"/>
      <c r="AP3" s="60"/>
      <c r="AQ3" s="60"/>
      <c r="AR3" s="60"/>
      <c r="AS3" s="60"/>
      <c r="AT3" s="60"/>
      <c r="AU3" s="62"/>
      <c r="AV3" s="62"/>
      <c r="AW3" s="62"/>
      <c r="AX3" s="62"/>
      <c r="AY3" s="62"/>
      <c r="AZ3" s="62"/>
      <c r="BA3" s="64"/>
      <c r="BB3" s="64"/>
      <c r="BC3" s="64"/>
      <c r="BD3" s="64"/>
      <c r="BE3" s="64"/>
      <c r="BF3" s="64"/>
      <c r="BG3" s="62"/>
      <c r="BH3" s="62"/>
      <c r="BI3" s="62"/>
      <c r="BJ3" s="62"/>
      <c r="BK3" s="62"/>
      <c r="BL3" s="66"/>
    </row>
    <row r="4" spans="1:64" ht="13.2" customHeight="1" x14ac:dyDescent="0.45"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</row>
    <row r="5" spans="1:64" ht="13.2" customHeight="1" x14ac:dyDescent="0.45">
      <c r="B5" s="100" t="s">
        <v>23</v>
      </c>
      <c r="C5" s="100"/>
      <c r="D5" s="101" t="s">
        <v>24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22"/>
      <c r="U5" s="22"/>
      <c r="V5" s="22"/>
      <c r="W5" s="22"/>
      <c r="X5" s="22"/>
      <c r="Y5" s="22"/>
      <c r="Z5" s="22"/>
      <c r="AA5" s="22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</row>
    <row r="6" spans="1:64" ht="13.2" customHeight="1" x14ac:dyDescent="0.45">
      <c r="B6" s="100"/>
      <c r="C6" s="100"/>
      <c r="D6" s="102" t="s">
        <v>25</v>
      </c>
      <c r="E6" s="102"/>
      <c r="F6" s="102"/>
      <c r="G6" s="102"/>
      <c r="H6" s="102"/>
      <c r="I6" s="102"/>
      <c r="J6" s="102"/>
      <c r="K6" s="102"/>
      <c r="L6" s="102" t="s">
        <v>26</v>
      </c>
      <c r="M6" s="102"/>
      <c r="N6" s="102"/>
      <c r="O6" s="102"/>
      <c r="P6" s="102"/>
      <c r="Q6" s="102"/>
      <c r="R6" s="102"/>
      <c r="S6" s="102"/>
      <c r="T6" s="22"/>
      <c r="U6" s="22"/>
      <c r="V6" s="22"/>
      <c r="W6" s="22"/>
      <c r="X6" s="22"/>
      <c r="Y6" s="22"/>
      <c r="Z6" s="22"/>
      <c r="AA6" s="22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</row>
    <row r="7" spans="1:64" ht="13.2" customHeight="1" x14ac:dyDescent="0.45">
      <c r="B7" s="96">
        <f t="shared" ref="B7:B20" si="0">ROW()-6</f>
        <v>1</v>
      </c>
      <c r="C7" s="96"/>
      <c r="D7" s="97" t="s">
        <v>27</v>
      </c>
      <c r="E7" s="98"/>
      <c r="F7" s="98"/>
      <c r="G7" s="98"/>
      <c r="H7" s="98"/>
      <c r="I7" s="98"/>
      <c r="J7" s="98"/>
      <c r="K7" s="99"/>
      <c r="L7" s="97" t="s">
        <v>28</v>
      </c>
      <c r="M7" s="98"/>
      <c r="N7" s="98"/>
      <c r="O7" s="98"/>
      <c r="P7" s="98"/>
      <c r="Q7" s="98"/>
      <c r="R7" s="98"/>
      <c r="S7" s="99"/>
      <c r="T7" s="22"/>
      <c r="U7" s="22"/>
      <c r="V7" s="22"/>
      <c r="W7" s="22"/>
      <c r="X7" s="22"/>
      <c r="Y7" s="22"/>
      <c r="Z7" s="22"/>
      <c r="AA7" s="22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</row>
    <row r="8" spans="1:64" ht="13.2" customHeight="1" x14ac:dyDescent="0.45">
      <c r="B8" s="103">
        <f t="shared" si="0"/>
        <v>2</v>
      </c>
      <c r="C8" s="103"/>
      <c r="D8" s="104" t="s">
        <v>305</v>
      </c>
      <c r="E8" s="105"/>
      <c r="F8" s="105"/>
      <c r="G8" s="105"/>
      <c r="H8" s="105"/>
      <c r="I8" s="105"/>
      <c r="J8" s="105"/>
      <c r="K8" s="106"/>
      <c r="L8" s="104" t="s">
        <v>294</v>
      </c>
      <c r="M8" s="105"/>
      <c r="N8" s="105"/>
      <c r="O8" s="105"/>
      <c r="P8" s="105"/>
      <c r="Q8" s="105"/>
      <c r="R8" s="105"/>
      <c r="S8" s="106"/>
      <c r="T8" s="22" t="s">
        <v>311</v>
      </c>
      <c r="U8" s="22"/>
      <c r="V8" s="22"/>
      <c r="W8" s="22"/>
      <c r="X8" s="22"/>
      <c r="Y8" s="22"/>
      <c r="Z8" s="22"/>
      <c r="AA8" s="22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</row>
    <row r="9" spans="1:64" ht="13.2" customHeight="1" x14ac:dyDescent="0.45">
      <c r="B9" s="96">
        <f t="shared" si="0"/>
        <v>3</v>
      </c>
      <c r="C9" s="96"/>
      <c r="D9" s="97" t="s">
        <v>295</v>
      </c>
      <c r="E9" s="98"/>
      <c r="F9" s="98"/>
      <c r="G9" s="98"/>
      <c r="H9" s="98"/>
      <c r="I9" s="98"/>
      <c r="J9" s="98"/>
      <c r="K9" s="99"/>
      <c r="L9" s="97" t="s">
        <v>296</v>
      </c>
      <c r="M9" s="98"/>
      <c r="N9" s="98"/>
      <c r="O9" s="98"/>
      <c r="P9" s="98"/>
      <c r="Q9" s="98"/>
      <c r="R9" s="98"/>
      <c r="S9" s="99"/>
      <c r="T9" s="22"/>
      <c r="U9" s="22"/>
      <c r="V9" s="22"/>
      <c r="W9" s="22"/>
      <c r="X9" s="22"/>
      <c r="Y9" s="22"/>
      <c r="Z9" s="22"/>
      <c r="AA9" s="22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</row>
    <row r="10" spans="1:64" ht="13.2" customHeight="1" x14ac:dyDescent="0.45">
      <c r="B10" s="96">
        <f t="shared" si="0"/>
        <v>4</v>
      </c>
      <c r="C10" s="96"/>
      <c r="D10" s="97" t="s">
        <v>16</v>
      </c>
      <c r="E10" s="98"/>
      <c r="F10" s="98"/>
      <c r="G10" s="98"/>
      <c r="H10" s="98"/>
      <c r="I10" s="98"/>
      <c r="J10" s="98"/>
      <c r="K10" s="99"/>
      <c r="L10" s="97" t="s">
        <v>29</v>
      </c>
      <c r="M10" s="98"/>
      <c r="N10" s="98"/>
      <c r="O10" s="98"/>
      <c r="P10" s="98"/>
      <c r="Q10" s="98"/>
      <c r="R10" s="98"/>
      <c r="S10" s="99"/>
      <c r="T10" s="22"/>
      <c r="U10" s="22"/>
      <c r="V10" s="22"/>
      <c r="W10" s="22"/>
      <c r="X10" s="22"/>
      <c r="Y10" s="22"/>
      <c r="Z10" s="22"/>
      <c r="AA10" s="22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</row>
    <row r="11" spans="1:64" ht="13.2" customHeight="1" x14ac:dyDescent="0.45">
      <c r="B11" s="96">
        <f t="shared" si="0"/>
        <v>5</v>
      </c>
      <c r="C11" s="96"/>
      <c r="D11" s="97" t="s">
        <v>306</v>
      </c>
      <c r="E11" s="98"/>
      <c r="F11" s="98"/>
      <c r="G11" s="98"/>
      <c r="H11" s="98"/>
      <c r="I11" s="98"/>
      <c r="J11" s="98"/>
      <c r="K11" s="99"/>
      <c r="L11" s="97" t="s">
        <v>297</v>
      </c>
      <c r="M11" s="98"/>
      <c r="N11" s="98"/>
      <c r="O11" s="98"/>
      <c r="P11" s="98"/>
      <c r="Q11" s="98"/>
      <c r="R11" s="98"/>
      <c r="S11" s="99"/>
      <c r="T11" s="22"/>
      <c r="U11" s="22"/>
      <c r="V11" s="22"/>
      <c r="W11" s="22"/>
      <c r="X11" s="22"/>
      <c r="Y11" s="22"/>
      <c r="Z11" s="22"/>
      <c r="AA11" s="22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</row>
    <row r="12" spans="1:64" ht="13.2" customHeight="1" x14ac:dyDescent="0.45">
      <c r="B12" s="96">
        <f t="shared" si="0"/>
        <v>6</v>
      </c>
      <c r="C12" s="96"/>
      <c r="D12" s="97" t="s">
        <v>30</v>
      </c>
      <c r="E12" s="98"/>
      <c r="F12" s="98"/>
      <c r="G12" s="98"/>
      <c r="H12" s="98"/>
      <c r="I12" s="98"/>
      <c r="J12" s="98"/>
      <c r="K12" s="99"/>
      <c r="L12" s="97" t="s">
        <v>31</v>
      </c>
      <c r="M12" s="98"/>
      <c r="N12" s="98"/>
      <c r="O12" s="98"/>
      <c r="P12" s="98"/>
      <c r="Q12" s="98"/>
      <c r="R12" s="98"/>
      <c r="S12" s="99"/>
      <c r="T12" s="22"/>
      <c r="U12" s="22"/>
      <c r="V12" s="22"/>
      <c r="W12" s="22"/>
      <c r="X12" s="22"/>
      <c r="Y12" s="22"/>
      <c r="Z12" s="22"/>
      <c r="AA12" s="22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</row>
    <row r="13" spans="1:64" ht="13.2" customHeight="1" x14ac:dyDescent="0.45">
      <c r="B13" s="96">
        <f t="shared" si="0"/>
        <v>7</v>
      </c>
      <c r="C13" s="96"/>
      <c r="D13" s="97" t="s">
        <v>298</v>
      </c>
      <c r="E13" s="98"/>
      <c r="F13" s="98"/>
      <c r="G13" s="98"/>
      <c r="H13" s="98"/>
      <c r="I13" s="98"/>
      <c r="J13" s="98"/>
      <c r="K13" s="99"/>
      <c r="L13" s="97" t="s">
        <v>33</v>
      </c>
      <c r="M13" s="98"/>
      <c r="N13" s="98"/>
      <c r="O13" s="98"/>
      <c r="P13" s="98"/>
      <c r="Q13" s="98"/>
      <c r="R13" s="98"/>
      <c r="S13" s="99"/>
      <c r="T13" s="22"/>
      <c r="U13" s="22"/>
      <c r="V13" s="22"/>
      <c r="W13" s="22"/>
      <c r="X13" s="22"/>
      <c r="Y13" s="22"/>
      <c r="Z13" s="22"/>
      <c r="AA13" s="22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</row>
    <row r="14" spans="1:64" ht="13.2" customHeight="1" x14ac:dyDescent="0.45">
      <c r="B14" s="96">
        <f t="shared" si="0"/>
        <v>8</v>
      </c>
      <c r="C14" s="96"/>
      <c r="D14" s="97" t="s">
        <v>32</v>
      </c>
      <c r="E14" s="98"/>
      <c r="F14" s="98"/>
      <c r="G14" s="98"/>
      <c r="H14" s="98"/>
      <c r="I14" s="98"/>
      <c r="J14" s="98"/>
      <c r="K14" s="99"/>
      <c r="L14" s="97" t="s">
        <v>299</v>
      </c>
      <c r="M14" s="98"/>
      <c r="N14" s="98"/>
      <c r="O14" s="98"/>
      <c r="P14" s="98"/>
      <c r="Q14" s="98"/>
      <c r="R14" s="98"/>
      <c r="S14" s="99"/>
      <c r="T14" s="22"/>
      <c r="U14" s="22"/>
      <c r="V14" s="22"/>
      <c r="W14" s="22"/>
      <c r="X14" s="22"/>
      <c r="Y14" s="22"/>
      <c r="Z14" s="22"/>
      <c r="AA14" s="22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</row>
    <row r="15" spans="1:64" ht="13.2" customHeight="1" x14ac:dyDescent="0.45">
      <c r="B15" s="96">
        <f t="shared" si="0"/>
        <v>9</v>
      </c>
      <c r="C15" s="96"/>
      <c r="D15" s="97" t="s">
        <v>300</v>
      </c>
      <c r="E15" s="98"/>
      <c r="F15" s="98"/>
      <c r="G15" s="98"/>
      <c r="H15" s="98"/>
      <c r="I15" s="98"/>
      <c r="J15" s="98"/>
      <c r="K15" s="99"/>
      <c r="L15" s="97" t="s">
        <v>301</v>
      </c>
      <c r="M15" s="98"/>
      <c r="N15" s="98"/>
      <c r="O15" s="98"/>
      <c r="P15" s="98"/>
      <c r="Q15" s="98"/>
      <c r="R15" s="98"/>
      <c r="S15" s="99"/>
    </row>
    <row r="16" spans="1:64" ht="13.2" customHeight="1" x14ac:dyDescent="0.45">
      <c r="B16" s="96">
        <f t="shared" si="0"/>
        <v>10</v>
      </c>
      <c r="C16" s="96"/>
      <c r="D16" s="97" t="s">
        <v>34</v>
      </c>
      <c r="E16" s="98"/>
      <c r="F16" s="98"/>
      <c r="G16" s="98"/>
      <c r="H16" s="98"/>
      <c r="I16" s="98"/>
      <c r="J16" s="98"/>
      <c r="K16" s="99"/>
      <c r="L16" s="97" t="s">
        <v>35</v>
      </c>
      <c r="M16" s="98"/>
      <c r="N16" s="98"/>
      <c r="O16" s="98"/>
      <c r="P16" s="98"/>
      <c r="Q16" s="98"/>
      <c r="R16" s="98"/>
      <c r="S16" s="99"/>
    </row>
    <row r="17" spans="2:19" ht="13.2" customHeight="1" x14ac:dyDescent="0.45">
      <c r="B17" s="96">
        <f t="shared" si="0"/>
        <v>11</v>
      </c>
      <c r="C17" s="96"/>
      <c r="D17" s="97" t="s">
        <v>36</v>
      </c>
      <c r="E17" s="98"/>
      <c r="F17" s="98"/>
      <c r="G17" s="98"/>
      <c r="H17" s="98"/>
      <c r="I17" s="98"/>
      <c r="J17" s="98"/>
      <c r="K17" s="99"/>
      <c r="L17" s="97" t="s">
        <v>37</v>
      </c>
      <c r="M17" s="98"/>
      <c r="N17" s="98"/>
      <c r="O17" s="98"/>
      <c r="P17" s="98"/>
      <c r="Q17" s="98"/>
      <c r="R17" s="98"/>
      <c r="S17" s="99"/>
    </row>
    <row r="18" spans="2:19" ht="13.2" customHeight="1" x14ac:dyDescent="0.45">
      <c r="B18" s="96">
        <f t="shared" si="0"/>
        <v>12</v>
      </c>
      <c r="C18" s="96"/>
      <c r="D18" s="97" t="s">
        <v>397</v>
      </c>
      <c r="E18" s="98"/>
      <c r="F18" s="98"/>
      <c r="G18" s="98"/>
      <c r="H18" s="98"/>
      <c r="I18" s="98"/>
      <c r="J18" s="98"/>
      <c r="K18" s="99"/>
      <c r="L18" s="97" t="s">
        <v>398</v>
      </c>
      <c r="M18" s="98"/>
      <c r="N18" s="98"/>
      <c r="O18" s="98"/>
      <c r="P18" s="98"/>
      <c r="Q18" s="98"/>
      <c r="R18" s="98"/>
      <c r="S18" s="99"/>
    </row>
    <row r="19" spans="2:19" ht="13.2" customHeight="1" x14ac:dyDescent="0.45">
      <c r="B19" s="96">
        <f t="shared" si="0"/>
        <v>13</v>
      </c>
      <c r="C19" s="96"/>
      <c r="D19" s="97" t="s">
        <v>303</v>
      </c>
      <c r="E19" s="98"/>
      <c r="F19" s="98"/>
      <c r="G19" s="98"/>
      <c r="H19" s="98"/>
      <c r="I19" s="98"/>
      <c r="J19" s="98"/>
      <c r="K19" s="99"/>
      <c r="L19" s="97" t="s">
        <v>302</v>
      </c>
      <c r="M19" s="98"/>
      <c r="N19" s="98"/>
      <c r="O19" s="98"/>
      <c r="P19" s="98"/>
      <c r="Q19" s="98"/>
      <c r="R19" s="98"/>
      <c r="S19" s="99"/>
    </row>
    <row r="20" spans="2:19" ht="13.2" customHeight="1" x14ac:dyDescent="0.45">
      <c r="B20" s="96">
        <f t="shared" si="0"/>
        <v>14</v>
      </c>
      <c r="C20" s="96"/>
      <c r="D20" s="97" t="s">
        <v>38</v>
      </c>
      <c r="E20" s="98"/>
      <c r="F20" s="98"/>
      <c r="G20" s="98"/>
      <c r="H20" s="98"/>
      <c r="I20" s="98"/>
      <c r="J20" s="98"/>
      <c r="K20" s="99"/>
      <c r="L20" s="97" t="s">
        <v>39</v>
      </c>
      <c r="M20" s="98"/>
      <c r="N20" s="98"/>
      <c r="O20" s="98"/>
      <c r="P20" s="98"/>
      <c r="Q20" s="98"/>
      <c r="R20" s="98"/>
      <c r="S20" s="99"/>
    </row>
  </sheetData>
  <mergeCells count="60">
    <mergeCell ref="B14:C14"/>
    <mergeCell ref="D14:K14"/>
    <mergeCell ref="L14:S14"/>
    <mergeCell ref="B12:C12"/>
    <mergeCell ref="D12:K12"/>
    <mergeCell ref="L12:S12"/>
    <mergeCell ref="B13:C13"/>
    <mergeCell ref="D13:K13"/>
    <mergeCell ref="L13:S13"/>
    <mergeCell ref="B10:C10"/>
    <mergeCell ref="D10:K10"/>
    <mergeCell ref="L10:S10"/>
    <mergeCell ref="B11:C11"/>
    <mergeCell ref="D11:K11"/>
    <mergeCell ref="L11:S11"/>
    <mergeCell ref="B8:C8"/>
    <mergeCell ref="D8:K8"/>
    <mergeCell ref="L8:S8"/>
    <mergeCell ref="B9:C9"/>
    <mergeCell ref="D9:K9"/>
    <mergeCell ref="L9:S9"/>
    <mergeCell ref="B5:C6"/>
    <mergeCell ref="D5:S5"/>
    <mergeCell ref="D6:K6"/>
    <mergeCell ref="L6:S6"/>
    <mergeCell ref="B7:C7"/>
    <mergeCell ref="D7:K7"/>
    <mergeCell ref="L7:S7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  <mergeCell ref="B15:C15"/>
    <mergeCell ref="D15:K15"/>
    <mergeCell ref="L15:S15"/>
    <mergeCell ref="B16:C16"/>
    <mergeCell ref="D16:K16"/>
    <mergeCell ref="L16:S16"/>
    <mergeCell ref="B17:C17"/>
    <mergeCell ref="D17:K17"/>
    <mergeCell ref="L17:S17"/>
    <mergeCell ref="B20:C20"/>
    <mergeCell ref="D20:K20"/>
    <mergeCell ref="L20:S20"/>
    <mergeCell ref="B19:C19"/>
    <mergeCell ref="D19:K19"/>
    <mergeCell ref="L19:S19"/>
    <mergeCell ref="B18:C18"/>
    <mergeCell ref="D18:K18"/>
    <mergeCell ref="L18:S18"/>
  </mergeCells>
  <phoneticPr fontId="2"/>
  <pageMargins left="0.7" right="0.7" top="0.75" bottom="0.75" header="0.3" footer="0.3"/>
  <pageSetup paperSize="9" scale="4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DC6F-5374-409B-A4DC-B52C98CAF0F6}">
  <dimension ref="A1:BL120"/>
  <sheetViews>
    <sheetView view="pageBreakPreview" zoomScaleNormal="100" zoomScaleSheetLayoutView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sqref="A1:J1"/>
    </sheetView>
  </sheetViews>
  <sheetFormatPr defaultColWidth="2.59765625" defaultRowHeight="18" x14ac:dyDescent="0.45"/>
  <cols>
    <col min="1" max="16384" width="2.59765625" style="23"/>
  </cols>
  <sheetData>
    <row r="1" spans="1:64" x14ac:dyDescent="0.45">
      <c r="A1" s="126" t="s">
        <v>8</v>
      </c>
      <c r="B1" s="110"/>
      <c r="C1" s="110"/>
      <c r="D1" s="110"/>
      <c r="E1" s="110"/>
      <c r="F1" s="110"/>
      <c r="G1" s="110"/>
      <c r="H1" s="110"/>
      <c r="I1" s="110"/>
      <c r="J1" s="110"/>
      <c r="K1" s="110" t="s">
        <v>9</v>
      </c>
      <c r="L1" s="110"/>
      <c r="M1" s="110"/>
      <c r="N1" s="110"/>
      <c r="O1" s="110"/>
      <c r="P1" s="110"/>
      <c r="Q1" s="110"/>
      <c r="R1" s="110"/>
      <c r="S1" s="110"/>
      <c r="T1" s="110"/>
      <c r="U1" s="127" t="str">
        <f>表紙!O10</f>
        <v>共通設計書</v>
      </c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10" t="s">
        <v>4</v>
      </c>
      <c r="AP1" s="110"/>
      <c r="AQ1" s="110"/>
      <c r="AR1" s="110"/>
      <c r="AS1" s="110"/>
      <c r="AT1" s="110"/>
      <c r="AU1" s="110" t="s">
        <v>10</v>
      </c>
      <c r="AV1" s="110"/>
      <c r="AW1" s="110"/>
      <c r="AX1" s="110"/>
      <c r="AY1" s="110"/>
      <c r="AZ1" s="110"/>
      <c r="BA1" s="110" t="s">
        <v>11</v>
      </c>
      <c r="BB1" s="110"/>
      <c r="BC1" s="110"/>
      <c r="BD1" s="110"/>
      <c r="BE1" s="110"/>
      <c r="BF1" s="110"/>
      <c r="BG1" s="110" t="s">
        <v>12</v>
      </c>
      <c r="BH1" s="110"/>
      <c r="BI1" s="110"/>
      <c r="BJ1" s="110"/>
      <c r="BK1" s="110"/>
      <c r="BL1" s="111"/>
    </row>
    <row r="2" spans="1:64" x14ac:dyDescent="0.45">
      <c r="A2" s="112" t="str">
        <f>表紙!O9</f>
        <v>体験型Java研修</v>
      </c>
      <c r="B2" s="113"/>
      <c r="C2" s="113"/>
      <c r="D2" s="113"/>
      <c r="E2" s="113"/>
      <c r="F2" s="113"/>
      <c r="G2" s="113"/>
      <c r="H2" s="113"/>
      <c r="I2" s="113"/>
      <c r="J2" s="113"/>
      <c r="K2" s="113" t="str">
        <f>表紙!O8</f>
        <v>LMS学習管理システム</v>
      </c>
      <c r="L2" s="113"/>
      <c r="M2" s="113"/>
      <c r="N2" s="113"/>
      <c r="O2" s="113"/>
      <c r="P2" s="113"/>
      <c r="Q2" s="113"/>
      <c r="R2" s="113"/>
      <c r="S2" s="113"/>
      <c r="T2" s="113"/>
      <c r="U2" s="116" t="str">
        <f>表紙!S12</f>
        <v>ユーティリティクラス設計書</v>
      </c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8" t="s">
        <v>7</v>
      </c>
      <c r="AP2" s="118"/>
      <c r="AQ2" s="118"/>
      <c r="AR2" s="118"/>
      <c r="AS2" s="118"/>
      <c r="AT2" s="118"/>
      <c r="AU2" s="120">
        <v>44257</v>
      </c>
      <c r="AV2" s="120"/>
      <c r="AW2" s="120"/>
      <c r="AX2" s="120"/>
      <c r="AY2" s="120"/>
      <c r="AZ2" s="120"/>
      <c r="BA2" s="118" t="s">
        <v>14</v>
      </c>
      <c r="BB2" s="122"/>
      <c r="BC2" s="122"/>
      <c r="BD2" s="122"/>
      <c r="BE2" s="122"/>
      <c r="BF2" s="122"/>
      <c r="BG2" s="120">
        <v>44550</v>
      </c>
      <c r="BH2" s="120"/>
      <c r="BI2" s="120"/>
      <c r="BJ2" s="120"/>
      <c r="BK2" s="120"/>
      <c r="BL2" s="124"/>
    </row>
    <row r="3" spans="1:64" ht="18.600000000000001" thickBot="1" x14ac:dyDescent="0.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9"/>
      <c r="AP3" s="119"/>
      <c r="AQ3" s="119"/>
      <c r="AR3" s="119"/>
      <c r="AS3" s="119"/>
      <c r="AT3" s="119"/>
      <c r="AU3" s="121"/>
      <c r="AV3" s="121"/>
      <c r="AW3" s="121"/>
      <c r="AX3" s="121"/>
      <c r="AY3" s="121"/>
      <c r="AZ3" s="121"/>
      <c r="BA3" s="123"/>
      <c r="BB3" s="123"/>
      <c r="BC3" s="123"/>
      <c r="BD3" s="123"/>
      <c r="BE3" s="123"/>
      <c r="BF3" s="123"/>
      <c r="BG3" s="121"/>
      <c r="BH3" s="121"/>
      <c r="BI3" s="121"/>
      <c r="BJ3" s="121"/>
      <c r="BK3" s="121"/>
      <c r="BL3" s="125"/>
    </row>
    <row r="4" spans="1:64" x14ac:dyDescent="0.4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</row>
    <row r="5" spans="1:64" x14ac:dyDescent="0.45">
      <c r="A5" s="100" t="s">
        <v>23</v>
      </c>
      <c r="B5" s="100"/>
      <c r="C5" s="107" t="s">
        <v>24</v>
      </c>
      <c r="D5" s="107"/>
      <c r="E5" s="107"/>
      <c r="F5" s="107"/>
      <c r="G5" s="107"/>
      <c r="H5" s="107"/>
      <c r="I5" s="107" t="s">
        <v>40</v>
      </c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8" t="s">
        <v>41</v>
      </c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9" t="s">
        <v>42</v>
      </c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7" t="s">
        <v>43</v>
      </c>
      <c r="BH5" s="107"/>
      <c r="BI5" s="107"/>
      <c r="BJ5" s="107"/>
      <c r="BK5" s="107"/>
      <c r="BL5" s="107"/>
    </row>
    <row r="6" spans="1:64" x14ac:dyDescent="0.45">
      <c r="A6" s="100"/>
      <c r="B6" s="100"/>
      <c r="C6" s="107"/>
      <c r="D6" s="107"/>
      <c r="E6" s="107"/>
      <c r="F6" s="107"/>
      <c r="G6" s="107"/>
      <c r="H6" s="107"/>
      <c r="I6" s="107" t="s">
        <v>25</v>
      </c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 t="s">
        <v>26</v>
      </c>
      <c r="Z6" s="107"/>
      <c r="AA6" s="107"/>
      <c r="AB6" s="107"/>
      <c r="AC6" s="107"/>
      <c r="AD6" s="107"/>
      <c r="AE6" s="107"/>
      <c r="AF6" s="107"/>
      <c r="AG6" s="107"/>
      <c r="AH6" s="107"/>
      <c r="AI6" s="108" t="s">
        <v>25</v>
      </c>
      <c r="AJ6" s="108"/>
      <c r="AK6" s="108"/>
      <c r="AL6" s="108"/>
      <c r="AM6" s="108"/>
      <c r="AN6" s="108"/>
      <c r="AO6" s="108" t="s">
        <v>26</v>
      </c>
      <c r="AP6" s="108"/>
      <c r="AQ6" s="108"/>
      <c r="AR6" s="108"/>
      <c r="AS6" s="108"/>
      <c r="AT6" s="108"/>
      <c r="AU6" s="109" t="s">
        <v>25</v>
      </c>
      <c r="AV6" s="109"/>
      <c r="AW6" s="109"/>
      <c r="AX6" s="109"/>
      <c r="AY6" s="109"/>
      <c r="AZ6" s="109"/>
      <c r="BA6" s="109" t="s">
        <v>26</v>
      </c>
      <c r="BB6" s="109"/>
      <c r="BC6" s="109"/>
      <c r="BD6" s="109"/>
      <c r="BE6" s="109"/>
      <c r="BF6" s="109"/>
      <c r="BG6" s="107"/>
      <c r="BH6" s="107"/>
      <c r="BI6" s="107"/>
      <c r="BJ6" s="107"/>
      <c r="BK6" s="107"/>
      <c r="BL6" s="107"/>
    </row>
    <row r="7" spans="1:64" ht="18" customHeight="1" x14ac:dyDescent="0.45">
      <c r="A7" s="129" t="str">
        <f t="shared" ref="A7:A74" si="0">TEXT(ROW()-6,"000")</f>
        <v>001</v>
      </c>
      <c r="B7" s="130"/>
      <c r="C7" s="128" t="s">
        <v>27</v>
      </c>
      <c r="D7" s="128"/>
      <c r="E7" s="128"/>
      <c r="F7" s="128"/>
      <c r="G7" s="128"/>
      <c r="H7" s="128"/>
      <c r="I7" s="128" t="s">
        <v>44</v>
      </c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 t="s">
        <v>326</v>
      </c>
      <c r="Z7" s="128"/>
      <c r="AA7" s="128"/>
      <c r="AB7" s="128"/>
      <c r="AC7" s="128"/>
      <c r="AD7" s="128"/>
      <c r="AE7" s="128"/>
      <c r="AF7" s="128"/>
      <c r="AG7" s="128"/>
      <c r="AH7" s="128"/>
      <c r="AI7" s="128" t="s">
        <v>45</v>
      </c>
      <c r="AJ7" s="128"/>
      <c r="AK7" s="128"/>
      <c r="AL7" s="128"/>
      <c r="AM7" s="128"/>
      <c r="AN7" s="128"/>
      <c r="AO7" s="128" t="s">
        <v>46</v>
      </c>
      <c r="AP7" s="128"/>
      <c r="AQ7" s="128"/>
      <c r="AR7" s="128"/>
      <c r="AS7" s="128"/>
      <c r="AT7" s="128"/>
      <c r="AU7" s="128" t="s">
        <v>47</v>
      </c>
      <c r="AV7" s="128"/>
      <c r="AW7" s="128"/>
      <c r="AX7" s="128"/>
      <c r="AY7" s="128"/>
      <c r="AZ7" s="128"/>
      <c r="BA7" s="128" t="s">
        <v>39</v>
      </c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</row>
    <row r="8" spans="1:64" ht="18" customHeight="1" x14ac:dyDescent="0.45">
      <c r="A8" s="129" t="str">
        <f t="shared" si="0"/>
        <v>002</v>
      </c>
      <c r="B8" s="130"/>
      <c r="C8" s="128" t="s">
        <v>27</v>
      </c>
      <c r="D8" s="128"/>
      <c r="E8" s="128"/>
      <c r="F8" s="128"/>
      <c r="G8" s="128"/>
      <c r="H8" s="128"/>
      <c r="I8" s="128" t="s">
        <v>48</v>
      </c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 t="s">
        <v>49</v>
      </c>
      <c r="Z8" s="128"/>
      <c r="AA8" s="128"/>
      <c r="AB8" s="128"/>
      <c r="AC8" s="128"/>
      <c r="AD8" s="128"/>
      <c r="AE8" s="128"/>
      <c r="AF8" s="128"/>
      <c r="AG8" s="128"/>
      <c r="AH8" s="128"/>
      <c r="AI8" s="128" t="s">
        <v>50</v>
      </c>
      <c r="AJ8" s="128"/>
      <c r="AK8" s="128"/>
      <c r="AL8" s="128"/>
      <c r="AM8" s="128"/>
      <c r="AN8" s="128"/>
      <c r="AO8" s="128" t="s">
        <v>50</v>
      </c>
      <c r="AP8" s="128"/>
      <c r="AQ8" s="128"/>
      <c r="AR8" s="128"/>
      <c r="AS8" s="128"/>
      <c r="AT8" s="128"/>
      <c r="AU8" s="128" t="s">
        <v>51</v>
      </c>
      <c r="AV8" s="128"/>
      <c r="AW8" s="128"/>
      <c r="AX8" s="128"/>
      <c r="AY8" s="128"/>
      <c r="AZ8" s="128"/>
      <c r="BA8" s="128" t="s">
        <v>52</v>
      </c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</row>
    <row r="9" spans="1:64" ht="30" customHeight="1" x14ac:dyDescent="0.45">
      <c r="A9" s="129" t="str">
        <f t="shared" si="0"/>
        <v>003</v>
      </c>
      <c r="B9" s="130"/>
      <c r="C9" s="128" t="s">
        <v>27</v>
      </c>
      <c r="D9" s="128"/>
      <c r="E9" s="128"/>
      <c r="F9" s="128"/>
      <c r="G9" s="128"/>
      <c r="H9" s="128"/>
      <c r="I9" s="128" t="s">
        <v>53</v>
      </c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 t="s">
        <v>54</v>
      </c>
      <c r="Z9" s="128"/>
      <c r="AA9" s="128"/>
      <c r="AB9" s="128"/>
      <c r="AC9" s="128"/>
      <c r="AD9" s="128"/>
      <c r="AE9" s="128"/>
      <c r="AF9" s="128"/>
      <c r="AG9" s="128"/>
      <c r="AH9" s="128"/>
      <c r="AI9" s="128" t="s">
        <v>55</v>
      </c>
      <c r="AJ9" s="128"/>
      <c r="AK9" s="128"/>
      <c r="AL9" s="128"/>
      <c r="AM9" s="128"/>
      <c r="AN9" s="128"/>
      <c r="AO9" s="128" t="s">
        <v>56</v>
      </c>
      <c r="AP9" s="128"/>
      <c r="AQ9" s="128"/>
      <c r="AR9" s="128"/>
      <c r="AS9" s="128"/>
      <c r="AT9" s="128"/>
      <c r="AU9" s="128" t="s">
        <v>57</v>
      </c>
      <c r="AV9" s="128"/>
      <c r="AW9" s="128"/>
      <c r="AX9" s="128"/>
      <c r="AY9" s="128"/>
      <c r="AZ9" s="128"/>
      <c r="BA9" s="128" t="s">
        <v>58</v>
      </c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</row>
    <row r="10" spans="1:64" ht="39" customHeight="1" x14ac:dyDescent="0.45">
      <c r="A10" s="129" t="str">
        <f t="shared" si="0"/>
        <v>004</v>
      </c>
      <c r="B10" s="130"/>
      <c r="C10" s="128" t="s">
        <v>27</v>
      </c>
      <c r="D10" s="128"/>
      <c r="E10" s="128"/>
      <c r="F10" s="128"/>
      <c r="G10" s="128"/>
      <c r="H10" s="128"/>
      <c r="I10" s="128" t="s">
        <v>59</v>
      </c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 t="s">
        <v>54</v>
      </c>
      <c r="Z10" s="128"/>
      <c r="AA10" s="128"/>
      <c r="AB10" s="128"/>
      <c r="AC10" s="128"/>
      <c r="AD10" s="128"/>
      <c r="AE10" s="128"/>
      <c r="AF10" s="128"/>
      <c r="AG10" s="128"/>
      <c r="AH10" s="128"/>
      <c r="AI10" s="128" t="s">
        <v>60</v>
      </c>
      <c r="AJ10" s="128"/>
      <c r="AK10" s="128"/>
      <c r="AL10" s="128"/>
      <c r="AM10" s="128"/>
      <c r="AN10" s="128"/>
      <c r="AO10" s="128" t="s">
        <v>61</v>
      </c>
      <c r="AP10" s="128"/>
      <c r="AQ10" s="128"/>
      <c r="AR10" s="128"/>
      <c r="AS10" s="128"/>
      <c r="AT10" s="128"/>
      <c r="AU10" s="128" t="s">
        <v>57</v>
      </c>
      <c r="AV10" s="128"/>
      <c r="AW10" s="128"/>
      <c r="AX10" s="128"/>
      <c r="AY10" s="128"/>
      <c r="AZ10" s="128"/>
      <c r="BA10" s="128" t="s">
        <v>58</v>
      </c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</row>
    <row r="11" spans="1:64" ht="18" customHeight="1" x14ac:dyDescent="0.45">
      <c r="A11" s="129" t="str">
        <f t="shared" si="0"/>
        <v>005</v>
      </c>
      <c r="B11" s="130"/>
      <c r="C11" s="128" t="s">
        <v>27</v>
      </c>
      <c r="D11" s="128"/>
      <c r="E11" s="128"/>
      <c r="F11" s="128"/>
      <c r="G11" s="128"/>
      <c r="H11" s="128"/>
      <c r="I11" s="131" t="s">
        <v>62</v>
      </c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3"/>
      <c r="Y11" s="128" t="s">
        <v>63</v>
      </c>
      <c r="Z11" s="128"/>
      <c r="AA11" s="128"/>
      <c r="AB11" s="128"/>
      <c r="AC11" s="128"/>
      <c r="AD11" s="128"/>
      <c r="AE11" s="128"/>
      <c r="AF11" s="128"/>
      <c r="AG11" s="128"/>
      <c r="AH11" s="128"/>
      <c r="AI11" s="128" t="s">
        <v>50</v>
      </c>
      <c r="AJ11" s="128"/>
      <c r="AK11" s="128"/>
      <c r="AL11" s="128"/>
      <c r="AM11" s="128"/>
      <c r="AN11" s="128"/>
      <c r="AO11" s="128" t="s">
        <v>50</v>
      </c>
      <c r="AP11" s="128"/>
      <c r="AQ11" s="128"/>
      <c r="AR11" s="128"/>
      <c r="AS11" s="128"/>
      <c r="AT11" s="128"/>
      <c r="AU11" s="128" t="s">
        <v>64</v>
      </c>
      <c r="AV11" s="128"/>
      <c r="AW11" s="128"/>
      <c r="AX11" s="128"/>
      <c r="AY11" s="128"/>
      <c r="AZ11" s="128"/>
      <c r="BA11" s="128" t="s">
        <v>65</v>
      </c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</row>
    <row r="12" spans="1:64" ht="18" customHeight="1" x14ac:dyDescent="0.45">
      <c r="A12" s="129" t="str">
        <f t="shared" si="0"/>
        <v>006</v>
      </c>
      <c r="B12" s="130"/>
      <c r="C12" s="128" t="s">
        <v>27</v>
      </c>
      <c r="D12" s="128"/>
      <c r="E12" s="128"/>
      <c r="F12" s="128"/>
      <c r="G12" s="128"/>
      <c r="H12" s="128"/>
      <c r="I12" s="128" t="s">
        <v>66</v>
      </c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 t="s">
        <v>67</v>
      </c>
      <c r="Z12" s="128"/>
      <c r="AA12" s="128"/>
      <c r="AB12" s="128"/>
      <c r="AC12" s="128"/>
      <c r="AD12" s="128"/>
      <c r="AE12" s="128"/>
      <c r="AF12" s="128"/>
      <c r="AG12" s="128"/>
      <c r="AH12" s="128"/>
      <c r="AI12" s="128" t="s">
        <v>50</v>
      </c>
      <c r="AJ12" s="128"/>
      <c r="AK12" s="128"/>
      <c r="AL12" s="128"/>
      <c r="AM12" s="128"/>
      <c r="AN12" s="128"/>
      <c r="AO12" s="128" t="s">
        <v>50</v>
      </c>
      <c r="AP12" s="128"/>
      <c r="AQ12" s="128"/>
      <c r="AR12" s="128"/>
      <c r="AS12" s="128"/>
      <c r="AT12" s="128"/>
      <c r="AU12" s="131" t="s">
        <v>68</v>
      </c>
      <c r="AV12" s="132"/>
      <c r="AW12" s="132"/>
      <c r="AX12" s="132"/>
      <c r="AY12" s="132"/>
      <c r="AZ12" s="133"/>
      <c r="BA12" s="128" t="s">
        <v>65</v>
      </c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</row>
    <row r="13" spans="1:64" ht="18" customHeight="1" x14ac:dyDescent="0.45">
      <c r="A13" s="129" t="str">
        <f t="shared" si="0"/>
        <v>007</v>
      </c>
      <c r="B13" s="130"/>
      <c r="C13" s="128" t="s">
        <v>27</v>
      </c>
      <c r="D13" s="128"/>
      <c r="E13" s="128"/>
      <c r="F13" s="128"/>
      <c r="G13" s="128"/>
      <c r="H13" s="128"/>
      <c r="I13" s="128" t="s">
        <v>69</v>
      </c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 t="s">
        <v>70</v>
      </c>
      <c r="Z13" s="128"/>
      <c r="AA13" s="128"/>
      <c r="AB13" s="128"/>
      <c r="AC13" s="128"/>
      <c r="AD13" s="128"/>
      <c r="AE13" s="128"/>
      <c r="AF13" s="128"/>
      <c r="AG13" s="128"/>
      <c r="AH13" s="128"/>
      <c r="AI13" s="128" t="s">
        <v>50</v>
      </c>
      <c r="AJ13" s="128"/>
      <c r="AK13" s="128"/>
      <c r="AL13" s="128"/>
      <c r="AM13" s="128"/>
      <c r="AN13" s="128"/>
      <c r="AO13" s="128" t="s">
        <v>50</v>
      </c>
      <c r="AP13" s="128"/>
      <c r="AQ13" s="128"/>
      <c r="AR13" s="128"/>
      <c r="AS13" s="128"/>
      <c r="AT13" s="128"/>
      <c r="AU13" s="131" t="s">
        <v>71</v>
      </c>
      <c r="AV13" s="132"/>
      <c r="AW13" s="132"/>
      <c r="AX13" s="132"/>
      <c r="AY13" s="132"/>
      <c r="AZ13" s="133"/>
      <c r="BA13" s="128" t="s">
        <v>65</v>
      </c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</row>
    <row r="14" spans="1:64" ht="18" customHeight="1" x14ac:dyDescent="0.45">
      <c r="A14" s="129" t="str">
        <f t="shared" si="0"/>
        <v>008</v>
      </c>
      <c r="B14" s="130"/>
      <c r="C14" s="128" t="s">
        <v>27</v>
      </c>
      <c r="D14" s="128"/>
      <c r="E14" s="128"/>
      <c r="F14" s="128"/>
      <c r="G14" s="128"/>
      <c r="H14" s="128"/>
      <c r="I14" s="128" t="s">
        <v>72</v>
      </c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 t="s">
        <v>73</v>
      </c>
      <c r="Z14" s="128"/>
      <c r="AA14" s="128"/>
      <c r="AB14" s="128"/>
      <c r="AC14" s="128"/>
      <c r="AD14" s="128"/>
      <c r="AE14" s="128"/>
      <c r="AF14" s="128"/>
      <c r="AG14" s="128"/>
      <c r="AH14" s="128"/>
      <c r="AI14" s="128" t="s">
        <v>74</v>
      </c>
      <c r="AJ14" s="128"/>
      <c r="AK14" s="128"/>
      <c r="AL14" s="128"/>
      <c r="AM14" s="128"/>
      <c r="AN14" s="128"/>
      <c r="AO14" s="128" t="s">
        <v>75</v>
      </c>
      <c r="AP14" s="128"/>
      <c r="AQ14" s="128"/>
      <c r="AR14" s="128"/>
      <c r="AS14" s="128"/>
      <c r="AT14" s="128"/>
      <c r="AU14" s="131" t="s">
        <v>76</v>
      </c>
      <c r="AV14" s="132"/>
      <c r="AW14" s="132"/>
      <c r="AX14" s="132"/>
      <c r="AY14" s="132"/>
      <c r="AZ14" s="133"/>
      <c r="BA14" s="128" t="s">
        <v>77</v>
      </c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</row>
    <row r="15" spans="1:64" ht="21" customHeight="1" x14ac:dyDescent="0.45">
      <c r="A15" s="129" t="str">
        <f t="shared" si="0"/>
        <v>009</v>
      </c>
      <c r="B15" s="130"/>
      <c r="C15" s="128" t="s">
        <v>27</v>
      </c>
      <c r="D15" s="128"/>
      <c r="E15" s="128"/>
      <c r="F15" s="128"/>
      <c r="G15" s="128"/>
      <c r="H15" s="128"/>
      <c r="I15" s="128" t="s">
        <v>78</v>
      </c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 t="s">
        <v>79</v>
      </c>
      <c r="Z15" s="128"/>
      <c r="AA15" s="128"/>
      <c r="AB15" s="128"/>
      <c r="AC15" s="128"/>
      <c r="AD15" s="128"/>
      <c r="AE15" s="128"/>
      <c r="AF15" s="128"/>
      <c r="AG15" s="128"/>
      <c r="AH15" s="128"/>
      <c r="AI15" s="128" t="s">
        <v>74</v>
      </c>
      <c r="AJ15" s="128"/>
      <c r="AK15" s="128"/>
      <c r="AL15" s="128"/>
      <c r="AM15" s="128"/>
      <c r="AN15" s="128"/>
      <c r="AO15" s="128" t="s">
        <v>75</v>
      </c>
      <c r="AP15" s="128"/>
      <c r="AQ15" s="128"/>
      <c r="AR15" s="128"/>
      <c r="AS15" s="128"/>
      <c r="AT15" s="128"/>
      <c r="AU15" s="131" t="s">
        <v>80</v>
      </c>
      <c r="AV15" s="132"/>
      <c r="AW15" s="132"/>
      <c r="AX15" s="132"/>
      <c r="AY15" s="132"/>
      <c r="AZ15" s="133"/>
      <c r="BA15" s="128" t="s">
        <v>77</v>
      </c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</row>
    <row r="16" spans="1:64" ht="24.6" customHeight="1" x14ac:dyDescent="0.45">
      <c r="A16" s="129" t="str">
        <f t="shared" si="0"/>
        <v>010</v>
      </c>
      <c r="B16" s="130"/>
      <c r="C16" s="128" t="s">
        <v>27</v>
      </c>
      <c r="D16" s="128"/>
      <c r="E16" s="128"/>
      <c r="F16" s="128"/>
      <c r="G16" s="128"/>
      <c r="H16" s="128"/>
      <c r="I16" s="128" t="s">
        <v>81</v>
      </c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 t="s">
        <v>82</v>
      </c>
      <c r="Z16" s="128"/>
      <c r="AA16" s="128"/>
      <c r="AB16" s="128"/>
      <c r="AC16" s="128"/>
      <c r="AD16" s="128"/>
      <c r="AE16" s="128"/>
      <c r="AF16" s="128"/>
      <c r="AG16" s="128"/>
      <c r="AH16" s="128"/>
      <c r="AI16" s="128" t="s">
        <v>83</v>
      </c>
      <c r="AJ16" s="128"/>
      <c r="AK16" s="128"/>
      <c r="AL16" s="128"/>
      <c r="AM16" s="128"/>
      <c r="AN16" s="128"/>
      <c r="AO16" s="128" t="s">
        <v>84</v>
      </c>
      <c r="AP16" s="128"/>
      <c r="AQ16" s="128"/>
      <c r="AR16" s="128"/>
      <c r="AS16" s="128"/>
      <c r="AT16" s="128"/>
      <c r="AU16" s="131" t="s">
        <v>85</v>
      </c>
      <c r="AV16" s="132"/>
      <c r="AW16" s="132"/>
      <c r="AX16" s="132"/>
      <c r="AY16" s="132"/>
      <c r="AZ16" s="133"/>
      <c r="BA16" s="128" t="s">
        <v>86</v>
      </c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</row>
    <row r="17" spans="1:64" ht="18" customHeight="1" x14ac:dyDescent="0.45">
      <c r="A17" s="129" t="str">
        <f t="shared" si="0"/>
        <v>011</v>
      </c>
      <c r="B17" s="130"/>
      <c r="C17" s="128" t="s">
        <v>27</v>
      </c>
      <c r="D17" s="128"/>
      <c r="E17" s="128"/>
      <c r="F17" s="128"/>
      <c r="G17" s="128"/>
      <c r="H17" s="128"/>
      <c r="I17" s="128" t="s">
        <v>87</v>
      </c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 t="s">
        <v>88</v>
      </c>
      <c r="Z17" s="128"/>
      <c r="AA17" s="128"/>
      <c r="AB17" s="128"/>
      <c r="AC17" s="128"/>
      <c r="AD17" s="128"/>
      <c r="AE17" s="128"/>
      <c r="AF17" s="128"/>
      <c r="AG17" s="128"/>
      <c r="AH17" s="128"/>
      <c r="AI17" s="128" t="s">
        <v>45</v>
      </c>
      <c r="AJ17" s="128"/>
      <c r="AK17" s="128"/>
      <c r="AL17" s="128"/>
      <c r="AM17" s="128"/>
      <c r="AN17" s="128"/>
      <c r="AO17" s="128" t="s">
        <v>75</v>
      </c>
      <c r="AP17" s="128"/>
      <c r="AQ17" s="128"/>
      <c r="AR17" s="128"/>
      <c r="AS17" s="128"/>
      <c r="AT17" s="128"/>
      <c r="AU17" s="131" t="s">
        <v>89</v>
      </c>
      <c r="AV17" s="132"/>
      <c r="AW17" s="132"/>
      <c r="AX17" s="132"/>
      <c r="AY17" s="132"/>
      <c r="AZ17" s="133"/>
      <c r="BA17" s="128" t="s">
        <v>77</v>
      </c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</row>
    <row r="18" spans="1:64" ht="18" customHeight="1" x14ac:dyDescent="0.45">
      <c r="A18" s="129" t="str">
        <f t="shared" si="0"/>
        <v>012</v>
      </c>
      <c r="B18" s="130"/>
      <c r="C18" s="128" t="s">
        <v>27</v>
      </c>
      <c r="D18" s="128"/>
      <c r="E18" s="128"/>
      <c r="F18" s="128"/>
      <c r="G18" s="128"/>
      <c r="H18" s="128"/>
      <c r="I18" s="128" t="s">
        <v>90</v>
      </c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 t="s">
        <v>91</v>
      </c>
      <c r="Z18" s="128"/>
      <c r="AA18" s="128"/>
      <c r="AB18" s="128"/>
      <c r="AC18" s="128"/>
      <c r="AD18" s="128"/>
      <c r="AE18" s="128"/>
      <c r="AF18" s="128"/>
      <c r="AG18" s="128"/>
      <c r="AH18" s="128"/>
      <c r="AI18" s="128" t="s">
        <v>45</v>
      </c>
      <c r="AJ18" s="128"/>
      <c r="AK18" s="128"/>
      <c r="AL18" s="128"/>
      <c r="AM18" s="128"/>
      <c r="AN18" s="128"/>
      <c r="AO18" s="128" t="s">
        <v>92</v>
      </c>
      <c r="AP18" s="128"/>
      <c r="AQ18" s="128"/>
      <c r="AR18" s="128"/>
      <c r="AS18" s="128"/>
      <c r="AT18" s="128"/>
      <c r="AU18" s="128" t="s">
        <v>93</v>
      </c>
      <c r="AV18" s="128"/>
      <c r="AW18" s="128"/>
      <c r="AX18" s="128"/>
      <c r="AY18" s="128"/>
      <c r="AZ18" s="128"/>
      <c r="BA18" s="128" t="s">
        <v>94</v>
      </c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</row>
    <row r="19" spans="1:64" ht="18" customHeight="1" x14ac:dyDescent="0.45">
      <c r="A19" s="129" t="str">
        <f t="shared" si="0"/>
        <v>013</v>
      </c>
      <c r="B19" s="130"/>
      <c r="C19" s="131" t="s">
        <v>16</v>
      </c>
      <c r="D19" s="132"/>
      <c r="E19" s="132"/>
      <c r="F19" s="132"/>
      <c r="G19" s="132"/>
      <c r="H19" s="133"/>
      <c r="I19" s="131" t="s">
        <v>95</v>
      </c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3"/>
      <c r="Y19" s="131" t="s">
        <v>96</v>
      </c>
      <c r="Z19" s="132"/>
      <c r="AA19" s="132"/>
      <c r="AB19" s="132"/>
      <c r="AC19" s="132"/>
      <c r="AD19" s="132"/>
      <c r="AE19" s="132"/>
      <c r="AF19" s="132"/>
      <c r="AG19" s="132"/>
      <c r="AH19" s="133"/>
      <c r="AI19" s="131" t="s">
        <v>97</v>
      </c>
      <c r="AJ19" s="132"/>
      <c r="AK19" s="132"/>
      <c r="AL19" s="132"/>
      <c r="AM19" s="132"/>
      <c r="AN19" s="133"/>
      <c r="AO19" s="131" t="s">
        <v>52</v>
      </c>
      <c r="AP19" s="132"/>
      <c r="AQ19" s="132"/>
      <c r="AR19" s="132"/>
      <c r="AS19" s="132"/>
      <c r="AT19" s="133"/>
      <c r="AU19" s="131" t="s">
        <v>98</v>
      </c>
      <c r="AV19" s="132"/>
      <c r="AW19" s="132"/>
      <c r="AX19" s="132"/>
      <c r="AY19" s="132"/>
      <c r="AZ19" s="133"/>
      <c r="BA19" s="131" t="s">
        <v>94</v>
      </c>
      <c r="BB19" s="132"/>
      <c r="BC19" s="132"/>
      <c r="BD19" s="132"/>
      <c r="BE19" s="132"/>
      <c r="BF19" s="133"/>
      <c r="BG19" s="131"/>
      <c r="BH19" s="132"/>
      <c r="BI19" s="132"/>
      <c r="BJ19" s="132"/>
      <c r="BK19" s="132"/>
      <c r="BL19" s="133"/>
    </row>
    <row r="20" spans="1:64" ht="30" customHeight="1" x14ac:dyDescent="0.45">
      <c r="A20" s="129" t="str">
        <f t="shared" si="0"/>
        <v>014</v>
      </c>
      <c r="B20" s="130"/>
      <c r="C20" s="131" t="s">
        <v>16</v>
      </c>
      <c r="D20" s="132"/>
      <c r="E20" s="132"/>
      <c r="F20" s="132"/>
      <c r="G20" s="132"/>
      <c r="H20" s="133"/>
      <c r="I20" s="131" t="s">
        <v>99</v>
      </c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3"/>
      <c r="Y20" s="131" t="s">
        <v>96</v>
      </c>
      <c r="Z20" s="132"/>
      <c r="AA20" s="132"/>
      <c r="AB20" s="132"/>
      <c r="AC20" s="132"/>
      <c r="AD20" s="132"/>
      <c r="AE20" s="132"/>
      <c r="AF20" s="132"/>
      <c r="AG20" s="132"/>
      <c r="AH20" s="133"/>
      <c r="AI20" s="131" t="s">
        <v>100</v>
      </c>
      <c r="AJ20" s="132"/>
      <c r="AK20" s="132"/>
      <c r="AL20" s="132"/>
      <c r="AM20" s="132"/>
      <c r="AN20" s="133"/>
      <c r="AO20" s="131" t="s">
        <v>101</v>
      </c>
      <c r="AP20" s="132"/>
      <c r="AQ20" s="132"/>
      <c r="AR20" s="132"/>
      <c r="AS20" s="132"/>
      <c r="AT20" s="133"/>
      <c r="AU20" s="131" t="s">
        <v>102</v>
      </c>
      <c r="AV20" s="132"/>
      <c r="AW20" s="132"/>
      <c r="AX20" s="132"/>
      <c r="AY20" s="132"/>
      <c r="AZ20" s="133"/>
      <c r="BA20" s="131" t="s">
        <v>94</v>
      </c>
      <c r="BB20" s="132"/>
      <c r="BC20" s="132"/>
      <c r="BD20" s="132"/>
      <c r="BE20" s="132"/>
      <c r="BF20" s="133"/>
      <c r="BG20" s="131"/>
      <c r="BH20" s="132"/>
      <c r="BI20" s="132"/>
      <c r="BJ20" s="132"/>
      <c r="BK20" s="132"/>
      <c r="BL20" s="133"/>
    </row>
    <row r="21" spans="1:64" ht="27.6" customHeight="1" x14ac:dyDescent="0.45">
      <c r="A21" s="129" t="str">
        <f t="shared" si="0"/>
        <v>015</v>
      </c>
      <c r="B21" s="130"/>
      <c r="C21" s="131" t="s">
        <v>16</v>
      </c>
      <c r="D21" s="132"/>
      <c r="E21" s="132"/>
      <c r="F21" s="132"/>
      <c r="G21" s="132"/>
      <c r="H21" s="133"/>
      <c r="I21" s="131" t="s">
        <v>103</v>
      </c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3"/>
      <c r="Y21" s="131" t="s">
        <v>104</v>
      </c>
      <c r="Z21" s="132"/>
      <c r="AA21" s="132"/>
      <c r="AB21" s="132"/>
      <c r="AC21" s="132"/>
      <c r="AD21" s="132"/>
      <c r="AE21" s="132"/>
      <c r="AF21" s="132"/>
      <c r="AG21" s="132"/>
      <c r="AH21" s="133"/>
      <c r="AI21" s="131" t="s">
        <v>97</v>
      </c>
      <c r="AJ21" s="132"/>
      <c r="AK21" s="132"/>
      <c r="AL21" s="132"/>
      <c r="AM21" s="132"/>
      <c r="AN21" s="133"/>
      <c r="AO21" s="131" t="s">
        <v>94</v>
      </c>
      <c r="AP21" s="132"/>
      <c r="AQ21" s="132"/>
      <c r="AR21" s="132"/>
      <c r="AS21" s="132"/>
      <c r="AT21" s="133"/>
      <c r="AU21" s="131" t="s">
        <v>98</v>
      </c>
      <c r="AV21" s="132"/>
      <c r="AW21" s="132"/>
      <c r="AX21" s="132"/>
      <c r="AY21" s="132"/>
      <c r="AZ21" s="133"/>
      <c r="BA21" s="131" t="s">
        <v>52</v>
      </c>
      <c r="BB21" s="132"/>
      <c r="BC21" s="132"/>
      <c r="BD21" s="132"/>
      <c r="BE21" s="132"/>
      <c r="BF21" s="133"/>
      <c r="BG21" s="131"/>
      <c r="BH21" s="132"/>
      <c r="BI21" s="132"/>
      <c r="BJ21" s="132"/>
      <c r="BK21" s="132"/>
      <c r="BL21" s="133"/>
    </row>
    <row r="22" spans="1:64" ht="30" customHeight="1" x14ac:dyDescent="0.45">
      <c r="A22" s="129" t="str">
        <f t="shared" si="0"/>
        <v>016</v>
      </c>
      <c r="B22" s="130"/>
      <c r="C22" s="131" t="s">
        <v>16</v>
      </c>
      <c r="D22" s="132"/>
      <c r="E22" s="132"/>
      <c r="F22" s="132"/>
      <c r="G22" s="132"/>
      <c r="H22" s="133"/>
      <c r="I22" s="131" t="s">
        <v>105</v>
      </c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3"/>
      <c r="Y22" s="131" t="s">
        <v>104</v>
      </c>
      <c r="Z22" s="132"/>
      <c r="AA22" s="132"/>
      <c r="AB22" s="132"/>
      <c r="AC22" s="132"/>
      <c r="AD22" s="132"/>
      <c r="AE22" s="132"/>
      <c r="AF22" s="132"/>
      <c r="AG22" s="132"/>
      <c r="AH22" s="133"/>
      <c r="AI22" s="131" t="s">
        <v>100</v>
      </c>
      <c r="AJ22" s="132"/>
      <c r="AK22" s="132"/>
      <c r="AL22" s="132"/>
      <c r="AM22" s="132"/>
      <c r="AN22" s="133"/>
      <c r="AO22" s="131" t="s">
        <v>106</v>
      </c>
      <c r="AP22" s="132"/>
      <c r="AQ22" s="132"/>
      <c r="AR22" s="132"/>
      <c r="AS22" s="132"/>
      <c r="AT22" s="133"/>
      <c r="AU22" s="131" t="s">
        <v>102</v>
      </c>
      <c r="AV22" s="132"/>
      <c r="AW22" s="132"/>
      <c r="AX22" s="132"/>
      <c r="AY22" s="132"/>
      <c r="AZ22" s="133"/>
      <c r="BA22" s="131" t="s">
        <v>52</v>
      </c>
      <c r="BB22" s="132"/>
      <c r="BC22" s="132"/>
      <c r="BD22" s="132"/>
      <c r="BE22" s="132"/>
      <c r="BF22" s="133"/>
      <c r="BG22" s="131"/>
      <c r="BH22" s="132"/>
      <c r="BI22" s="132"/>
      <c r="BJ22" s="132"/>
      <c r="BK22" s="132"/>
      <c r="BL22" s="133"/>
    </row>
    <row r="23" spans="1:64" ht="18" customHeight="1" x14ac:dyDescent="0.45">
      <c r="A23" s="129" t="str">
        <f t="shared" si="0"/>
        <v>017</v>
      </c>
      <c r="B23" s="130"/>
      <c r="C23" s="131" t="s">
        <v>16</v>
      </c>
      <c r="D23" s="132"/>
      <c r="E23" s="132"/>
      <c r="F23" s="132"/>
      <c r="G23" s="132"/>
      <c r="H23" s="133"/>
      <c r="I23" s="131" t="s">
        <v>107</v>
      </c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3"/>
      <c r="Y23" s="131" t="s">
        <v>108</v>
      </c>
      <c r="Z23" s="132"/>
      <c r="AA23" s="132"/>
      <c r="AB23" s="132"/>
      <c r="AC23" s="132"/>
      <c r="AD23" s="132"/>
      <c r="AE23" s="132"/>
      <c r="AF23" s="132"/>
      <c r="AG23" s="132"/>
      <c r="AH23" s="133"/>
      <c r="AI23" s="131" t="s">
        <v>109</v>
      </c>
      <c r="AJ23" s="132"/>
      <c r="AK23" s="132"/>
      <c r="AL23" s="132"/>
      <c r="AM23" s="132"/>
      <c r="AN23" s="133"/>
      <c r="AO23" s="131" t="s">
        <v>52</v>
      </c>
      <c r="AP23" s="132"/>
      <c r="AQ23" s="132"/>
      <c r="AR23" s="132"/>
      <c r="AS23" s="132"/>
      <c r="AT23" s="133"/>
      <c r="AU23" s="131" t="s">
        <v>110</v>
      </c>
      <c r="AV23" s="132"/>
      <c r="AW23" s="132"/>
      <c r="AX23" s="132"/>
      <c r="AY23" s="132"/>
      <c r="AZ23" s="133"/>
      <c r="BA23" s="131" t="s">
        <v>46</v>
      </c>
      <c r="BB23" s="132"/>
      <c r="BC23" s="132"/>
      <c r="BD23" s="132"/>
      <c r="BE23" s="132"/>
      <c r="BF23" s="133"/>
      <c r="BG23" s="131"/>
      <c r="BH23" s="132"/>
      <c r="BI23" s="132"/>
      <c r="BJ23" s="132"/>
      <c r="BK23" s="132"/>
      <c r="BL23" s="133"/>
    </row>
    <row r="24" spans="1:64" ht="27" customHeight="1" x14ac:dyDescent="0.45">
      <c r="A24" s="129" t="str">
        <f t="shared" si="0"/>
        <v>018</v>
      </c>
      <c r="B24" s="130"/>
      <c r="C24" s="128" t="s">
        <v>16</v>
      </c>
      <c r="D24" s="128"/>
      <c r="E24" s="128"/>
      <c r="F24" s="128"/>
      <c r="G24" s="128"/>
      <c r="H24" s="128"/>
      <c r="I24" s="128" t="s">
        <v>111</v>
      </c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 t="s">
        <v>108</v>
      </c>
      <c r="Z24" s="128"/>
      <c r="AA24" s="128"/>
      <c r="AB24" s="128"/>
      <c r="AC24" s="128"/>
      <c r="AD24" s="128"/>
      <c r="AE24" s="128"/>
      <c r="AF24" s="128"/>
      <c r="AG24" s="128"/>
      <c r="AH24" s="128"/>
      <c r="AI24" s="128" t="s">
        <v>112</v>
      </c>
      <c r="AJ24" s="128"/>
      <c r="AK24" s="128"/>
      <c r="AL24" s="128"/>
      <c r="AM24" s="128"/>
      <c r="AN24" s="128"/>
      <c r="AO24" s="128" t="s">
        <v>113</v>
      </c>
      <c r="AP24" s="128"/>
      <c r="AQ24" s="128"/>
      <c r="AR24" s="128"/>
      <c r="AS24" s="128"/>
      <c r="AT24" s="128"/>
      <c r="AU24" s="128" t="s">
        <v>110</v>
      </c>
      <c r="AV24" s="128"/>
      <c r="AW24" s="128"/>
      <c r="AX24" s="128"/>
      <c r="AY24" s="128"/>
      <c r="AZ24" s="128"/>
      <c r="BA24" s="128" t="s">
        <v>46</v>
      </c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</row>
    <row r="25" spans="1:64" ht="27" customHeight="1" x14ac:dyDescent="0.45">
      <c r="A25" s="129" t="str">
        <f t="shared" si="0"/>
        <v>019</v>
      </c>
      <c r="B25" s="130"/>
      <c r="C25" s="128" t="s">
        <v>16</v>
      </c>
      <c r="D25" s="128"/>
      <c r="E25" s="128"/>
      <c r="F25" s="128"/>
      <c r="G25" s="128"/>
      <c r="H25" s="128"/>
      <c r="I25" s="128" t="s">
        <v>114</v>
      </c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 t="s">
        <v>115</v>
      </c>
      <c r="Z25" s="128"/>
      <c r="AA25" s="128"/>
      <c r="AB25" s="128"/>
      <c r="AC25" s="128"/>
      <c r="AD25" s="128"/>
      <c r="AE25" s="128"/>
      <c r="AF25" s="128"/>
      <c r="AG25" s="128"/>
      <c r="AH25" s="128"/>
      <c r="AI25" s="128" t="s">
        <v>116</v>
      </c>
      <c r="AJ25" s="128"/>
      <c r="AK25" s="128"/>
      <c r="AL25" s="128"/>
      <c r="AM25" s="128"/>
      <c r="AN25" s="128"/>
      <c r="AO25" s="128" t="s">
        <v>117</v>
      </c>
      <c r="AP25" s="128"/>
      <c r="AQ25" s="128"/>
      <c r="AR25" s="128"/>
      <c r="AS25" s="128"/>
      <c r="AT25" s="128"/>
      <c r="AU25" s="128" t="s">
        <v>118</v>
      </c>
      <c r="AV25" s="128"/>
      <c r="AW25" s="128"/>
      <c r="AX25" s="128"/>
      <c r="AY25" s="128"/>
      <c r="AZ25" s="128"/>
      <c r="BA25" s="128" t="s">
        <v>119</v>
      </c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</row>
    <row r="26" spans="1:64" ht="30.6" customHeight="1" x14ac:dyDescent="0.45">
      <c r="A26" s="129" t="str">
        <f t="shared" si="0"/>
        <v>020</v>
      </c>
      <c r="B26" s="130"/>
      <c r="C26" s="128" t="s">
        <v>16</v>
      </c>
      <c r="D26" s="128"/>
      <c r="E26" s="128"/>
      <c r="F26" s="128"/>
      <c r="G26" s="128"/>
      <c r="H26" s="128"/>
      <c r="I26" s="128" t="s">
        <v>120</v>
      </c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 t="s">
        <v>121</v>
      </c>
      <c r="Z26" s="128"/>
      <c r="AA26" s="128"/>
      <c r="AB26" s="128"/>
      <c r="AC26" s="128"/>
      <c r="AD26" s="128"/>
      <c r="AE26" s="128"/>
      <c r="AF26" s="128"/>
      <c r="AG26" s="128"/>
      <c r="AH26" s="128"/>
      <c r="AI26" s="128" t="s">
        <v>116</v>
      </c>
      <c r="AJ26" s="128"/>
      <c r="AK26" s="128"/>
      <c r="AL26" s="128"/>
      <c r="AM26" s="128"/>
      <c r="AN26" s="128"/>
      <c r="AO26" s="128" t="s">
        <v>106</v>
      </c>
      <c r="AP26" s="128"/>
      <c r="AQ26" s="128"/>
      <c r="AR26" s="128"/>
      <c r="AS26" s="128"/>
      <c r="AT26" s="128"/>
      <c r="AU26" s="128" t="s">
        <v>122</v>
      </c>
      <c r="AV26" s="128"/>
      <c r="AW26" s="128"/>
      <c r="AX26" s="128"/>
      <c r="AY26" s="128"/>
      <c r="AZ26" s="128"/>
      <c r="BA26" s="128" t="s">
        <v>46</v>
      </c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</row>
    <row r="27" spans="1:64" ht="30.6" customHeight="1" x14ac:dyDescent="0.45">
      <c r="A27" s="129" t="str">
        <f t="shared" si="0"/>
        <v>021</v>
      </c>
      <c r="B27" s="130"/>
      <c r="C27" s="128" t="s">
        <v>16</v>
      </c>
      <c r="D27" s="128"/>
      <c r="E27" s="128"/>
      <c r="F27" s="128"/>
      <c r="G27" s="128"/>
      <c r="H27" s="128"/>
      <c r="I27" s="128" t="s">
        <v>120</v>
      </c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 t="s">
        <v>121</v>
      </c>
      <c r="Z27" s="128"/>
      <c r="AA27" s="128"/>
      <c r="AB27" s="128"/>
      <c r="AC27" s="128"/>
      <c r="AD27" s="128"/>
      <c r="AE27" s="128"/>
      <c r="AF27" s="128"/>
      <c r="AG27" s="128"/>
      <c r="AH27" s="128"/>
      <c r="AI27" s="128" t="s">
        <v>123</v>
      </c>
      <c r="AJ27" s="128"/>
      <c r="AK27" s="128"/>
      <c r="AL27" s="128"/>
      <c r="AM27" s="128"/>
      <c r="AN27" s="128"/>
      <c r="AO27" s="128" t="s">
        <v>124</v>
      </c>
      <c r="AP27" s="128"/>
      <c r="AQ27" s="128"/>
      <c r="AR27" s="128"/>
      <c r="AS27" s="128"/>
      <c r="AT27" s="128"/>
      <c r="AU27" s="128" t="s">
        <v>122</v>
      </c>
      <c r="AV27" s="128"/>
      <c r="AW27" s="128"/>
      <c r="AX27" s="128"/>
      <c r="AY27" s="128"/>
      <c r="AZ27" s="128"/>
      <c r="BA27" s="128" t="s">
        <v>46</v>
      </c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</row>
    <row r="28" spans="1:64" ht="30.6" customHeight="1" x14ac:dyDescent="0.45">
      <c r="A28" s="129" t="str">
        <f t="shared" si="0"/>
        <v>022</v>
      </c>
      <c r="B28" s="130"/>
      <c r="C28" s="128" t="s">
        <v>16</v>
      </c>
      <c r="D28" s="128"/>
      <c r="E28" s="128"/>
      <c r="F28" s="128"/>
      <c r="G28" s="128"/>
      <c r="H28" s="128"/>
      <c r="I28" s="128" t="s">
        <v>125</v>
      </c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 t="s">
        <v>121</v>
      </c>
      <c r="Z28" s="128"/>
      <c r="AA28" s="128"/>
      <c r="AB28" s="128"/>
      <c r="AC28" s="128"/>
      <c r="AD28" s="128"/>
      <c r="AE28" s="128"/>
      <c r="AF28" s="128"/>
      <c r="AG28" s="128"/>
      <c r="AH28" s="128"/>
      <c r="AI28" s="128" t="s">
        <v>116</v>
      </c>
      <c r="AJ28" s="128"/>
      <c r="AK28" s="128"/>
      <c r="AL28" s="128"/>
      <c r="AM28" s="128"/>
      <c r="AN28" s="128"/>
      <c r="AO28" s="128" t="s">
        <v>113</v>
      </c>
      <c r="AP28" s="128"/>
      <c r="AQ28" s="128"/>
      <c r="AR28" s="128"/>
      <c r="AS28" s="128"/>
      <c r="AT28" s="128"/>
      <c r="AU28" s="128" t="s">
        <v>122</v>
      </c>
      <c r="AV28" s="128"/>
      <c r="AW28" s="128"/>
      <c r="AX28" s="128"/>
      <c r="AY28" s="128"/>
      <c r="AZ28" s="128"/>
      <c r="BA28" s="128" t="s">
        <v>46</v>
      </c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</row>
    <row r="29" spans="1:64" ht="30.6" customHeight="1" x14ac:dyDescent="0.45">
      <c r="A29" s="129" t="str">
        <f t="shared" si="0"/>
        <v>023</v>
      </c>
      <c r="B29" s="130"/>
      <c r="C29" s="128" t="s">
        <v>16</v>
      </c>
      <c r="D29" s="128"/>
      <c r="E29" s="128"/>
      <c r="F29" s="128"/>
      <c r="G29" s="128"/>
      <c r="H29" s="128"/>
      <c r="I29" s="128" t="s">
        <v>126</v>
      </c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 t="s">
        <v>127</v>
      </c>
      <c r="Z29" s="128"/>
      <c r="AA29" s="128"/>
      <c r="AB29" s="128"/>
      <c r="AC29" s="128"/>
      <c r="AD29" s="128"/>
      <c r="AE29" s="128"/>
      <c r="AF29" s="128"/>
      <c r="AG29" s="128"/>
      <c r="AH29" s="128"/>
      <c r="AI29" s="128" t="s">
        <v>128</v>
      </c>
      <c r="AJ29" s="128"/>
      <c r="AK29" s="128"/>
      <c r="AL29" s="128"/>
      <c r="AM29" s="128"/>
      <c r="AN29" s="128"/>
      <c r="AO29" s="128" t="s">
        <v>106</v>
      </c>
      <c r="AP29" s="128"/>
      <c r="AQ29" s="128"/>
      <c r="AR29" s="128"/>
      <c r="AS29" s="128"/>
      <c r="AT29" s="128"/>
      <c r="AU29" s="128" t="s">
        <v>129</v>
      </c>
      <c r="AV29" s="128"/>
      <c r="AW29" s="128"/>
      <c r="AX29" s="128"/>
      <c r="AY29" s="128"/>
      <c r="AZ29" s="128"/>
      <c r="BA29" s="128" t="s">
        <v>130</v>
      </c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</row>
    <row r="30" spans="1:64" ht="41.4" customHeight="1" x14ac:dyDescent="0.45">
      <c r="A30" s="129" t="str">
        <f t="shared" si="0"/>
        <v>024</v>
      </c>
      <c r="B30" s="130"/>
      <c r="C30" s="128" t="s">
        <v>16</v>
      </c>
      <c r="D30" s="128"/>
      <c r="E30" s="128"/>
      <c r="F30" s="128"/>
      <c r="G30" s="128"/>
      <c r="H30" s="128"/>
      <c r="I30" s="128" t="s">
        <v>131</v>
      </c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 t="s">
        <v>127</v>
      </c>
      <c r="Z30" s="128"/>
      <c r="AA30" s="128"/>
      <c r="AB30" s="128"/>
      <c r="AC30" s="128"/>
      <c r="AD30" s="128"/>
      <c r="AE30" s="128"/>
      <c r="AF30" s="128"/>
      <c r="AG30" s="128"/>
      <c r="AH30" s="128"/>
      <c r="AI30" s="128" t="s">
        <v>132</v>
      </c>
      <c r="AJ30" s="128"/>
      <c r="AK30" s="128"/>
      <c r="AL30" s="128"/>
      <c r="AM30" s="128"/>
      <c r="AN30" s="128"/>
      <c r="AO30" s="128" t="s">
        <v>124</v>
      </c>
      <c r="AP30" s="128"/>
      <c r="AQ30" s="128"/>
      <c r="AR30" s="128"/>
      <c r="AS30" s="128"/>
      <c r="AT30" s="128"/>
      <c r="AU30" s="128" t="s">
        <v>129</v>
      </c>
      <c r="AV30" s="128"/>
      <c r="AW30" s="128"/>
      <c r="AX30" s="128"/>
      <c r="AY30" s="128"/>
      <c r="AZ30" s="128"/>
      <c r="BA30" s="128" t="s">
        <v>130</v>
      </c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</row>
    <row r="31" spans="1:64" ht="18" customHeight="1" x14ac:dyDescent="0.45">
      <c r="A31" s="129" t="str">
        <f t="shared" si="0"/>
        <v>025</v>
      </c>
      <c r="B31" s="130"/>
      <c r="C31" s="128" t="s">
        <v>16</v>
      </c>
      <c r="D31" s="128"/>
      <c r="E31" s="128"/>
      <c r="F31" s="128"/>
      <c r="G31" s="128"/>
      <c r="H31" s="128"/>
      <c r="I31" s="128" t="s">
        <v>133</v>
      </c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 t="s">
        <v>134</v>
      </c>
      <c r="Z31" s="128"/>
      <c r="AA31" s="128"/>
      <c r="AB31" s="128"/>
      <c r="AC31" s="128"/>
      <c r="AD31" s="128"/>
      <c r="AE31" s="128"/>
      <c r="AF31" s="128"/>
      <c r="AG31" s="128"/>
      <c r="AH31" s="128"/>
      <c r="AI31" s="128" t="s">
        <v>50</v>
      </c>
      <c r="AJ31" s="128"/>
      <c r="AK31" s="128"/>
      <c r="AL31" s="128"/>
      <c r="AM31" s="128"/>
      <c r="AN31" s="128"/>
      <c r="AO31" s="128" t="s">
        <v>50</v>
      </c>
      <c r="AP31" s="128"/>
      <c r="AQ31" s="128"/>
      <c r="AR31" s="128"/>
      <c r="AS31" s="128"/>
      <c r="AT31" s="128"/>
      <c r="AU31" s="128" t="s">
        <v>135</v>
      </c>
      <c r="AV31" s="128"/>
      <c r="AW31" s="128"/>
      <c r="AX31" s="128"/>
      <c r="AY31" s="128"/>
      <c r="AZ31" s="128"/>
      <c r="BA31" s="128" t="s">
        <v>94</v>
      </c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</row>
    <row r="32" spans="1:64" ht="18" customHeight="1" x14ac:dyDescent="0.45">
      <c r="A32" s="129" t="str">
        <f t="shared" si="0"/>
        <v>026</v>
      </c>
      <c r="B32" s="130"/>
      <c r="C32" s="128" t="s">
        <v>16</v>
      </c>
      <c r="D32" s="128"/>
      <c r="E32" s="128"/>
      <c r="F32" s="128"/>
      <c r="G32" s="128"/>
      <c r="H32" s="128"/>
      <c r="I32" s="128" t="s">
        <v>136</v>
      </c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 t="s">
        <v>137</v>
      </c>
      <c r="Z32" s="128"/>
      <c r="AA32" s="128"/>
      <c r="AB32" s="128"/>
      <c r="AC32" s="128"/>
      <c r="AD32" s="128"/>
      <c r="AE32" s="128"/>
      <c r="AF32" s="128"/>
      <c r="AG32" s="128"/>
      <c r="AH32" s="128"/>
      <c r="AI32" s="128" t="s">
        <v>138</v>
      </c>
      <c r="AJ32" s="128"/>
      <c r="AK32" s="128"/>
      <c r="AL32" s="128"/>
      <c r="AM32" s="128"/>
      <c r="AN32" s="128"/>
      <c r="AO32" s="128" t="s">
        <v>94</v>
      </c>
      <c r="AP32" s="128"/>
      <c r="AQ32" s="128"/>
      <c r="AR32" s="128"/>
      <c r="AS32" s="128"/>
      <c r="AT32" s="128"/>
      <c r="AU32" s="128" t="s">
        <v>139</v>
      </c>
      <c r="AV32" s="128"/>
      <c r="AW32" s="128"/>
      <c r="AX32" s="128"/>
      <c r="AY32" s="128"/>
      <c r="AZ32" s="128"/>
      <c r="BA32" s="128" t="s">
        <v>94</v>
      </c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</row>
    <row r="33" spans="1:64" ht="31.2" customHeight="1" x14ac:dyDescent="0.45">
      <c r="A33" s="129" t="str">
        <f t="shared" si="0"/>
        <v>027</v>
      </c>
      <c r="B33" s="130"/>
      <c r="C33" s="128" t="s">
        <v>16</v>
      </c>
      <c r="D33" s="128"/>
      <c r="E33" s="128"/>
      <c r="F33" s="128"/>
      <c r="G33" s="128"/>
      <c r="H33" s="128"/>
      <c r="I33" s="128" t="s">
        <v>99</v>
      </c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 t="s">
        <v>140</v>
      </c>
      <c r="Z33" s="128"/>
      <c r="AA33" s="128"/>
      <c r="AB33" s="128"/>
      <c r="AC33" s="128"/>
      <c r="AD33" s="128"/>
      <c r="AE33" s="128"/>
      <c r="AF33" s="128"/>
      <c r="AG33" s="128"/>
      <c r="AH33" s="128"/>
      <c r="AI33" s="128" t="s">
        <v>100</v>
      </c>
      <c r="AJ33" s="128"/>
      <c r="AK33" s="128"/>
      <c r="AL33" s="128"/>
      <c r="AM33" s="128"/>
      <c r="AN33" s="128"/>
      <c r="AO33" s="128" t="s">
        <v>101</v>
      </c>
      <c r="AP33" s="128"/>
      <c r="AQ33" s="128"/>
      <c r="AR33" s="128"/>
      <c r="AS33" s="128"/>
      <c r="AT33" s="128"/>
      <c r="AU33" s="128" t="s">
        <v>102</v>
      </c>
      <c r="AV33" s="128"/>
      <c r="AW33" s="128"/>
      <c r="AX33" s="128"/>
      <c r="AY33" s="128"/>
      <c r="AZ33" s="128"/>
      <c r="BA33" s="128" t="s">
        <v>94</v>
      </c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</row>
    <row r="34" spans="1:64" ht="31.2" customHeight="1" x14ac:dyDescent="0.45">
      <c r="A34" s="129" t="str">
        <f t="shared" si="0"/>
        <v>028</v>
      </c>
      <c r="B34" s="130"/>
      <c r="C34" s="128" t="s">
        <v>16</v>
      </c>
      <c r="D34" s="128"/>
      <c r="E34" s="128"/>
      <c r="F34" s="128"/>
      <c r="G34" s="128"/>
      <c r="H34" s="128"/>
      <c r="I34" s="128" t="s">
        <v>141</v>
      </c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 t="s">
        <v>142</v>
      </c>
      <c r="Z34" s="128"/>
      <c r="AA34" s="128"/>
      <c r="AB34" s="128"/>
      <c r="AC34" s="128"/>
      <c r="AD34" s="128"/>
      <c r="AE34" s="128"/>
      <c r="AF34" s="128"/>
      <c r="AG34" s="128"/>
      <c r="AH34" s="128"/>
      <c r="AI34" s="128" t="s">
        <v>100</v>
      </c>
      <c r="AJ34" s="128"/>
      <c r="AK34" s="128"/>
      <c r="AL34" s="128"/>
      <c r="AM34" s="128"/>
      <c r="AN34" s="128"/>
      <c r="AO34" s="128" t="s">
        <v>101</v>
      </c>
      <c r="AP34" s="128"/>
      <c r="AQ34" s="128"/>
      <c r="AR34" s="128"/>
      <c r="AS34" s="128"/>
      <c r="AT34" s="128"/>
      <c r="AU34" s="128" t="s">
        <v>143</v>
      </c>
      <c r="AV34" s="128"/>
      <c r="AW34" s="128"/>
      <c r="AX34" s="128"/>
      <c r="AY34" s="128"/>
      <c r="AZ34" s="128"/>
      <c r="BA34" s="128" t="s">
        <v>94</v>
      </c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</row>
    <row r="35" spans="1:64" ht="18" customHeight="1" x14ac:dyDescent="0.45">
      <c r="A35" s="129" t="str">
        <f t="shared" si="0"/>
        <v>029</v>
      </c>
      <c r="B35" s="130"/>
      <c r="C35" s="128" t="s">
        <v>16</v>
      </c>
      <c r="D35" s="128"/>
      <c r="E35" s="128"/>
      <c r="F35" s="128"/>
      <c r="G35" s="128"/>
      <c r="H35" s="128"/>
      <c r="I35" s="128" t="s">
        <v>144</v>
      </c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 t="s">
        <v>140</v>
      </c>
      <c r="Z35" s="128"/>
      <c r="AA35" s="128"/>
      <c r="AB35" s="128"/>
      <c r="AC35" s="128"/>
      <c r="AD35" s="128"/>
      <c r="AE35" s="128"/>
      <c r="AF35" s="128"/>
      <c r="AG35" s="128"/>
      <c r="AH35" s="128"/>
      <c r="AI35" s="128" t="s">
        <v>97</v>
      </c>
      <c r="AJ35" s="128"/>
      <c r="AK35" s="128"/>
      <c r="AL35" s="128"/>
      <c r="AM35" s="128"/>
      <c r="AN35" s="128"/>
      <c r="AO35" s="128" t="s">
        <v>52</v>
      </c>
      <c r="AP35" s="128"/>
      <c r="AQ35" s="128"/>
      <c r="AR35" s="128"/>
      <c r="AS35" s="128"/>
      <c r="AT35" s="128"/>
      <c r="AU35" s="128" t="s">
        <v>145</v>
      </c>
      <c r="AV35" s="128"/>
      <c r="AW35" s="128"/>
      <c r="AX35" s="128"/>
      <c r="AY35" s="128"/>
      <c r="AZ35" s="128"/>
      <c r="BA35" s="128" t="s">
        <v>94</v>
      </c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</row>
    <row r="36" spans="1:64" ht="18" customHeight="1" x14ac:dyDescent="0.45">
      <c r="A36" s="129" t="str">
        <f t="shared" si="0"/>
        <v>030</v>
      </c>
      <c r="B36" s="130"/>
      <c r="C36" s="128" t="s">
        <v>16</v>
      </c>
      <c r="D36" s="128"/>
      <c r="E36" s="128"/>
      <c r="F36" s="128"/>
      <c r="G36" s="128"/>
      <c r="H36" s="128"/>
      <c r="I36" s="128" t="s">
        <v>146</v>
      </c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 t="s">
        <v>147</v>
      </c>
      <c r="Z36" s="128"/>
      <c r="AA36" s="128"/>
      <c r="AB36" s="128"/>
      <c r="AC36" s="128"/>
      <c r="AD36" s="128"/>
      <c r="AE36" s="128"/>
      <c r="AF36" s="128"/>
      <c r="AG36" s="128"/>
      <c r="AH36" s="128"/>
      <c r="AI36" s="128" t="s">
        <v>97</v>
      </c>
      <c r="AJ36" s="128"/>
      <c r="AK36" s="128"/>
      <c r="AL36" s="128"/>
      <c r="AM36" s="128"/>
      <c r="AN36" s="128"/>
      <c r="AO36" s="128" t="s">
        <v>119</v>
      </c>
      <c r="AP36" s="128"/>
      <c r="AQ36" s="128"/>
      <c r="AR36" s="128"/>
      <c r="AS36" s="128"/>
      <c r="AT36" s="128"/>
      <c r="AU36" s="128" t="s">
        <v>145</v>
      </c>
      <c r="AV36" s="128"/>
      <c r="AW36" s="128"/>
      <c r="AX36" s="128"/>
      <c r="AY36" s="128"/>
      <c r="AZ36" s="128"/>
      <c r="BA36" s="128" t="s">
        <v>130</v>
      </c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</row>
    <row r="37" spans="1:64" ht="18" customHeight="1" x14ac:dyDescent="0.45">
      <c r="A37" s="129" t="str">
        <f t="shared" si="0"/>
        <v>031</v>
      </c>
      <c r="B37" s="130"/>
      <c r="C37" s="128" t="s">
        <v>16</v>
      </c>
      <c r="D37" s="128"/>
      <c r="E37" s="128"/>
      <c r="F37" s="128"/>
      <c r="G37" s="128"/>
      <c r="H37" s="128"/>
      <c r="I37" s="128" t="s">
        <v>148</v>
      </c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 t="s">
        <v>149</v>
      </c>
      <c r="Z37" s="128"/>
      <c r="AA37" s="128"/>
      <c r="AB37" s="128"/>
      <c r="AC37" s="128"/>
      <c r="AD37" s="128"/>
      <c r="AE37" s="128"/>
      <c r="AF37" s="128"/>
      <c r="AG37" s="128"/>
      <c r="AH37" s="128"/>
      <c r="AI37" s="128" t="s">
        <v>97</v>
      </c>
      <c r="AJ37" s="128"/>
      <c r="AK37" s="128"/>
      <c r="AL37" s="128"/>
      <c r="AM37" s="128"/>
      <c r="AN37" s="128"/>
      <c r="AO37" s="128" t="s">
        <v>130</v>
      </c>
      <c r="AP37" s="128"/>
      <c r="AQ37" s="128"/>
      <c r="AR37" s="128"/>
      <c r="AS37" s="128"/>
      <c r="AT37" s="128"/>
      <c r="AU37" s="128" t="s">
        <v>145</v>
      </c>
      <c r="AV37" s="128"/>
      <c r="AW37" s="128"/>
      <c r="AX37" s="128"/>
      <c r="AY37" s="128"/>
      <c r="AZ37" s="128"/>
      <c r="BA37" s="128" t="s">
        <v>119</v>
      </c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</row>
    <row r="38" spans="1:64" ht="18" customHeight="1" x14ac:dyDescent="0.45">
      <c r="A38" s="129" t="str">
        <f t="shared" si="0"/>
        <v>032</v>
      </c>
      <c r="B38" s="130"/>
      <c r="C38" s="128" t="s">
        <v>16</v>
      </c>
      <c r="D38" s="128"/>
      <c r="E38" s="128"/>
      <c r="F38" s="128"/>
      <c r="G38" s="128"/>
      <c r="H38" s="128"/>
      <c r="I38" s="128" t="s">
        <v>150</v>
      </c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 t="s">
        <v>151</v>
      </c>
      <c r="Z38" s="128"/>
      <c r="AA38" s="128"/>
      <c r="AB38" s="128"/>
      <c r="AC38" s="128"/>
      <c r="AD38" s="128"/>
      <c r="AE38" s="128"/>
      <c r="AF38" s="128"/>
      <c r="AG38" s="128"/>
      <c r="AH38" s="128"/>
      <c r="AI38" s="128" t="s">
        <v>97</v>
      </c>
      <c r="AJ38" s="128"/>
      <c r="AK38" s="128"/>
      <c r="AL38" s="128"/>
      <c r="AM38" s="128"/>
      <c r="AN38" s="128"/>
      <c r="AO38" s="128" t="s">
        <v>94</v>
      </c>
      <c r="AP38" s="128"/>
      <c r="AQ38" s="128"/>
      <c r="AR38" s="128"/>
      <c r="AS38" s="128"/>
      <c r="AT38" s="128"/>
      <c r="AU38" s="128" t="s">
        <v>145</v>
      </c>
      <c r="AV38" s="128"/>
      <c r="AW38" s="128"/>
      <c r="AX38" s="128"/>
      <c r="AY38" s="128"/>
      <c r="AZ38" s="128"/>
      <c r="BA38" s="128" t="s">
        <v>119</v>
      </c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</row>
    <row r="39" spans="1:64" ht="27" customHeight="1" x14ac:dyDescent="0.45">
      <c r="A39" s="129" t="str">
        <f t="shared" si="0"/>
        <v>033</v>
      </c>
      <c r="B39" s="130"/>
      <c r="C39" s="128" t="s">
        <v>16</v>
      </c>
      <c r="D39" s="128"/>
      <c r="E39" s="128"/>
      <c r="F39" s="128"/>
      <c r="G39" s="128"/>
      <c r="H39" s="128"/>
      <c r="I39" s="128" t="s">
        <v>152</v>
      </c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 t="s">
        <v>151</v>
      </c>
      <c r="Z39" s="128"/>
      <c r="AA39" s="128"/>
      <c r="AB39" s="128"/>
      <c r="AC39" s="128"/>
      <c r="AD39" s="128"/>
      <c r="AE39" s="128"/>
      <c r="AF39" s="128"/>
      <c r="AG39" s="128"/>
      <c r="AH39" s="128"/>
      <c r="AI39" s="128" t="s">
        <v>100</v>
      </c>
      <c r="AJ39" s="128"/>
      <c r="AK39" s="128"/>
      <c r="AL39" s="128"/>
      <c r="AM39" s="128"/>
      <c r="AN39" s="128"/>
      <c r="AO39" s="128" t="s">
        <v>106</v>
      </c>
      <c r="AP39" s="128"/>
      <c r="AQ39" s="128"/>
      <c r="AR39" s="128"/>
      <c r="AS39" s="128"/>
      <c r="AT39" s="128"/>
      <c r="AU39" s="128" t="s">
        <v>145</v>
      </c>
      <c r="AV39" s="128"/>
      <c r="AW39" s="128"/>
      <c r="AX39" s="128"/>
      <c r="AY39" s="128"/>
      <c r="AZ39" s="128"/>
      <c r="BA39" s="128" t="s">
        <v>119</v>
      </c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</row>
    <row r="40" spans="1:64" ht="27" customHeight="1" x14ac:dyDescent="0.45">
      <c r="A40" s="129" t="str">
        <f t="shared" si="0"/>
        <v>034</v>
      </c>
      <c r="B40" s="130"/>
      <c r="C40" s="128" t="s">
        <v>16</v>
      </c>
      <c r="D40" s="128"/>
      <c r="E40" s="128"/>
      <c r="F40" s="128"/>
      <c r="G40" s="128"/>
      <c r="H40" s="128"/>
      <c r="I40" s="128" t="s">
        <v>153</v>
      </c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 t="s">
        <v>154</v>
      </c>
      <c r="Z40" s="128"/>
      <c r="AA40" s="128"/>
      <c r="AB40" s="128"/>
      <c r="AC40" s="128"/>
      <c r="AD40" s="128"/>
      <c r="AE40" s="128"/>
      <c r="AF40" s="128"/>
      <c r="AG40" s="128"/>
      <c r="AH40" s="128"/>
      <c r="AI40" s="128" t="s">
        <v>97</v>
      </c>
      <c r="AJ40" s="128"/>
      <c r="AK40" s="128"/>
      <c r="AL40" s="128"/>
      <c r="AM40" s="128"/>
      <c r="AN40" s="128"/>
      <c r="AO40" s="128" t="s">
        <v>94</v>
      </c>
      <c r="AP40" s="128"/>
      <c r="AQ40" s="128"/>
      <c r="AR40" s="128"/>
      <c r="AS40" s="128"/>
      <c r="AT40" s="128"/>
      <c r="AU40" s="128" t="s">
        <v>145</v>
      </c>
      <c r="AV40" s="128"/>
      <c r="AW40" s="128"/>
      <c r="AX40" s="128"/>
      <c r="AY40" s="128"/>
      <c r="AZ40" s="128"/>
      <c r="BA40" s="128" t="s">
        <v>155</v>
      </c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</row>
    <row r="41" spans="1:64" ht="27" customHeight="1" x14ac:dyDescent="0.45">
      <c r="A41" s="129" t="str">
        <f t="shared" si="0"/>
        <v>035</v>
      </c>
      <c r="B41" s="130"/>
      <c r="C41" s="128" t="s">
        <v>16</v>
      </c>
      <c r="D41" s="128"/>
      <c r="E41" s="128"/>
      <c r="F41" s="128"/>
      <c r="G41" s="128"/>
      <c r="H41" s="128"/>
      <c r="I41" s="128" t="s">
        <v>156</v>
      </c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 t="s">
        <v>154</v>
      </c>
      <c r="Z41" s="128"/>
      <c r="AA41" s="128"/>
      <c r="AB41" s="128"/>
      <c r="AC41" s="128"/>
      <c r="AD41" s="128"/>
      <c r="AE41" s="128"/>
      <c r="AF41" s="128"/>
      <c r="AG41" s="128"/>
      <c r="AH41" s="128"/>
      <c r="AI41" s="128" t="s">
        <v>100</v>
      </c>
      <c r="AJ41" s="128"/>
      <c r="AK41" s="128"/>
      <c r="AL41" s="128"/>
      <c r="AM41" s="128"/>
      <c r="AN41" s="128"/>
      <c r="AO41" s="128" t="s">
        <v>106</v>
      </c>
      <c r="AP41" s="128"/>
      <c r="AQ41" s="128"/>
      <c r="AR41" s="128"/>
      <c r="AS41" s="128"/>
      <c r="AT41" s="128"/>
      <c r="AU41" s="128" t="s">
        <v>145</v>
      </c>
      <c r="AV41" s="128"/>
      <c r="AW41" s="128"/>
      <c r="AX41" s="128"/>
      <c r="AY41" s="128"/>
      <c r="AZ41" s="128"/>
      <c r="BA41" s="128" t="s">
        <v>155</v>
      </c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</row>
    <row r="42" spans="1:64" ht="27" customHeight="1" x14ac:dyDescent="0.45">
      <c r="A42" s="129" t="str">
        <f t="shared" si="0"/>
        <v>036</v>
      </c>
      <c r="B42" s="130"/>
      <c r="C42" s="128" t="s">
        <v>16</v>
      </c>
      <c r="D42" s="128"/>
      <c r="E42" s="128"/>
      <c r="F42" s="128"/>
      <c r="G42" s="128"/>
      <c r="H42" s="128"/>
      <c r="I42" s="128" t="s">
        <v>105</v>
      </c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 t="s">
        <v>157</v>
      </c>
      <c r="Z42" s="128"/>
      <c r="AA42" s="128"/>
      <c r="AB42" s="128"/>
      <c r="AC42" s="128"/>
      <c r="AD42" s="128"/>
      <c r="AE42" s="128"/>
      <c r="AF42" s="128"/>
      <c r="AG42" s="128"/>
      <c r="AH42" s="128"/>
      <c r="AI42" s="128" t="s">
        <v>100</v>
      </c>
      <c r="AJ42" s="128"/>
      <c r="AK42" s="128"/>
      <c r="AL42" s="128"/>
      <c r="AM42" s="128"/>
      <c r="AN42" s="128"/>
      <c r="AO42" s="128" t="s">
        <v>106</v>
      </c>
      <c r="AP42" s="128"/>
      <c r="AQ42" s="128"/>
      <c r="AR42" s="128"/>
      <c r="AS42" s="128"/>
      <c r="AT42" s="128"/>
      <c r="AU42" s="128" t="s">
        <v>145</v>
      </c>
      <c r="AV42" s="128"/>
      <c r="AW42" s="128"/>
      <c r="AX42" s="128"/>
      <c r="AY42" s="128"/>
      <c r="AZ42" s="128"/>
      <c r="BA42" s="128" t="s">
        <v>52</v>
      </c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</row>
    <row r="43" spans="1:64" ht="27" customHeight="1" x14ac:dyDescent="0.45">
      <c r="A43" s="129" t="str">
        <f t="shared" si="0"/>
        <v>037</v>
      </c>
      <c r="B43" s="130"/>
      <c r="C43" s="128" t="s">
        <v>16</v>
      </c>
      <c r="D43" s="128"/>
      <c r="E43" s="128"/>
      <c r="F43" s="128"/>
      <c r="G43" s="128"/>
      <c r="H43" s="128"/>
      <c r="I43" s="128" t="s">
        <v>126</v>
      </c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 t="s">
        <v>158</v>
      </c>
      <c r="Z43" s="128"/>
      <c r="AA43" s="128"/>
      <c r="AB43" s="128"/>
      <c r="AC43" s="128"/>
      <c r="AD43" s="128"/>
      <c r="AE43" s="128"/>
      <c r="AF43" s="128"/>
      <c r="AG43" s="128"/>
      <c r="AH43" s="128"/>
      <c r="AI43" s="128" t="s">
        <v>97</v>
      </c>
      <c r="AJ43" s="128"/>
      <c r="AK43" s="128"/>
      <c r="AL43" s="128"/>
      <c r="AM43" s="128"/>
      <c r="AN43" s="128"/>
      <c r="AO43" s="128" t="s">
        <v>94</v>
      </c>
      <c r="AP43" s="128"/>
      <c r="AQ43" s="128"/>
      <c r="AR43" s="128"/>
      <c r="AS43" s="128"/>
      <c r="AT43" s="128"/>
      <c r="AU43" s="128" t="s">
        <v>159</v>
      </c>
      <c r="AV43" s="128"/>
      <c r="AW43" s="128"/>
      <c r="AX43" s="128"/>
      <c r="AY43" s="128"/>
      <c r="AZ43" s="128"/>
      <c r="BA43" s="128" t="s">
        <v>130</v>
      </c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</row>
    <row r="44" spans="1:64" ht="27" customHeight="1" x14ac:dyDescent="0.45">
      <c r="A44" s="129" t="str">
        <f t="shared" si="0"/>
        <v>038</v>
      </c>
      <c r="B44" s="130"/>
      <c r="C44" s="128" t="s">
        <v>16</v>
      </c>
      <c r="D44" s="128"/>
      <c r="E44" s="128"/>
      <c r="F44" s="128"/>
      <c r="G44" s="128"/>
      <c r="H44" s="128"/>
      <c r="I44" s="128" t="s">
        <v>160</v>
      </c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 t="s">
        <v>161</v>
      </c>
      <c r="Z44" s="128"/>
      <c r="AA44" s="128"/>
      <c r="AB44" s="128"/>
      <c r="AC44" s="128"/>
      <c r="AD44" s="128"/>
      <c r="AE44" s="128"/>
      <c r="AF44" s="128"/>
      <c r="AG44" s="128"/>
      <c r="AH44" s="128"/>
      <c r="AI44" s="128" t="s">
        <v>97</v>
      </c>
      <c r="AJ44" s="128"/>
      <c r="AK44" s="128"/>
      <c r="AL44" s="128"/>
      <c r="AM44" s="128"/>
      <c r="AN44" s="128"/>
      <c r="AO44" s="128" t="s">
        <v>94</v>
      </c>
      <c r="AP44" s="128"/>
      <c r="AQ44" s="128"/>
      <c r="AR44" s="128"/>
      <c r="AS44" s="128"/>
      <c r="AT44" s="128"/>
      <c r="AU44" s="128" t="s">
        <v>145</v>
      </c>
      <c r="AV44" s="128"/>
      <c r="AW44" s="128"/>
      <c r="AX44" s="128"/>
      <c r="AY44" s="128"/>
      <c r="AZ44" s="128"/>
      <c r="BA44" s="128" t="s">
        <v>94</v>
      </c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</row>
    <row r="45" spans="1:64" ht="27" customHeight="1" x14ac:dyDescent="0.45">
      <c r="A45" s="129" t="str">
        <f t="shared" si="0"/>
        <v>039</v>
      </c>
      <c r="B45" s="130"/>
      <c r="C45" s="128" t="s">
        <v>16</v>
      </c>
      <c r="D45" s="128"/>
      <c r="E45" s="128"/>
      <c r="F45" s="128"/>
      <c r="G45" s="128"/>
      <c r="H45" s="128"/>
      <c r="I45" s="128" t="s">
        <v>162</v>
      </c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 t="s">
        <v>163</v>
      </c>
      <c r="Z45" s="128"/>
      <c r="AA45" s="128"/>
      <c r="AB45" s="128"/>
      <c r="AC45" s="128"/>
      <c r="AD45" s="128"/>
      <c r="AE45" s="128"/>
      <c r="AF45" s="128"/>
      <c r="AG45" s="128"/>
      <c r="AH45" s="128"/>
      <c r="AI45" s="128" t="s">
        <v>164</v>
      </c>
      <c r="AJ45" s="128"/>
      <c r="AK45" s="128"/>
      <c r="AL45" s="128"/>
      <c r="AM45" s="128"/>
      <c r="AN45" s="128"/>
      <c r="AO45" s="128" t="s">
        <v>165</v>
      </c>
      <c r="AP45" s="128"/>
      <c r="AQ45" s="128"/>
      <c r="AR45" s="128"/>
      <c r="AS45" s="128"/>
      <c r="AT45" s="128"/>
      <c r="AU45" s="128" t="s">
        <v>166</v>
      </c>
      <c r="AV45" s="128"/>
      <c r="AW45" s="128"/>
      <c r="AX45" s="128"/>
      <c r="AY45" s="128"/>
      <c r="AZ45" s="128"/>
      <c r="BA45" s="128" t="s">
        <v>94</v>
      </c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</row>
    <row r="46" spans="1:64" ht="56.4" customHeight="1" x14ac:dyDescent="0.45">
      <c r="A46" s="129" t="str">
        <f t="shared" si="0"/>
        <v>040</v>
      </c>
      <c r="B46" s="130"/>
      <c r="C46" s="128" t="s">
        <v>16</v>
      </c>
      <c r="D46" s="128"/>
      <c r="E46" s="128"/>
      <c r="F46" s="128"/>
      <c r="G46" s="128"/>
      <c r="H46" s="128"/>
      <c r="I46" s="128" t="s">
        <v>167</v>
      </c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 t="s">
        <v>163</v>
      </c>
      <c r="Z46" s="128"/>
      <c r="AA46" s="128"/>
      <c r="AB46" s="128"/>
      <c r="AC46" s="128"/>
      <c r="AD46" s="128"/>
      <c r="AE46" s="128"/>
      <c r="AF46" s="128"/>
      <c r="AG46" s="128"/>
      <c r="AH46" s="128"/>
      <c r="AI46" s="128" t="s">
        <v>168</v>
      </c>
      <c r="AJ46" s="128"/>
      <c r="AK46" s="128"/>
      <c r="AL46" s="128"/>
      <c r="AM46" s="128"/>
      <c r="AN46" s="128"/>
      <c r="AO46" s="128" t="s">
        <v>169</v>
      </c>
      <c r="AP46" s="128"/>
      <c r="AQ46" s="128"/>
      <c r="AR46" s="128"/>
      <c r="AS46" s="128"/>
      <c r="AT46" s="128"/>
      <c r="AU46" s="128" t="s">
        <v>166</v>
      </c>
      <c r="AV46" s="128"/>
      <c r="AW46" s="128"/>
      <c r="AX46" s="128"/>
      <c r="AY46" s="128"/>
      <c r="AZ46" s="128"/>
      <c r="BA46" s="128" t="s">
        <v>94</v>
      </c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</row>
    <row r="47" spans="1:64" ht="18" customHeight="1" x14ac:dyDescent="0.45">
      <c r="A47" s="129" t="str">
        <f t="shared" si="0"/>
        <v>041</v>
      </c>
      <c r="B47" s="130"/>
      <c r="C47" s="128" t="s">
        <v>16</v>
      </c>
      <c r="D47" s="128"/>
      <c r="E47" s="128"/>
      <c r="F47" s="128"/>
      <c r="G47" s="128"/>
      <c r="H47" s="128"/>
      <c r="I47" s="128" t="s">
        <v>170</v>
      </c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 t="s">
        <v>171</v>
      </c>
      <c r="Z47" s="128"/>
      <c r="AA47" s="128"/>
      <c r="AB47" s="128"/>
      <c r="AC47" s="128"/>
      <c r="AD47" s="128"/>
      <c r="AE47" s="128"/>
      <c r="AF47" s="128"/>
      <c r="AG47" s="128"/>
      <c r="AH47" s="128"/>
      <c r="AI47" s="128" t="s">
        <v>172</v>
      </c>
      <c r="AJ47" s="128"/>
      <c r="AK47" s="128"/>
      <c r="AL47" s="128"/>
      <c r="AM47" s="128"/>
      <c r="AN47" s="128"/>
      <c r="AO47" s="128" t="s">
        <v>52</v>
      </c>
      <c r="AP47" s="128"/>
      <c r="AQ47" s="128"/>
      <c r="AR47" s="128"/>
      <c r="AS47" s="128"/>
      <c r="AT47" s="128"/>
      <c r="AU47" s="128" t="s">
        <v>16</v>
      </c>
      <c r="AV47" s="128"/>
      <c r="AW47" s="128"/>
      <c r="AX47" s="128"/>
      <c r="AY47" s="128"/>
      <c r="AZ47" s="128"/>
      <c r="BA47" s="128" t="s">
        <v>52</v>
      </c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</row>
    <row r="48" spans="1:64" ht="35.4" customHeight="1" x14ac:dyDescent="0.45">
      <c r="A48" s="129" t="str">
        <f t="shared" si="0"/>
        <v>042</v>
      </c>
      <c r="B48" s="130"/>
      <c r="C48" s="128" t="s">
        <v>16</v>
      </c>
      <c r="D48" s="128"/>
      <c r="E48" s="128"/>
      <c r="F48" s="128"/>
      <c r="G48" s="128"/>
      <c r="H48" s="128"/>
      <c r="I48" s="128" t="s">
        <v>173</v>
      </c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 t="s">
        <v>174</v>
      </c>
      <c r="Z48" s="128"/>
      <c r="AA48" s="128"/>
      <c r="AB48" s="128"/>
      <c r="AC48" s="128"/>
      <c r="AD48" s="128"/>
      <c r="AE48" s="128"/>
      <c r="AF48" s="128"/>
      <c r="AG48" s="128"/>
      <c r="AH48" s="128"/>
      <c r="AI48" s="128" t="s">
        <v>175</v>
      </c>
      <c r="AJ48" s="128"/>
      <c r="AK48" s="128"/>
      <c r="AL48" s="128"/>
      <c r="AM48" s="128"/>
      <c r="AN48" s="128"/>
      <c r="AO48" s="128" t="s">
        <v>176</v>
      </c>
      <c r="AP48" s="128"/>
      <c r="AQ48" s="128"/>
      <c r="AR48" s="128"/>
      <c r="AS48" s="128"/>
      <c r="AT48" s="128"/>
      <c r="AU48" s="128" t="s">
        <v>177</v>
      </c>
      <c r="AV48" s="128"/>
      <c r="AW48" s="128"/>
      <c r="AX48" s="128"/>
      <c r="AY48" s="128"/>
      <c r="AZ48" s="128"/>
      <c r="BA48" s="128" t="s">
        <v>52</v>
      </c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</row>
    <row r="49" spans="1:64" ht="35.4" customHeight="1" x14ac:dyDescent="0.45">
      <c r="A49" s="129" t="str">
        <f t="shared" si="0"/>
        <v>043</v>
      </c>
      <c r="B49" s="130"/>
      <c r="C49" s="128" t="s">
        <v>16</v>
      </c>
      <c r="D49" s="128"/>
      <c r="E49" s="128"/>
      <c r="F49" s="128"/>
      <c r="G49" s="128"/>
      <c r="H49" s="128"/>
      <c r="I49" s="128" t="s">
        <v>178</v>
      </c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 t="s">
        <v>179</v>
      </c>
      <c r="Z49" s="128"/>
      <c r="AA49" s="128"/>
      <c r="AB49" s="128"/>
      <c r="AC49" s="128"/>
      <c r="AD49" s="128"/>
      <c r="AE49" s="128"/>
      <c r="AF49" s="128"/>
      <c r="AG49" s="128"/>
      <c r="AH49" s="128"/>
      <c r="AI49" s="128" t="s">
        <v>180</v>
      </c>
      <c r="AJ49" s="128"/>
      <c r="AK49" s="128"/>
      <c r="AL49" s="128"/>
      <c r="AM49" s="128"/>
      <c r="AN49" s="128"/>
      <c r="AO49" s="128" t="s">
        <v>176</v>
      </c>
      <c r="AP49" s="128"/>
      <c r="AQ49" s="128"/>
      <c r="AR49" s="128"/>
      <c r="AS49" s="128"/>
      <c r="AT49" s="128"/>
      <c r="AU49" s="128" t="s">
        <v>177</v>
      </c>
      <c r="AV49" s="128"/>
      <c r="AW49" s="128"/>
      <c r="AX49" s="128"/>
      <c r="AY49" s="128"/>
      <c r="AZ49" s="128"/>
      <c r="BA49" s="128" t="s">
        <v>52</v>
      </c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</row>
    <row r="50" spans="1:64" ht="35.4" customHeight="1" x14ac:dyDescent="0.45">
      <c r="A50" s="129" t="str">
        <f t="shared" si="0"/>
        <v>044</v>
      </c>
      <c r="B50" s="130"/>
      <c r="C50" s="128" t="s">
        <v>16</v>
      </c>
      <c r="D50" s="128"/>
      <c r="E50" s="128"/>
      <c r="F50" s="128"/>
      <c r="G50" s="128"/>
      <c r="H50" s="128"/>
      <c r="I50" s="128" t="s">
        <v>181</v>
      </c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 t="s">
        <v>182</v>
      </c>
      <c r="Z50" s="128"/>
      <c r="AA50" s="128"/>
      <c r="AB50" s="128"/>
      <c r="AC50" s="128"/>
      <c r="AD50" s="128"/>
      <c r="AE50" s="128"/>
      <c r="AF50" s="128"/>
      <c r="AG50" s="128"/>
      <c r="AH50" s="128"/>
      <c r="AI50" s="128" t="s">
        <v>180</v>
      </c>
      <c r="AJ50" s="128"/>
      <c r="AK50" s="128"/>
      <c r="AL50" s="128"/>
      <c r="AM50" s="128"/>
      <c r="AN50" s="128"/>
      <c r="AO50" s="128" t="s">
        <v>176</v>
      </c>
      <c r="AP50" s="128"/>
      <c r="AQ50" s="128"/>
      <c r="AR50" s="128"/>
      <c r="AS50" s="128"/>
      <c r="AT50" s="128"/>
      <c r="AU50" s="128" t="s">
        <v>177</v>
      </c>
      <c r="AV50" s="128"/>
      <c r="AW50" s="128"/>
      <c r="AX50" s="128"/>
      <c r="AY50" s="128"/>
      <c r="AZ50" s="128"/>
      <c r="BA50" s="128" t="s">
        <v>119</v>
      </c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</row>
    <row r="51" spans="1:64" ht="35.4" customHeight="1" x14ac:dyDescent="0.45">
      <c r="A51" s="129" t="str">
        <f t="shared" si="0"/>
        <v>045</v>
      </c>
      <c r="B51" s="130"/>
      <c r="C51" s="128" t="s">
        <v>16</v>
      </c>
      <c r="D51" s="128"/>
      <c r="E51" s="128"/>
      <c r="F51" s="128"/>
      <c r="G51" s="128"/>
      <c r="H51" s="128"/>
      <c r="I51" s="128" t="s">
        <v>183</v>
      </c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 t="s">
        <v>184</v>
      </c>
      <c r="Z51" s="128"/>
      <c r="AA51" s="128"/>
      <c r="AB51" s="128"/>
      <c r="AC51" s="128"/>
      <c r="AD51" s="128"/>
      <c r="AE51" s="128"/>
      <c r="AF51" s="128"/>
      <c r="AG51" s="128"/>
      <c r="AH51" s="128"/>
      <c r="AI51" s="128" t="s">
        <v>116</v>
      </c>
      <c r="AJ51" s="128"/>
      <c r="AK51" s="128"/>
      <c r="AL51" s="128"/>
      <c r="AM51" s="128"/>
      <c r="AN51" s="128"/>
      <c r="AO51" s="128" t="s">
        <v>117</v>
      </c>
      <c r="AP51" s="128"/>
      <c r="AQ51" s="128"/>
      <c r="AR51" s="128"/>
      <c r="AS51" s="128"/>
      <c r="AT51" s="128"/>
      <c r="AU51" s="128" t="s">
        <v>185</v>
      </c>
      <c r="AV51" s="128"/>
      <c r="AW51" s="128"/>
      <c r="AX51" s="128"/>
      <c r="AY51" s="128"/>
      <c r="AZ51" s="128"/>
      <c r="BA51" s="128" t="s">
        <v>46</v>
      </c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</row>
    <row r="52" spans="1:64" ht="35.4" customHeight="1" x14ac:dyDescent="0.45">
      <c r="A52" s="129" t="str">
        <f t="shared" si="0"/>
        <v>046</v>
      </c>
      <c r="B52" s="130"/>
      <c r="C52" s="128" t="s">
        <v>16</v>
      </c>
      <c r="D52" s="128"/>
      <c r="E52" s="128"/>
      <c r="F52" s="128"/>
      <c r="G52" s="128"/>
      <c r="H52" s="128"/>
      <c r="I52" s="128" t="s">
        <v>186</v>
      </c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 t="s">
        <v>187</v>
      </c>
      <c r="Z52" s="128"/>
      <c r="AA52" s="128"/>
      <c r="AB52" s="128"/>
      <c r="AC52" s="128"/>
      <c r="AD52" s="128"/>
      <c r="AE52" s="128"/>
      <c r="AF52" s="128"/>
      <c r="AG52" s="128"/>
      <c r="AH52" s="128"/>
      <c r="AI52" s="128" t="s">
        <v>16</v>
      </c>
      <c r="AJ52" s="128"/>
      <c r="AK52" s="128"/>
      <c r="AL52" s="128"/>
      <c r="AM52" s="128"/>
      <c r="AN52" s="128"/>
      <c r="AO52" s="128" t="s">
        <v>94</v>
      </c>
      <c r="AP52" s="128"/>
      <c r="AQ52" s="128"/>
      <c r="AR52" s="128"/>
      <c r="AS52" s="128"/>
      <c r="AT52" s="128"/>
      <c r="AU52" s="128" t="s">
        <v>188</v>
      </c>
      <c r="AV52" s="128"/>
      <c r="AW52" s="128"/>
      <c r="AX52" s="128"/>
      <c r="AY52" s="128"/>
      <c r="AZ52" s="128"/>
      <c r="BA52" s="128" t="s">
        <v>189</v>
      </c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</row>
    <row r="53" spans="1:64" ht="35.4" customHeight="1" x14ac:dyDescent="0.45">
      <c r="A53" s="129" t="str">
        <f t="shared" si="0"/>
        <v>047</v>
      </c>
      <c r="B53" s="130"/>
      <c r="C53" s="128" t="s">
        <v>16</v>
      </c>
      <c r="D53" s="128"/>
      <c r="E53" s="128"/>
      <c r="F53" s="128"/>
      <c r="G53" s="128"/>
      <c r="H53" s="128"/>
      <c r="I53" s="134" t="s">
        <v>190</v>
      </c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 t="s">
        <v>187</v>
      </c>
      <c r="Z53" s="134"/>
      <c r="AA53" s="134"/>
      <c r="AB53" s="134"/>
      <c r="AC53" s="134"/>
      <c r="AD53" s="134"/>
      <c r="AE53" s="134"/>
      <c r="AF53" s="134"/>
      <c r="AG53" s="134"/>
      <c r="AH53" s="134"/>
      <c r="AI53" s="128" t="s">
        <v>191</v>
      </c>
      <c r="AJ53" s="128"/>
      <c r="AK53" s="128"/>
      <c r="AL53" s="128"/>
      <c r="AM53" s="128"/>
      <c r="AN53" s="128"/>
      <c r="AO53" s="128" t="s">
        <v>106</v>
      </c>
      <c r="AP53" s="128"/>
      <c r="AQ53" s="128"/>
      <c r="AR53" s="128"/>
      <c r="AS53" s="128"/>
      <c r="AT53" s="128"/>
      <c r="AU53" s="128" t="s">
        <v>188</v>
      </c>
      <c r="AV53" s="128"/>
      <c r="AW53" s="128"/>
      <c r="AX53" s="128"/>
      <c r="AY53" s="128"/>
      <c r="AZ53" s="128"/>
      <c r="BA53" s="128" t="s">
        <v>189</v>
      </c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</row>
    <row r="54" spans="1:64" ht="18" customHeight="1" x14ac:dyDescent="0.45">
      <c r="A54" s="129" t="str">
        <f t="shared" si="0"/>
        <v>048</v>
      </c>
      <c r="B54" s="130"/>
      <c r="C54" s="128" t="s">
        <v>16</v>
      </c>
      <c r="D54" s="128"/>
      <c r="E54" s="128"/>
      <c r="F54" s="128"/>
      <c r="G54" s="128"/>
      <c r="H54" s="128"/>
      <c r="I54" s="134" t="s">
        <v>192</v>
      </c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 t="s">
        <v>193</v>
      </c>
      <c r="Z54" s="134"/>
      <c r="AA54" s="134"/>
      <c r="AB54" s="134"/>
      <c r="AC54" s="134"/>
      <c r="AD54" s="134"/>
      <c r="AE54" s="134"/>
      <c r="AF54" s="134"/>
      <c r="AG54" s="134"/>
      <c r="AH54" s="134"/>
      <c r="AI54" s="128" t="s">
        <v>16</v>
      </c>
      <c r="AJ54" s="128"/>
      <c r="AK54" s="128"/>
      <c r="AL54" s="128"/>
      <c r="AM54" s="128"/>
      <c r="AN54" s="128"/>
      <c r="AO54" s="128" t="s">
        <v>52</v>
      </c>
      <c r="AP54" s="128"/>
      <c r="AQ54" s="128"/>
      <c r="AR54" s="128"/>
      <c r="AS54" s="128"/>
      <c r="AT54" s="128"/>
      <c r="AU54" s="128" t="s">
        <v>194</v>
      </c>
      <c r="AV54" s="128"/>
      <c r="AW54" s="128"/>
      <c r="AX54" s="128"/>
      <c r="AY54" s="128"/>
      <c r="AZ54" s="128"/>
      <c r="BA54" s="128" t="s">
        <v>52</v>
      </c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</row>
    <row r="55" spans="1:64" ht="18" customHeight="1" x14ac:dyDescent="0.45">
      <c r="A55" s="129" t="str">
        <f t="shared" si="0"/>
        <v>049</v>
      </c>
      <c r="B55" s="130"/>
      <c r="C55" s="128" t="s">
        <v>16</v>
      </c>
      <c r="D55" s="128"/>
      <c r="E55" s="128"/>
      <c r="F55" s="128"/>
      <c r="G55" s="128"/>
      <c r="H55" s="128"/>
      <c r="I55" s="134" t="s">
        <v>195</v>
      </c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 t="s">
        <v>196</v>
      </c>
      <c r="Z55" s="134"/>
      <c r="AA55" s="134"/>
      <c r="AB55" s="134"/>
      <c r="AC55" s="134"/>
      <c r="AD55" s="134"/>
      <c r="AE55" s="134"/>
      <c r="AF55" s="134"/>
      <c r="AG55" s="134"/>
      <c r="AH55" s="134"/>
      <c r="AI55" s="128" t="s">
        <v>16</v>
      </c>
      <c r="AJ55" s="128"/>
      <c r="AK55" s="128"/>
      <c r="AL55" s="128"/>
      <c r="AM55" s="128"/>
      <c r="AN55" s="128"/>
      <c r="AO55" s="128" t="s">
        <v>52</v>
      </c>
      <c r="AP55" s="128"/>
      <c r="AQ55" s="128"/>
      <c r="AR55" s="128"/>
      <c r="AS55" s="128"/>
      <c r="AT55" s="128"/>
      <c r="AU55" s="128" t="s">
        <v>197</v>
      </c>
      <c r="AV55" s="128"/>
      <c r="AW55" s="128"/>
      <c r="AX55" s="128"/>
      <c r="AY55" s="128"/>
      <c r="AZ55" s="128"/>
      <c r="BA55" s="128" t="s">
        <v>94</v>
      </c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</row>
    <row r="56" spans="1:64" ht="37.200000000000003" customHeight="1" x14ac:dyDescent="0.45">
      <c r="A56" s="129" t="str">
        <f t="shared" si="0"/>
        <v>050</v>
      </c>
      <c r="B56" s="130"/>
      <c r="C56" s="128" t="s">
        <v>306</v>
      </c>
      <c r="D56" s="128"/>
      <c r="E56" s="128"/>
      <c r="F56" s="128"/>
      <c r="G56" s="128"/>
      <c r="H56" s="128"/>
      <c r="I56" s="138" t="s">
        <v>364</v>
      </c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40"/>
      <c r="Y56" s="134" t="s">
        <v>312</v>
      </c>
      <c r="Z56" s="134"/>
      <c r="AA56" s="134"/>
      <c r="AB56" s="134"/>
      <c r="AC56" s="134"/>
      <c r="AD56" s="134"/>
      <c r="AE56" s="134"/>
      <c r="AF56" s="134"/>
      <c r="AG56" s="134"/>
      <c r="AH56" s="134"/>
      <c r="AI56" s="128" t="s">
        <v>325</v>
      </c>
      <c r="AJ56" s="128"/>
      <c r="AK56" s="128"/>
      <c r="AL56" s="128"/>
      <c r="AM56" s="128"/>
      <c r="AN56" s="128"/>
      <c r="AO56" s="128" t="s">
        <v>332</v>
      </c>
      <c r="AP56" s="128"/>
      <c r="AQ56" s="128"/>
      <c r="AR56" s="128"/>
      <c r="AS56" s="128"/>
      <c r="AT56" s="128"/>
      <c r="AU56" s="128" t="s">
        <v>327</v>
      </c>
      <c r="AV56" s="128"/>
      <c r="AW56" s="128"/>
      <c r="AX56" s="128"/>
      <c r="AY56" s="128"/>
      <c r="AZ56" s="128"/>
      <c r="BA56" s="128" t="s">
        <v>327</v>
      </c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</row>
    <row r="57" spans="1:64" ht="37.200000000000003" customHeight="1" x14ac:dyDescent="0.45">
      <c r="A57" s="129" t="str">
        <f t="shared" si="0"/>
        <v>051</v>
      </c>
      <c r="B57" s="130"/>
      <c r="C57" s="128" t="s">
        <v>306</v>
      </c>
      <c r="D57" s="128"/>
      <c r="E57" s="128"/>
      <c r="F57" s="128"/>
      <c r="G57" s="128"/>
      <c r="H57" s="128"/>
      <c r="I57" s="138" t="s">
        <v>366</v>
      </c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40"/>
      <c r="Y57" s="134" t="s">
        <v>313</v>
      </c>
      <c r="Z57" s="134"/>
      <c r="AA57" s="134"/>
      <c r="AB57" s="134"/>
      <c r="AC57" s="134"/>
      <c r="AD57" s="134"/>
      <c r="AE57" s="134"/>
      <c r="AF57" s="134"/>
      <c r="AG57" s="134"/>
      <c r="AH57" s="134"/>
      <c r="AI57" s="128" t="s">
        <v>328</v>
      </c>
      <c r="AJ57" s="128"/>
      <c r="AK57" s="128"/>
      <c r="AL57" s="128"/>
      <c r="AM57" s="128"/>
      <c r="AN57" s="128"/>
      <c r="AO57" s="128" t="s">
        <v>333</v>
      </c>
      <c r="AP57" s="128"/>
      <c r="AQ57" s="128"/>
      <c r="AR57" s="128"/>
      <c r="AS57" s="128"/>
      <c r="AT57" s="128"/>
      <c r="AU57" s="128" t="s">
        <v>327</v>
      </c>
      <c r="AV57" s="128"/>
      <c r="AW57" s="128"/>
      <c r="AX57" s="128"/>
      <c r="AY57" s="128"/>
      <c r="AZ57" s="128"/>
      <c r="BA57" s="128" t="s">
        <v>327</v>
      </c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</row>
    <row r="58" spans="1:64" ht="37.200000000000003" customHeight="1" x14ac:dyDescent="0.45">
      <c r="A58" s="129" t="str">
        <f t="shared" si="0"/>
        <v>052</v>
      </c>
      <c r="B58" s="130"/>
      <c r="C58" s="128" t="s">
        <v>306</v>
      </c>
      <c r="D58" s="128"/>
      <c r="E58" s="128"/>
      <c r="F58" s="128"/>
      <c r="G58" s="128"/>
      <c r="H58" s="128"/>
      <c r="I58" s="138" t="s">
        <v>365</v>
      </c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40"/>
      <c r="Y58" s="134" t="s">
        <v>314</v>
      </c>
      <c r="Z58" s="134"/>
      <c r="AA58" s="134"/>
      <c r="AB58" s="134"/>
      <c r="AC58" s="134"/>
      <c r="AD58" s="134"/>
      <c r="AE58" s="134"/>
      <c r="AF58" s="134"/>
      <c r="AG58" s="134"/>
      <c r="AH58" s="134"/>
      <c r="AI58" s="128" t="s">
        <v>328</v>
      </c>
      <c r="AJ58" s="128"/>
      <c r="AK58" s="128"/>
      <c r="AL58" s="128"/>
      <c r="AM58" s="128"/>
      <c r="AN58" s="128"/>
      <c r="AO58" s="128" t="s">
        <v>333</v>
      </c>
      <c r="AP58" s="128"/>
      <c r="AQ58" s="128"/>
      <c r="AR58" s="128"/>
      <c r="AS58" s="128"/>
      <c r="AT58" s="128"/>
      <c r="AU58" s="128" t="s">
        <v>327</v>
      </c>
      <c r="AV58" s="128"/>
      <c r="AW58" s="128"/>
      <c r="AX58" s="128"/>
      <c r="AY58" s="128"/>
      <c r="AZ58" s="128"/>
      <c r="BA58" s="128" t="s">
        <v>327</v>
      </c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</row>
    <row r="59" spans="1:64" ht="22.8" customHeight="1" x14ac:dyDescent="0.45">
      <c r="A59" s="129" t="str">
        <f t="shared" si="0"/>
        <v>053</v>
      </c>
      <c r="B59" s="130"/>
      <c r="C59" s="128" t="s">
        <v>306</v>
      </c>
      <c r="D59" s="128"/>
      <c r="E59" s="128"/>
      <c r="F59" s="128"/>
      <c r="G59" s="128"/>
      <c r="H59" s="128"/>
      <c r="I59" s="138" t="s">
        <v>360</v>
      </c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40"/>
      <c r="Y59" s="134" t="s">
        <v>315</v>
      </c>
      <c r="Z59" s="134"/>
      <c r="AA59" s="134"/>
      <c r="AB59" s="134"/>
      <c r="AC59" s="134"/>
      <c r="AD59" s="134"/>
      <c r="AE59" s="134"/>
      <c r="AF59" s="134"/>
      <c r="AG59" s="134"/>
      <c r="AH59" s="134"/>
      <c r="AI59" s="128" t="s">
        <v>330</v>
      </c>
      <c r="AJ59" s="128"/>
      <c r="AK59" s="128"/>
      <c r="AL59" s="128"/>
      <c r="AM59" s="128"/>
      <c r="AN59" s="128"/>
      <c r="AO59" s="128" t="s">
        <v>94</v>
      </c>
      <c r="AP59" s="128"/>
      <c r="AQ59" s="128"/>
      <c r="AR59" s="128"/>
      <c r="AS59" s="128"/>
      <c r="AT59" s="128"/>
      <c r="AU59" s="128" t="s">
        <v>327</v>
      </c>
      <c r="AV59" s="128"/>
      <c r="AW59" s="128"/>
      <c r="AX59" s="128"/>
      <c r="AY59" s="128"/>
      <c r="AZ59" s="128"/>
      <c r="BA59" s="128" t="s">
        <v>327</v>
      </c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</row>
    <row r="60" spans="1:64" ht="22.8" customHeight="1" x14ac:dyDescent="0.45">
      <c r="A60" s="129" t="str">
        <f t="shared" si="0"/>
        <v>054</v>
      </c>
      <c r="B60" s="130"/>
      <c r="C60" s="128" t="s">
        <v>306</v>
      </c>
      <c r="D60" s="128"/>
      <c r="E60" s="128"/>
      <c r="F60" s="128"/>
      <c r="G60" s="128"/>
      <c r="H60" s="128"/>
      <c r="I60" s="138" t="s">
        <v>359</v>
      </c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40"/>
      <c r="Y60" s="134" t="s">
        <v>315</v>
      </c>
      <c r="Z60" s="134"/>
      <c r="AA60" s="134"/>
      <c r="AB60" s="134"/>
      <c r="AC60" s="134"/>
      <c r="AD60" s="134"/>
      <c r="AE60" s="134"/>
      <c r="AF60" s="134"/>
      <c r="AG60" s="134"/>
      <c r="AH60" s="134"/>
      <c r="AI60" s="128" t="s">
        <v>358</v>
      </c>
      <c r="AJ60" s="128"/>
      <c r="AK60" s="128"/>
      <c r="AL60" s="128"/>
      <c r="AM60" s="128"/>
      <c r="AN60" s="128"/>
      <c r="AO60" s="128" t="s">
        <v>331</v>
      </c>
      <c r="AP60" s="128"/>
      <c r="AQ60" s="128"/>
      <c r="AR60" s="128"/>
      <c r="AS60" s="128"/>
      <c r="AT60" s="128"/>
      <c r="AU60" s="128" t="s">
        <v>327</v>
      </c>
      <c r="AV60" s="128"/>
      <c r="AW60" s="128"/>
      <c r="AX60" s="128"/>
      <c r="AY60" s="128"/>
      <c r="AZ60" s="128"/>
      <c r="BA60" s="128" t="s">
        <v>327</v>
      </c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</row>
    <row r="61" spans="1:64" ht="40.799999999999997" customHeight="1" x14ac:dyDescent="0.45">
      <c r="A61" s="129" t="str">
        <f t="shared" si="0"/>
        <v>055</v>
      </c>
      <c r="B61" s="130"/>
      <c r="C61" s="128" t="s">
        <v>306</v>
      </c>
      <c r="D61" s="128"/>
      <c r="E61" s="128"/>
      <c r="F61" s="128"/>
      <c r="G61" s="128"/>
      <c r="H61" s="128"/>
      <c r="I61" s="138" t="s">
        <v>371</v>
      </c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40"/>
      <c r="Y61" s="134" t="s">
        <v>316</v>
      </c>
      <c r="Z61" s="134"/>
      <c r="AA61" s="134"/>
      <c r="AB61" s="134"/>
      <c r="AC61" s="134"/>
      <c r="AD61" s="134"/>
      <c r="AE61" s="134"/>
      <c r="AF61" s="134"/>
      <c r="AG61" s="134"/>
      <c r="AH61" s="134"/>
      <c r="AI61" s="128" t="s">
        <v>343</v>
      </c>
      <c r="AJ61" s="128"/>
      <c r="AK61" s="128"/>
      <c r="AL61" s="128"/>
      <c r="AM61" s="128"/>
      <c r="AN61" s="128"/>
      <c r="AO61" s="128" t="s">
        <v>342</v>
      </c>
      <c r="AP61" s="128"/>
      <c r="AQ61" s="128"/>
      <c r="AR61" s="128"/>
      <c r="AS61" s="128"/>
      <c r="AT61" s="128"/>
      <c r="AU61" s="128" t="s">
        <v>353</v>
      </c>
      <c r="AV61" s="128"/>
      <c r="AW61" s="128"/>
      <c r="AX61" s="128"/>
      <c r="AY61" s="128"/>
      <c r="AZ61" s="128"/>
      <c r="BA61" s="128" t="s">
        <v>348</v>
      </c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</row>
    <row r="62" spans="1:64" ht="37.200000000000003" customHeight="1" x14ac:dyDescent="0.45">
      <c r="A62" s="129" t="str">
        <f t="shared" si="0"/>
        <v>056</v>
      </c>
      <c r="B62" s="130"/>
      <c r="C62" s="128" t="s">
        <v>306</v>
      </c>
      <c r="D62" s="128"/>
      <c r="E62" s="128"/>
      <c r="F62" s="128"/>
      <c r="G62" s="128"/>
      <c r="H62" s="128"/>
      <c r="I62" s="138" t="s">
        <v>368</v>
      </c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40"/>
      <c r="Y62" s="134" t="s">
        <v>317</v>
      </c>
      <c r="Z62" s="134"/>
      <c r="AA62" s="134"/>
      <c r="AB62" s="134"/>
      <c r="AC62" s="134"/>
      <c r="AD62" s="134"/>
      <c r="AE62" s="134"/>
      <c r="AF62" s="134"/>
      <c r="AG62" s="134"/>
      <c r="AH62" s="134"/>
      <c r="AI62" s="128" t="s">
        <v>350</v>
      </c>
      <c r="AJ62" s="128"/>
      <c r="AK62" s="128"/>
      <c r="AL62" s="128"/>
      <c r="AM62" s="128"/>
      <c r="AN62" s="128"/>
      <c r="AO62" s="128" t="s">
        <v>342</v>
      </c>
      <c r="AP62" s="128"/>
      <c r="AQ62" s="128"/>
      <c r="AR62" s="128"/>
      <c r="AS62" s="128"/>
      <c r="AT62" s="128"/>
      <c r="AU62" s="128" t="s">
        <v>352</v>
      </c>
      <c r="AV62" s="128"/>
      <c r="AW62" s="128"/>
      <c r="AX62" s="128"/>
      <c r="AY62" s="128"/>
      <c r="AZ62" s="128"/>
      <c r="BA62" s="128" t="s">
        <v>351</v>
      </c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</row>
    <row r="63" spans="1:64" ht="37.200000000000003" customHeight="1" x14ac:dyDescent="0.45">
      <c r="A63" s="129" t="str">
        <f t="shared" si="0"/>
        <v>057</v>
      </c>
      <c r="B63" s="130"/>
      <c r="C63" s="128" t="s">
        <v>306</v>
      </c>
      <c r="D63" s="128"/>
      <c r="E63" s="128"/>
      <c r="F63" s="128"/>
      <c r="G63" s="128"/>
      <c r="H63" s="128"/>
      <c r="I63" s="138" t="s">
        <v>369</v>
      </c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40"/>
      <c r="Y63" s="134" t="s">
        <v>318</v>
      </c>
      <c r="Z63" s="134"/>
      <c r="AA63" s="134"/>
      <c r="AB63" s="134"/>
      <c r="AC63" s="134"/>
      <c r="AD63" s="134"/>
      <c r="AE63" s="134"/>
      <c r="AF63" s="134"/>
      <c r="AG63" s="134"/>
      <c r="AH63" s="134"/>
      <c r="AI63" s="128" t="s">
        <v>350</v>
      </c>
      <c r="AJ63" s="128"/>
      <c r="AK63" s="128"/>
      <c r="AL63" s="128"/>
      <c r="AM63" s="128"/>
      <c r="AN63" s="128"/>
      <c r="AO63" s="128" t="s">
        <v>342</v>
      </c>
      <c r="AP63" s="128"/>
      <c r="AQ63" s="128"/>
      <c r="AR63" s="128"/>
      <c r="AS63" s="128"/>
      <c r="AT63" s="128"/>
      <c r="AU63" s="128" t="s">
        <v>353</v>
      </c>
      <c r="AV63" s="128"/>
      <c r="AW63" s="128"/>
      <c r="AX63" s="128"/>
      <c r="AY63" s="128"/>
      <c r="AZ63" s="128"/>
      <c r="BA63" s="128" t="s">
        <v>348</v>
      </c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</row>
    <row r="64" spans="1:64" ht="18" customHeight="1" x14ac:dyDescent="0.45">
      <c r="A64" s="129" t="str">
        <f t="shared" si="0"/>
        <v>058</v>
      </c>
      <c r="B64" s="130"/>
      <c r="C64" s="128" t="s">
        <v>306</v>
      </c>
      <c r="D64" s="128"/>
      <c r="E64" s="128"/>
      <c r="F64" s="128"/>
      <c r="G64" s="128"/>
      <c r="H64" s="128"/>
      <c r="I64" s="138" t="s">
        <v>370</v>
      </c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40"/>
      <c r="Y64" s="134" t="s">
        <v>319</v>
      </c>
      <c r="Z64" s="134"/>
      <c r="AA64" s="134"/>
      <c r="AB64" s="134"/>
      <c r="AC64" s="134"/>
      <c r="AD64" s="134"/>
      <c r="AE64" s="134"/>
      <c r="AF64" s="134"/>
      <c r="AG64" s="134"/>
      <c r="AH64" s="134"/>
      <c r="AI64" s="128" t="s">
        <v>355</v>
      </c>
      <c r="AJ64" s="128"/>
      <c r="AK64" s="128"/>
      <c r="AL64" s="128"/>
      <c r="AM64" s="128"/>
      <c r="AN64" s="128"/>
      <c r="AO64" s="128" t="s">
        <v>354</v>
      </c>
      <c r="AP64" s="128"/>
      <c r="AQ64" s="128"/>
      <c r="AR64" s="128"/>
      <c r="AS64" s="128"/>
      <c r="AT64" s="128"/>
      <c r="AU64" s="128" t="s">
        <v>353</v>
      </c>
      <c r="AV64" s="128"/>
      <c r="AW64" s="128"/>
      <c r="AX64" s="128"/>
      <c r="AY64" s="128"/>
      <c r="AZ64" s="128"/>
      <c r="BA64" s="128" t="s">
        <v>348</v>
      </c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</row>
    <row r="65" spans="1:64" ht="18" customHeight="1" x14ac:dyDescent="0.45">
      <c r="A65" s="129" t="str">
        <f t="shared" si="0"/>
        <v>059</v>
      </c>
      <c r="B65" s="130"/>
      <c r="C65" s="128" t="s">
        <v>306</v>
      </c>
      <c r="D65" s="128"/>
      <c r="E65" s="128"/>
      <c r="F65" s="128"/>
      <c r="G65" s="128"/>
      <c r="H65" s="128"/>
      <c r="I65" s="138" t="s">
        <v>361</v>
      </c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40"/>
      <c r="Y65" s="134" t="s">
        <v>320</v>
      </c>
      <c r="Z65" s="134"/>
      <c r="AA65" s="134"/>
      <c r="AB65" s="134"/>
      <c r="AC65" s="134"/>
      <c r="AD65" s="134"/>
      <c r="AE65" s="134"/>
      <c r="AF65" s="134"/>
      <c r="AG65" s="134"/>
      <c r="AH65" s="134"/>
      <c r="AI65" s="128" t="s">
        <v>327</v>
      </c>
      <c r="AJ65" s="128"/>
      <c r="AK65" s="128"/>
      <c r="AL65" s="128"/>
      <c r="AM65" s="128"/>
      <c r="AN65" s="128"/>
      <c r="AO65" s="128" t="s">
        <v>327</v>
      </c>
      <c r="AP65" s="128"/>
      <c r="AQ65" s="128"/>
      <c r="AR65" s="128"/>
      <c r="AS65" s="128"/>
      <c r="AT65" s="128"/>
      <c r="AU65" s="128" t="s">
        <v>357</v>
      </c>
      <c r="AV65" s="128"/>
      <c r="AW65" s="128"/>
      <c r="AX65" s="128"/>
      <c r="AY65" s="128"/>
      <c r="AZ65" s="128"/>
      <c r="BA65" s="128" t="s">
        <v>356</v>
      </c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</row>
    <row r="66" spans="1:64" ht="18" customHeight="1" x14ac:dyDescent="0.45">
      <c r="A66" s="129" t="str">
        <f t="shared" si="0"/>
        <v>060</v>
      </c>
      <c r="B66" s="130"/>
      <c r="C66" s="128" t="s">
        <v>306</v>
      </c>
      <c r="D66" s="128"/>
      <c r="E66" s="128"/>
      <c r="F66" s="128"/>
      <c r="G66" s="128"/>
      <c r="H66" s="128"/>
      <c r="I66" s="138" t="s">
        <v>367</v>
      </c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40"/>
      <c r="Y66" s="134" t="s">
        <v>321</v>
      </c>
      <c r="Z66" s="134"/>
      <c r="AA66" s="134"/>
      <c r="AB66" s="134"/>
      <c r="AC66" s="134"/>
      <c r="AD66" s="134"/>
      <c r="AE66" s="134"/>
      <c r="AF66" s="134"/>
      <c r="AG66" s="134"/>
      <c r="AH66" s="134"/>
      <c r="AI66" s="128" t="s">
        <v>349</v>
      </c>
      <c r="AJ66" s="128"/>
      <c r="AK66" s="128"/>
      <c r="AL66" s="128"/>
      <c r="AM66" s="128"/>
      <c r="AN66" s="128"/>
      <c r="AO66" s="128" t="s">
        <v>348</v>
      </c>
      <c r="AP66" s="128"/>
      <c r="AQ66" s="128"/>
      <c r="AR66" s="128"/>
      <c r="AS66" s="128"/>
      <c r="AT66" s="128"/>
      <c r="AU66" s="128" t="s">
        <v>188</v>
      </c>
      <c r="AV66" s="128"/>
      <c r="AW66" s="128"/>
      <c r="AX66" s="128"/>
      <c r="AY66" s="128"/>
      <c r="AZ66" s="128"/>
      <c r="BA66" s="128" t="s">
        <v>189</v>
      </c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</row>
    <row r="67" spans="1:64" ht="67.2" customHeight="1" x14ac:dyDescent="0.45">
      <c r="A67" s="129" t="str">
        <f t="shared" si="0"/>
        <v>061</v>
      </c>
      <c r="B67" s="130"/>
      <c r="C67" s="128" t="s">
        <v>306</v>
      </c>
      <c r="D67" s="128"/>
      <c r="E67" s="128"/>
      <c r="F67" s="128"/>
      <c r="G67" s="128"/>
      <c r="H67" s="128"/>
      <c r="I67" s="138" t="s">
        <v>362</v>
      </c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40"/>
      <c r="Y67" s="134" t="s">
        <v>322</v>
      </c>
      <c r="Z67" s="134"/>
      <c r="AA67" s="134"/>
      <c r="AB67" s="134"/>
      <c r="AC67" s="134"/>
      <c r="AD67" s="134"/>
      <c r="AE67" s="134"/>
      <c r="AF67" s="134"/>
      <c r="AG67" s="134"/>
      <c r="AH67" s="134"/>
      <c r="AI67" s="128" t="s">
        <v>345</v>
      </c>
      <c r="AJ67" s="128"/>
      <c r="AK67" s="128"/>
      <c r="AL67" s="128"/>
      <c r="AM67" s="128"/>
      <c r="AN67" s="128"/>
      <c r="AO67" s="128" t="s">
        <v>344</v>
      </c>
      <c r="AP67" s="128"/>
      <c r="AQ67" s="128"/>
      <c r="AR67" s="128"/>
      <c r="AS67" s="128"/>
      <c r="AT67" s="128"/>
      <c r="AU67" s="128" t="s">
        <v>327</v>
      </c>
      <c r="AV67" s="128"/>
      <c r="AW67" s="128"/>
      <c r="AX67" s="128"/>
      <c r="AY67" s="128"/>
      <c r="AZ67" s="128"/>
      <c r="BA67" s="128" t="s">
        <v>327</v>
      </c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</row>
    <row r="68" spans="1:64" ht="54.6" customHeight="1" x14ac:dyDescent="0.45">
      <c r="A68" s="129" t="str">
        <f t="shared" si="0"/>
        <v>062</v>
      </c>
      <c r="B68" s="130"/>
      <c r="C68" s="128" t="s">
        <v>306</v>
      </c>
      <c r="D68" s="128"/>
      <c r="E68" s="128"/>
      <c r="F68" s="128"/>
      <c r="G68" s="128"/>
      <c r="H68" s="128"/>
      <c r="I68" s="141" t="s">
        <v>372</v>
      </c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40"/>
      <c r="Y68" s="134" t="s">
        <v>323</v>
      </c>
      <c r="Z68" s="134"/>
      <c r="AA68" s="134"/>
      <c r="AB68" s="134"/>
      <c r="AC68" s="134"/>
      <c r="AD68" s="134"/>
      <c r="AE68" s="134"/>
      <c r="AF68" s="134"/>
      <c r="AG68" s="134"/>
      <c r="AH68" s="134"/>
      <c r="AI68" s="128" t="s">
        <v>338</v>
      </c>
      <c r="AJ68" s="128"/>
      <c r="AK68" s="128"/>
      <c r="AL68" s="128"/>
      <c r="AM68" s="128"/>
      <c r="AN68" s="128"/>
      <c r="AO68" s="128" t="s">
        <v>334</v>
      </c>
      <c r="AP68" s="128"/>
      <c r="AQ68" s="128"/>
      <c r="AR68" s="128"/>
      <c r="AS68" s="128"/>
      <c r="AT68" s="128"/>
      <c r="AU68" s="128" t="s">
        <v>327</v>
      </c>
      <c r="AV68" s="128"/>
      <c r="AW68" s="128"/>
      <c r="AX68" s="128"/>
      <c r="AY68" s="128"/>
      <c r="AZ68" s="128"/>
      <c r="BA68" s="128" t="s">
        <v>327</v>
      </c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</row>
    <row r="69" spans="1:64" ht="54.6" customHeight="1" x14ac:dyDescent="0.45">
      <c r="A69" s="129" t="str">
        <f t="shared" si="0"/>
        <v>063</v>
      </c>
      <c r="B69" s="130"/>
      <c r="C69" s="128" t="s">
        <v>306</v>
      </c>
      <c r="D69" s="128"/>
      <c r="E69" s="128"/>
      <c r="F69" s="128"/>
      <c r="G69" s="128"/>
      <c r="H69" s="128"/>
      <c r="I69" s="141" t="s">
        <v>373</v>
      </c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40"/>
      <c r="Y69" s="134" t="s">
        <v>323</v>
      </c>
      <c r="Z69" s="134"/>
      <c r="AA69" s="134"/>
      <c r="AB69" s="134"/>
      <c r="AC69" s="134"/>
      <c r="AD69" s="134"/>
      <c r="AE69" s="134"/>
      <c r="AF69" s="134"/>
      <c r="AG69" s="134"/>
      <c r="AH69" s="134"/>
      <c r="AI69" s="128" t="s">
        <v>339</v>
      </c>
      <c r="AJ69" s="128"/>
      <c r="AK69" s="128"/>
      <c r="AL69" s="128"/>
      <c r="AM69" s="128"/>
      <c r="AN69" s="128"/>
      <c r="AO69" s="128" t="s">
        <v>335</v>
      </c>
      <c r="AP69" s="128"/>
      <c r="AQ69" s="128"/>
      <c r="AR69" s="128"/>
      <c r="AS69" s="128"/>
      <c r="AT69" s="128"/>
      <c r="AU69" s="128" t="s">
        <v>327</v>
      </c>
      <c r="AV69" s="128"/>
      <c r="AW69" s="128"/>
      <c r="AX69" s="128"/>
      <c r="AY69" s="128"/>
      <c r="AZ69" s="128"/>
      <c r="BA69" s="128" t="s">
        <v>327</v>
      </c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</row>
    <row r="70" spans="1:64" ht="54.6" customHeight="1" x14ac:dyDescent="0.45">
      <c r="A70" s="129" t="str">
        <f t="shared" si="0"/>
        <v>064</v>
      </c>
      <c r="B70" s="130"/>
      <c r="C70" s="128" t="s">
        <v>306</v>
      </c>
      <c r="D70" s="128"/>
      <c r="E70" s="128"/>
      <c r="F70" s="128"/>
      <c r="G70" s="128"/>
      <c r="H70" s="128"/>
      <c r="I70" s="141" t="s">
        <v>374</v>
      </c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40"/>
      <c r="Y70" s="134" t="s">
        <v>323</v>
      </c>
      <c r="Z70" s="134"/>
      <c r="AA70" s="134"/>
      <c r="AB70" s="134"/>
      <c r="AC70" s="134"/>
      <c r="AD70" s="134"/>
      <c r="AE70" s="134"/>
      <c r="AF70" s="134"/>
      <c r="AG70" s="134"/>
      <c r="AH70" s="134"/>
      <c r="AI70" s="128" t="s">
        <v>337</v>
      </c>
      <c r="AJ70" s="128"/>
      <c r="AK70" s="128"/>
      <c r="AL70" s="128"/>
      <c r="AM70" s="128"/>
      <c r="AN70" s="128"/>
      <c r="AO70" s="128" t="s">
        <v>336</v>
      </c>
      <c r="AP70" s="128"/>
      <c r="AQ70" s="128"/>
      <c r="AR70" s="128"/>
      <c r="AS70" s="128"/>
      <c r="AT70" s="128"/>
      <c r="AU70" s="128" t="s">
        <v>327</v>
      </c>
      <c r="AV70" s="128"/>
      <c r="AW70" s="128"/>
      <c r="AX70" s="128"/>
      <c r="AY70" s="128"/>
      <c r="AZ70" s="128"/>
      <c r="BA70" s="128" t="s">
        <v>327</v>
      </c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</row>
    <row r="71" spans="1:64" ht="54.6" customHeight="1" x14ac:dyDescent="0.45">
      <c r="A71" s="129" t="str">
        <f t="shared" si="0"/>
        <v>065</v>
      </c>
      <c r="B71" s="130"/>
      <c r="C71" s="128" t="s">
        <v>306</v>
      </c>
      <c r="D71" s="128"/>
      <c r="E71" s="128"/>
      <c r="F71" s="128"/>
      <c r="G71" s="128"/>
      <c r="H71" s="128"/>
      <c r="I71" s="141" t="s">
        <v>375</v>
      </c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40"/>
      <c r="Y71" s="134" t="s">
        <v>323</v>
      </c>
      <c r="Z71" s="134"/>
      <c r="AA71" s="134"/>
      <c r="AB71" s="134"/>
      <c r="AC71" s="134"/>
      <c r="AD71" s="134"/>
      <c r="AE71" s="134"/>
      <c r="AF71" s="134"/>
      <c r="AG71" s="134"/>
      <c r="AH71" s="134"/>
      <c r="AI71" s="128" t="s">
        <v>341</v>
      </c>
      <c r="AJ71" s="128"/>
      <c r="AK71" s="128"/>
      <c r="AL71" s="128"/>
      <c r="AM71" s="128"/>
      <c r="AN71" s="128"/>
      <c r="AO71" s="128" t="s">
        <v>340</v>
      </c>
      <c r="AP71" s="128"/>
      <c r="AQ71" s="128"/>
      <c r="AR71" s="128"/>
      <c r="AS71" s="128"/>
      <c r="AT71" s="128"/>
      <c r="AU71" s="128" t="s">
        <v>327</v>
      </c>
      <c r="AV71" s="128"/>
      <c r="AW71" s="128"/>
      <c r="AX71" s="128"/>
      <c r="AY71" s="128"/>
      <c r="AZ71" s="128"/>
      <c r="BA71" s="128" t="s">
        <v>327</v>
      </c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</row>
    <row r="72" spans="1:64" ht="50.4" customHeight="1" x14ac:dyDescent="0.45">
      <c r="A72" s="129" t="str">
        <f t="shared" si="0"/>
        <v>066</v>
      </c>
      <c r="B72" s="130"/>
      <c r="C72" s="128" t="s">
        <v>306</v>
      </c>
      <c r="D72" s="128"/>
      <c r="E72" s="128"/>
      <c r="F72" s="128"/>
      <c r="G72" s="128"/>
      <c r="H72" s="128"/>
      <c r="I72" s="138" t="s">
        <v>363</v>
      </c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40"/>
      <c r="Y72" s="134" t="s">
        <v>324</v>
      </c>
      <c r="Z72" s="134"/>
      <c r="AA72" s="134"/>
      <c r="AB72" s="134"/>
      <c r="AC72" s="134"/>
      <c r="AD72" s="134"/>
      <c r="AE72" s="134"/>
      <c r="AF72" s="134"/>
      <c r="AG72" s="134"/>
      <c r="AH72" s="134"/>
      <c r="AI72" s="128" t="s">
        <v>347</v>
      </c>
      <c r="AJ72" s="128"/>
      <c r="AK72" s="128"/>
      <c r="AL72" s="128"/>
      <c r="AM72" s="128"/>
      <c r="AN72" s="128"/>
      <c r="AO72" s="128" t="s">
        <v>346</v>
      </c>
      <c r="AP72" s="128"/>
      <c r="AQ72" s="128"/>
      <c r="AR72" s="128"/>
      <c r="AS72" s="128"/>
      <c r="AT72" s="128"/>
      <c r="AU72" s="128" t="s">
        <v>327</v>
      </c>
      <c r="AV72" s="128"/>
      <c r="AW72" s="128"/>
      <c r="AX72" s="128"/>
      <c r="AY72" s="128"/>
      <c r="AZ72" s="128"/>
      <c r="BA72" s="128" t="s">
        <v>327</v>
      </c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</row>
    <row r="73" spans="1:64" ht="25.2" customHeight="1" x14ac:dyDescent="0.45">
      <c r="A73" s="129" t="str">
        <f t="shared" si="0"/>
        <v>067</v>
      </c>
      <c r="B73" s="130"/>
      <c r="C73" s="128" t="s">
        <v>30</v>
      </c>
      <c r="D73" s="128"/>
      <c r="E73" s="128"/>
      <c r="F73" s="128"/>
      <c r="G73" s="128"/>
      <c r="H73" s="128"/>
      <c r="I73" s="134" t="s">
        <v>198</v>
      </c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 t="s">
        <v>199</v>
      </c>
      <c r="Z73" s="134"/>
      <c r="AA73" s="134"/>
      <c r="AB73" s="134"/>
      <c r="AC73" s="134"/>
      <c r="AD73" s="134"/>
      <c r="AE73" s="134"/>
      <c r="AF73" s="134"/>
      <c r="AG73" s="134"/>
      <c r="AH73" s="134"/>
      <c r="AI73" s="135" t="s">
        <v>304</v>
      </c>
      <c r="AJ73" s="135"/>
      <c r="AK73" s="135"/>
      <c r="AL73" s="135"/>
      <c r="AM73" s="135"/>
      <c r="AN73" s="135"/>
      <c r="AO73" s="128" t="s">
        <v>200</v>
      </c>
      <c r="AP73" s="128"/>
      <c r="AQ73" s="128"/>
      <c r="AR73" s="128"/>
      <c r="AS73" s="128"/>
      <c r="AT73" s="128"/>
      <c r="AU73" s="128" t="s">
        <v>201</v>
      </c>
      <c r="AV73" s="128"/>
      <c r="AW73" s="128"/>
      <c r="AX73" s="128"/>
      <c r="AY73" s="128"/>
      <c r="AZ73" s="128"/>
      <c r="BA73" s="128" t="s">
        <v>92</v>
      </c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</row>
    <row r="74" spans="1:64" ht="18" customHeight="1" x14ac:dyDescent="0.45">
      <c r="A74" s="129" t="str">
        <f t="shared" si="0"/>
        <v>068</v>
      </c>
      <c r="B74" s="130"/>
      <c r="C74" s="128" t="s">
        <v>30</v>
      </c>
      <c r="D74" s="128"/>
      <c r="E74" s="128"/>
      <c r="F74" s="128"/>
      <c r="G74" s="128"/>
      <c r="H74" s="128"/>
      <c r="I74" s="128" t="s">
        <v>202</v>
      </c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 t="s">
        <v>203</v>
      </c>
      <c r="Z74" s="128"/>
      <c r="AA74" s="128"/>
      <c r="AB74" s="128"/>
      <c r="AC74" s="128"/>
      <c r="AD74" s="128"/>
      <c r="AE74" s="128"/>
      <c r="AF74" s="128"/>
      <c r="AG74" s="128"/>
      <c r="AH74" s="128"/>
      <c r="AI74" s="128" t="s">
        <v>204</v>
      </c>
      <c r="AJ74" s="128"/>
      <c r="AK74" s="128"/>
      <c r="AL74" s="128"/>
      <c r="AM74" s="128"/>
      <c r="AN74" s="128"/>
      <c r="AO74" s="128" t="s">
        <v>94</v>
      </c>
      <c r="AP74" s="128"/>
      <c r="AQ74" s="128"/>
      <c r="AR74" s="128"/>
      <c r="AS74" s="128"/>
      <c r="AT74" s="128"/>
      <c r="AU74" s="128" t="s">
        <v>205</v>
      </c>
      <c r="AV74" s="128"/>
      <c r="AW74" s="128"/>
      <c r="AX74" s="128"/>
      <c r="AY74" s="128"/>
      <c r="AZ74" s="128"/>
      <c r="BA74" s="128" t="s">
        <v>94</v>
      </c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</row>
    <row r="75" spans="1:64" ht="18" customHeight="1" x14ac:dyDescent="0.45">
      <c r="A75" s="129" t="str">
        <f t="shared" ref="A75:A119" si="1">TEXT(ROW()-6,"000")</f>
        <v>069</v>
      </c>
      <c r="B75" s="130"/>
      <c r="C75" s="128" t="s">
        <v>30</v>
      </c>
      <c r="D75" s="128"/>
      <c r="E75" s="128"/>
      <c r="F75" s="128"/>
      <c r="G75" s="128"/>
      <c r="H75" s="128"/>
      <c r="I75" s="128" t="s">
        <v>206</v>
      </c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 t="s">
        <v>207</v>
      </c>
      <c r="Z75" s="128"/>
      <c r="AA75" s="128"/>
      <c r="AB75" s="128"/>
      <c r="AC75" s="128"/>
      <c r="AD75" s="128"/>
      <c r="AE75" s="128"/>
      <c r="AF75" s="128"/>
      <c r="AG75" s="128"/>
      <c r="AH75" s="128"/>
      <c r="AI75" s="128" t="s">
        <v>204</v>
      </c>
      <c r="AJ75" s="128"/>
      <c r="AK75" s="128"/>
      <c r="AL75" s="128"/>
      <c r="AM75" s="128"/>
      <c r="AN75" s="128"/>
      <c r="AO75" s="128" t="s">
        <v>94</v>
      </c>
      <c r="AP75" s="128"/>
      <c r="AQ75" s="128"/>
      <c r="AR75" s="128"/>
      <c r="AS75" s="128"/>
      <c r="AT75" s="128"/>
      <c r="AU75" s="128" t="s">
        <v>208</v>
      </c>
      <c r="AV75" s="128"/>
      <c r="AW75" s="128"/>
      <c r="AX75" s="128"/>
      <c r="AY75" s="128"/>
      <c r="AZ75" s="128"/>
      <c r="BA75" s="128" t="s">
        <v>94</v>
      </c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</row>
    <row r="76" spans="1:64" ht="18" customHeight="1" x14ac:dyDescent="0.45">
      <c r="A76" s="129" t="str">
        <f t="shared" si="1"/>
        <v>070</v>
      </c>
      <c r="B76" s="130"/>
      <c r="C76" s="128" t="s">
        <v>30</v>
      </c>
      <c r="D76" s="128"/>
      <c r="E76" s="128"/>
      <c r="F76" s="128"/>
      <c r="G76" s="128"/>
      <c r="H76" s="128"/>
      <c r="I76" s="128" t="s">
        <v>209</v>
      </c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 t="s">
        <v>210</v>
      </c>
      <c r="Z76" s="128"/>
      <c r="AA76" s="128"/>
      <c r="AB76" s="128"/>
      <c r="AC76" s="128"/>
      <c r="AD76" s="128"/>
      <c r="AE76" s="128"/>
      <c r="AF76" s="128"/>
      <c r="AG76" s="128"/>
      <c r="AH76" s="128"/>
      <c r="AI76" s="128" t="s">
        <v>211</v>
      </c>
      <c r="AJ76" s="128"/>
      <c r="AK76" s="128"/>
      <c r="AL76" s="128"/>
      <c r="AM76" s="128"/>
      <c r="AN76" s="128"/>
      <c r="AO76" s="128" t="s">
        <v>94</v>
      </c>
      <c r="AP76" s="128"/>
      <c r="AQ76" s="128"/>
      <c r="AR76" s="128"/>
      <c r="AS76" s="128"/>
      <c r="AT76" s="128"/>
      <c r="AU76" s="128" t="s">
        <v>212</v>
      </c>
      <c r="AV76" s="128"/>
      <c r="AW76" s="128"/>
      <c r="AX76" s="128"/>
      <c r="AY76" s="128"/>
      <c r="AZ76" s="128"/>
      <c r="BA76" s="128" t="s">
        <v>94</v>
      </c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</row>
    <row r="77" spans="1:64" ht="18" customHeight="1" x14ac:dyDescent="0.45">
      <c r="A77" s="129" t="str">
        <f t="shared" si="1"/>
        <v>071</v>
      </c>
      <c r="B77" s="130"/>
      <c r="C77" s="128" t="s">
        <v>30</v>
      </c>
      <c r="D77" s="128"/>
      <c r="E77" s="128"/>
      <c r="F77" s="128"/>
      <c r="G77" s="128"/>
      <c r="H77" s="128"/>
      <c r="I77" s="128" t="s">
        <v>213</v>
      </c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 t="s">
        <v>210</v>
      </c>
      <c r="Z77" s="128"/>
      <c r="AA77" s="128"/>
      <c r="AB77" s="128"/>
      <c r="AC77" s="128"/>
      <c r="AD77" s="128"/>
      <c r="AE77" s="128"/>
      <c r="AF77" s="128"/>
      <c r="AG77" s="128"/>
      <c r="AH77" s="128"/>
      <c r="AI77" s="128" t="s">
        <v>211</v>
      </c>
      <c r="AJ77" s="128"/>
      <c r="AK77" s="128"/>
      <c r="AL77" s="128"/>
      <c r="AM77" s="128"/>
      <c r="AN77" s="128"/>
      <c r="AO77" s="128" t="s">
        <v>92</v>
      </c>
      <c r="AP77" s="128"/>
      <c r="AQ77" s="128"/>
      <c r="AR77" s="128"/>
      <c r="AS77" s="128"/>
      <c r="AT77" s="128"/>
      <c r="AU77" s="128" t="s">
        <v>212</v>
      </c>
      <c r="AV77" s="128"/>
      <c r="AW77" s="128"/>
      <c r="AX77" s="128"/>
      <c r="AY77" s="128"/>
      <c r="AZ77" s="128"/>
      <c r="BA77" s="128" t="s">
        <v>94</v>
      </c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</row>
    <row r="78" spans="1:64" ht="18" customHeight="1" x14ac:dyDescent="0.45">
      <c r="A78" s="129" t="str">
        <f t="shared" si="1"/>
        <v>072</v>
      </c>
      <c r="B78" s="130"/>
      <c r="C78" s="128" t="s">
        <v>30</v>
      </c>
      <c r="D78" s="128"/>
      <c r="E78" s="128"/>
      <c r="F78" s="128"/>
      <c r="G78" s="128"/>
      <c r="H78" s="128"/>
      <c r="I78" s="128" t="s">
        <v>214</v>
      </c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 t="s">
        <v>210</v>
      </c>
      <c r="Z78" s="128"/>
      <c r="AA78" s="128"/>
      <c r="AB78" s="128"/>
      <c r="AC78" s="128"/>
      <c r="AD78" s="128"/>
      <c r="AE78" s="128"/>
      <c r="AF78" s="128"/>
      <c r="AG78" s="128"/>
      <c r="AH78" s="128"/>
      <c r="AI78" s="128" t="s">
        <v>211</v>
      </c>
      <c r="AJ78" s="128"/>
      <c r="AK78" s="128"/>
      <c r="AL78" s="128"/>
      <c r="AM78" s="128"/>
      <c r="AN78" s="128"/>
      <c r="AO78" s="128" t="s">
        <v>215</v>
      </c>
      <c r="AP78" s="128"/>
      <c r="AQ78" s="128"/>
      <c r="AR78" s="128"/>
      <c r="AS78" s="128"/>
      <c r="AT78" s="128"/>
      <c r="AU78" s="128" t="s">
        <v>212</v>
      </c>
      <c r="AV78" s="128"/>
      <c r="AW78" s="128"/>
      <c r="AX78" s="128"/>
      <c r="AY78" s="128"/>
      <c r="AZ78" s="128"/>
      <c r="BA78" s="128" t="s">
        <v>94</v>
      </c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</row>
    <row r="79" spans="1:64" ht="18" customHeight="1" x14ac:dyDescent="0.45">
      <c r="A79" s="129" t="str">
        <f t="shared" si="1"/>
        <v>073</v>
      </c>
      <c r="B79" s="130"/>
      <c r="C79" s="128" t="s">
        <v>308</v>
      </c>
      <c r="D79" s="128"/>
      <c r="E79" s="128"/>
      <c r="F79" s="128"/>
      <c r="G79" s="128"/>
      <c r="H79" s="128"/>
      <c r="I79" s="128" t="s">
        <v>378</v>
      </c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 t="s">
        <v>376</v>
      </c>
      <c r="Z79" s="128"/>
      <c r="AA79" s="128"/>
      <c r="AB79" s="128"/>
      <c r="AC79" s="128"/>
      <c r="AD79" s="128"/>
      <c r="AE79" s="128"/>
      <c r="AF79" s="128"/>
      <c r="AG79" s="128"/>
      <c r="AH79" s="128"/>
      <c r="AI79" s="128" t="s">
        <v>303</v>
      </c>
      <c r="AJ79" s="128"/>
      <c r="AK79" s="128"/>
      <c r="AL79" s="128"/>
      <c r="AM79" s="128"/>
      <c r="AN79" s="128"/>
      <c r="AO79" s="128" t="s">
        <v>377</v>
      </c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</row>
    <row r="80" spans="1:64" ht="96" customHeight="1" x14ac:dyDescent="0.45">
      <c r="A80" s="129" t="str">
        <f t="shared" si="1"/>
        <v>074</v>
      </c>
      <c r="B80" s="130"/>
      <c r="C80" s="128" t="s">
        <v>307</v>
      </c>
      <c r="D80" s="128"/>
      <c r="E80" s="128"/>
      <c r="F80" s="128"/>
      <c r="G80" s="128"/>
      <c r="H80" s="128"/>
      <c r="I80" s="131" t="s">
        <v>379</v>
      </c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3"/>
      <c r="Y80" s="131" t="s">
        <v>387</v>
      </c>
      <c r="Z80" s="132"/>
      <c r="AA80" s="132"/>
      <c r="AB80" s="132"/>
      <c r="AC80" s="132"/>
      <c r="AD80" s="132"/>
      <c r="AE80" s="132"/>
      <c r="AF80" s="132"/>
      <c r="AG80" s="132"/>
      <c r="AH80" s="133"/>
      <c r="AI80" s="131" t="s">
        <v>327</v>
      </c>
      <c r="AJ80" s="132"/>
      <c r="AK80" s="132"/>
      <c r="AL80" s="132"/>
      <c r="AM80" s="132"/>
      <c r="AN80" s="133"/>
      <c r="AO80" s="131" t="s">
        <v>327</v>
      </c>
      <c r="AP80" s="132"/>
      <c r="AQ80" s="132"/>
      <c r="AR80" s="132"/>
      <c r="AS80" s="132"/>
      <c r="AT80" s="133"/>
      <c r="AU80" s="128" t="s">
        <v>188</v>
      </c>
      <c r="AV80" s="128"/>
      <c r="AW80" s="128"/>
      <c r="AX80" s="128"/>
      <c r="AY80" s="128"/>
      <c r="AZ80" s="128"/>
      <c r="BA80" s="128" t="s">
        <v>189</v>
      </c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</row>
    <row r="81" spans="1:64" ht="18" customHeight="1" x14ac:dyDescent="0.45">
      <c r="A81" s="129" t="str">
        <f t="shared" si="1"/>
        <v>075</v>
      </c>
      <c r="B81" s="130"/>
      <c r="C81" s="128" t="s">
        <v>307</v>
      </c>
      <c r="D81" s="128"/>
      <c r="E81" s="128"/>
      <c r="F81" s="128"/>
      <c r="G81" s="128"/>
      <c r="H81" s="128"/>
      <c r="I81" s="131" t="s">
        <v>385</v>
      </c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3"/>
      <c r="Y81" s="131" t="s">
        <v>388</v>
      </c>
      <c r="Z81" s="132"/>
      <c r="AA81" s="132"/>
      <c r="AB81" s="132"/>
      <c r="AC81" s="132"/>
      <c r="AD81" s="132"/>
      <c r="AE81" s="132"/>
      <c r="AF81" s="132"/>
      <c r="AG81" s="132"/>
      <c r="AH81" s="133"/>
      <c r="AI81" s="131" t="s">
        <v>327</v>
      </c>
      <c r="AJ81" s="132"/>
      <c r="AK81" s="132"/>
      <c r="AL81" s="132"/>
      <c r="AM81" s="132"/>
      <c r="AN81" s="133"/>
      <c r="AO81" s="131" t="s">
        <v>327</v>
      </c>
      <c r="AP81" s="132"/>
      <c r="AQ81" s="132"/>
      <c r="AR81" s="132"/>
      <c r="AS81" s="132"/>
      <c r="AT81" s="133"/>
      <c r="AU81" s="128" t="s">
        <v>188</v>
      </c>
      <c r="AV81" s="128"/>
      <c r="AW81" s="128"/>
      <c r="AX81" s="128"/>
      <c r="AY81" s="128"/>
      <c r="AZ81" s="128"/>
      <c r="BA81" s="128" t="s">
        <v>189</v>
      </c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</row>
    <row r="82" spans="1:64" ht="18" customHeight="1" x14ac:dyDescent="0.45">
      <c r="A82" s="129" t="str">
        <f t="shared" si="1"/>
        <v>076</v>
      </c>
      <c r="B82" s="130"/>
      <c r="C82" s="128" t="s">
        <v>307</v>
      </c>
      <c r="D82" s="128"/>
      <c r="E82" s="128"/>
      <c r="F82" s="128"/>
      <c r="G82" s="128"/>
      <c r="H82" s="128"/>
      <c r="I82" s="131" t="s">
        <v>380</v>
      </c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3"/>
      <c r="Y82" s="131" t="s">
        <v>389</v>
      </c>
      <c r="Z82" s="132"/>
      <c r="AA82" s="132"/>
      <c r="AB82" s="132"/>
      <c r="AC82" s="132"/>
      <c r="AD82" s="132"/>
      <c r="AE82" s="132"/>
      <c r="AF82" s="132"/>
      <c r="AG82" s="132"/>
      <c r="AH82" s="133"/>
      <c r="AI82" s="131" t="s">
        <v>327</v>
      </c>
      <c r="AJ82" s="132"/>
      <c r="AK82" s="132"/>
      <c r="AL82" s="132"/>
      <c r="AM82" s="132"/>
      <c r="AN82" s="133"/>
      <c r="AO82" s="131" t="s">
        <v>327</v>
      </c>
      <c r="AP82" s="132"/>
      <c r="AQ82" s="132"/>
      <c r="AR82" s="132"/>
      <c r="AS82" s="132"/>
      <c r="AT82" s="133"/>
      <c r="AU82" s="128" t="s">
        <v>188</v>
      </c>
      <c r="AV82" s="128"/>
      <c r="AW82" s="128"/>
      <c r="AX82" s="128"/>
      <c r="AY82" s="128"/>
      <c r="AZ82" s="128"/>
      <c r="BA82" s="128" t="s">
        <v>189</v>
      </c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</row>
    <row r="83" spans="1:64" ht="18" customHeight="1" x14ac:dyDescent="0.45">
      <c r="A83" s="129" t="str">
        <f t="shared" si="1"/>
        <v>077</v>
      </c>
      <c r="B83" s="130"/>
      <c r="C83" s="128" t="s">
        <v>307</v>
      </c>
      <c r="D83" s="128"/>
      <c r="E83" s="128"/>
      <c r="F83" s="128"/>
      <c r="G83" s="128"/>
      <c r="H83" s="128"/>
      <c r="I83" s="131" t="s">
        <v>383</v>
      </c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3"/>
      <c r="Y83" s="131" t="s">
        <v>390</v>
      </c>
      <c r="Z83" s="132"/>
      <c r="AA83" s="132"/>
      <c r="AB83" s="132"/>
      <c r="AC83" s="132"/>
      <c r="AD83" s="132"/>
      <c r="AE83" s="132"/>
      <c r="AF83" s="132"/>
      <c r="AG83" s="132"/>
      <c r="AH83" s="133"/>
      <c r="AI83" s="131" t="s">
        <v>327</v>
      </c>
      <c r="AJ83" s="132"/>
      <c r="AK83" s="132"/>
      <c r="AL83" s="132"/>
      <c r="AM83" s="132"/>
      <c r="AN83" s="133"/>
      <c r="AO83" s="131" t="s">
        <v>327</v>
      </c>
      <c r="AP83" s="132"/>
      <c r="AQ83" s="132"/>
      <c r="AR83" s="132"/>
      <c r="AS83" s="132"/>
      <c r="AT83" s="133"/>
      <c r="AU83" s="128" t="s">
        <v>188</v>
      </c>
      <c r="AV83" s="128"/>
      <c r="AW83" s="128"/>
      <c r="AX83" s="128"/>
      <c r="AY83" s="128"/>
      <c r="AZ83" s="128"/>
      <c r="BA83" s="128" t="s">
        <v>189</v>
      </c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</row>
    <row r="84" spans="1:64" ht="18" customHeight="1" x14ac:dyDescent="0.45">
      <c r="A84" s="129" t="str">
        <f t="shared" si="1"/>
        <v>078</v>
      </c>
      <c r="B84" s="130"/>
      <c r="C84" s="128" t="s">
        <v>307</v>
      </c>
      <c r="D84" s="128"/>
      <c r="E84" s="128"/>
      <c r="F84" s="128"/>
      <c r="G84" s="128"/>
      <c r="H84" s="128"/>
      <c r="I84" s="131" t="s">
        <v>381</v>
      </c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3"/>
      <c r="Y84" s="131" t="s">
        <v>391</v>
      </c>
      <c r="Z84" s="132"/>
      <c r="AA84" s="132"/>
      <c r="AB84" s="132"/>
      <c r="AC84" s="132"/>
      <c r="AD84" s="132"/>
      <c r="AE84" s="132"/>
      <c r="AF84" s="132"/>
      <c r="AG84" s="132"/>
      <c r="AH84" s="133"/>
      <c r="AI84" s="131" t="s">
        <v>327</v>
      </c>
      <c r="AJ84" s="132"/>
      <c r="AK84" s="132"/>
      <c r="AL84" s="132"/>
      <c r="AM84" s="132"/>
      <c r="AN84" s="133"/>
      <c r="AO84" s="131" t="s">
        <v>327</v>
      </c>
      <c r="AP84" s="132"/>
      <c r="AQ84" s="132"/>
      <c r="AR84" s="132"/>
      <c r="AS84" s="132"/>
      <c r="AT84" s="133"/>
      <c r="AU84" s="128" t="s">
        <v>188</v>
      </c>
      <c r="AV84" s="128"/>
      <c r="AW84" s="128"/>
      <c r="AX84" s="128"/>
      <c r="AY84" s="128"/>
      <c r="AZ84" s="128"/>
      <c r="BA84" s="128" t="s">
        <v>189</v>
      </c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</row>
    <row r="85" spans="1:64" ht="18" customHeight="1" x14ac:dyDescent="0.45">
      <c r="A85" s="129" t="str">
        <f t="shared" si="1"/>
        <v>079</v>
      </c>
      <c r="B85" s="130"/>
      <c r="C85" s="128" t="s">
        <v>307</v>
      </c>
      <c r="D85" s="128"/>
      <c r="E85" s="128"/>
      <c r="F85" s="128"/>
      <c r="G85" s="128"/>
      <c r="H85" s="128"/>
      <c r="I85" s="131" t="s">
        <v>382</v>
      </c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3"/>
      <c r="Y85" s="131" t="s">
        <v>392</v>
      </c>
      <c r="Z85" s="132"/>
      <c r="AA85" s="132"/>
      <c r="AB85" s="132"/>
      <c r="AC85" s="132"/>
      <c r="AD85" s="132"/>
      <c r="AE85" s="132"/>
      <c r="AF85" s="132"/>
      <c r="AG85" s="132"/>
      <c r="AH85" s="133"/>
      <c r="AI85" s="131" t="s">
        <v>327</v>
      </c>
      <c r="AJ85" s="132"/>
      <c r="AK85" s="132"/>
      <c r="AL85" s="132"/>
      <c r="AM85" s="132"/>
      <c r="AN85" s="133"/>
      <c r="AO85" s="131" t="s">
        <v>327</v>
      </c>
      <c r="AP85" s="132"/>
      <c r="AQ85" s="132"/>
      <c r="AR85" s="132"/>
      <c r="AS85" s="132"/>
      <c r="AT85" s="133"/>
      <c r="AU85" s="128" t="s">
        <v>188</v>
      </c>
      <c r="AV85" s="128"/>
      <c r="AW85" s="128"/>
      <c r="AX85" s="128"/>
      <c r="AY85" s="128"/>
      <c r="AZ85" s="128"/>
      <c r="BA85" s="128" t="s">
        <v>189</v>
      </c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</row>
    <row r="86" spans="1:64" ht="18" customHeight="1" x14ac:dyDescent="0.45">
      <c r="A86" s="129" t="str">
        <f t="shared" si="1"/>
        <v>080</v>
      </c>
      <c r="B86" s="130"/>
      <c r="C86" s="128" t="s">
        <v>307</v>
      </c>
      <c r="D86" s="128"/>
      <c r="E86" s="128"/>
      <c r="F86" s="128"/>
      <c r="G86" s="128"/>
      <c r="H86" s="128"/>
      <c r="I86" s="131" t="s">
        <v>384</v>
      </c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3"/>
      <c r="Y86" s="131" t="s">
        <v>393</v>
      </c>
      <c r="Z86" s="132"/>
      <c r="AA86" s="132"/>
      <c r="AB86" s="132"/>
      <c r="AC86" s="132"/>
      <c r="AD86" s="132"/>
      <c r="AE86" s="132"/>
      <c r="AF86" s="132"/>
      <c r="AG86" s="132"/>
      <c r="AH86" s="133"/>
      <c r="AI86" s="131" t="s">
        <v>327</v>
      </c>
      <c r="AJ86" s="132"/>
      <c r="AK86" s="132"/>
      <c r="AL86" s="132"/>
      <c r="AM86" s="132"/>
      <c r="AN86" s="133"/>
      <c r="AO86" s="131" t="s">
        <v>327</v>
      </c>
      <c r="AP86" s="132"/>
      <c r="AQ86" s="132"/>
      <c r="AR86" s="132"/>
      <c r="AS86" s="132"/>
      <c r="AT86" s="133"/>
      <c r="AU86" s="128" t="s">
        <v>188</v>
      </c>
      <c r="AV86" s="128"/>
      <c r="AW86" s="128"/>
      <c r="AX86" s="128"/>
      <c r="AY86" s="128"/>
      <c r="AZ86" s="128"/>
      <c r="BA86" s="128" t="s">
        <v>189</v>
      </c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</row>
    <row r="87" spans="1:64" ht="55.8" customHeight="1" x14ac:dyDescent="0.45">
      <c r="A87" s="129" t="str">
        <f t="shared" si="1"/>
        <v>081</v>
      </c>
      <c r="B87" s="130"/>
      <c r="C87" s="128" t="s">
        <v>309</v>
      </c>
      <c r="D87" s="128"/>
      <c r="E87" s="128"/>
      <c r="F87" s="128"/>
      <c r="G87" s="128"/>
      <c r="H87" s="128"/>
      <c r="I87" s="131" t="s">
        <v>394</v>
      </c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3"/>
      <c r="Y87" s="128" t="s">
        <v>386</v>
      </c>
      <c r="Z87" s="128"/>
      <c r="AA87" s="128"/>
      <c r="AB87" s="128"/>
      <c r="AC87" s="128"/>
      <c r="AD87" s="128"/>
      <c r="AE87" s="128"/>
      <c r="AF87" s="128"/>
      <c r="AG87" s="128"/>
      <c r="AH87" s="128"/>
      <c r="AI87" s="128" t="s">
        <v>396</v>
      </c>
      <c r="AJ87" s="128"/>
      <c r="AK87" s="128"/>
      <c r="AL87" s="128"/>
      <c r="AM87" s="128"/>
      <c r="AN87" s="128"/>
      <c r="AO87" s="128" t="s">
        <v>395</v>
      </c>
      <c r="AP87" s="128"/>
      <c r="AQ87" s="128"/>
      <c r="AR87" s="128"/>
      <c r="AS87" s="128"/>
      <c r="AT87" s="128"/>
      <c r="AU87" s="131" t="s">
        <v>327</v>
      </c>
      <c r="AV87" s="132"/>
      <c r="AW87" s="132"/>
      <c r="AX87" s="132"/>
      <c r="AY87" s="132"/>
      <c r="AZ87" s="133"/>
      <c r="BA87" s="131" t="s">
        <v>327</v>
      </c>
      <c r="BB87" s="132"/>
      <c r="BC87" s="132"/>
      <c r="BD87" s="132"/>
      <c r="BE87" s="132"/>
      <c r="BF87" s="133"/>
      <c r="BG87" s="128"/>
      <c r="BH87" s="128"/>
      <c r="BI87" s="128"/>
      <c r="BJ87" s="128"/>
      <c r="BK87" s="128"/>
      <c r="BL87" s="128"/>
    </row>
    <row r="88" spans="1:64" ht="18" customHeight="1" x14ac:dyDescent="0.45">
      <c r="A88" s="129" t="str">
        <f t="shared" si="1"/>
        <v>082</v>
      </c>
      <c r="B88" s="130"/>
      <c r="C88" s="128" t="s">
        <v>216</v>
      </c>
      <c r="D88" s="128"/>
      <c r="E88" s="128"/>
      <c r="F88" s="128"/>
      <c r="G88" s="128"/>
      <c r="H88" s="128"/>
      <c r="I88" s="128" t="s">
        <v>217</v>
      </c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 t="s">
        <v>218</v>
      </c>
      <c r="Z88" s="128"/>
      <c r="AA88" s="128"/>
      <c r="AB88" s="128"/>
      <c r="AC88" s="128"/>
      <c r="AD88" s="128"/>
      <c r="AE88" s="128"/>
      <c r="AF88" s="128"/>
      <c r="AG88" s="128"/>
      <c r="AH88" s="128"/>
      <c r="AI88" s="128" t="s">
        <v>219</v>
      </c>
      <c r="AJ88" s="128"/>
      <c r="AK88" s="128"/>
      <c r="AL88" s="128"/>
      <c r="AM88" s="128"/>
      <c r="AN88" s="128"/>
      <c r="AO88" s="128" t="s">
        <v>94</v>
      </c>
      <c r="AP88" s="128"/>
      <c r="AQ88" s="128"/>
      <c r="AR88" s="128"/>
      <c r="AS88" s="128"/>
      <c r="AT88" s="128"/>
      <c r="AU88" s="128" t="s">
        <v>216</v>
      </c>
      <c r="AV88" s="128"/>
      <c r="AW88" s="128"/>
      <c r="AX88" s="128"/>
      <c r="AY88" s="128"/>
      <c r="AZ88" s="128"/>
      <c r="BA88" s="128" t="s">
        <v>94</v>
      </c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</row>
    <row r="89" spans="1:64" ht="29.4" customHeight="1" x14ac:dyDescent="0.45">
      <c r="A89" s="129" t="str">
        <f t="shared" si="1"/>
        <v>083</v>
      </c>
      <c r="B89" s="130"/>
      <c r="C89" s="128" t="s">
        <v>216</v>
      </c>
      <c r="D89" s="128"/>
      <c r="E89" s="128"/>
      <c r="F89" s="128"/>
      <c r="G89" s="128"/>
      <c r="H89" s="128"/>
      <c r="I89" s="128" t="s">
        <v>220</v>
      </c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 t="s">
        <v>218</v>
      </c>
      <c r="Z89" s="128"/>
      <c r="AA89" s="128"/>
      <c r="AB89" s="128"/>
      <c r="AC89" s="128"/>
      <c r="AD89" s="128"/>
      <c r="AE89" s="128"/>
      <c r="AF89" s="128"/>
      <c r="AG89" s="128"/>
      <c r="AH89" s="128"/>
      <c r="AI89" s="128" t="s">
        <v>221</v>
      </c>
      <c r="AJ89" s="128"/>
      <c r="AK89" s="128"/>
      <c r="AL89" s="128"/>
      <c r="AM89" s="128"/>
      <c r="AN89" s="128"/>
      <c r="AO89" s="128" t="s">
        <v>222</v>
      </c>
      <c r="AP89" s="128"/>
      <c r="AQ89" s="128"/>
      <c r="AR89" s="128"/>
      <c r="AS89" s="128"/>
      <c r="AT89" s="128"/>
      <c r="AU89" s="128" t="s">
        <v>216</v>
      </c>
      <c r="AV89" s="128"/>
      <c r="AW89" s="128"/>
      <c r="AX89" s="128"/>
      <c r="AY89" s="128"/>
      <c r="AZ89" s="128"/>
      <c r="BA89" s="128" t="s">
        <v>94</v>
      </c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</row>
    <row r="90" spans="1:64" ht="29.4" customHeight="1" x14ac:dyDescent="0.45">
      <c r="A90" s="129" t="str">
        <f t="shared" si="1"/>
        <v>084</v>
      </c>
      <c r="B90" s="130"/>
      <c r="C90" s="128" t="s">
        <v>223</v>
      </c>
      <c r="D90" s="128"/>
      <c r="E90" s="128"/>
      <c r="F90" s="128"/>
      <c r="G90" s="128"/>
      <c r="H90" s="128"/>
      <c r="I90" s="128" t="s">
        <v>224</v>
      </c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 t="s">
        <v>225</v>
      </c>
      <c r="Z90" s="128"/>
      <c r="AA90" s="128"/>
      <c r="AB90" s="128"/>
      <c r="AC90" s="128"/>
      <c r="AD90" s="128"/>
      <c r="AE90" s="128"/>
      <c r="AF90" s="128"/>
      <c r="AG90" s="128"/>
      <c r="AH90" s="128"/>
      <c r="AI90" s="128" t="s">
        <v>226</v>
      </c>
      <c r="AJ90" s="128"/>
      <c r="AK90" s="128"/>
      <c r="AL90" s="128"/>
      <c r="AM90" s="128"/>
      <c r="AN90" s="128"/>
      <c r="AO90" s="128" t="s">
        <v>106</v>
      </c>
      <c r="AP90" s="128"/>
      <c r="AQ90" s="128"/>
      <c r="AR90" s="128"/>
      <c r="AS90" s="128"/>
      <c r="AT90" s="128"/>
      <c r="AU90" s="128" t="s">
        <v>227</v>
      </c>
      <c r="AV90" s="128"/>
      <c r="AW90" s="128"/>
      <c r="AX90" s="128"/>
      <c r="AY90" s="128"/>
      <c r="AZ90" s="128"/>
      <c r="BA90" s="128" t="s">
        <v>94</v>
      </c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</row>
    <row r="91" spans="1:64" ht="29.4" customHeight="1" x14ac:dyDescent="0.45">
      <c r="A91" s="129" t="str">
        <f t="shared" si="1"/>
        <v>085</v>
      </c>
      <c r="B91" s="130"/>
      <c r="C91" s="128" t="s">
        <v>223</v>
      </c>
      <c r="D91" s="128"/>
      <c r="E91" s="128"/>
      <c r="F91" s="128"/>
      <c r="G91" s="128"/>
      <c r="H91" s="128"/>
      <c r="I91" s="128" t="s">
        <v>228</v>
      </c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 t="s">
        <v>229</v>
      </c>
      <c r="Z91" s="128"/>
      <c r="AA91" s="128"/>
      <c r="AB91" s="128"/>
      <c r="AC91" s="128"/>
      <c r="AD91" s="128"/>
      <c r="AE91" s="128"/>
      <c r="AF91" s="128"/>
      <c r="AG91" s="128"/>
      <c r="AH91" s="128"/>
      <c r="AI91" s="128" t="s">
        <v>226</v>
      </c>
      <c r="AJ91" s="128"/>
      <c r="AK91" s="128"/>
      <c r="AL91" s="128"/>
      <c r="AM91" s="128"/>
      <c r="AN91" s="128"/>
      <c r="AO91" s="128" t="s">
        <v>106</v>
      </c>
      <c r="AP91" s="128"/>
      <c r="AQ91" s="128"/>
      <c r="AR91" s="128"/>
      <c r="AS91" s="128"/>
      <c r="AT91" s="128"/>
      <c r="AU91" s="128" t="s">
        <v>230</v>
      </c>
      <c r="AV91" s="128"/>
      <c r="AW91" s="128"/>
      <c r="AX91" s="128"/>
      <c r="AY91" s="128"/>
      <c r="AZ91" s="128"/>
      <c r="BA91" s="128" t="s">
        <v>94</v>
      </c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</row>
    <row r="92" spans="1:64" ht="29.4" customHeight="1" x14ac:dyDescent="0.45">
      <c r="A92" s="129" t="str">
        <f t="shared" si="1"/>
        <v>086</v>
      </c>
      <c r="B92" s="130"/>
      <c r="C92" s="128" t="s">
        <v>223</v>
      </c>
      <c r="D92" s="128"/>
      <c r="E92" s="128"/>
      <c r="F92" s="128"/>
      <c r="G92" s="128"/>
      <c r="H92" s="128"/>
      <c r="I92" s="128" t="s">
        <v>231</v>
      </c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 t="s">
        <v>232</v>
      </c>
      <c r="Z92" s="128"/>
      <c r="AA92" s="128"/>
      <c r="AB92" s="128"/>
      <c r="AC92" s="128"/>
      <c r="AD92" s="128"/>
      <c r="AE92" s="128"/>
      <c r="AF92" s="128"/>
      <c r="AG92" s="128"/>
      <c r="AH92" s="128"/>
      <c r="AI92" s="128" t="s">
        <v>226</v>
      </c>
      <c r="AJ92" s="128"/>
      <c r="AK92" s="128"/>
      <c r="AL92" s="128"/>
      <c r="AM92" s="128"/>
      <c r="AN92" s="128"/>
      <c r="AO92" s="128" t="s">
        <v>106</v>
      </c>
      <c r="AP92" s="128"/>
      <c r="AQ92" s="128"/>
      <c r="AR92" s="128"/>
      <c r="AS92" s="128"/>
      <c r="AT92" s="128"/>
      <c r="AU92" s="128" t="s">
        <v>233</v>
      </c>
      <c r="AV92" s="128"/>
      <c r="AW92" s="128"/>
      <c r="AX92" s="128"/>
      <c r="AY92" s="128"/>
      <c r="AZ92" s="128"/>
      <c r="BA92" s="128" t="s">
        <v>94</v>
      </c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</row>
    <row r="93" spans="1:64" ht="18" customHeight="1" x14ac:dyDescent="0.45">
      <c r="A93" s="129" t="str">
        <f t="shared" si="1"/>
        <v>087</v>
      </c>
      <c r="B93" s="130"/>
      <c r="C93" s="128" t="s">
        <v>223</v>
      </c>
      <c r="D93" s="128"/>
      <c r="E93" s="128"/>
      <c r="F93" s="128"/>
      <c r="G93" s="128"/>
      <c r="H93" s="128"/>
      <c r="I93" s="128" t="s">
        <v>234</v>
      </c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 t="s">
        <v>235</v>
      </c>
      <c r="Z93" s="128"/>
      <c r="AA93" s="128"/>
      <c r="AB93" s="128"/>
      <c r="AC93" s="128"/>
      <c r="AD93" s="128"/>
      <c r="AE93" s="128"/>
      <c r="AF93" s="128"/>
      <c r="AG93" s="128"/>
      <c r="AH93" s="128"/>
      <c r="AI93" s="128" t="s">
        <v>236</v>
      </c>
      <c r="AJ93" s="128"/>
      <c r="AK93" s="128"/>
      <c r="AL93" s="128"/>
      <c r="AM93" s="128"/>
      <c r="AN93" s="128"/>
      <c r="AO93" s="128" t="s">
        <v>94</v>
      </c>
      <c r="AP93" s="128"/>
      <c r="AQ93" s="128"/>
      <c r="AR93" s="128"/>
      <c r="AS93" s="128"/>
      <c r="AT93" s="128"/>
      <c r="AU93" s="128" t="s">
        <v>237</v>
      </c>
      <c r="AV93" s="128"/>
      <c r="AW93" s="128"/>
      <c r="AX93" s="128"/>
      <c r="AY93" s="128"/>
      <c r="AZ93" s="128"/>
      <c r="BA93" s="128" t="s">
        <v>94</v>
      </c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</row>
    <row r="94" spans="1:64" ht="18" customHeight="1" x14ac:dyDescent="0.45">
      <c r="A94" s="129" t="str">
        <f t="shared" si="1"/>
        <v>088</v>
      </c>
      <c r="B94" s="130"/>
      <c r="C94" s="128" t="s">
        <v>223</v>
      </c>
      <c r="D94" s="128"/>
      <c r="E94" s="128"/>
      <c r="F94" s="128"/>
      <c r="G94" s="128"/>
      <c r="H94" s="128"/>
      <c r="I94" s="128" t="s">
        <v>238</v>
      </c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 t="s">
        <v>239</v>
      </c>
      <c r="Z94" s="128"/>
      <c r="AA94" s="128"/>
      <c r="AB94" s="128"/>
      <c r="AC94" s="128"/>
      <c r="AD94" s="128"/>
      <c r="AE94" s="128"/>
      <c r="AF94" s="128"/>
      <c r="AG94" s="128"/>
      <c r="AH94" s="128"/>
      <c r="AI94" s="128" t="s">
        <v>50</v>
      </c>
      <c r="AJ94" s="128"/>
      <c r="AK94" s="128"/>
      <c r="AL94" s="128"/>
      <c r="AM94" s="128"/>
      <c r="AN94" s="128"/>
      <c r="AO94" s="128" t="s">
        <v>50</v>
      </c>
      <c r="AP94" s="128"/>
      <c r="AQ94" s="128"/>
      <c r="AR94" s="128"/>
      <c r="AS94" s="128"/>
      <c r="AT94" s="128"/>
      <c r="AU94" s="128" t="s">
        <v>223</v>
      </c>
      <c r="AV94" s="128"/>
      <c r="AW94" s="128"/>
      <c r="AX94" s="128"/>
      <c r="AY94" s="128"/>
      <c r="AZ94" s="128"/>
      <c r="BA94" s="128" t="s">
        <v>94</v>
      </c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</row>
    <row r="95" spans="1:64" ht="18" customHeight="1" x14ac:dyDescent="0.45">
      <c r="A95" s="129" t="str">
        <f t="shared" si="1"/>
        <v>089</v>
      </c>
      <c r="B95" s="130"/>
      <c r="C95" s="128" t="s">
        <v>223</v>
      </c>
      <c r="D95" s="128"/>
      <c r="E95" s="128"/>
      <c r="F95" s="128"/>
      <c r="G95" s="128"/>
      <c r="H95" s="128"/>
      <c r="I95" s="128" t="s">
        <v>240</v>
      </c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 t="s">
        <v>241</v>
      </c>
      <c r="Z95" s="128"/>
      <c r="AA95" s="128"/>
      <c r="AB95" s="128"/>
      <c r="AC95" s="128"/>
      <c r="AD95" s="128"/>
      <c r="AE95" s="128"/>
      <c r="AF95" s="128"/>
      <c r="AG95" s="128"/>
      <c r="AH95" s="128"/>
      <c r="AI95" s="128" t="s">
        <v>223</v>
      </c>
      <c r="AJ95" s="128"/>
      <c r="AK95" s="128"/>
      <c r="AL95" s="128"/>
      <c r="AM95" s="128"/>
      <c r="AN95" s="128"/>
      <c r="AO95" s="128" t="s">
        <v>94</v>
      </c>
      <c r="AP95" s="128"/>
      <c r="AQ95" s="128"/>
      <c r="AR95" s="128"/>
      <c r="AS95" s="128"/>
      <c r="AT95" s="128"/>
      <c r="AU95" s="128" t="s">
        <v>188</v>
      </c>
      <c r="AV95" s="128"/>
      <c r="AW95" s="128"/>
      <c r="AX95" s="128"/>
      <c r="AY95" s="128"/>
      <c r="AZ95" s="128"/>
      <c r="BA95" s="128" t="s">
        <v>189</v>
      </c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</row>
    <row r="96" spans="1:64" ht="18" customHeight="1" x14ac:dyDescent="0.45">
      <c r="A96" s="129" t="str">
        <f t="shared" si="1"/>
        <v>090</v>
      </c>
      <c r="B96" s="130"/>
      <c r="C96" s="128" t="s">
        <v>397</v>
      </c>
      <c r="D96" s="128"/>
      <c r="E96" s="128"/>
      <c r="F96" s="128"/>
      <c r="G96" s="128"/>
      <c r="H96" s="128"/>
      <c r="I96" s="128" t="s">
        <v>403</v>
      </c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31" t="s">
        <v>399</v>
      </c>
      <c r="Z96" s="132"/>
      <c r="AA96" s="132"/>
      <c r="AB96" s="132"/>
      <c r="AC96" s="132"/>
      <c r="AD96" s="132"/>
      <c r="AE96" s="132"/>
      <c r="AF96" s="132"/>
      <c r="AG96" s="132"/>
      <c r="AH96" s="133"/>
      <c r="AI96" s="131" t="s">
        <v>405</v>
      </c>
      <c r="AJ96" s="132"/>
      <c r="AK96" s="132"/>
      <c r="AL96" s="132"/>
      <c r="AM96" s="132"/>
      <c r="AN96" s="133"/>
      <c r="AO96" s="128" t="s">
        <v>94</v>
      </c>
      <c r="AP96" s="128"/>
      <c r="AQ96" s="128"/>
      <c r="AR96" s="128"/>
      <c r="AS96" s="128"/>
      <c r="AT96" s="128"/>
      <c r="AU96" s="128" t="s">
        <v>406</v>
      </c>
      <c r="AV96" s="128"/>
      <c r="AW96" s="128"/>
      <c r="AX96" s="128"/>
      <c r="AY96" s="128"/>
      <c r="AZ96" s="128"/>
      <c r="BA96" s="128" t="s">
        <v>94</v>
      </c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</row>
    <row r="97" spans="1:64" ht="18" customHeight="1" x14ac:dyDescent="0.45">
      <c r="A97" s="129" t="str">
        <f t="shared" si="1"/>
        <v>091</v>
      </c>
      <c r="B97" s="130"/>
      <c r="C97" s="128" t="s">
        <v>397</v>
      </c>
      <c r="D97" s="128"/>
      <c r="E97" s="128"/>
      <c r="F97" s="128"/>
      <c r="G97" s="128"/>
      <c r="H97" s="128"/>
      <c r="I97" s="128" t="s">
        <v>404</v>
      </c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31" t="s">
        <v>400</v>
      </c>
      <c r="Z97" s="132"/>
      <c r="AA97" s="132"/>
      <c r="AB97" s="132"/>
      <c r="AC97" s="132"/>
      <c r="AD97" s="132"/>
      <c r="AE97" s="132"/>
      <c r="AF97" s="132"/>
      <c r="AG97" s="132"/>
      <c r="AH97" s="133"/>
      <c r="AI97" s="131" t="s">
        <v>405</v>
      </c>
      <c r="AJ97" s="132"/>
      <c r="AK97" s="132"/>
      <c r="AL97" s="132"/>
      <c r="AM97" s="132"/>
      <c r="AN97" s="133"/>
      <c r="AO97" s="128" t="s">
        <v>94</v>
      </c>
      <c r="AP97" s="128"/>
      <c r="AQ97" s="128"/>
      <c r="AR97" s="128"/>
      <c r="AS97" s="128"/>
      <c r="AT97" s="128"/>
      <c r="AU97" s="128" t="s">
        <v>407</v>
      </c>
      <c r="AV97" s="128"/>
      <c r="AW97" s="128"/>
      <c r="AX97" s="128"/>
      <c r="AY97" s="128"/>
      <c r="AZ97" s="128"/>
      <c r="BA97" s="128" t="s">
        <v>94</v>
      </c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</row>
    <row r="98" spans="1:64" ht="18" customHeight="1" x14ac:dyDescent="0.45">
      <c r="A98" s="129" t="str">
        <f t="shared" si="1"/>
        <v>092</v>
      </c>
      <c r="B98" s="130"/>
      <c r="C98" s="128" t="s">
        <v>397</v>
      </c>
      <c r="D98" s="128"/>
      <c r="E98" s="128"/>
      <c r="F98" s="128"/>
      <c r="G98" s="128"/>
      <c r="H98" s="128"/>
      <c r="I98" s="128" t="s">
        <v>402</v>
      </c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31" t="s">
        <v>401</v>
      </c>
      <c r="Z98" s="132"/>
      <c r="AA98" s="132"/>
      <c r="AB98" s="132"/>
      <c r="AC98" s="132"/>
      <c r="AD98" s="132"/>
      <c r="AE98" s="132"/>
      <c r="AF98" s="132"/>
      <c r="AG98" s="132"/>
      <c r="AH98" s="133"/>
      <c r="AI98" s="131" t="s">
        <v>405</v>
      </c>
      <c r="AJ98" s="132"/>
      <c r="AK98" s="132"/>
      <c r="AL98" s="132"/>
      <c r="AM98" s="132"/>
      <c r="AN98" s="133"/>
      <c r="AO98" s="128" t="s">
        <v>94</v>
      </c>
      <c r="AP98" s="128"/>
      <c r="AQ98" s="128"/>
      <c r="AR98" s="128"/>
      <c r="AS98" s="128"/>
      <c r="AT98" s="128"/>
      <c r="AU98" s="128" t="s">
        <v>408</v>
      </c>
      <c r="AV98" s="128"/>
      <c r="AW98" s="128"/>
      <c r="AX98" s="128"/>
      <c r="AY98" s="128"/>
      <c r="AZ98" s="128"/>
      <c r="BA98" s="128" t="s">
        <v>94</v>
      </c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</row>
    <row r="99" spans="1:64" ht="34.799999999999997" customHeight="1" x14ac:dyDescent="0.45">
      <c r="A99" s="129" t="str">
        <f t="shared" si="1"/>
        <v>093</v>
      </c>
      <c r="B99" s="130"/>
      <c r="C99" s="128" t="s">
        <v>310</v>
      </c>
      <c r="D99" s="128"/>
      <c r="E99" s="128"/>
      <c r="F99" s="128"/>
      <c r="G99" s="128"/>
      <c r="H99" s="128"/>
      <c r="I99" s="128" t="s">
        <v>410</v>
      </c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 t="s">
        <v>409</v>
      </c>
      <c r="Z99" s="128"/>
      <c r="AA99" s="128"/>
      <c r="AB99" s="128"/>
      <c r="AC99" s="128"/>
      <c r="AD99" s="128"/>
      <c r="AE99" s="128"/>
      <c r="AF99" s="128"/>
      <c r="AG99" s="128"/>
      <c r="AH99" s="128"/>
      <c r="AI99" s="128" t="s">
        <v>412</v>
      </c>
      <c r="AJ99" s="128"/>
      <c r="AK99" s="128"/>
      <c r="AL99" s="128"/>
      <c r="AM99" s="128"/>
      <c r="AN99" s="128"/>
      <c r="AO99" s="128" t="s">
        <v>411</v>
      </c>
      <c r="AP99" s="128"/>
      <c r="AQ99" s="128"/>
      <c r="AR99" s="128"/>
      <c r="AS99" s="128"/>
      <c r="AT99" s="128"/>
      <c r="AU99" s="128" t="s">
        <v>413</v>
      </c>
      <c r="AV99" s="128"/>
      <c r="AW99" s="128"/>
      <c r="AX99" s="128"/>
      <c r="AY99" s="128"/>
      <c r="AZ99" s="128"/>
      <c r="BA99" s="128" t="s">
        <v>351</v>
      </c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</row>
    <row r="100" spans="1:64" ht="18" customHeight="1" x14ac:dyDescent="0.45">
      <c r="A100" s="129" t="str">
        <f t="shared" si="1"/>
        <v>094</v>
      </c>
      <c r="B100" s="130"/>
      <c r="C100" s="128" t="s">
        <v>38</v>
      </c>
      <c r="D100" s="128"/>
      <c r="E100" s="128"/>
      <c r="F100" s="128"/>
      <c r="G100" s="128"/>
      <c r="H100" s="128"/>
      <c r="I100" s="128" t="s">
        <v>242</v>
      </c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34" t="s">
        <v>243</v>
      </c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28" t="s">
        <v>50</v>
      </c>
      <c r="AJ100" s="128"/>
      <c r="AK100" s="128"/>
      <c r="AL100" s="128"/>
      <c r="AM100" s="128"/>
      <c r="AN100" s="128"/>
      <c r="AO100" s="128" t="s">
        <v>50</v>
      </c>
      <c r="AP100" s="128"/>
      <c r="AQ100" s="128"/>
      <c r="AR100" s="128"/>
      <c r="AS100" s="128"/>
      <c r="AT100" s="128"/>
      <c r="AU100" s="128" t="s">
        <v>50</v>
      </c>
      <c r="AV100" s="128"/>
      <c r="AW100" s="128"/>
      <c r="AX100" s="128"/>
      <c r="AY100" s="128"/>
      <c r="AZ100" s="128"/>
      <c r="BA100" s="128" t="s">
        <v>50</v>
      </c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</row>
    <row r="101" spans="1:64" ht="28.2" customHeight="1" x14ac:dyDescent="0.45">
      <c r="A101" s="129" t="str">
        <f t="shared" si="1"/>
        <v>095</v>
      </c>
      <c r="B101" s="130"/>
      <c r="C101" s="128" t="s">
        <v>38</v>
      </c>
      <c r="D101" s="128"/>
      <c r="E101" s="128"/>
      <c r="F101" s="128"/>
      <c r="G101" s="128"/>
      <c r="H101" s="128"/>
      <c r="I101" s="128" t="s">
        <v>244</v>
      </c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34" t="s">
        <v>243</v>
      </c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28" t="s">
        <v>245</v>
      </c>
      <c r="AJ101" s="128"/>
      <c r="AK101" s="128"/>
      <c r="AL101" s="128"/>
      <c r="AM101" s="128"/>
      <c r="AN101" s="128"/>
      <c r="AO101" s="128" t="s">
        <v>246</v>
      </c>
      <c r="AP101" s="128"/>
      <c r="AQ101" s="128"/>
      <c r="AR101" s="128"/>
      <c r="AS101" s="128"/>
      <c r="AT101" s="128"/>
      <c r="AU101" s="128" t="s">
        <v>50</v>
      </c>
      <c r="AV101" s="128"/>
      <c r="AW101" s="128"/>
      <c r="AX101" s="128"/>
      <c r="AY101" s="128"/>
      <c r="AZ101" s="128"/>
      <c r="BA101" s="128" t="s">
        <v>50</v>
      </c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</row>
    <row r="102" spans="1:64" ht="18" customHeight="1" x14ac:dyDescent="0.45">
      <c r="A102" s="129" t="str">
        <f t="shared" si="1"/>
        <v>096</v>
      </c>
      <c r="B102" s="130"/>
      <c r="C102" s="128" t="s">
        <v>38</v>
      </c>
      <c r="D102" s="128"/>
      <c r="E102" s="128"/>
      <c r="F102" s="128"/>
      <c r="G102" s="128"/>
      <c r="H102" s="128"/>
      <c r="I102" s="128" t="s">
        <v>247</v>
      </c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34" t="s">
        <v>243</v>
      </c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28" t="s">
        <v>248</v>
      </c>
      <c r="AJ102" s="128"/>
      <c r="AK102" s="128"/>
      <c r="AL102" s="128"/>
      <c r="AM102" s="128"/>
      <c r="AN102" s="128"/>
      <c r="AO102" s="128" t="s">
        <v>94</v>
      </c>
      <c r="AP102" s="128"/>
      <c r="AQ102" s="128"/>
      <c r="AR102" s="128"/>
      <c r="AS102" s="128"/>
      <c r="AT102" s="128"/>
      <c r="AU102" s="128" t="s">
        <v>50</v>
      </c>
      <c r="AV102" s="128"/>
      <c r="AW102" s="128"/>
      <c r="AX102" s="128"/>
      <c r="AY102" s="128"/>
      <c r="AZ102" s="128"/>
      <c r="BA102" s="128" t="s">
        <v>50</v>
      </c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</row>
    <row r="103" spans="1:64" ht="18" customHeight="1" x14ac:dyDescent="0.45">
      <c r="A103" s="129" t="str">
        <f t="shared" si="1"/>
        <v>097</v>
      </c>
      <c r="B103" s="130"/>
      <c r="C103" s="128" t="s">
        <v>38</v>
      </c>
      <c r="D103" s="128"/>
      <c r="E103" s="128"/>
      <c r="F103" s="128"/>
      <c r="G103" s="128"/>
      <c r="H103" s="128"/>
      <c r="I103" s="128" t="s">
        <v>249</v>
      </c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34" t="s">
        <v>250</v>
      </c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28" t="s">
        <v>248</v>
      </c>
      <c r="AJ103" s="128"/>
      <c r="AK103" s="128"/>
      <c r="AL103" s="128"/>
      <c r="AM103" s="128"/>
      <c r="AN103" s="128"/>
      <c r="AO103" s="128" t="s">
        <v>94</v>
      </c>
      <c r="AP103" s="128"/>
      <c r="AQ103" s="128"/>
      <c r="AR103" s="128"/>
      <c r="AS103" s="128"/>
      <c r="AT103" s="128"/>
      <c r="AU103" s="128" t="s">
        <v>188</v>
      </c>
      <c r="AV103" s="128"/>
      <c r="AW103" s="128"/>
      <c r="AX103" s="128"/>
      <c r="AY103" s="128"/>
      <c r="AZ103" s="128"/>
      <c r="BA103" s="128" t="s">
        <v>189</v>
      </c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</row>
    <row r="104" spans="1:64" ht="28.2" customHeight="1" x14ac:dyDescent="0.45">
      <c r="A104" s="129" t="str">
        <f t="shared" si="1"/>
        <v>098</v>
      </c>
      <c r="B104" s="130"/>
      <c r="C104" s="128" t="s">
        <v>38</v>
      </c>
      <c r="D104" s="128"/>
      <c r="E104" s="128"/>
      <c r="F104" s="128"/>
      <c r="G104" s="128"/>
      <c r="H104" s="128"/>
      <c r="I104" s="128" t="s">
        <v>249</v>
      </c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34" t="s">
        <v>250</v>
      </c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28" t="s">
        <v>245</v>
      </c>
      <c r="AJ104" s="128"/>
      <c r="AK104" s="128"/>
      <c r="AL104" s="128"/>
      <c r="AM104" s="128"/>
      <c r="AN104" s="128"/>
      <c r="AO104" s="128" t="s">
        <v>246</v>
      </c>
      <c r="AP104" s="128"/>
      <c r="AQ104" s="128"/>
      <c r="AR104" s="128"/>
      <c r="AS104" s="128"/>
      <c r="AT104" s="128"/>
      <c r="AU104" s="128" t="s">
        <v>188</v>
      </c>
      <c r="AV104" s="128"/>
      <c r="AW104" s="128"/>
      <c r="AX104" s="128"/>
      <c r="AY104" s="128"/>
      <c r="AZ104" s="128"/>
      <c r="BA104" s="128" t="s">
        <v>189</v>
      </c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</row>
    <row r="105" spans="1:64" ht="18" customHeight="1" x14ac:dyDescent="0.45">
      <c r="A105" s="129" t="str">
        <f t="shared" si="1"/>
        <v>099</v>
      </c>
      <c r="B105" s="130"/>
      <c r="C105" s="128" t="s">
        <v>38</v>
      </c>
      <c r="D105" s="128"/>
      <c r="E105" s="128"/>
      <c r="F105" s="128"/>
      <c r="G105" s="128"/>
      <c r="H105" s="128"/>
      <c r="I105" s="128" t="s">
        <v>251</v>
      </c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34" t="s">
        <v>252</v>
      </c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28" t="s">
        <v>248</v>
      </c>
      <c r="AJ105" s="128"/>
      <c r="AK105" s="128"/>
      <c r="AL105" s="128"/>
      <c r="AM105" s="128"/>
      <c r="AN105" s="128"/>
      <c r="AO105" s="128" t="s">
        <v>94</v>
      </c>
      <c r="AP105" s="128"/>
      <c r="AQ105" s="128"/>
      <c r="AR105" s="128"/>
      <c r="AS105" s="128"/>
      <c r="AT105" s="128"/>
      <c r="AU105" s="128" t="s">
        <v>50</v>
      </c>
      <c r="AV105" s="128"/>
      <c r="AW105" s="128"/>
      <c r="AX105" s="128"/>
      <c r="AY105" s="128"/>
      <c r="AZ105" s="128"/>
      <c r="BA105" s="128" t="s">
        <v>50</v>
      </c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</row>
    <row r="106" spans="1:64" ht="18" customHeight="1" x14ac:dyDescent="0.45">
      <c r="A106" s="129" t="str">
        <f t="shared" si="1"/>
        <v>100</v>
      </c>
      <c r="B106" s="130"/>
      <c r="C106" s="128" t="s">
        <v>38</v>
      </c>
      <c r="D106" s="128"/>
      <c r="E106" s="128"/>
      <c r="F106" s="128"/>
      <c r="G106" s="128"/>
      <c r="H106" s="128"/>
      <c r="I106" s="128" t="s">
        <v>253</v>
      </c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34" t="s">
        <v>254</v>
      </c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28" t="s">
        <v>255</v>
      </c>
      <c r="AJ106" s="128"/>
      <c r="AK106" s="128"/>
      <c r="AL106" s="128"/>
      <c r="AM106" s="128"/>
      <c r="AN106" s="128"/>
      <c r="AO106" s="128" t="s">
        <v>39</v>
      </c>
      <c r="AP106" s="128"/>
      <c r="AQ106" s="128"/>
      <c r="AR106" s="128"/>
      <c r="AS106" s="128"/>
      <c r="AT106" s="128"/>
      <c r="AU106" s="128" t="s">
        <v>256</v>
      </c>
      <c r="AV106" s="128"/>
      <c r="AW106" s="128"/>
      <c r="AX106" s="128"/>
      <c r="AY106" s="128"/>
      <c r="AZ106" s="128"/>
      <c r="BA106" s="128" t="s">
        <v>39</v>
      </c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</row>
    <row r="107" spans="1:64" ht="18" customHeight="1" x14ac:dyDescent="0.45">
      <c r="A107" s="129" t="str">
        <f t="shared" si="1"/>
        <v>101</v>
      </c>
      <c r="B107" s="130"/>
      <c r="C107" s="128" t="s">
        <v>38</v>
      </c>
      <c r="D107" s="128"/>
      <c r="E107" s="128"/>
      <c r="F107" s="128"/>
      <c r="G107" s="128"/>
      <c r="H107" s="128"/>
      <c r="I107" s="128" t="s">
        <v>257</v>
      </c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34" t="s">
        <v>258</v>
      </c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28" t="s">
        <v>259</v>
      </c>
      <c r="AJ107" s="128"/>
      <c r="AK107" s="128"/>
      <c r="AL107" s="128"/>
      <c r="AM107" s="128"/>
      <c r="AN107" s="128"/>
      <c r="AO107" s="128" t="s">
        <v>39</v>
      </c>
      <c r="AP107" s="128"/>
      <c r="AQ107" s="128"/>
      <c r="AR107" s="128"/>
      <c r="AS107" s="128"/>
      <c r="AT107" s="128"/>
      <c r="AU107" s="128" t="s">
        <v>260</v>
      </c>
      <c r="AV107" s="128"/>
      <c r="AW107" s="128"/>
      <c r="AX107" s="128"/>
      <c r="AY107" s="128"/>
      <c r="AZ107" s="128"/>
      <c r="BA107" s="128" t="s">
        <v>39</v>
      </c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</row>
    <row r="108" spans="1:64" ht="18" customHeight="1" x14ac:dyDescent="0.45">
      <c r="A108" s="129" t="str">
        <f t="shared" si="1"/>
        <v>102</v>
      </c>
      <c r="B108" s="130"/>
      <c r="C108" s="128" t="s">
        <v>38</v>
      </c>
      <c r="D108" s="128"/>
      <c r="E108" s="128"/>
      <c r="F108" s="128"/>
      <c r="G108" s="128"/>
      <c r="H108" s="128"/>
      <c r="I108" s="128" t="s">
        <v>261</v>
      </c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34" t="s">
        <v>262</v>
      </c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28" t="s">
        <v>263</v>
      </c>
      <c r="AJ108" s="128"/>
      <c r="AK108" s="128"/>
      <c r="AL108" s="128"/>
      <c r="AM108" s="128"/>
      <c r="AN108" s="128"/>
      <c r="AO108" s="128" t="s">
        <v>329</v>
      </c>
      <c r="AP108" s="128"/>
      <c r="AQ108" s="128"/>
      <c r="AR108" s="128"/>
      <c r="AS108" s="128"/>
      <c r="AT108" s="128"/>
      <c r="AU108" s="128" t="s">
        <v>264</v>
      </c>
      <c r="AV108" s="128"/>
      <c r="AW108" s="128"/>
      <c r="AX108" s="128"/>
      <c r="AY108" s="128"/>
      <c r="AZ108" s="128"/>
      <c r="BA108" s="128" t="s">
        <v>39</v>
      </c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</row>
    <row r="109" spans="1:64" ht="18" customHeight="1" x14ac:dyDescent="0.45">
      <c r="A109" s="129" t="str">
        <f t="shared" si="1"/>
        <v>103</v>
      </c>
      <c r="B109" s="130"/>
      <c r="C109" s="128" t="s">
        <v>38</v>
      </c>
      <c r="D109" s="128"/>
      <c r="E109" s="128"/>
      <c r="F109" s="128"/>
      <c r="G109" s="128"/>
      <c r="H109" s="128"/>
      <c r="I109" s="128" t="s">
        <v>265</v>
      </c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34" t="s">
        <v>266</v>
      </c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28" t="s">
        <v>263</v>
      </c>
      <c r="AJ109" s="128"/>
      <c r="AK109" s="128"/>
      <c r="AL109" s="128"/>
      <c r="AM109" s="128"/>
      <c r="AN109" s="128"/>
      <c r="AO109" s="128" t="s">
        <v>329</v>
      </c>
      <c r="AP109" s="128"/>
      <c r="AQ109" s="128"/>
      <c r="AR109" s="128"/>
      <c r="AS109" s="128"/>
      <c r="AT109" s="128"/>
      <c r="AU109" s="128" t="s">
        <v>267</v>
      </c>
      <c r="AV109" s="128"/>
      <c r="AW109" s="128"/>
      <c r="AX109" s="128"/>
      <c r="AY109" s="128"/>
      <c r="AZ109" s="128"/>
      <c r="BA109" s="128" t="s">
        <v>39</v>
      </c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</row>
    <row r="110" spans="1:64" ht="18" customHeight="1" x14ac:dyDescent="0.45">
      <c r="A110" s="129" t="str">
        <f t="shared" si="1"/>
        <v>104</v>
      </c>
      <c r="B110" s="130"/>
      <c r="C110" s="128" t="s">
        <v>38</v>
      </c>
      <c r="D110" s="128"/>
      <c r="E110" s="128"/>
      <c r="F110" s="128"/>
      <c r="G110" s="128"/>
      <c r="H110" s="128"/>
      <c r="I110" s="128" t="s">
        <v>268</v>
      </c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34" t="s">
        <v>96</v>
      </c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28" t="s">
        <v>50</v>
      </c>
      <c r="AJ110" s="128"/>
      <c r="AK110" s="128"/>
      <c r="AL110" s="128"/>
      <c r="AM110" s="128"/>
      <c r="AN110" s="128"/>
      <c r="AO110" s="128" t="s">
        <v>50</v>
      </c>
      <c r="AP110" s="128"/>
      <c r="AQ110" s="128"/>
      <c r="AR110" s="128"/>
      <c r="AS110" s="128"/>
      <c r="AT110" s="128"/>
      <c r="AU110" s="128" t="s">
        <v>145</v>
      </c>
      <c r="AV110" s="128"/>
      <c r="AW110" s="128"/>
      <c r="AX110" s="128"/>
      <c r="AY110" s="128"/>
      <c r="AZ110" s="128"/>
      <c r="BA110" s="128" t="s">
        <v>94</v>
      </c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</row>
    <row r="111" spans="1:64" ht="18" customHeight="1" x14ac:dyDescent="0.45">
      <c r="A111" s="129" t="str">
        <f t="shared" si="1"/>
        <v>105</v>
      </c>
      <c r="B111" s="130"/>
      <c r="C111" s="128" t="s">
        <v>38</v>
      </c>
      <c r="D111" s="128"/>
      <c r="E111" s="128"/>
      <c r="F111" s="128"/>
      <c r="G111" s="128"/>
      <c r="H111" s="128"/>
      <c r="I111" s="128" t="s">
        <v>269</v>
      </c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34" t="s">
        <v>270</v>
      </c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28" t="s">
        <v>271</v>
      </c>
      <c r="AJ111" s="128"/>
      <c r="AK111" s="128"/>
      <c r="AL111" s="128"/>
      <c r="AM111" s="128"/>
      <c r="AN111" s="128"/>
      <c r="AO111" s="128" t="s">
        <v>272</v>
      </c>
      <c r="AP111" s="128"/>
      <c r="AQ111" s="128"/>
      <c r="AR111" s="128"/>
      <c r="AS111" s="128"/>
      <c r="AT111" s="128"/>
      <c r="AU111" s="128" t="s">
        <v>188</v>
      </c>
      <c r="AV111" s="128"/>
      <c r="AW111" s="128"/>
      <c r="AX111" s="128"/>
      <c r="AY111" s="128"/>
      <c r="AZ111" s="128"/>
      <c r="BA111" s="128" t="s">
        <v>94</v>
      </c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</row>
    <row r="112" spans="1:64" ht="18" customHeight="1" x14ac:dyDescent="0.45">
      <c r="A112" s="129" t="str">
        <f t="shared" si="1"/>
        <v>106</v>
      </c>
      <c r="B112" s="130"/>
      <c r="C112" s="128" t="s">
        <v>38</v>
      </c>
      <c r="D112" s="128"/>
      <c r="E112" s="128"/>
      <c r="F112" s="128"/>
      <c r="G112" s="128"/>
      <c r="H112" s="128"/>
      <c r="I112" s="128" t="s">
        <v>273</v>
      </c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34" t="s">
        <v>274</v>
      </c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28" t="s">
        <v>275</v>
      </c>
      <c r="AJ112" s="128"/>
      <c r="AK112" s="128"/>
      <c r="AL112" s="128"/>
      <c r="AM112" s="128"/>
      <c r="AN112" s="128"/>
      <c r="AO112" s="128" t="s">
        <v>39</v>
      </c>
      <c r="AP112" s="128"/>
      <c r="AQ112" s="128"/>
      <c r="AR112" s="128"/>
      <c r="AS112" s="128"/>
      <c r="AT112" s="128"/>
      <c r="AU112" s="128" t="s">
        <v>276</v>
      </c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</row>
    <row r="113" spans="1:64" ht="18" customHeight="1" x14ac:dyDescent="0.45">
      <c r="A113" s="129" t="str">
        <f t="shared" si="1"/>
        <v>107</v>
      </c>
      <c r="B113" s="130"/>
      <c r="C113" s="128" t="s">
        <v>38</v>
      </c>
      <c r="D113" s="128"/>
      <c r="E113" s="128"/>
      <c r="F113" s="128"/>
      <c r="G113" s="128"/>
      <c r="H113" s="128"/>
      <c r="I113" s="128" t="s">
        <v>277</v>
      </c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34" t="s">
        <v>278</v>
      </c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28" t="s">
        <v>50</v>
      </c>
      <c r="AJ113" s="128"/>
      <c r="AK113" s="128"/>
      <c r="AL113" s="128"/>
      <c r="AM113" s="128"/>
      <c r="AN113" s="128"/>
      <c r="AO113" s="128" t="s">
        <v>50</v>
      </c>
      <c r="AP113" s="128"/>
      <c r="AQ113" s="128"/>
      <c r="AR113" s="128"/>
      <c r="AS113" s="128"/>
      <c r="AT113" s="128"/>
      <c r="AU113" s="128" t="s">
        <v>188</v>
      </c>
      <c r="AV113" s="128"/>
      <c r="AW113" s="128"/>
      <c r="AX113" s="128"/>
      <c r="AY113" s="128"/>
      <c r="AZ113" s="128"/>
      <c r="BA113" s="128" t="s">
        <v>189</v>
      </c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</row>
    <row r="114" spans="1:64" ht="18" customHeight="1" x14ac:dyDescent="0.45">
      <c r="A114" s="129" t="str">
        <f t="shared" si="1"/>
        <v>108</v>
      </c>
      <c r="B114" s="130"/>
      <c r="C114" s="128" t="s">
        <v>38</v>
      </c>
      <c r="D114" s="128"/>
      <c r="E114" s="128"/>
      <c r="F114" s="128"/>
      <c r="G114" s="128"/>
      <c r="H114" s="128"/>
      <c r="I114" s="128" t="s">
        <v>279</v>
      </c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34" t="s">
        <v>280</v>
      </c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28" t="s">
        <v>50</v>
      </c>
      <c r="AJ114" s="128"/>
      <c r="AK114" s="128"/>
      <c r="AL114" s="128"/>
      <c r="AM114" s="128"/>
      <c r="AN114" s="128"/>
      <c r="AO114" s="128" t="s">
        <v>50</v>
      </c>
      <c r="AP114" s="128"/>
      <c r="AQ114" s="128"/>
      <c r="AR114" s="128"/>
      <c r="AS114" s="128"/>
      <c r="AT114" s="128"/>
      <c r="AU114" s="128" t="s">
        <v>188</v>
      </c>
      <c r="AV114" s="128"/>
      <c r="AW114" s="128"/>
      <c r="AX114" s="128"/>
      <c r="AY114" s="128"/>
      <c r="AZ114" s="128"/>
      <c r="BA114" s="128" t="s">
        <v>189</v>
      </c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</row>
    <row r="115" spans="1:64" ht="18" customHeight="1" x14ac:dyDescent="0.45">
      <c r="A115" s="129" t="str">
        <f t="shared" si="1"/>
        <v>109</v>
      </c>
      <c r="B115" s="130"/>
      <c r="C115" s="128" t="s">
        <v>38</v>
      </c>
      <c r="D115" s="128"/>
      <c r="E115" s="128"/>
      <c r="F115" s="128"/>
      <c r="G115" s="128"/>
      <c r="H115" s="128"/>
      <c r="I115" s="128" t="s">
        <v>268</v>
      </c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34" t="s">
        <v>281</v>
      </c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28" t="s">
        <v>50</v>
      </c>
      <c r="AJ115" s="128"/>
      <c r="AK115" s="128"/>
      <c r="AL115" s="128"/>
      <c r="AM115" s="128"/>
      <c r="AN115" s="128"/>
      <c r="AO115" s="128" t="s">
        <v>50</v>
      </c>
      <c r="AP115" s="128"/>
      <c r="AQ115" s="128"/>
      <c r="AR115" s="128"/>
      <c r="AS115" s="128"/>
      <c r="AT115" s="128"/>
      <c r="AU115" s="128" t="s">
        <v>145</v>
      </c>
      <c r="AV115" s="128"/>
      <c r="AW115" s="128"/>
      <c r="AX115" s="128"/>
      <c r="AY115" s="128"/>
      <c r="AZ115" s="128"/>
      <c r="BA115" s="128" t="s">
        <v>94</v>
      </c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</row>
    <row r="116" spans="1:64" ht="18" customHeight="1" x14ac:dyDescent="0.45">
      <c r="A116" s="129" t="str">
        <f t="shared" si="1"/>
        <v>110</v>
      </c>
      <c r="B116" s="130"/>
      <c r="C116" s="128" t="s">
        <v>38</v>
      </c>
      <c r="D116" s="128"/>
      <c r="E116" s="128"/>
      <c r="F116" s="128"/>
      <c r="G116" s="128"/>
      <c r="H116" s="128"/>
      <c r="I116" s="128" t="s">
        <v>282</v>
      </c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34" t="s">
        <v>283</v>
      </c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28" t="s">
        <v>50</v>
      </c>
      <c r="AJ116" s="128"/>
      <c r="AK116" s="128"/>
      <c r="AL116" s="128"/>
      <c r="AM116" s="128"/>
      <c r="AN116" s="128"/>
      <c r="AO116" s="128" t="s">
        <v>50</v>
      </c>
      <c r="AP116" s="128"/>
      <c r="AQ116" s="128"/>
      <c r="AR116" s="128"/>
      <c r="AS116" s="128"/>
      <c r="AT116" s="128"/>
      <c r="AU116" s="128" t="s">
        <v>284</v>
      </c>
      <c r="AV116" s="128"/>
      <c r="AW116" s="128"/>
      <c r="AX116" s="128"/>
      <c r="AY116" s="128"/>
      <c r="AZ116" s="128"/>
      <c r="BA116" s="128" t="s">
        <v>39</v>
      </c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</row>
    <row r="117" spans="1:64" ht="18" customHeight="1" x14ac:dyDescent="0.45">
      <c r="A117" s="129" t="str">
        <f t="shared" si="1"/>
        <v>111</v>
      </c>
      <c r="B117" s="130"/>
      <c r="C117" s="128" t="s">
        <v>38</v>
      </c>
      <c r="D117" s="128"/>
      <c r="E117" s="128"/>
      <c r="F117" s="128"/>
      <c r="G117" s="128"/>
      <c r="H117" s="128"/>
      <c r="I117" s="128" t="s">
        <v>285</v>
      </c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34" t="s">
        <v>286</v>
      </c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28" t="s">
        <v>50</v>
      </c>
      <c r="AJ117" s="128"/>
      <c r="AK117" s="128"/>
      <c r="AL117" s="128"/>
      <c r="AM117" s="128"/>
      <c r="AN117" s="128"/>
      <c r="AO117" s="128" t="s">
        <v>50</v>
      </c>
      <c r="AP117" s="128"/>
      <c r="AQ117" s="128"/>
      <c r="AR117" s="128"/>
      <c r="AS117" s="128"/>
      <c r="AT117" s="128"/>
      <c r="AU117" s="128" t="s">
        <v>284</v>
      </c>
      <c r="AV117" s="128"/>
      <c r="AW117" s="128"/>
      <c r="AX117" s="128"/>
      <c r="AY117" s="128"/>
      <c r="AZ117" s="128"/>
      <c r="BA117" s="128" t="s">
        <v>39</v>
      </c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</row>
    <row r="118" spans="1:64" ht="18" customHeight="1" x14ac:dyDescent="0.45">
      <c r="A118" s="129" t="str">
        <f t="shared" si="1"/>
        <v>112</v>
      </c>
      <c r="B118" s="130"/>
      <c r="C118" s="128" t="s">
        <v>38</v>
      </c>
      <c r="D118" s="128"/>
      <c r="E118" s="128"/>
      <c r="F118" s="128"/>
      <c r="G118" s="128"/>
      <c r="H118" s="128"/>
      <c r="I118" s="128" t="s">
        <v>287</v>
      </c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34" t="s">
        <v>288</v>
      </c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28" t="s">
        <v>50</v>
      </c>
      <c r="AJ118" s="128"/>
      <c r="AK118" s="128"/>
      <c r="AL118" s="128"/>
      <c r="AM118" s="128"/>
      <c r="AN118" s="128"/>
      <c r="AO118" s="128" t="s">
        <v>50</v>
      </c>
      <c r="AP118" s="128"/>
      <c r="AQ118" s="128"/>
      <c r="AR118" s="128"/>
      <c r="AS118" s="128"/>
      <c r="AT118" s="128"/>
      <c r="AU118" s="128" t="s">
        <v>188</v>
      </c>
      <c r="AV118" s="128"/>
      <c r="AW118" s="128"/>
      <c r="AX118" s="128"/>
      <c r="AY118" s="128"/>
      <c r="AZ118" s="128"/>
      <c r="BA118" s="128" t="s">
        <v>189</v>
      </c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</row>
    <row r="119" spans="1:64" ht="41.4" customHeight="1" x14ac:dyDescent="0.45">
      <c r="A119" s="129" t="str">
        <f t="shared" si="1"/>
        <v>113</v>
      </c>
      <c r="B119" s="130"/>
      <c r="C119" s="128" t="s">
        <v>38</v>
      </c>
      <c r="D119" s="128"/>
      <c r="E119" s="128"/>
      <c r="F119" s="128"/>
      <c r="G119" s="128"/>
      <c r="H119" s="128"/>
      <c r="I119" s="128" t="s">
        <v>289</v>
      </c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34" t="s">
        <v>290</v>
      </c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28" t="s">
        <v>291</v>
      </c>
      <c r="AJ119" s="128"/>
      <c r="AK119" s="128"/>
      <c r="AL119" s="128"/>
      <c r="AM119" s="128"/>
      <c r="AN119" s="128"/>
      <c r="AO119" s="128" t="s">
        <v>292</v>
      </c>
      <c r="AP119" s="128"/>
      <c r="AQ119" s="128"/>
      <c r="AR119" s="128"/>
      <c r="AS119" s="128"/>
      <c r="AT119" s="128"/>
      <c r="AU119" s="131" t="s">
        <v>293</v>
      </c>
      <c r="AV119" s="132"/>
      <c r="AW119" s="132"/>
      <c r="AX119" s="132"/>
      <c r="AY119" s="132"/>
      <c r="AZ119" s="133"/>
      <c r="BA119" s="128" t="s">
        <v>94</v>
      </c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</row>
    <row r="120" spans="1:64" x14ac:dyDescent="0.45">
      <c r="A120" s="137"/>
      <c r="B120" s="137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</row>
  </sheetData>
  <mergeCells count="1052">
    <mergeCell ref="AU98:AZ98"/>
    <mergeCell ref="BA98:BF98"/>
    <mergeCell ref="BG98:BL98"/>
    <mergeCell ref="A96:B96"/>
    <mergeCell ref="C96:H96"/>
    <mergeCell ref="I96:X96"/>
    <mergeCell ref="Y96:AH96"/>
    <mergeCell ref="AI96:AN96"/>
    <mergeCell ref="AO96:AT96"/>
    <mergeCell ref="AU96:AZ96"/>
    <mergeCell ref="BA96:BF96"/>
    <mergeCell ref="BG96:BL96"/>
    <mergeCell ref="A97:B97"/>
    <mergeCell ref="C97:H97"/>
    <mergeCell ref="I97:X97"/>
    <mergeCell ref="Y97:AH97"/>
    <mergeCell ref="AI97:AN97"/>
    <mergeCell ref="AO97:AT97"/>
    <mergeCell ref="AU97:AZ97"/>
    <mergeCell ref="BA97:BF97"/>
    <mergeCell ref="BG97:BL97"/>
    <mergeCell ref="A86:B86"/>
    <mergeCell ref="C86:H86"/>
    <mergeCell ref="I86:X86"/>
    <mergeCell ref="Y86:AH86"/>
    <mergeCell ref="AI86:AN86"/>
    <mergeCell ref="AO86:AT86"/>
    <mergeCell ref="AU86:AZ86"/>
    <mergeCell ref="BA86:BF86"/>
    <mergeCell ref="BG86:BL86"/>
    <mergeCell ref="A85:B85"/>
    <mergeCell ref="C85:H85"/>
    <mergeCell ref="I85:X85"/>
    <mergeCell ref="Y85:AH85"/>
    <mergeCell ref="AI85:AN85"/>
    <mergeCell ref="AO85:AT85"/>
    <mergeCell ref="AU85:AZ85"/>
    <mergeCell ref="BA85:BF85"/>
    <mergeCell ref="BG85:BL85"/>
    <mergeCell ref="A84:B84"/>
    <mergeCell ref="C84:H84"/>
    <mergeCell ref="I84:X84"/>
    <mergeCell ref="Y84:AH84"/>
    <mergeCell ref="AI84:AN84"/>
    <mergeCell ref="AO84:AT84"/>
    <mergeCell ref="AU84:AZ84"/>
    <mergeCell ref="BA84:BF84"/>
    <mergeCell ref="BG84:BL84"/>
    <mergeCell ref="A81:B81"/>
    <mergeCell ref="C81:H81"/>
    <mergeCell ref="I81:X81"/>
    <mergeCell ref="Y81:AH81"/>
    <mergeCell ref="AI81:AN81"/>
    <mergeCell ref="AO81:AT81"/>
    <mergeCell ref="AU81:AZ81"/>
    <mergeCell ref="BA81:BF81"/>
    <mergeCell ref="BG81:BL81"/>
    <mergeCell ref="A83:B83"/>
    <mergeCell ref="C83:H83"/>
    <mergeCell ref="I83:X83"/>
    <mergeCell ref="Y83:AH83"/>
    <mergeCell ref="AI83:AN83"/>
    <mergeCell ref="AO83:AT83"/>
    <mergeCell ref="AU83:AZ83"/>
    <mergeCell ref="BA83:BF83"/>
    <mergeCell ref="BG83:BL83"/>
    <mergeCell ref="Y82:AH82"/>
    <mergeCell ref="AI82:AN82"/>
    <mergeCell ref="AO82:AT82"/>
    <mergeCell ref="AU82:AZ82"/>
    <mergeCell ref="BA82:BF82"/>
    <mergeCell ref="BG82:BL82"/>
    <mergeCell ref="A72:B72"/>
    <mergeCell ref="C72:H72"/>
    <mergeCell ref="Y72:AH72"/>
    <mergeCell ref="AI72:AN72"/>
    <mergeCell ref="AO72:AT72"/>
    <mergeCell ref="AU72:AZ72"/>
    <mergeCell ref="BA72:BF72"/>
    <mergeCell ref="BG72:BL72"/>
    <mergeCell ref="I72:X72"/>
    <mergeCell ref="A79:B79"/>
    <mergeCell ref="C79:H79"/>
    <mergeCell ref="I79:X79"/>
    <mergeCell ref="Y79:AH79"/>
    <mergeCell ref="AI79:AN79"/>
    <mergeCell ref="AO79:AT79"/>
    <mergeCell ref="AU79:AZ79"/>
    <mergeCell ref="BA79:BF79"/>
    <mergeCell ref="A71:B71"/>
    <mergeCell ref="C71:H71"/>
    <mergeCell ref="Y71:AH71"/>
    <mergeCell ref="AI71:AN71"/>
    <mergeCell ref="AO71:AT71"/>
    <mergeCell ref="AU71:AZ71"/>
    <mergeCell ref="BA71:BF71"/>
    <mergeCell ref="BG71:BL71"/>
    <mergeCell ref="I71:X71"/>
    <mergeCell ref="A70:B70"/>
    <mergeCell ref="C70:H70"/>
    <mergeCell ref="Y70:AH70"/>
    <mergeCell ref="AI70:AN70"/>
    <mergeCell ref="AO70:AT70"/>
    <mergeCell ref="AU70:AZ70"/>
    <mergeCell ref="BA70:BF70"/>
    <mergeCell ref="BG70:BL70"/>
    <mergeCell ref="I70:X70"/>
    <mergeCell ref="A69:B69"/>
    <mergeCell ref="C69:H69"/>
    <mergeCell ref="Y69:AH69"/>
    <mergeCell ref="AI69:AN69"/>
    <mergeCell ref="AO69:AT69"/>
    <mergeCell ref="AU69:AZ69"/>
    <mergeCell ref="BA69:BF69"/>
    <mergeCell ref="BG69:BL69"/>
    <mergeCell ref="I69:X69"/>
    <mergeCell ref="A68:B68"/>
    <mergeCell ref="C68:H68"/>
    <mergeCell ref="Y68:AH68"/>
    <mergeCell ref="AI68:AN68"/>
    <mergeCell ref="AO68:AT68"/>
    <mergeCell ref="AU68:AZ68"/>
    <mergeCell ref="BA68:BF68"/>
    <mergeCell ref="BG68:BL68"/>
    <mergeCell ref="I68:X68"/>
    <mergeCell ref="A67:B67"/>
    <mergeCell ref="C67:H67"/>
    <mergeCell ref="Y67:AH67"/>
    <mergeCell ref="AI67:AN67"/>
    <mergeCell ref="AO67:AT67"/>
    <mergeCell ref="AU67:AZ67"/>
    <mergeCell ref="BA67:BF67"/>
    <mergeCell ref="BG67:BL67"/>
    <mergeCell ref="I67:X67"/>
    <mergeCell ref="A66:B66"/>
    <mergeCell ref="C66:H66"/>
    <mergeCell ref="Y66:AH66"/>
    <mergeCell ref="AI66:AN66"/>
    <mergeCell ref="AO66:AT66"/>
    <mergeCell ref="AU66:AZ66"/>
    <mergeCell ref="BA66:BF66"/>
    <mergeCell ref="BG66:BL66"/>
    <mergeCell ref="I66:X66"/>
    <mergeCell ref="BG62:BL62"/>
    <mergeCell ref="I62:X62"/>
    <mergeCell ref="A65:B65"/>
    <mergeCell ref="C65:H65"/>
    <mergeCell ref="Y65:AH65"/>
    <mergeCell ref="AI65:AN65"/>
    <mergeCell ref="AO65:AT65"/>
    <mergeCell ref="AU65:AZ65"/>
    <mergeCell ref="BA65:BF65"/>
    <mergeCell ref="BG65:BL65"/>
    <mergeCell ref="I65:X65"/>
    <mergeCell ref="A64:B64"/>
    <mergeCell ref="C64:H64"/>
    <mergeCell ref="Y64:AH64"/>
    <mergeCell ref="AI64:AN64"/>
    <mergeCell ref="AO64:AT64"/>
    <mergeCell ref="AU64:AZ64"/>
    <mergeCell ref="BA64:BF64"/>
    <mergeCell ref="BG64:BL64"/>
    <mergeCell ref="I64:X64"/>
    <mergeCell ref="Y61:AH61"/>
    <mergeCell ref="AI61:AN61"/>
    <mergeCell ref="AO61:AT61"/>
    <mergeCell ref="AU61:AZ61"/>
    <mergeCell ref="BA61:BF61"/>
    <mergeCell ref="BG61:BL61"/>
    <mergeCell ref="I61:X61"/>
    <mergeCell ref="A60:B60"/>
    <mergeCell ref="C60:H60"/>
    <mergeCell ref="Y60:AH60"/>
    <mergeCell ref="AI60:AN60"/>
    <mergeCell ref="AO60:AT60"/>
    <mergeCell ref="AU60:AZ60"/>
    <mergeCell ref="BA60:BF60"/>
    <mergeCell ref="BG60:BL60"/>
    <mergeCell ref="I60:X60"/>
    <mergeCell ref="A63:B63"/>
    <mergeCell ref="C63:H63"/>
    <mergeCell ref="Y63:AH63"/>
    <mergeCell ref="AI63:AN63"/>
    <mergeCell ref="AO63:AT63"/>
    <mergeCell ref="AU63:AZ63"/>
    <mergeCell ref="BA63:BF63"/>
    <mergeCell ref="BG63:BL63"/>
    <mergeCell ref="I63:X63"/>
    <mergeCell ref="A62:B62"/>
    <mergeCell ref="C62:H62"/>
    <mergeCell ref="Y62:AH62"/>
    <mergeCell ref="AI62:AN62"/>
    <mergeCell ref="AO62:AT62"/>
    <mergeCell ref="AU62:AZ62"/>
    <mergeCell ref="BA62:BF62"/>
    <mergeCell ref="C99:H99"/>
    <mergeCell ref="I99:X99"/>
    <mergeCell ref="Y99:AH99"/>
    <mergeCell ref="AI99:AN99"/>
    <mergeCell ref="AO99:AT99"/>
    <mergeCell ref="A94:B94"/>
    <mergeCell ref="C94:H94"/>
    <mergeCell ref="I94:X94"/>
    <mergeCell ref="A57:B57"/>
    <mergeCell ref="C57:H57"/>
    <mergeCell ref="Y57:AH57"/>
    <mergeCell ref="AI57:AN57"/>
    <mergeCell ref="AO57:AT57"/>
    <mergeCell ref="AU57:AZ57"/>
    <mergeCell ref="BA57:BF57"/>
    <mergeCell ref="BG57:BL57"/>
    <mergeCell ref="I57:X57"/>
    <mergeCell ref="A59:B59"/>
    <mergeCell ref="C59:H59"/>
    <mergeCell ref="Y59:AH59"/>
    <mergeCell ref="AI59:AN59"/>
    <mergeCell ref="AO59:AT59"/>
    <mergeCell ref="AU59:AZ59"/>
    <mergeCell ref="BA59:BF59"/>
    <mergeCell ref="BG59:BL59"/>
    <mergeCell ref="I59:X59"/>
    <mergeCell ref="A58:B58"/>
    <mergeCell ref="C58:H58"/>
    <mergeCell ref="Y58:AH58"/>
    <mergeCell ref="AI58:AN58"/>
    <mergeCell ref="AO58:AT58"/>
    <mergeCell ref="AU58:AZ58"/>
    <mergeCell ref="A118:B118"/>
    <mergeCell ref="C118:H118"/>
    <mergeCell ref="I118:X118"/>
    <mergeCell ref="Y118:AH118"/>
    <mergeCell ref="AI118:AN118"/>
    <mergeCell ref="AO118:AT118"/>
    <mergeCell ref="AU118:AZ118"/>
    <mergeCell ref="BA118:BF118"/>
    <mergeCell ref="BG118:BL118"/>
    <mergeCell ref="AU99:AZ99"/>
    <mergeCell ref="BA99:BF99"/>
    <mergeCell ref="BG99:BL99"/>
    <mergeCell ref="A87:B87"/>
    <mergeCell ref="C87:H87"/>
    <mergeCell ref="Y87:AH87"/>
    <mergeCell ref="AI87:AN87"/>
    <mergeCell ref="AO87:AT87"/>
    <mergeCell ref="AU87:AZ87"/>
    <mergeCell ref="BA87:BF87"/>
    <mergeCell ref="BG87:BL87"/>
    <mergeCell ref="AU95:AZ95"/>
    <mergeCell ref="BA95:BF95"/>
    <mergeCell ref="BG95:BL95"/>
    <mergeCell ref="A93:B93"/>
    <mergeCell ref="C93:H93"/>
    <mergeCell ref="I93:X93"/>
    <mergeCell ref="Y93:AH93"/>
    <mergeCell ref="AI93:AN93"/>
    <mergeCell ref="AO93:AT93"/>
    <mergeCell ref="AU93:AZ93"/>
    <mergeCell ref="BA93:BF93"/>
    <mergeCell ref="BG93:BL93"/>
    <mergeCell ref="BA120:BF120"/>
    <mergeCell ref="BG120:BL120"/>
    <mergeCell ref="AU119:AZ119"/>
    <mergeCell ref="BA119:BF119"/>
    <mergeCell ref="BG119:BL119"/>
    <mergeCell ref="A120:B120"/>
    <mergeCell ref="C120:H120"/>
    <mergeCell ref="I120:X120"/>
    <mergeCell ref="Y120:AH120"/>
    <mergeCell ref="AI120:AN120"/>
    <mergeCell ref="AO120:AT120"/>
    <mergeCell ref="AU120:AZ120"/>
    <mergeCell ref="A119:B119"/>
    <mergeCell ref="C119:H119"/>
    <mergeCell ref="I119:X119"/>
    <mergeCell ref="Y119:AH119"/>
    <mergeCell ref="AI119:AN119"/>
    <mergeCell ref="AO119:AT119"/>
    <mergeCell ref="A117:B117"/>
    <mergeCell ref="C117:H117"/>
    <mergeCell ref="I117:X117"/>
    <mergeCell ref="Y117:AH117"/>
    <mergeCell ref="AI117:AN117"/>
    <mergeCell ref="AO117:AT117"/>
    <mergeCell ref="AU117:AZ117"/>
    <mergeCell ref="BA117:BF117"/>
    <mergeCell ref="BG117:BL117"/>
    <mergeCell ref="AU115:AZ115"/>
    <mergeCell ref="BA115:BF115"/>
    <mergeCell ref="BG115:BL115"/>
    <mergeCell ref="A116:B116"/>
    <mergeCell ref="C116:H116"/>
    <mergeCell ref="I116:X116"/>
    <mergeCell ref="Y116:AH116"/>
    <mergeCell ref="AI116:AN116"/>
    <mergeCell ref="AO116:AT116"/>
    <mergeCell ref="AU116:AZ116"/>
    <mergeCell ref="A115:B115"/>
    <mergeCell ref="C115:H115"/>
    <mergeCell ref="I115:X115"/>
    <mergeCell ref="Y115:AH115"/>
    <mergeCell ref="AI115:AN115"/>
    <mergeCell ref="AO115:AT115"/>
    <mergeCell ref="BA116:BF116"/>
    <mergeCell ref="BG116:BL116"/>
    <mergeCell ref="A114:B114"/>
    <mergeCell ref="C114:H114"/>
    <mergeCell ref="I114:X114"/>
    <mergeCell ref="Y114:AH114"/>
    <mergeCell ref="AI114:AN114"/>
    <mergeCell ref="AO114:AT114"/>
    <mergeCell ref="AU114:AZ114"/>
    <mergeCell ref="BA114:BF114"/>
    <mergeCell ref="BG114:BL114"/>
    <mergeCell ref="A113:B113"/>
    <mergeCell ref="C113:H113"/>
    <mergeCell ref="I113:X113"/>
    <mergeCell ref="Y113:AH113"/>
    <mergeCell ref="AI113:AN113"/>
    <mergeCell ref="AO113:AT113"/>
    <mergeCell ref="AU113:AZ113"/>
    <mergeCell ref="BA113:BF113"/>
    <mergeCell ref="BG113:BL113"/>
    <mergeCell ref="AU111:AZ111"/>
    <mergeCell ref="BA111:BF111"/>
    <mergeCell ref="BG111:BL111"/>
    <mergeCell ref="A112:B112"/>
    <mergeCell ref="C112:H112"/>
    <mergeCell ref="I112:X112"/>
    <mergeCell ref="Y112:AH112"/>
    <mergeCell ref="AI112:AN112"/>
    <mergeCell ref="AO112:AT112"/>
    <mergeCell ref="AU112:AZ112"/>
    <mergeCell ref="A111:B111"/>
    <mergeCell ref="C111:H111"/>
    <mergeCell ref="I111:X111"/>
    <mergeCell ref="Y111:AH111"/>
    <mergeCell ref="AI111:AN111"/>
    <mergeCell ref="AO111:AT111"/>
    <mergeCell ref="BA112:BF112"/>
    <mergeCell ref="BG112:BL112"/>
    <mergeCell ref="A110:B110"/>
    <mergeCell ref="C110:H110"/>
    <mergeCell ref="I110:X110"/>
    <mergeCell ref="Y110:AH110"/>
    <mergeCell ref="AI110:AN110"/>
    <mergeCell ref="AO110:AT110"/>
    <mergeCell ref="AU110:AZ110"/>
    <mergeCell ref="BA110:BF110"/>
    <mergeCell ref="BG110:BL110"/>
    <mergeCell ref="A109:B109"/>
    <mergeCell ref="C109:H109"/>
    <mergeCell ref="I109:X109"/>
    <mergeCell ref="Y109:AH109"/>
    <mergeCell ref="AI109:AN109"/>
    <mergeCell ref="AO109:AT109"/>
    <mergeCell ref="AU109:AZ109"/>
    <mergeCell ref="BA109:BF109"/>
    <mergeCell ref="BG109:BL109"/>
    <mergeCell ref="AU107:AZ107"/>
    <mergeCell ref="BA107:BF107"/>
    <mergeCell ref="BG107:BL107"/>
    <mergeCell ref="A108:B108"/>
    <mergeCell ref="C108:H108"/>
    <mergeCell ref="I108:X108"/>
    <mergeCell ref="Y108:AH108"/>
    <mergeCell ref="AI108:AN108"/>
    <mergeCell ref="AO108:AT108"/>
    <mergeCell ref="AU108:AZ108"/>
    <mergeCell ref="A107:B107"/>
    <mergeCell ref="C107:H107"/>
    <mergeCell ref="I107:X107"/>
    <mergeCell ref="Y107:AH107"/>
    <mergeCell ref="AI107:AN107"/>
    <mergeCell ref="AO107:AT107"/>
    <mergeCell ref="BA108:BF108"/>
    <mergeCell ref="BG108:BL108"/>
    <mergeCell ref="A106:B106"/>
    <mergeCell ref="C106:H106"/>
    <mergeCell ref="I106:X106"/>
    <mergeCell ref="Y106:AH106"/>
    <mergeCell ref="AI106:AN106"/>
    <mergeCell ref="AO106:AT106"/>
    <mergeCell ref="AU106:AZ106"/>
    <mergeCell ref="BA106:BF106"/>
    <mergeCell ref="BG106:BL106"/>
    <mergeCell ref="A105:B105"/>
    <mergeCell ref="C105:H105"/>
    <mergeCell ref="I105:X105"/>
    <mergeCell ref="Y105:AH105"/>
    <mergeCell ref="AI105:AN105"/>
    <mergeCell ref="AO105:AT105"/>
    <mergeCell ref="AU105:AZ105"/>
    <mergeCell ref="BA105:BF105"/>
    <mergeCell ref="BG105:BL105"/>
    <mergeCell ref="AU103:AZ103"/>
    <mergeCell ref="BA103:BF103"/>
    <mergeCell ref="BG103:BL103"/>
    <mergeCell ref="A104:B104"/>
    <mergeCell ref="C104:H104"/>
    <mergeCell ref="I104:X104"/>
    <mergeCell ref="Y104:AH104"/>
    <mergeCell ref="AI104:AN104"/>
    <mergeCell ref="AO104:AT104"/>
    <mergeCell ref="AU104:AZ104"/>
    <mergeCell ref="A103:B103"/>
    <mergeCell ref="C103:H103"/>
    <mergeCell ref="I103:X103"/>
    <mergeCell ref="Y103:AH103"/>
    <mergeCell ref="AI103:AN103"/>
    <mergeCell ref="AO103:AT103"/>
    <mergeCell ref="BA104:BF104"/>
    <mergeCell ref="BG104:BL104"/>
    <mergeCell ref="AU101:AZ101"/>
    <mergeCell ref="BA101:BF101"/>
    <mergeCell ref="BG101:BL101"/>
    <mergeCell ref="A102:B102"/>
    <mergeCell ref="C102:H102"/>
    <mergeCell ref="I102:X102"/>
    <mergeCell ref="Y102:AH102"/>
    <mergeCell ref="AI102:AN102"/>
    <mergeCell ref="AO102:AT102"/>
    <mergeCell ref="AU102:AZ102"/>
    <mergeCell ref="BA102:BF102"/>
    <mergeCell ref="BG102:BL102"/>
    <mergeCell ref="A95:B95"/>
    <mergeCell ref="C95:H95"/>
    <mergeCell ref="I95:X95"/>
    <mergeCell ref="Y95:AH95"/>
    <mergeCell ref="AI95:AN95"/>
    <mergeCell ref="AO95:AT95"/>
    <mergeCell ref="A101:B101"/>
    <mergeCell ref="C101:H101"/>
    <mergeCell ref="I101:X101"/>
    <mergeCell ref="Y101:AH101"/>
    <mergeCell ref="AI101:AN101"/>
    <mergeCell ref="AO101:AT101"/>
    <mergeCell ref="A98:B98"/>
    <mergeCell ref="C98:H98"/>
    <mergeCell ref="I98:X98"/>
    <mergeCell ref="Y98:AH98"/>
    <mergeCell ref="AI98:AN98"/>
    <mergeCell ref="AO98:AT98"/>
    <mergeCell ref="BA100:BF100"/>
    <mergeCell ref="BG100:BL100"/>
    <mergeCell ref="Y94:AH94"/>
    <mergeCell ref="AI94:AN94"/>
    <mergeCell ref="AO94:AT94"/>
    <mergeCell ref="AU94:AZ94"/>
    <mergeCell ref="BA94:BF94"/>
    <mergeCell ref="BG94:BL94"/>
    <mergeCell ref="A100:B100"/>
    <mergeCell ref="C100:H100"/>
    <mergeCell ref="I100:X100"/>
    <mergeCell ref="Y100:AH100"/>
    <mergeCell ref="AI100:AN100"/>
    <mergeCell ref="AO100:AT100"/>
    <mergeCell ref="AU100:AZ100"/>
    <mergeCell ref="AU91:AZ91"/>
    <mergeCell ref="BA91:BF91"/>
    <mergeCell ref="BG91:BL91"/>
    <mergeCell ref="A92:B92"/>
    <mergeCell ref="C92:H92"/>
    <mergeCell ref="I92:X92"/>
    <mergeCell ref="Y92:AH92"/>
    <mergeCell ref="AI92:AN92"/>
    <mergeCell ref="AO92:AT92"/>
    <mergeCell ref="AU92:AZ92"/>
    <mergeCell ref="A91:B91"/>
    <mergeCell ref="C91:H91"/>
    <mergeCell ref="I91:X91"/>
    <mergeCell ref="Y91:AH91"/>
    <mergeCell ref="AI91:AN91"/>
    <mergeCell ref="AO91:AT91"/>
    <mergeCell ref="BA92:BF92"/>
    <mergeCell ref="BG92:BL92"/>
    <mergeCell ref="A99:B99"/>
    <mergeCell ref="A90:B90"/>
    <mergeCell ref="C90:H90"/>
    <mergeCell ref="I90:X90"/>
    <mergeCell ref="Y90:AH90"/>
    <mergeCell ref="AI90:AN90"/>
    <mergeCell ref="AO90:AT90"/>
    <mergeCell ref="AU90:AZ90"/>
    <mergeCell ref="BA90:BF90"/>
    <mergeCell ref="BG90:BL90"/>
    <mergeCell ref="A89:B89"/>
    <mergeCell ref="C89:H89"/>
    <mergeCell ref="I89:X89"/>
    <mergeCell ref="Y89:AH89"/>
    <mergeCell ref="AI89:AN89"/>
    <mergeCell ref="AO89:AT89"/>
    <mergeCell ref="AU89:AZ89"/>
    <mergeCell ref="BA89:BF89"/>
    <mergeCell ref="BG89:BL89"/>
    <mergeCell ref="AU78:AZ78"/>
    <mergeCell ref="BA78:BF78"/>
    <mergeCell ref="BG78:BL78"/>
    <mergeCell ref="A88:B88"/>
    <mergeCell ref="C88:H88"/>
    <mergeCell ref="I88:X88"/>
    <mergeCell ref="Y88:AH88"/>
    <mergeCell ref="AI88:AN88"/>
    <mergeCell ref="AO88:AT88"/>
    <mergeCell ref="AU88:AZ88"/>
    <mergeCell ref="A78:B78"/>
    <mergeCell ref="C78:H78"/>
    <mergeCell ref="I78:X78"/>
    <mergeCell ref="Y78:AH78"/>
    <mergeCell ref="AI78:AN78"/>
    <mergeCell ref="AO78:AT78"/>
    <mergeCell ref="BA88:BF88"/>
    <mergeCell ref="BG88:BL88"/>
    <mergeCell ref="BG79:BL79"/>
    <mergeCell ref="I87:X87"/>
    <mergeCell ref="A80:B80"/>
    <mergeCell ref="C80:H80"/>
    <mergeCell ref="I80:X80"/>
    <mergeCell ref="Y80:AH80"/>
    <mergeCell ref="AI80:AN80"/>
    <mergeCell ref="AO80:AT80"/>
    <mergeCell ref="AU80:AZ80"/>
    <mergeCell ref="BA80:BF80"/>
    <mergeCell ref="BG80:BL80"/>
    <mergeCell ref="A82:B82"/>
    <mergeCell ref="C82:H82"/>
    <mergeCell ref="I82:X82"/>
    <mergeCell ref="A77:B77"/>
    <mergeCell ref="C77:H77"/>
    <mergeCell ref="I77:X77"/>
    <mergeCell ref="Y77:AH77"/>
    <mergeCell ref="AI77:AN77"/>
    <mergeCell ref="AO77:AT77"/>
    <mergeCell ref="AU77:AZ77"/>
    <mergeCell ref="BA77:BF77"/>
    <mergeCell ref="BG77:BL77"/>
    <mergeCell ref="A76:B76"/>
    <mergeCell ref="C76:H76"/>
    <mergeCell ref="I76:X76"/>
    <mergeCell ref="Y76:AH76"/>
    <mergeCell ref="AI76:AN76"/>
    <mergeCell ref="AO76:AT76"/>
    <mergeCell ref="AU76:AZ76"/>
    <mergeCell ref="BA76:BF76"/>
    <mergeCell ref="BG76:BL76"/>
    <mergeCell ref="AU74:AZ74"/>
    <mergeCell ref="BA74:BF74"/>
    <mergeCell ref="BG74:BL74"/>
    <mergeCell ref="A75:B75"/>
    <mergeCell ref="C75:H75"/>
    <mergeCell ref="I75:X75"/>
    <mergeCell ref="Y75:AH75"/>
    <mergeCell ref="AI75:AN75"/>
    <mergeCell ref="AO75:AT75"/>
    <mergeCell ref="AU75:AZ75"/>
    <mergeCell ref="A74:B74"/>
    <mergeCell ref="C74:H74"/>
    <mergeCell ref="I74:X74"/>
    <mergeCell ref="Y74:AH74"/>
    <mergeCell ref="AI74:AN74"/>
    <mergeCell ref="AO74:AT74"/>
    <mergeCell ref="BA75:BF75"/>
    <mergeCell ref="BG75:BL75"/>
    <mergeCell ref="A73:B73"/>
    <mergeCell ref="C73:H73"/>
    <mergeCell ref="I73:X73"/>
    <mergeCell ref="Y73:AH73"/>
    <mergeCell ref="AI73:AN73"/>
    <mergeCell ref="AO73:AT73"/>
    <mergeCell ref="AU73:AZ73"/>
    <mergeCell ref="BA73:BF73"/>
    <mergeCell ref="BG73:BL73"/>
    <mergeCell ref="A55:B55"/>
    <mergeCell ref="C55:H55"/>
    <mergeCell ref="I55:X55"/>
    <mergeCell ref="Y55:AH55"/>
    <mergeCell ref="AI55:AN55"/>
    <mergeCell ref="AO55:AT55"/>
    <mergeCell ref="AU55:AZ55"/>
    <mergeCell ref="BA55:BF55"/>
    <mergeCell ref="BG55:BL55"/>
    <mergeCell ref="A56:B56"/>
    <mergeCell ref="C56:H56"/>
    <mergeCell ref="Y56:AH56"/>
    <mergeCell ref="AI56:AN56"/>
    <mergeCell ref="AO56:AT56"/>
    <mergeCell ref="AU56:AZ56"/>
    <mergeCell ref="BA56:BF56"/>
    <mergeCell ref="BG56:BL56"/>
    <mergeCell ref="I56:X56"/>
    <mergeCell ref="BA58:BF58"/>
    <mergeCell ref="BG58:BL58"/>
    <mergeCell ref="I58:X58"/>
    <mergeCell ref="A61:B61"/>
    <mergeCell ref="C61:H61"/>
    <mergeCell ref="AU53:AZ53"/>
    <mergeCell ref="BA53:BF53"/>
    <mergeCell ref="BG53:BL53"/>
    <mergeCell ref="A54:B54"/>
    <mergeCell ref="C54:H54"/>
    <mergeCell ref="I54:X54"/>
    <mergeCell ref="Y54:AH54"/>
    <mergeCell ref="AI54:AN54"/>
    <mergeCell ref="AO54:AT54"/>
    <mergeCell ref="AU54:AZ54"/>
    <mergeCell ref="A53:B53"/>
    <mergeCell ref="C53:H53"/>
    <mergeCell ref="I53:X53"/>
    <mergeCell ref="Y53:AH53"/>
    <mergeCell ref="AI53:AN53"/>
    <mergeCell ref="AO53:AT53"/>
    <mergeCell ref="BA54:BF54"/>
    <mergeCell ref="BG54:BL54"/>
    <mergeCell ref="A52:B52"/>
    <mergeCell ref="C52:H52"/>
    <mergeCell ref="I52:X52"/>
    <mergeCell ref="Y52:AH52"/>
    <mergeCell ref="AI52:AN52"/>
    <mergeCell ref="AO52:AT52"/>
    <mergeCell ref="AU52:AZ52"/>
    <mergeCell ref="BA52:BF52"/>
    <mergeCell ref="BG52:BL52"/>
    <mergeCell ref="A51:B51"/>
    <mergeCell ref="C51:H51"/>
    <mergeCell ref="I51:X51"/>
    <mergeCell ref="Y51:AH51"/>
    <mergeCell ref="AI51:AN51"/>
    <mergeCell ref="AO51:AT51"/>
    <mergeCell ref="AU51:AZ51"/>
    <mergeCell ref="BA51:BF51"/>
    <mergeCell ref="BG51:BL51"/>
    <mergeCell ref="AU49:AZ49"/>
    <mergeCell ref="BA49:BF49"/>
    <mergeCell ref="BG49:BL49"/>
    <mergeCell ref="A50:B50"/>
    <mergeCell ref="C50:H50"/>
    <mergeCell ref="I50:X50"/>
    <mergeCell ref="Y50:AH50"/>
    <mergeCell ref="AI50:AN50"/>
    <mergeCell ref="AO50:AT50"/>
    <mergeCell ref="AU50:AZ50"/>
    <mergeCell ref="A49:B49"/>
    <mergeCell ref="C49:H49"/>
    <mergeCell ref="I49:X49"/>
    <mergeCell ref="Y49:AH49"/>
    <mergeCell ref="AI49:AN49"/>
    <mergeCell ref="AO49:AT49"/>
    <mergeCell ref="BA50:BF50"/>
    <mergeCell ref="BG50:BL50"/>
    <mergeCell ref="A48:B48"/>
    <mergeCell ref="C48:H48"/>
    <mergeCell ref="I48:X48"/>
    <mergeCell ref="Y48:AH48"/>
    <mergeCell ref="AI48:AN48"/>
    <mergeCell ref="AO48:AT48"/>
    <mergeCell ref="AU48:AZ48"/>
    <mergeCell ref="BA48:BF48"/>
    <mergeCell ref="BG48:BL48"/>
    <mergeCell ref="A47:B47"/>
    <mergeCell ref="C47:H47"/>
    <mergeCell ref="I47:X47"/>
    <mergeCell ref="Y47:AH47"/>
    <mergeCell ref="AI47:AN47"/>
    <mergeCell ref="AO47:AT47"/>
    <mergeCell ref="AU47:AZ47"/>
    <mergeCell ref="BA47:BF47"/>
    <mergeCell ref="BG47:BL47"/>
    <mergeCell ref="AU45:AZ45"/>
    <mergeCell ref="BA45:BF45"/>
    <mergeCell ref="BG45:BL45"/>
    <mergeCell ref="A46:B46"/>
    <mergeCell ref="C46:H46"/>
    <mergeCell ref="I46:X46"/>
    <mergeCell ref="Y46:AH46"/>
    <mergeCell ref="AI46:AN46"/>
    <mergeCell ref="AO46:AT46"/>
    <mergeCell ref="AU46:AZ46"/>
    <mergeCell ref="A45:B45"/>
    <mergeCell ref="C45:H45"/>
    <mergeCell ref="I45:X45"/>
    <mergeCell ref="Y45:AH45"/>
    <mergeCell ref="AI45:AN45"/>
    <mergeCell ref="AO45:AT45"/>
    <mergeCell ref="BA46:BF46"/>
    <mergeCell ref="BG46:BL46"/>
    <mergeCell ref="A44:B44"/>
    <mergeCell ref="C44:H44"/>
    <mergeCell ref="I44:X44"/>
    <mergeCell ref="Y44:AH44"/>
    <mergeCell ref="AI44:AN44"/>
    <mergeCell ref="AO44:AT44"/>
    <mergeCell ref="AU44:AZ44"/>
    <mergeCell ref="BA44:BF44"/>
    <mergeCell ref="BG44:BL44"/>
    <mergeCell ref="A43:B43"/>
    <mergeCell ref="C43:H43"/>
    <mergeCell ref="I43:X43"/>
    <mergeCell ref="Y43:AH43"/>
    <mergeCell ref="AI43:AN43"/>
    <mergeCell ref="AO43:AT43"/>
    <mergeCell ref="AU43:AZ43"/>
    <mergeCell ref="BA43:BF43"/>
    <mergeCell ref="BG43:BL43"/>
    <mergeCell ref="AU41:AZ41"/>
    <mergeCell ref="BA41:BF41"/>
    <mergeCell ref="BG41:BL41"/>
    <mergeCell ref="A42:B42"/>
    <mergeCell ref="C42:H42"/>
    <mergeCell ref="I42:X42"/>
    <mergeCell ref="Y42:AH42"/>
    <mergeCell ref="AI42:AN42"/>
    <mergeCell ref="AO42:AT42"/>
    <mergeCell ref="AU42:AZ42"/>
    <mergeCell ref="A41:B41"/>
    <mergeCell ref="C41:H41"/>
    <mergeCell ref="I41:X41"/>
    <mergeCell ref="Y41:AH41"/>
    <mergeCell ref="AI41:AN41"/>
    <mergeCell ref="AO41:AT41"/>
    <mergeCell ref="BA42:BF42"/>
    <mergeCell ref="BG42:BL42"/>
    <mergeCell ref="A40:B40"/>
    <mergeCell ref="C40:H40"/>
    <mergeCell ref="I40:X40"/>
    <mergeCell ref="Y40:AH40"/>
    <mergeCell ref="AI40:AN40"/>
    <mergeCell ref="AO40:AT40"/>
    <mergeCell ref="AU40:AZ40"/>
    <mergeCell ref="BA40:BF40"/>
    <mergeCell ref="BG40:BL40"/>
    <mergeCell ref="A39:B39"/>
    <mergeCell ref="C39:H39"/>
    <mergeCell ref="I39:X39"/>
    <mergeCell ref="Y39:AH39"/>
    <mergeCell ref="AI39:AN39"/>
    <mergeCell ref="AO39:AT39"/>
    <mergeCell ref="AU39:AZ39"/>
    <mergeCell ref="BA39:BF39"/>
    <mergeCell ref="BG39:BL39"/>
    <mergeCell ref="AU37:AZ37"/>
    <mergeCell ref="BA37:BF37"/>
    <mergeCell ref="BG37:BL37"/>
    <mergeCell ref="A38:B38"/>
    <mergeCell ref="C38:H38"/>
    <mergeCell ref="I38:X38"/>
    <mergeCell ref="Y38:AH38"/>
    <mergeCell ref="AI38:AN38"/>
    <mergeCell ref="AO38:AT38"/>
    <mergeCell ref="AU38:AZ38"/>
    <mergeCell ref="A37:B37"/>
    <mergeCell ref="C37:H37"/>
    <mergeCell ref="I37:X37"/>
    <mergeCell ref="Y37:AH37"/>
    <mergeCell ref="AI37:AN37"/>
    <mergeCell ref="AO37:AT37"/>
    <mergeCell ref="BA38:BF38"/>
    <mergeCell ref="BG38:BL38"/>
    <mergeCell ref="A36:B36"/>
    <mergeCell ref="C36:H36"/>
    <mergeCell ref="I36:X36"/>
    <mergeCell ref="Y36:AH36"/>
    <mergeCell ref="AI36:AN36"/>
    <mergeCell ref="AO36:AT36"/>
    <mergeCell ref="AU36:AZ36"/>
    <mergeCell ref="BA36:BF36"/>
    <mergeCell ref="BG36:BL36"/>
    <mergeCell ref="A35:B35"/>
    <mergeCell ref="C35:H35"/>
    <mergeCell ref="I35:X35"/>
    <mergeCell ref="Y35:AH35"/>
    <mergeCell ref="AI35:AN35"/>
    <mergeCell ref="AO35:AT35"/>
    <mergeCell ref="AU35:AZ35"/>
    <mergeCell ref="BA35:BF35"/>
    <mergeCell ref="BG35:BL35"/>
    <mergeCell ref="AU33:AZ33"/>
    <mergeCell ref="BA33:BF33"/>
    <mergeCell ref="BG33:BL33"/>
    <mergeCell ref="A34:B34"/>
    <mergeCell ref="C34:H34"/>
    <mergeCell ref="I34:X34"/>
    <mergeCell ref="Y34:AH34"/>
    <mergeCell ref="AI34:AN34"/>
    <mergeCell ref="AO34:AT34"/>
    <mergeCell ref="AU34:AZ34"/>
    <mergeCell ref="A33:B33"/>
    <mergeCell ref="C33:H33"/>
    <mergeCell ref="I33:X33"/>
    <mergeCell ref="Y33:AH33"/>
    <mergeCell ref="AI33:AN33"/>
    <mergeCell ref="AO33:AT33"/>
    <mergeCell ref="BA34:BF34"/>
    <mergeCell ref="BG34:BL34"/>
    <mergeCell ref="A32:B32"/>
    <mergeCell ref="C32:H32"/>
    <mergeCell ref="I32:X32"/>
    <mergeCell ref="Y32:AH32"/>
    <mergeCell ref="AI32:AN32"/>
    <mergeCell ref="AO32:AT32"/>
    <mergeCell ref="AU32:AZ32"/>
    <mergeCell ref="BA32:BF32"/>
    <mergeCell ref="BG32:BL32"/>
    <mergeCell ref="A31:B31"/>
    <mergeCell ref="C31:H31"/>
    <mergeCell ref="I31:X31"/>
    <mergeCell ref="Y31:AH31"/>
    <mergeCell ref="AI31:AN31"/>
    <mergeCell ref="AO31:AT31"/>
    <mergeCell ref="AU31:AZ31"/>
    <mergeCell ref="BA31:BF31"/>
    <mergeCell ref="BG31:BL31"/>
    <mergeCell ref="AU29:AZ29"/>
    <mergeCell ref="BA29:BF29"/>
    <mergeCell ref="BG29:BL29"/>
    <mergeCell ref="A30:B30"/>
    <mergeCell ref="C30:H30"/>
    <mergeCell ref="I30:X30"/>
    <mergeCell ref="Y30:AH30"/>
    <mergeCell ref="AI30:AN30"/>
    <mergeCell ref="AO30:AT30"/>
    <mergeCell ref="AU30:AZ30"/>
    <mergeCell ref="A29:B29"/>
    <mergeCell ref="C29:H29"/>
    <mergeCell ref="I29:X29"/>
    <mergeCell ref="Y29:AH29"/>
    <mergeCell ref="AI29:AN29"/>
    <mergeCell ref="AO29:AT29"/>
    <mergeCell ref="BA30:BF30"/>
    <mergeCell ref="BG30:BL30"/>
    <mergeCell ref="A28:B28"/>
    <mergeCell ref="C28:H28"/>
    <mergeCell ref="I28:X28"/>
    <mergeCell ref="Y28:AH28"/>
    <mergeCell ref="AI28:AN28"/>
    <mergeCell ref="AO28:AT28"/>
    <mergeCell ref="AU28:AZ28"/>
    <mergeCell ref="BA28:BF28"/>
    <mergeCell ref="BG28:BL28"/>
    <mergeCell ref="A27:B27"/>
    <mergeCell ref="C27:H27"/>
    <mergeCell ref="I27:X27"/>
    <mergeCell ref="Y27:AH27"/>
    <mergeCell ref="AI27:AN27"/>
    <mergeCell ref="AO27:AT27"/>
    <mergeCell ref="AU27:AZ27"/>
    <mergeCell ref="BA27:BF27"/>
    <mergeCell ref="BG27:BL27"/>
    <mergeCell ref="AU25:AZ25"/>
    <mergeCell ref="BA25:BF25"/>
    <mergeCell ref="BG25:BL25"/>
    <mergeCell ref="A26:B26"/>
    <mergeCell ref="C26:H26"/>
    <mergeCell ref="I26:X26"/>
    <mergeCell ref="Y26:AH26"/>
    <mergeCell ref="AI26:AN26"/>
    <mergeCell ref="AO26:AT26"/>
    <mergeCell ref="AU26:AZ26"/>
    <mergeCell ref="A25:B25"/>
    <mergeCell ref="C25:H25"/>
    <mergeCell ref="I25:X25"/>
    <mergeCell ref="Y25:AH25"/>
    <mergeCell ref="AI25:AN25"/>
    <mergeCell ref="AO25:AT25"/>
    <mergeCell ref="BA26:BF26"/>
    <mergeCell ref="BG26:BL26"/>
    <mergeCell ref="A24:B24"/>
    <mergeCell ref="C24:H24"/>
    <mergeCell ref="I24:X24"/>
    <mergeCell ref="Y24:AH24"/>
    <mergeCell ref="AI24:AN24"/>
    <mergeCell ref="AO24:AT24"/>
    <mergeCell ref="AU24:AZ24"/>
    <mergeCell ref="BA24:BF24"/>
    <mergeCell ref="BG24:BL24"/>
    <mergeCell ref="A23:B23"/>
    <mergeCell ref="C23:H23"/>
    <mergeCell ref="I23:X23"/>
    <mergeCell ref="Y23:AH23"/>
    <mergeCell ref="AI23:AN23"/>
    <mergeCell ref="AO23:AT23"/>
    <mergeCell ref="AU23:AZ23"/>
    <mergeCell ref="BA23:BF23"/>
    <mergeCell ref="BG23:BL23"/>
    <mergeCell ref="AU21:AZ21"/>
    <mergeCell ref="BA21:BF21"/>
    <mergeCell ref="BG21:BL21"/>
    <mergeCell ref="A22:B22"/>
    <mergeCell ref="C22:H22"/>
    <mergeCell ref="I22:X22"/>
    <mergeCell ref="Y22:AH22"/>
    <mergeCell ref="AI22:AN22"/>
    <mergeCell ref="AO22:AT22"/>
    <mergeCell ref="AU22:AZ22"/>
    <mergeCell ref="A21:B21"/>
    <mergeCell ref="C21:H21"/>
    <mergeCell ref="I21:X21"/>
    <mergeCell ref="Y21:AH21"/>
    <mergeCell ref="AI21:AN21"/>
    <mergeCell ref="AO21:AT21"/>
    <mergeCell ref="BA22:BF22"/>
    <mergeCell ref="BG22:BL22"/>
    <mergeCell ref="A20:B20"/>
    <mergeCell ref="C20:H20"/>
    <mergeCell ref="I20:X20"/>
    <mergeCell ref="Y20:AH20"/>
    <mergeCell ref="AI20:AN20"/>
    <mergeCell ref="AO20:AT20"/>
    <mergeCell ref="AU20:AZ20"/>
    <mergeCell ref="BA20:BF20"/>
    <mergeCell ref="BG20:BL20"/>
    <mergeCell ref="A19:B19"/>
    <mergeCell ref="C19:H19"/>
    <mergeCell ref="I19:X19"/>
    <mergeCell ref="Y19:AH19"/>
    <mergeCell ref="AI19:AN19"/>
    <mergeCell ref="AO19:AT19"/>
    <mergeCell ref="AU19:AZ19"/>
    <mergeCell ref="BA19:BF19"/>
    <mergeCell ref="BG19:BL19"/>
    <mergeCell ref="AU17:AZ17"/>
    <mergeCell ref="BA17:BF17"/>
    <mergeCell ref="BG17:BL17"/>
    <mergeCell ref="A18:B18"/>
    <mergeCell ref="C18:H18"/>
    <mergeCell ref="I18:X18"/>
    <mergeCell ref="Y18:AH18"/>
    <mergeCell ref="AI18:AN18"/>
    <mergeCell ref="AO18:AT18"/>
    <mergeCell ref="AU18:AZ18"/>
    <mergeCell ref="A17:B17"/>
    <mergeCell ref="C17:H17"/>
    <mergeCell ref="I17:X17"/>
    <mergeCell ref="Y17:AH17"/>
    <mergeCell ref="AI17:AN17"/>
    <mergeCell ref="AO17:AT17"/>
    <mergeCell ref="BA18:BF18"/>
    <mergeCell ref="BG18:BL18"/>
    <mergeCell ref="A16:B16"/>
    <mergeCell ref="C16:H16"/>
    <mergeCell ref="I16:X16"/>
    <mergeCell ref="Y16:AH16"/>
    <mergeCell ref="AI16:AN16"/>
    <mergeCell ref="AO16:AT16"/>
    <mergeCell ref="AU16:AZ16"/>
    <mergeCell ref="BA16:BF16"/>
    <mergeCell ref="BG16:BL16"/>
    <mergeCell ref="A15:B15"/>
    <mergeCell ref="C15:H15"/>
    <mergeCell ref="I15:X15"/>
    <mergeCell ref="Y15:AH15"/>
    <mergeCell ref="AI15:AN15"/>
    <mergeCell ref="AO15:AT15"/>
    <mergeCell ref="AU15:AZ15"/>
    <mergeCell ref="BA15:BF15"/>
    <mergeCell ref="BG15:BL15"/>
    <mergeCell ref="AU13:AZ13"/>
    <mergeCell ref="BA13:BF13"/>
    <mergeCell ref="BG13:BL13"/>
    <mergeCell ref="A14:B14"/>
    <mergeCell ref="C14:H14"/>
    <mergeCell ref="I14:X14"/>
    <mergeCell ref="Y14:AH14"/>
    <mergeCell ref="AI14:AN14"/>
    <mergeCell ref="AO14:AT14"/>
    <mergeCell ref="AU14:AZ14"/>
    <mergeCell ref="A13:B13"/>
    <mergeCell ref="C13:H13"/>
    <mergeCell ref="I13:X13"/>
    <mergeCell ref="Y13:AH13"/>
    <mergeCell ref="AI13:AN13"/>
    <mergeCell ref="AO13:AT13"/>
    <mergeCell ref="BA14:BF14"/>
    <mergeCell ref="BG14:BL14"/>
    <mergeCell ref="A12:B12"/>
    <mergeCell ref="C12:H12"/>
    <mergeCell ref="I12:X12"/>
    <mergeCell ref="Y12:AH12"/>
    <mergeCell ref="AI12:AN12"/>
    <mergeCell ref="AO12:AT12"/>
    <mergeCell ref="AU12:AZ12"/>
    <mergeCell ref="BA12:BF12"/>
    <mergeCell ref="BG12:BL12"/>
    <mergeCell ref="A11:B11"/>
    <mergeCell ref="C11:H11"/>
    <mergeCell ref="I11:X11"/>
    <mergeCell ref="Y11:AH11"/>
    <mergeCell ref="AI11:AN11"/>
    <mergeCell ref="AO11:AT11"/>
    <mergeCell ref="AU11:AZ11"/>
    <mergeCell ref="BA11:BF11"/>
    <mergeCell ref="BG11:BL11"/>
    <mergeCell ref="AU9:AZ9"/>
    <mergeCell ref="BA9:BF9"/>
    <mergeCell ref="BG9:BL9"/>
    <mergeCell ref="A10:B10"/>
    <mergeCell ref="C10:H10"/>
    <mergeCell ref="I10:X10"/>
    <mergeCell ref="Y10:AH10"/>
    <mergeCell ref="AI10:AN10"/>
    <mergeCell ref="AO10:AT10"/>
    <mergeCell ref="AU10:AZ10"/>
    <mergeCell ref="A9:B9"/>
    <mergeCell ref="C9:H9"/>
    <mergeCell ref="I9:X9"/>
    <mergeCell ref="Y9:AH9"/>
    <mergeCell ref="AI9:AN9"/>
    <mergeCell ref="AO9:AT9"/>
    <mergeCell ref="BA10:BF10"/>
    <mergeCell ref="BG10:BL10"/>
    <mergeCell ref="BG7:BL7"/>
    <mergeCell ref="A8:B8"/>
    <mergeCell ref="C8:H8"/>
    <mergeCell ref="I8:X8"/>
    <mergeCell ref="Y8:AH8"/>
    <mergeCell ref="AI8:AN8"/>
    <mergeCell ref="AO8:AT8"/>
    <mergeCell ref="AU8:AZ8"/>
    <mergeCell ref="BA8:BF8"/>
    <mergeCell ref="BG8:BL8"/>
    <mergeCell ref="A7:B7"/>
    <mergeCell ref="C7:H7"/>
    <mergeCell ref="I7:X7"/>
    <mergeCell ref="Y7:AH7"/>
    <mergeCell ref="AI7:AN7"/>
    <mergeCell ref="AO7:AT7"/>
    <mergeCell ref="AU7:AZ7"/>
    <mergeCell ref="BA7:BF7"/>
    <mergeCell ref="A5:B6"/>
    <mergeCell ref="C5:H6"/>
    <mergeCell ref="I5:AH5"/>
    <mergeCell ref="AI5:AT5"/>
    <mergeCell ref="AU5:BF5"/>
    <mergeCell ref="BG5:BL6"/>
    <mergeCell ref="I6:X6"/>
    <mergeCell ref="Y6:AH6"/>
    <mergeCell ref="AI6:AN6"/>
    <mergeCell ref="AO6:AT6"/>
    <mergeCell ref="AU6:AZ6"/>
    <mergeCell ref="BA6:BF6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BA1:BF1"/>
  </mergeCells>
  <phoneticPr fontId="2"/>
  <pageMargins left="0.7" right="0.7" top="0.75" bottom="0.75" header="0.3" footer="0.3"/>
  <pageSetup paperSize="9" scale="47" orientation="portrait" r:id="rId1"/>
  <rowBreaks count="2" manualBreakCount="2">
    <brk id="55" max="16383" man="1"/>
    <brk id="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クラス名一覧</vt:lpstr>
      <vt:lpstr>関数名一覧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岡野岳</dc:creator>
  <cp:lastModifiedBy>r holy</cp:lastModifiedBy>
  <dcterms:created xsi:type="dcterms:W3CDTF">2022-03-08T06:29:14Z</dcterms:created>
  <dcterms:modified xsi:type="dcterms:W3CDTF">2024-01-17T02:01:56Z</dcterms:modified>
</cp:coreProperties>
</file>