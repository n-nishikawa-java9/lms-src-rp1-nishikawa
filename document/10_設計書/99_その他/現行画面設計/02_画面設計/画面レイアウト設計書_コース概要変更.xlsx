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EDB08BC2-F413-4DD1-ADE3-D819EAACC1B9}" xr6:coauthVersionLast="45" xr6:coauthVersionMax="45" xr10:uidLastSave="{00000000-0000-0000-0000-000000000000}"/>
  <bookViews>
    <workbookView xWindow="-20610" yWindow="-120" windowWidth="20730" windowHeight="11160" tabRatio="807" xr2:uid="{00000000-000D-0000-FFFF-FFFF00000000}"/>
  </bookViews>
  <sheets>
    <sheet name="表紙" sheetId="4" r:id="rId1"/>
    <sheet name="更新履歴" sheetId="5" r:id="rId2"/>
    <sheet name="コース概要変更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'コース概要変更画面（管理者権限）'!$A$1:$BF$71</definedName>
    <definedName name="_xlnm.Print_Area" localSheetId="1">更新履歴!$A$1:$BC$33</definedName>
    <definedName name="_xlnm.Print_Titles" localSheetId="2">'コース概要変更画面（管理者権限）'!$1:$4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<sst xmlns="http://schemas.openxmlformats.org/spreadsheetml/2006/main" count="156" uniqueCount="88">
  <si>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</si>
  <si>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</si>
  <si>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</si>
  <si>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</si>
  <si>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</si>
  <si>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</si>
  <si>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</si>
  <si>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</si>
  <si>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</si>
  <si>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</si>
  <si>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</si>
  <si>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</si>
  <si>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</si>
  <si>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</si>
  <si>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</si>
  <si>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</si>
  <si>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</si>
  <si>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</si>
  <si>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</si>
  <si>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</si>
  <si>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</si>
  <si>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</si>
  <si>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</si>
  <si>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</si>
  <si>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</si>
  <si>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</si>
  <si>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</si>
  <si>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</si>
  <si>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</si>
  <si>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</si>
  <si>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</si>
  <si>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</si>
  <si>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</si>
  <si>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</si>
  <si>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</si>
  <si>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</si>
  <si>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</si>
  <si>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</si>
  <si>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</si>
  <si>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LMS学習管理システム</t>
    <phoneticPr fontId="1"/>
  </si>
  <si>
    <t>送信ボタン</t>
  </si>
  <si>
    <t>courseId</t>
    <phoneticPr fontId="1"/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</si>
  <si>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</si>
  <si>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</si>
  <si>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基本情報</t>
    <rPh sb="0" eb="2">
      <t>キホン</t>
    </rPh>
    <rPh sb="2" eb="4">
      <t>ジョウホウ</t>
    </rPh>
    <phoneticPr fontId="1"/>
  </si>
  <si>
    <t>コース名</t>
    <rPh sb="3" eb="4">
      <t>メイ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</si>
  <si>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</si>
  <si>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</si>
  <si>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レポート</t>
    <phoneticPr fontId="1"/>
  </si>
  <si>
    <t>評価レポート</t>
    <rPh sb="0" eb="2">
      <t>ヒョウカ</t>
    </rPh>
    <phoneticPr fontId="1"/>
  </si>
  <si>
    <t>面談ファイル</t>
    <rPh sb="0" eb="2">
      <t>メンダン</t>
    </rPh>
    <phoneticPr fontId="1"/>
  </si>
  <si>
    <t>◆『決定』ボタン押下時</t>
    <rPh sb="2" eb="4">
      <t>ケッテイ</t>
    </rPh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</si>
  <si>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</si>
  <si>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</si>
  <si>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</si>
  <si>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</si>
  <si>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評価済の評価レポートはラベルに表示。セレクトボックスに評価済の評価レポートは表示しない</t>
    <rPh sb="0" eb="2">
      <t>ヒョウカ</t>
    </rPh>
    <rPh sb="2" eb="3">
      <t>スミ</t>
    </rPh>
    <rPh sb="4" eb="6">
      <t>ヒョウカ</t>
    </rPh>
    <rPh sb="15" eb="17">
      <t>ヒョウジ</t>
    </rPh>
    <rPh sb="27" eb="29">
      <t>ヒョウカ</t>
    </rPh>
    <rPh sb="29" eb="30">
      <t>スミ</t>
    </rPh>
    <rPh sb="31" eb="33">
      <t>ヒョウカ</t>
    </rPh>
    <rPh sb="38" eb="40">
      <t>ヒョウジ</t>
    </rPh>
    <phoneticPr fontId="1"/>
  </si>
  <si>
    <t>決定</t>
    <rPh sb="0" eb="2">
      <t>ケッテイ</t>
    </rPh>
    <phoneticPr fontId="1"/>
  </si>
  <si>
    <t>コース名ID</t>
    <rPh sb="3" eb="4">
      <t>メイ</t>
    </rPh>
    <phoneticPr fontId="1"/>
  </si>
  <si>
    <t>開始日</t>
    <phoneticPr fontId="1"/>
  </si>
  <si>
    <t>終了日</t>
    <phoneticPr fontId="1"/>
  </si>
  <si>
    <t>評価レポート</t>
    <phoneticPr fontId="1"/>
  </si>
  <si>
    <t>面談ファイル</t>
    <phoneticPr fontId="1"/>
  </si>
  <si>
    <t>/lms/course/update/detail</t>
    <phoneticPr fontId="1"/>
  </si>
  <si>
    <t>カレンダー</t>
    <phoneticPr fontId="1"/>
  </si>
  <si>
    <t>report_name</t>
    <phoneticPr fontId="1"/>
  </si>
  <si>
    <t>m_daily_report</t>
    <phoneticPr fontId="1"/>
  </si>
  <si>
    <t>データリスト</t>
    <phoneticPr fontId="1"/>
  </si>
  <si>
    <t>m_ev_report</t>
    <phoneticPr fontId="1"/>
  </si>
  <si>
    <t>file_name</t>
    <phoneticPr fontId="1"/>
  </si>
  <si>
    <t>m_meeting_file</t>
    <phoneticPr fontId="1"/>
  </si>
  <si>
    <t>テキスト</t>
    <phoneticPr fontId="1"/>
  </si>
  <si>
    <t>courseName</t>
    <phoneticPr fontId="1"/>
  </si>
  <si>
    <t>openTime</t>
    <phoneticPr fontId="1"/>
  </si>
  <si>
    <t>closeTime</t>
    <phoneticPr fontId="1"/>
  </si>
  <si>
    <t>dailyReportId</t>
    <phoneticPr fontId="1"/>
  </si>
  <si>
    <t>evReportId</t>
    <phoneticPr fontId="1"/>
  </si>
  <si>
    <t>meetingFileId</t>
    <phoneticPr fontId="1"/>
  </si>
  <si>
    <t>コース名</t>
    <phoneticPr fontId="1"/>
  </si>
  <si>
    <t>全角</t>
    <rPh sb="0" eb="2">
      <t>ゼンカク</t>
    </rPh>
    <phoneticPr fontId="1"/>
  </si>
  <si>
    <t>日付</t>
    <rPh sb="0" eb="2">
      <t>ヒヅケ</t>
    </rPh>
    <phoneticPr fontId="1"/>
  </si>
  <si>
    <t>セレクトボックス</t>
    <phoneticPr fontId="1"/>
  </si>
  <si>
    <t>ラベル&amp;セレクトボックス</t>
    <phoneticPr fontId="1"/>
  </si>
  <si>
    <t>コース概要変更画面（管理者権限）</t>
    <phoneticPr fontId="1"/>
  </si>
  <si>
    <t>【13期12月対応】
内部レビュー修正
コントローラを正しいものに修正</t>
    <rPh sb="11" eb="13">
      <t>ナイブ</t>
    </rPh>
    <rPh sb="17" eb="19">
      <t>シュウセイ</t>
    </rPh>
    <rPh sb="27" eb="28">
      <t>タダ</t>
    </rPh>
    <rPh sb="33" eb="35">
      <t>シュウセイ</t>
    </rPh>
    <phoneticPr fontId="1"/>
  </si>
  <si>
    <t>13期12月対応</t>
    <phoneticPr fontId="1"/>
  </si>
  <si>
    <t>コース概要変更画面（管理者権限）</t>
  </si>
  <si>
    <t>【13期1月対応】
レイアウトを運用完了後のものに差し替え</t>
    <rPh sb="3" eb="4">
      <t>キ</t>
    </rPh>
    <rPh sb="5" eb="6">
      <t>ガツ</t>
    </rPh>
    <rPh sb="6" eb="8">
      <t>タイオウ</t>
    </rPh>
    <rPh sb="16" eb="18">
      <t>ウンヨウ</t>
    </rPh>
    <rPh sb="18" eb="20">
      <t>カンリョウ</t>
    </rPh>
    <rPh sb="20" eb="21">
      <t>ゴ</t>
    </rPh>
    <rPh sb="25" eb="26">
      <t>サ</t>
    </rPh>
    <rPh sb="27" eb="28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</si>
</sst>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5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5" applyNumberFormat="0" applyProtection="0">
      <alignment vertical="center"/>
    </xf>
    <xf numFmtId="0" fontId="19" fillId="8" borderId="87" applyNumberFormat="0" applyProtection="0">
      <alignment vertical="center"/>
    </xf>
    <xf numFmtId="0" fontId="18" fillId="0" borderId="89" applyNumberFormat="0" applyFill="0" applyProtection="0">
      <alignment vertical="center"/>
    </xf>
    <xf numFmtId="0" fontId="13" fillId="8" borderId="85" applyNumberFormat="0" applyProtection="0">
      <alignment vertical="center"/>
    </xf>
    <xf numFmtId="0" fontId="2" fillId="10" borderId="86" applyNumberFormat="0" applyProtection="0">
      <alignment vertical="center"/>
    </xf>
    <xf numFmtId="0" fontId="46" fillId="0" borderId="88" applyNumberFormat="0" applyFill="0" applyProtection="0">
      <alignment vertical="center"/>
    </xf>
    <xf numFmtId="0" fontId="44" fillId="20" borderId="87" applyNumberFormat="0" applyProtection="0">
      <alignment vertical="center"/>
    </xf>
    <xf numFmtId="0" fontId="2" fillId="10" borderId="86" applyNumberFormat="0" applyProtection="0">
      <alignment vertical="center"/>
    </xf>
    <xf numFmtId="0" fontId="41" fillId="7" borderId="85" applyNumberFormat="0" applyProtection="0">
      <alignment vertical="center"/>
    </xf>
    <xf numFmtId="0" fontId="33" fillId="20" borderId="79" applyNumberFormat="0" applyProtection="0">
      <alignment vertical="center"/>
    </xf>
    <xf numFmtId="0" fontId="33" fillId="20" borderId="85" applyNumberFormat="0" applyProtection="0">
      <alignment vertical="center"/>
    </xf>
    <xf numFmtId="0" fontId="41" fillId="7" borderId="79" applyNumberFormat="0" applyProtection="0">
      <alignment vertical="center"/>
    </xf>
    <xf numFmtId="0" fontId="2" fillId="10" borderId="80" applyNumberFormat="0" applyProtection="0">
      <alignment vertical="center"/>
    </xf>
    <xf numFmtId="0" fontId="44" fillId="20" borderId="81" applyNumberFormat="0" applyProtection="0">
      <alignment vertical="center"/>
    </xf>
    <xf numFmtId="0" fontId="46" fillId="0" borderId="82" applyNumberFormat="0" applyFill="0" applyProtection="0">
      <alignment vertical="center"/>
    </xf>
    <xf numFmtId="0" fontId="2" fillId="10" borderId="80" applyNumberFormat="0" applyProtection="0">
      <alignment vertical="center"/>
    </xf>
    <xf numFmtId="0" fontId="13" fillId="8" borderId="79" applyNumberFormat="0" applyProtection="0">
      <alignment vertical="center"/>
    </xf>
    <xf numFmtId="0" fontId="18" fillId="0" borderId="83" applyNumberFormat="0" applyFill="0" applyProtection="0">
      <alignment vertical="center"/>
    </xf>
    <xf numFmtId="0" fontId="19" fillId="8" borderId="81" applyNumberFormat="0" applyProtection="0">
      <alignment vertical="center"/>
    </xf>
    <xf numFmtId="0" fontId="48" fillId="3" borderId="79" applyNumberFormat="0" applyProtection="0">
      <alignment vertical="center"/>
    </xf>
  </cellStyleXfs>
  <cellXfs count="246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53" fillId="33" borderId="72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3" xfId="0" applyFont="1" applyFill="1" applyBorder="1">
      <alignment vertical="center"/>
    </xf>
    <xf numFmtId="0" fontId="53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left" vertical="top"/>
    </xf>
    <xf numFmtId="0" fontId="53" fillId="32" borderId="0" xfId="0" applyFont="1" applyFill="1" applyBorder="1" applyAlignment="1">
      <alignment horizontal="left"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vertical="center"/>
    </xf>
    <xf numFmtId="0" fontId="53" fillId="32" borderId="77" xfId="0" applyFont="1" applyFill="1" applyBorder="1" applyAlignment="1">
      <alignment vertical="top"/>
    </xf>
    <xf numFmtId="0" fontId="53" fillId="32" borderId="78" xfId="0" applyFont="1" applyFill="1" applyBorder="1" applyAlignment="1">
      <alignment vertical="top" wrapText="1"/>
    </xf>
    <xf numFmtId="0" fontId="53" fillId="32" borderId="76" xfId="0" applyFont="1" applyFill="1" applyBorder="1" applyAlignment="1">
      <alignment horizontal="left" vertical="top" wrapText="1"/>
    </xf>
    <xf numFmtId="0" fontId="53" fillId="0" borderId="72" xfId="0" applyFont="1" applyBorder="1" applyAlignment="1">
      <alignment vertical="center"/>
    </xf>
    <xf numFmtId="0" fontId="53" fillId="32" borderId="75" xfId="0" applyFont="1" applyFill="1" applyBorder="1" applyAlignment="1">
      <alignment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32" borderId="76" xfId="0" applyFont="1" applyFill="1" applyBorder="1" applyAlignment="1">
      <alignment vertical="center"/>
    </xf>
    <xf numFmtId="0" fontId="56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3" fillId="33" borderId="71" xfId="0" applyFont="1" applyFill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0" xfId="102" applyFont="1" applyFill="1" applyBorder="1" applyAlignment="1">
      <alignment horizontal="center" vertical="center"/>
    </xf>
    <xf numFmtId="0" fontId="2" fillId="28" borderId="84" xfId="102" applyFont="1" applyFill="1" applyBorder="1" applyAlignment="1">
      <alignment horizontal="center" vertical="center"/>
    </xf>
    <xf numFmtId="0" fontId="2" fillId="28" borderId="91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center" vertical="center"/>
    </xf>
    <xf numFmtId="0" fontId="53" fillId="32" borderId="72" xfId="0" applyFont="1" applyFill="1" applyBorder="1" applyAlignment="1">
      <alignment horizontal="center" vertical="center"/>
    </xf>
    <xf numFmtId="0" fontId="53" fillId="32" borderId="73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75" xfId="0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2" fillId="31" borderId="71" xfId="98" applyFont="1" applyFill="1" applyBorder="1" applyAlignment="1">
      <alignment horizontal="center"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2" fillId="30" borderId="74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3" fillId="0" borderId="71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horizontal="left" vertical="center"/>
    </xf>
    <xf numFmtId="0" fontId="53" fillId="0" borderId="73" xfId="0" applyFont="1" applyFill="1" applyBorder="1" applyAlignment="1">
      <alignment horizontal="left" vertical="center"/>
    </xf>
    <xf numFmtId="0" fontId="53" fillId="0" borderId="71" xfId="0" applyFont="1" applyFill="1" applyBorder="1" applyAlignment="1">
      <alignment vertical="center"/>
    </xf>
    <xf numFmtId="0" fontId="53" fillId="0" borderId="72" xfId="0" applyFont="1" applyFill="1" applyBorder="1" applyAlignment="1">
      <alignment vertical="center"/>
    </xf>
    <xf numFmtId="0" fontId="53" fillId="0" borderId="73" xfId="0" applyFont="1" applyFill="1" applyBorder="1" applyAlignment="1">
      <alignment vertical="center"/>
    </xf>
    <xf numFmtId="0" fontId="53" fillId="32" borderId="77" xfId="0" applyFont="1" applyFill="1" applyBorder="1" applyAlignment="1">
      <alignment horizontal="left" vertical="center"/>
    </xf>
    <xf numFmtId="0" fontId="53" fillId="32" borderId="78" xfId="0" applyFont="1" applyFill="1" applyBorder="1" applyAlignment="1">
      <alignment horizontal="left" vertical="center"/>
    </xf>
    <xf numFmtId="0" fontId="53" fillId="32" borderId="76" xfId="0" applyFont="1" applyFill="1" applyBorder="1" applyAlignment="1">
      <alignment horizontal="left" vertical="center"/>
    </xf>
    <xf numFmtId="0" fontId="53" fillId="32" borderId="78" xfId="0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vertical="center"/>
    </xf>
    <xf numFmtId="0" fontId="53" fillId="32" borderId="78" xfId="0" applyFont="1" applyFill="1" applyBorder="1" applyAlignment="1">
      <alignment vertical="center"/>
    </xf>
    <xf numFmtId="0" fontId="53" fillId="32" borderId="76" xfId="0" applyFont="1" applyFill="1" applyBorder="1" applyAlignment="1">
      <alignment vertical="center"/>
    </xf>
    <xf numFmtId="0" fontId="57" fillId="0" borderId="0" xfId="0" applyFont="1" applyBorder="1" applyAlignment="1">
      <alignment horizontal="left" vertical="center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190500</xdr:colOff>
      <xdr:row>8</xdr:row>
      <xdr:rowOff>114300</xdr:rowOff>
    </xdr:from>
    <xdr:to>
      <xdr:col>84</xdr:col>
      <xdr:colOff>114300</xdr:colOff>
      <xdr:row>22</xdr:row>
      <xdr:rowOff>76200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56C5202-0C12-45F0-84FF-B038C6E0E29E}"/>
            </a:ext>
          </a:extLst>
        </xdr:cNvPr>
        <xdr:cNvSpPr/>
      </xdr:nvSpPr>
      <xdr:spPr>
        <a:xfrm>
          <a:off x="12382500" y="1485900"/>
          <a:ext cx="3924300" cy="2362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コース概要変更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name="course_updateActionForm" method="post" action="/lms/course/update/detail" class="form-horizontal"&gt;&lt;div&gt;&lt;input type="hidden" name="org.apache.struts.taglib.html.TOKEN" value="e1176c5417530b680aafe98be9368e30"&gt;&lt;/div&gt;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基本情報</a:t>
          </a:r>
          <a:r>
            <a:rPr kumimoji="1" lang="en-US" altLang="ja-JP" sz="1100"/>
            <a:t>&lt;/legend&gt;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for="courseName" class="col-lg-2 control-label"&gt;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&lt;select name="dailyReportId" id="dailyReportId" class="form-control"&gt;&lt;option value=""&gt;&lt;/option&gt;</a:t>
          </a:r>
        </a:p>
        <a:p>
          <a:pPr algn="l"/>
          <a:r>
            <a:rPr kumimoji="1" lang="en-US" altLang="ja-JP" sz="1100"/>
            <a:t>                &lt;option value="1"&gt;10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&lt;/select&gt;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for="openTime" class="col-lg-2 control-label"&gt;</a:t>
          </a:r>
          <a:r>
            <a:rPr kumimoji="1" lang="ja-JP" altLang="en-US" sz="1100"/>
            <a:t>開始日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name="openTime" value="2019-10-01" id="openTime" class="form-control datepicker"&gt;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for="closeTime" class="col-lg-2 control-label"&gt;</a:t>
          </a:r>
          <a:r>
            <a:rPr kumimoji="1" lang="ja-JP" altLang="en-US" sz="1100"/>
            <a:t>終了日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name="closeTime" value="2019-10-31" id="closeTime" class="form-control datepicker"&gt;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for="dailyReportId" class="col-lg-2 control-label"&gt;</a:t>
          </a:r>
          <a:r>
            <a:rPr kumimoji="1" lang="ja-JP" altLang="en-US" sz="1100"/>
            <a:t>レポート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&lt;select name="dailyReportId" id="dailyReportId" class="form-control"&gt;&lt;option value=""&gt;&lt;/option&gt;</a:t>
          </a:r>
        </a:p>
        <a:p>
          <a:pPr algn="l"/>
          <a:r>
            <a:rPr kumimoji="1" lang="en-US" altLang="ja-JP" sz="1100"/>
            <a:t>                &lt;option value="1"&gt;</a:t>
          </a:r>
          <a:r>
            <a:rPr kumimoji="1" lang="ja-JP" altLang="en-US" sz="1100"/>
            <a:t>日報</a:t>
          </a:r>
          <a:r>
            <a:rPr kumimoji="1" lang="en-US" altLang="ja-JP" sz="1100"/>
            <a:t>【</a:t>
          </a:r>
          <a:r>
            <a:rPr kumimoji="1" lang="ja-JP" altLang="en-US" sz="1100"/>
            <a:t>デモ</a:t>
          </a:r>
          <a:r>
            <a:rPr kumimoji="1" lang="en-US" altLang="ja-JP" sz="1100"/>
            <a:t>】&lt;/option&gt;</a:t>
          </a:r>
        </a:p>
        <a:p>
          <a:pPr algn="l"/>
          <a:r>
            <a:rPr kumimoji="1" lang="en-US" altLang="ja-JP" sz="1100"/>
            <a:t>&lt;option value="2"&gt;</a:t>
          </a:r>
          <a:r>
            <a:rPr kumimoji="1" lang="ja-JP" altLang="en-US" sz="1100"/>
            <a:t>週報</a:t>
          </a:r>
          <a:r>
            <a:rPr kumimoji="1" lang="en-US" altLang="ja-JP" sz="1100"/>
            <a:t>【</a:t>
          </a:r>
          <a:r>
            <a:rPr kumimoji="1" lang="ja-JP" altLang="en-US" sz="1100"/>
            <a:t>デモ</a:t>
          </a:r>
          <a:r>
            <a:rPr kumimoji="1" lang="en-US" altLang="ja-JP" sz="1100"/>
            <a:t>】&lt;/option&gt;</a:t>
          </a:r>
        </a:p>
        <a:p>
          <a:pPr algn="l"/>
          <a:r>
            <a:rPr kumimoji="1" lang="en-US" altLang="ja-JP" sz="1100"/>
            <a:t>&lt;option value="3"&gt;</a:t>
          </a:r>
          <a:r>
            <a:rPr kumimoji="1" lang="ja-JP" altLang="en-US" sz="1100"/>
            <a:t>日次報告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value="5"&gt;</a:t>
          </a:r>
          <a:r>
            <a:rPr kumimoji="1" lang="ja-JP" altLang="en-US" sz="1100"/>
            <a:t>週報</a:t>
          </a:r>
          <a:r>
            <a:rPr kumimoji="1" lang="en-US" altLang="ja-JP" sz="1100"/>
            <a:t>【</a:t>
          </a:r>
          <a:r>
            <a:rPr kumimoji="1" lang="ja-JP" altLang="en-US" sz="1100"/>
            <a:t>デモ</a:t>
          </a:r>
          <a:r>
            <a:rPr kumimoji="1" lang="en-US" altLang="ja-JP" sz="1100"/>
            <a:t>2】&lt;/option&gt;</a:t>
          </a:r>
        </a:p>
        <a:p>
          <a:pPr algn="l"/>
          <a:r>
            <a:rPr kumimoji="1" lang="en-US" altLang="ja-JP" sz="1100"/>
            <a:t>&lt;option value="6"&gt;</a:t>
          </a:r>
          <a:r>
            <a:rPr kumimoji="1" lang="ja-JP" altLang="en-US" sz="1100"/>
            <a:t>日報</a:t>
          </a:r>
          <a:r>
            <a:rPr kumimoji="1" lang="en-US" altLang="ja-JP" sz="1100"/>
            <a:t>【</a:t>
          </a:r>
          <a:r>
            <a:rPr kumimoji="1" lang="ja-JP" altLang="en-US" sz="1100"/>
            <a:t>アルバ様</a:t>
          </a:r>
          <a:r>
            <a:rPr kumimoji="1" lang="en-US" altLang="ja-JP" sz="1100"/>
            <a:t>】&lt;/option&gt;</a:t>
          </a:r>
        </a:p>
        <a:p>
          <a:pPr algn="l"/>
          <a:r>
            <a:rPr kumimoji="1" lang="en-US" altLang="ja-JP" sz="1100"/>
            <a:t>&lt;option value="7"&gt;</a:t>
          </a:r>
          <a:r>
            <a:rPr kumimoji="1" lang="ja-JP" altLang="en-US" sz="1100"/>
            <a:t>週報</a:t>
          </a:r>
          <a:r>
            <a:rPr kumimoji="1" lang="en-US" altLang="ja-JP" sz="1100"/>
            <a:t>(2015</a:t>
          </a:r>
          <a:r>
            <a:rPr kumimoji="1" lang="ja-JP" altLang="en-US" sz="1100"/>
            <a:t>年度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value="8"&gt;</a:t>
          </a:r>
          <a:r>
            <a:rPr kumimoji="1" lang="ja-JP" altLang="en-US" sz="1100"/>
            <a:t>日報</a:t>
          </a:r>
          <a:r>
            <a:rPr kumimoji="1" lang="en-US" altLang="ja-JP" sz="1100"/>
            <a:t>【TEST】&lt;/option&gt;</a:t>
          </a:r>
        </a:p>
        <a:p>
          <a:pPr algn="l"/>
          <a:r>
            <a:rPr kumimoji="1" lang="en-US" altLang="ja-JP" sz="1100"/>
            <a:t>&lt;option value="9"&gt;</a:t>
          </a:r>
          <a:r>
            <a:rPr kumimoji="1" lang="ja-JP" altLang="en-US" sz="1100"/>
            <a:t>月報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value="10"&gt;</a:t>
          </a:r>
          <a:r>
            <a:rPr kumimoji="1" lang="ja-JP" altLang="en-US" sz="1100"/>
            <a:t>週報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value="11"&gt;</a:t>
          </a:r>
          <a:r>
            <a:rPr kumimoji="1" lang="ja-JP" altLang="en-US" sz="1100"/>
            <a:t>日報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value="12"&gt;</a:t>
          </a:r>
          <a:r>
            <a:rPr kumimoji="1" lang="ja-JP" altLang="en-US" sz="1100"/>
            <a:t>日報</a:t>
          </a:r>
          <a:r>
            <a:rPr kumimoji="1" lang="en-US" altLang="ja-JP" sz="1100"/>
            <a:t>【</a:t>
          </a:r>
          <a:r>
            <a:rPr kumimoji="1" lang="ja-JP" altLang="en-US" sz="1100"/>
            <a:t>テスト</a:t>
          </a:r>
          <a:r>
            <a:rPr kumimoji="1" lang="en-US" altLang="ja-JP" sz="1100"/>
            <a:t>】&lt;/option&gt;</a:t>
          </a:r>
        </a:p>
        <a:p>
          <a:pPr algn="l"/>
          <a:r>
            <a:rPr kumimoji="1" lang="en-US" altLang="ja-JP" sz="1100"/>
            <a:t>&lt;option value="14"&gt;2017</a:t>
          </a:r>
          <a:r>
            <a:rPr kumimoji="1" lang="ja-JP" altLang="en-US" sz="1100"/>
            <a:t>年度日報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value="15"&gt;2017</a:t>
          </a:r>
          <a:r>
            <a:rPr kumimoji="1" lang="ja-JP" altLang="en-US" sz="1100"/>
            <a:t>年度月報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value="17"&gt;</a:t>
          </a:r>
          <a:r>
            <a:rPr kumimoji="1" lang="ja-JP" altLang="en-US" sz="1100"/>
            <a:t>講師への質問事項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value="18"&gt;</a:t>
          </a:r>
          <a:r>
            <a:rPr kumimoji="1" lang="ja-JP" altLang="en-US" sz="1100"/>
            <a:t>設計・</a:t>
          </a:r>
          <a:r>
            <a:rPr kumimoji="1" lang="en-US" altLang="ja-JP" sz="1100"/>
            <a:t>Linux</a:t>
          </a:r>
          <a:r>
            <a:rPr kumimoji="1" lang="ja-JP" altLang="en-US" sz="1100"/>
            <a:t>・</a:t>
          </a:r>
          <a:r>
            <a:rPr kumimoji="1" lang="en-US" altLang="ja-JP" sz="1100"/>
            <a:t>JS</a:t>
          </a:r>
          <a:r>
            <a:rPr kumimoji="1" lang="ja-JP" altLang="en-US" sz="1100"/>
            <a:t>コース</a:t>
          </a:r>
          <a:r>
            <a:rPr kumimoji="1" lang="en-US" altLang="ja-JP" sz="1100"/>
            <a:t>_</a:t>
          </a:r>
          <a:r>
            <a:rPr kumimoji="1" lang="ja-JP" altLang="en-US" sz="1100"/>
            <a:t>研修報告書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value="19"&gt;</a:t>
          </a:r>
          <a:r>
            <a:rPr kumimoji="1" lang="ja-JP" altLang="en-US" sz="1100"/>
            <a:t>月報</a:t>
          </a:r>
          <a:r>
            <a:rPr kumimoji="1" lang="en-US" altLang="ja-JP" sz="1100"/>
            <a:t>_</a:t>
          </a:r>
          <a:r>
            <a:rPr kumimoji="1" lang="ja-JP" altLang="en-US" sz="1100"/>
            <a:t>通年研修</a:t>
          </a:r>
          <a:r>
            <a:rPr kumimoji="1" lang="en-US" altLang="ja-JP" sz="1100"/>
            <a:t>_1</a:t>
          </a:r>
          <a:r>
            <a:rPr kumimoji="1" lang="ja-JP" altLang="en-US" sz="1100"/>
            <a:t>ヶ月目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value="20"&gt;</a:t>
          </a:r>
          <a:r>
            <a:rPr kumimoji="1" lang="ja-JP" altLang="en-US" sz="1100"/>
            <a:t>月報</a:t>
          </a:r>
          <a:r>
            <a:rPr kumimoji="1" lang="en-US" altLang="ja-JP" sz="1100"/>
            <a:t>_</a:t>
          </a:r>
          <a:r>
            <a:rPr kumimoji="1" lang="ja-JP" altLang="en-US" sz="1100"/>
            <a:t>通年研修</a:t>
          </a:r>
          <a:r>
            <a:rPr kumimoji="1" lang="en-US" altLang="ja-JP" sz="1100"/>
            <a:t>_2</a:t>
          </a:r>
          <a:r>
            <a:rPr kumimoji="1" lang="ja-JP" altLang="en-US" sz="1100"/>
            <a:t>ヶ月目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value="21"&gt;</a:t>
          </a:r>
          <a:r>
            <a:rPr kumimoji="1" lang="ja-JP" altLang="en-US" sz="1100"/>
            <a:t>月報</a:t>
          </a:r>
          <a:r>
            <a:rPr kumimoji="1" lang="en-US" altLang="ja-JP" sz="1100"/>
            <a:t>_</a:t>
          </a:r>
          <a:r>
            <a:rPr kumimoji="1" lang="ja-JP" altLang="en-US" sz="1100"/>
            <a:t>通年研修</a:t>
          </a:r>
          <a:r>
            <a:rPr kumimoji="1" lang="en-US" altLang="ja-JP" sz="1100"/>
            <a:t>_3</a:t>
          </a:r>
          <a:r>
            <a:rPr kumimoji="1" lang="ja-JP" altLang="en-US" sz="1100"/>
            <a:t>ヶ月目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value="23"&gt;2018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value="24"&gt;2018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(2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value="25"&gt;2018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(3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value="26"&gt;2018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(1</a:t>
          </a:r>
          <a:r>
            <a:rPr kumimoji="1" lang="ja-JP" altLang="en-US" sz="1100"/>
            <a:t>ヶ月間コース</a:t>
          </a:r>
          <a:r>
            <a:rPr kumimoji="1" lang="en-US" altLang="ja-JP" sz="1100"/>
            <a:t>)_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value="27"&gt;2018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(2</a:t>
          </a:r>
          <a:r>
            <a:rPr kumimoji="1" lang="ja-JP" altLang="en-US" sz="1100"/>
            <a:t>ヶ月間コース</a:t>
          </a:r>
          <a:r>
            <a:rPr kumimoji="1" lang="en-US" altLang="ja-JP" sz="1100"/>
            <a:t>)_</a:t>
          </a:r>
          <a:r>
            <a:rPr kumimoji="1" lang="ja-JP" altLang="en-US" sz="1100"/>
            <a:t>月報</a:t>
          </a:r>
          <a:r>
            <a:rPr kumimoji="1" lang="en-US" altLang="ja-JP" sz="1100"/>
            <a:t>(2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value="28"&gt;2018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(</a:t>
          </a:r>
          <a:r>
            <a:rPr kumimoji="1" lang="ja-JP" altLang="en-US" sz="1100"/>
            <a:t>インフラコース</a:t>
          </a:r>
          <a:r>
            <a:rPr kumimoji="1" lang="en-US" altLang="ja-JP" sz="1100"/>
            <a:t>)_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value="29"&gt;2018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)_f5&lt;/option&gt;</a:t>
          </a:r>
        </a:p>
        <a:p>
          <a:pPr algn="l"/>
          <a:r>
            <a:rPr kumimoji="1" lang="en-US" altLang="ja-JP" sz="1100"/>
            <a:t>&lt;option value="30"&gt;2018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(2</a:t>
          </a:r>
          <a:r>
            <a:rPr kumimoji="1" lang="ja-JP" altLang="en-US" sz="1100"/>
            <a:t>ヶ月目</a:t>
          </a:r>
          <a:r>
            <a:rPr kumimoji="1" lang="en-US" altLang="ja-JP" sz="1100"/>
            <a:t>)_f5&lt;/option&gt;</a:t>
          </a:r>
        </a:p>
        <a:p>
          <a:pPr algn="l"/>
          <a:r>
            <a:rPr kumimoji="1" lang="en-US" altLang="ja-JP" sz="1100"/>
            <a:t>&lt;option value="31"&gt;2018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(3</a:t>
          </a:r>
          <a:r>
            <a:rPr kumimoji="1" lang="ja-JP" altLang="en-US" sz="1100"/>
            <a:t>ヶ月目</a:t>
          </a:r>
          <a:r>
            <a:rPr kumimoji="1" lang="en-US" altLang="ja-JP" sz="1100"/>
            <a:t>)_f5&lt;/option&gt;</a:t>
          </a:r>
        </a:p>
        <a:p>
          <a:pPr algn="l"/>
          <a:r>
            <a:rPr kumimoji="1" lang="en-US" altLang="ja-JP" sz="1100"/>
            <a:t>&lt;option value="32"&gt;2018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(1</a:t>
          </a:r>
          <a:r>
            <a:rPr kumimoji="1" lang="ja-JP" altLang="en-US" sz="1100"/>
            <a:t>ヶ月間コース</a:t>
          </a:r>
          <a:r>
            <a:rPr kumimoji="1" lang="en-US" altLang="ja-JP" sz="1100"/>
            <a:t>)_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)_f5&lt;/option&gt;</a:t>
          </a:r>
        </a:p>
        <a:p>
          <a:pPr algn="l"/>
          <a:r>
            <a:rPr kumimoji="1" lang="en-US" altLang="ja-JP" sz="1100"/>
            <a:t>&lt;option value="33"&gt;2018</a:t>
          </a:r>
          <a:r>
            <a:rPr kumimoji="1" lang="ja-JP" altLang="en-US" sz="1100"/>
            <a:t>年度新人研修</a:t>
          </a:r>
          <a:r>
            <a:rPr kumimoji="1" lang="en-US" altLang="ja-JP" sz="1100"/>
            <a:t>(2</a:t>
          </a:r>
          <a:r>
            <a:rPr kumimoji="1" lang="ja-JP" altLang="en-US" sz="1100"/>
            <a:t>ヶ月間コース</a:t>
          </a:r>
          <a:r>
            <a:rPr kumimoji="1" lang="en-US" altLang="ja-JP" sz="1100"/>
            <a:t>)_</a:t>
          </a:r>
          <a:r>
            <a:rPr kumimoji="1" lang="ja-JP" altLang="en-US" sz="1100"/>
            <a:t>月報</a:t>
          </a:r>
          <a:r>
            <a:rPr kumimoji="1" lang="en-US" altLang="ja-JP" sz="1100"/>
            <a:t>(2</a:t>
          </a:r>
          <a:r>
            <a:rPr kumimoji="1" lang="ja-JP" altLang="en-US" sz="1100"/>
            <a:t>ヶ月目</a:t>
          </a:r>
          <a:r>
            <a:rPr kumimoji="1" lang="en-US" altLang="ja-JP" sz="1100"/>
            <a:t>)_f5&lt;/option&gt;</a:t>
          </a:r>
        </a:p>
        <a:p>
          <a:pPr algn="l"/>
          <a:r>
            <a:rPr kumimoji="1" lang="en-US" altLang="ja-JP" sz="1100"/>
            <a:t>&lt;option value="34"&gt;</a:t>
          </a:r>
          <a:r>
            <a:rPr kumimoji="1" lang="ja-JP" altLang="en-US" sz="1100"/>
            <a:t>言語経験事前確認シート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value="36"&gt;2018</a:t>
          </a:r>
          <a:r>
            <a:rPr kumimoji="1" lang="ja-JP" altLang="en-US" sz="1100"/>
            <a:t>年度通年研修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(3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value="38"&gt;2018</a:t>
          </a:r>
          <a:r>
            <a:rPr kumimoji="1" lang="ja-JP" altLang="en-US" sz="1100"/>
            <a:t>年度通年研修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value="39"&gt;2018</a:t>
          </a:r>
          <a:r>
            <a:rPr kumimoji="1" lang="ja-JP" altLang="en-US" sz="1100"/>
            <a:t>年度ブラッシュアップ研修</a:t>
          </a:r>
          <a:r>
            <a:rPr kumimoji="1" lang="en-US" altLang="ja-JP" sz="1100"/>
            <a:t>_</a:t>
          </a:r>
          <a:r>
            <a:rPr kumimoji="1" lang="ja-JP" altLang="en-US" sz="1100"/>
            <a:t>月報</a:t>
          </a:r>
          <a:r>
            <a:rPr kumimoji="1" lang="en-US" altLang="ja-JP" sz="1100"/>
            <a:t>(1</a:t>
          </a:r>
          <a:r>
            <a:rPr kumimoji="1" lang="ja-JP" altLang="en-US" sz="1100"/>
            <a:t>ヶ月目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&lt;option value="40"&gt;</a:t>
          </a:r>
          <a:r>
            <a:rPr kumimoji="1" lang="ja-JP" altLang="en-US" sz="1100"/>
            <a:t>日報</a:t>
          </a:r>
          <a:r>
            <a:rPr kumimoji="1" lang="en-US" altLang="ja-JP" sz="1100"/>
            <a:t>_</a:t>
          </a:r>
          <a:r>
            <a:rPr kumimoji="1" lang="ja-JP" altLang="en-US" sz="1100"/>
            <a:t>三井情報株式会社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value="41"&gt;【</a:t>
          </a:r>
          <a:r>
            <a:rPr kumimoji="1" lang="ja-JP" altLang="en-US" sz="1100"/>
            <a:t>櫻井テスト</a:t>
          </a:r>
          <a:r>
            <a:rPr kumimoji="1" lang="en-US" altLang="ja-JP" sz="1100"/>
            <a:t>】</a:t>
          </a:r>
          <a:r>
            <a:rPr kumimoji="1" lang="ja-JP" altLang="en-US" sz="1100"/>
            <a:t>日報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value="45"&gt;test</a:t>
          </a:r>
          <a:r>
            <a:rPr kumimoji="1" lang="ja-JP" altLang="en-US" sz="1100"/>
            <a:t>日報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value="46"&gt;</a:t>
          </a:r>
          <a:r>
            <a:rPr kumimoji="1" lang="ja-JP" altLang="en-US" sz="1100"/>
            <a:t>シナリオ</a:t>
          </a:r>
          <a:r>
            <a:rPr kumimoji="1" lang="en-US" altLang="ja-JP" sz="1100"/>
            <a:t>16&lt;/option&gt;</a:t>
          </a:r>
        </a:p>
        <a:p>
          <a:pPr algn="l"/>
          <a:r>
            <a:rPr kumimoji="1" lang="en-US" altLang="ja-JP" sz="1100"/>
            <a:t>&lt;option value="48"&gt;2019</a:t>
          </a:r>
          <a:r>
            <a:rPr kumimoji="1" lang="ja-JP" altLang="en-US" sz="1100"/>
            <a:t>年度月報</a:t>
          </a:r>
          <a:r>
            <a:rPr kumimoji="1" lang="en-US" altLang="ja-JP" sz="1100"/>
            <a:t>_</a:t>
          </a:r>
          <a:r>
            <a:rPr kumimoji="1" lang="ja-JP" altLang="en-US" sz="1100"/>
            <a:t>新人研修</a:t>
          </a:r>
          <a:r>
            <a:rPr kumimoji="1" lang="en-US" altLang="ja-JP" sz="1100"/>
            <a:t>_ABC</a:t>
          </a:r>
          <a:r>
            <a:rPr kumimoji="1" lang="ja-JP" altLang="en-US" sz="1100"/>
            <a:t>コース</a:t>
          </a:r>
          <a:r>
            <a:rPr kumimoji="1" lang="en-US" altLang="ja-JP" sz="1100"/>
            <a:t>_1</a:t>
          </a:r>
          <a:r>
            <a:rPr kumimoji="1" lang="ja-JP" altLang="en-US" sz="1100"/>
            <a:t>ヶ月目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value="53"&gt;【</a:t>
          </a:r>
          <a:r>
            <a:rPr kumimoji="1" lang="ja-JP" altLang="en-US" sz="1100"/>
            <a:t>櫻井テスト</a:t>
          </a:r>
          <a:r>
            <a:rPr kumimoji="1" lang="en-US" altLang="ja-JP" sz="1100"/>
            <a:t>】</a:t>
          </a:r>
          <a:r>
            <a:rPr kumimoji="1" lang="ja-JP" altLang="en-US" sz="1100"/>
            <a:t>月報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value="54"&gt;</a:t>
          </a:r>
          <a:r>
            <a:rPr kumimoji="1" lang="ja-JP" altLang="en-US" sz="1100"/>
            <a:t>テスト報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value="55"&gt;</a:t>
          </a:r>
          <a:r>
            <a:rPr kumimoji="1" lang="ja-JP" altLang="en-US" sz="1100"/>
            <a:t>テスト報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&lt;option value="56" selected="selected"&gt;</a:t>
          </a:r>
          <a:r>
            <a:rPr kumimoji="1" lang="ja-JP" altLang="en-US" sz="1100"/>
            <a:t>成長度レポート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for="evReportId" class="col-lg-2 control-label"&gt;</a:t>
          </a:r>
          <a:r>
            <a:rPr kumimoji="1" lang="ja-JP" altLang="en-US" sz="1100"/>
            <a:t>評価レポート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</a:t>
          </a:r>
        </a:p>
        <a:p>
          <a:pPr algn="l"/>
          <a:r>
            <a:rPr kumimoji="1" lang="en-US" altLang="ja-JP" sz="1100"/>
            <a:t>   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</a:t>
          </a:r>
        </a:p>
        <a:p>
          <a:pPr algn="l"/>
          <a:r>
            <a:rPr kumimoji="1" lang="en-US" altLang="ja-JP" sz="1100"/>
            <a:t>              &lt;div class="col-lg-10"&gt;</a:t>
          </a:r>
        </a:p>
        <a:p>
          <a:pPr algn="l"/>
          <a:r>
            <a:rPr kumimoji="1" lang="en-US" altLang="ja-JP" sz="1100"/>
            <a:t>               &lt;br&gt;</a:t>
          </a:r>
        </a:p>
        <a:p>
          <a:pPr algn="l"/>
          <a:r>
            <a:rPr kumimoji="1" lang="en-US" altLang="ja-JP" sz="1100"/>
            <a:t>               &lt;br&gt;</a:t>
          </a:r>
        </a:p>
        <a:p>
          <a:pPr algn="l"/>
          <a:r>
            <a:rPr kumimoji="1" lang="en-US" altLang="ja-JP" sz="1100"/>
            <a:t>                  &lt;label&gt;</a:t>
          </a:r>
          <a:r>
            <a:rPr kumimoji="1" lang="ja-JP" altLang="en-US" sz="1100"/>
            <a:t>評価済</a:t>
          </a:r>
          <a:r>
            <a:rPr kumimoji="1" lang="en-US" altLang="ja-JP" sz="1100"/>
            <a:t>&lt;/label&gt;&lt;br&gt;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&lt;div&gt;</a:t>
          </a:r>
          <a:r>
            <a:rPr kumimoji="1" lang="ja-JP" altLang="en-US" sz="1100"/>
            <a:t>　テスト評価レポート</a:t>
          </a:r>
          <a:r>
            <a:rPr kumimoji="1" lang="en-US" altLang="ja-JP" sz="1100"/>
            <a:t>&lt;/div&gt;&lt;br&gt;</a:t>
          </a:r>
        </a:p>
        <a:p>
          <a:pPr algn="l"/>
          <a:r>
            <a:rPr kumimoji="1" lang="en-US" altLang="ja-JP" sz="1100"/>
            <a:t>              &lt;select name="evReportId" multiple="multiple" id="evReportId" class="form-control"&gt;&lt;option value="32"&gt;【2017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】1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_1.0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value="33"&gt;【2017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ヵ月目レポート</a:t>
          </a:r>
          <a:r>
            <a:rPr kumimoji="1" lang="en-US" altLang="ja-JP" sz="1100"/>
            <a:t>_1.0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value="34"&gt;【2017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_1.0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value="46"&gt;【2017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3</a:t>
          </a:r>
          <a:r>
            <a:rPr kumimoji="1" lang="ja-JP" altLang="en-US" sz="1100"/>
            <a:t>ヵ月コース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value="50"&gt;【2017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_1.1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value="51"&gt;【2017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2</a:t>
          </a:r>
          <a:r>
            <a:rPr kumimoji="1" lang="ja-JP" altLang="en-US" sz="1100"/>
            <a:t>ヵ月コース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value="52"&gt;【2017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1</a:t>
          </a:r>
          <a:r>
            <a:rPr kumimoji="1" lang="ja-JP" altLang="en-US" sz="1100"/>
            <a:t>ヵ月コース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value="56"&gt;【2017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研修レポートインフラコース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value="57"&gt;【2017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1</a:t>
          </a:r>
          <a:r>
            <a:rPr kumimoji="1" lang="ja-JP" altLang="en-US" sz="1100"/>
            <a:t>ヵ月コース</a:t>
          </a:r>
          <a:r>
            <a:rPr kumimoji="1" lang="en-US" altLang="ja-JP" sz="1100"/>
            <a:t>(6</a:t>
          </a:r>
          <a:r>
            <a:rPr kumimoji="1" lang="ja-JP" altLang="en-US" sz="1100"/>
            <a:t>月</a:t>
          </a:r>
          <a:r>
            <a:rPr kumimoji="1" lang="en-US" altLang="ja-JP" sz="1100"/>
            <a:t>2</a:t>
          </a:r>
          <a:r>
            <a:rPr kumimoji="1" lang="ja-JP" altLang="en-US" sz="1100"/>
            <a:t>日修了生用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					&lt;option value="58"&gt;【2017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2</a:t>
          </a:r>
          <a:r>
            <a:rPr kumimoji="1" lang="ja-JP" altLang="en-US" sz="1100"/>
            <a:t>ヵ月コース</a:t>
          </a:r>
          <a:r>
            <a:rPr kumimoji="1" lang="en-US" altLang="ja-JP" sz="1100"/>
            <a:t>(</a:t>
          </a:r>
          <a:r>
            <a:rPr kumimoji="1" lang="ja-JP" altLang="en-US" sz="1100"/>
            <a:t>途中修了受講生用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					&lt;option value="59"&gt;【2017</a:t>
          </a:r>
          <a:r>
            <a:rPr kumimoji="1" lang="ja-JP" altLang="en-US" sz="1100"/>
            <a:t>年度新人研修</a:t>
          </a:r>
          <a:r>
            <a:rPr kumimoji="1" lang="en-US" altLang="ja-JP" sz="1100"/>
            <a:t>】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value="62"&gt;【2017</a:t>
          </a:r>
          <a:r>
            <a:rPr kumimoji="1" lang="ja-JP" altLang="en-US" sz="1100"/>
            <a:t>年度新人研修</a:t>
          </a:r>
          <a:r>
            <a:rPr kumimoji="1" lang="en-US" altLang="ja-JP" sz="1100"/>
            <a:t>】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value="64"&gt;【2017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value="65"&gt;【2017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3</a:t>
          </a:r>
          <a:r>
            <a:rPr kumimoji="1" lang="ja-JP" altLang="en-US" sz="1100"/>
            <a:t>ヵ月コース</a:t>
          </a:r>
          <a:r>
            <a:rPr kumimoji="1" lang="en-US" altLang="ja-JP" sz="1100"/>
            <a:t>(</a:t>
          </a:r>
          <a:r>
            <a:rPr kumimoji="1" lang="ja-JP" altLang="en-US" sz="1100"/>
            <a:t>評価レポート</a:t>
          </a:r>
          <a:r>
            <a:rPr kumimoji="1" lang="en-US" altLang="ja-JP" sz="1100"/>
            <a:t>ID46</a:t>
          </a:r>
          <a:r>
            <a:rPr kumimoji="1" lang="ja-JP" altLang="en-US" sz="1100"/>
            <a:t>の</a:t>
          </a:r>
          <a:r>
            <a:rPr kumimoji="1" lang="en-US" altLang="ja-JP" sz="1100"/>
            <a:t>backup)&lt;/option&gt;</a:t>
          </a:r>
        </a:p>
        <a:p>
          <a:pPr algn="l"/>
          <a:r>
            <a:rPr kumimoji="1" lang="en-US" altLang="ja-JP" sz="1100"/>
            <a:t>					&lt;option value="66"&gt;【2017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研修レポート</a:t>
          </a:r>
          <a:r>
            <a:rPr kumimoji="1" lang="en-US" altLang="ja-JP" sz="1100"/>
            <a:t>2</a:t>
          </a:r>
          <a:r>
            <a:rPr kumimoji="1" lang="ja-JP" altLang="en-US" sz="1100"/>
            <a:t>ヵ月コース</a:t>
          </a:r>
          <a:r>
            <a:rPr kumimoji="1" lang="en-US" altLang="ja-JP" sz="1100"/>
            <a:t>(</a:t>
          </a:r>
          <a:r>
            <a:rPr kumimoji="1" lang="ja-JP" altLang="en-US" sz="1100"/>
            <a:t>評価レポート</a:t>
          </a:r>
          <a:r>
            <a:rPr kumimoji="1" lang="en-US" altLang="ja-JP" sz="1100"/>
            <a:t>ID51</a:t>
          </a:r>
          <a:r>
            <a:rPr kumimoji="1" lang="ja-JP" altLang="en-US" sz="1100"/>
            <a:t>の</a:t>
          </a:r>
          <a:r>
            <a:rPr kumimoji="1" lang="en-US" altLang="ja-JP" sz="1100"/>
            <a:t>backup)&lt;/option&gt;</a:t>
          </a:r>
        </a:p>
        <a:p>
          <a:pPr algn="l"/>
          <a:r>
            <a:rPr kumimoji="1" lang="en-US" altLang="ja-JP" sz="1100"/>
            <a:t>					&lt;option value="67"&gt;【2017</a:t>
          </a:r>
          <a:r>
            <a:rPr kumimoji="1" lang="ja-JP" altLang="en-US" sz="1100"/>
            <a:t>年度新人研修システムズデザイン様</a:t>
          </a:r>
          <a:r>
            <a:rPr kumimoji="1" lang="en-US" altLang="ja-JP" sz="1100"/>
            <a:t>】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value="68"&gt;【2017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_1.1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value="69"&gt;</a:t>
          </a:r>
          <a:r>
            <a:rPr kumimoji="1" lang="ja-JP" altLang="en-US" sz="1100"/>
            <a:t>情報システム株式会社様</a:t>
          </a:r>
          <a:r>
            <a:rPr kumimoji="1" lang="en-US" altLang="ja-JP" sz="1100"/>
            <a:t>_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value="70"&gt;【2017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】1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_1.1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value="72"&gt;【2017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_1.2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value="73"&gt;【2017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_1.2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value="74"&gt;【2017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】1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_1.2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value="75"&gt;【2018</a:t>
          </a:r>
          <a:r>
            <a:rPr kumimoji="1" lang="ja-JP" altLang="en-US" sz="1100"/>
            <a:t>年度新人研修ステム様</a:t>
          </a:r>
          <a:r>
            <a:rPr kumimoji="1" lang="en-US" altLang="ja-JP" sz="1100"/>
            <a:t>】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value="76"&gt;【2017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_1.3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value="77"&gt;【2017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_1.3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value="78"&gt;【2017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カ月目レポート</a:t>
          </a:r>
          <a:r>
            <a:rPr kumimoji="1" lang="en-US" altLang="ja-JP" sz="1100"/>
            <a:t>_1.4</a:t>
          </a:r>
          <a:r>
            <a:rPr kumimoji="1" lang="ja-JP" altLang="en-US" sz="1100"/>
            <a:t>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value="79"&gt;【2018</a:t>
          </a:r>
          <a:r>
            <a:rPr kumimoji="1" lang="ja-JP" altLang="en-US" sz="1100"/>
            <a:t>年新人研修</a:t>
          </a:r>
          <a:r>
            <a:rPr kumimoji="1" lang="en-US" altLang="ja-JP" sz="1100"/>
            <a:t>】1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value="80"&gt;【2018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インフラコース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value="81"&gt;【2018</a:t>
          </a:r>
          <a:r>
            <a:rPr kumimoji="1" lang="ja-JP" altLang="en-US" sz="1100"/>
            <a:t>年新人研修</a:t>
          </a:r>
          <a:r>
            <a:rPr kumimoji="1" lang="en-US" altLang="ja-JP" sz="1100"/>
            <a:t>】2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value="82"&gt;【2018</a:t>
          </a:r>
          <a:r>
            <a:rPr kumimoji="1" lang="ja-JP" altLang="en-US" sz="1100"/>
            <a:t>年新人研修</a:t>
          </a:r>
          <a:r>
            <a:rPr kumimoji="1" lang="en-US" altLang="ja-JP" sz="1100"/>
            <a:t>】3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value="83"&gt;【2018</a:t>
          </a:r>
          <a:r>
            <a:rPr kumimoji="1" lang="ja-JP" altLang="en-US" sz="1100"/>
            <a:t>年新人研修</a:t>
          </a:r>
          <a:r>
            <a:rPr kumimoji="1" lang="en-US" altLang="ja-JP" sz="1100"/>
            <a:t>】</a:t>
          </a:r>
          <a:r>
            <a:rPr kumimoji="1" lang="ja-JP" altLang="en-US" sz="1100"/>
            <a:t>インフラ</a:t>
          </a:r>
          <a:r>
            <a:rPr kumimoji="1" lang="en-US" altLang="ja-JP" sz="1100"/>
            <a:t>&amp;amp;Java</a:t>
          </a:r>
          <a:r>
            <a:rPr kumimoji="1" lang="ja-JP" altLang="en-US" sz="1100"/>
            <a:t>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value="85"&gt;【2018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value="87"&gt;【2018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value="88"&gt;【2018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】1</a:t>
          </a:r>
          <a:r>
            <a:rPr kumimoji="1" lang="ja-JP" altLang="en-US" sz="1100"/>
            <a:t>ヶ月間コース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value="90"&gt;2018_</a:t>
          </a:r>
          <a:r>
            <a:rPr kumimoji="1" lang="ja-JP" altLang="en-US" sz="1100"/>
            <a:t>情報システム株式会社様</a:t>
          </a:r>
          <a:r>
            <a:rPr kumimoji="1" lang="en-US" altLang="ja-JP" sz="1100"/>
            <a:t>_</a:t>
          </a:r>
          <a:r>
            <a:rPr kumimoji="1" lang="ja-JP" altLang="en-US" sz="1100"/>
            <a:t>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value="91"&gt;【2018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】1</a:t>
          </a:r>
          <a:r>
            <a:rPr kumimoji="1" lang="ja-JP" altLang="en-US" sz="1100"/>
            <a:t>ヶ月間コース</a:t>
          </a:r>
          <a:r>
            <a:rPr kumimoji="1" lang="en-US" altLang="ja-JP" sz="1100"/>
            <a:t>(2019</a:t>
          </a:r>
          <a:r>
            <a:rPr kumimoji="1" lang="ja-JP" altLang="en-US" sz="1100"/>
            <a:t>年</a:t>
          </a:r>
          <a:r>
            <a:rPr kumimoji="1" lang="en-US" altLang="ja-JP" sz="1100"/>
            <a:t>1</a:t>
          </a:r>
          <a:r>
            <a:rPr kumimoji="1" lang="ja-JP" altLang="en-US" sz="1100"/>
            <a:t>～</a:t>
          </a:r>
          <a:r>
            <a:rPr kumimoji="1" lang="en-US" altLang="ja-JP" sz="1100"/>
            <a:t>3</a:t>
          </a:r>
          <a:r>
            <a:rPr kumimoji="1" lang="ja-JP" altLang="en-US" sz="1100"/>
            <a:t>月コース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					&lt;option value="92"&gt;【2018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】2</a:t>
          </a:r>
          <a:r>
            <a:rPr kumimoji="1" lang="ja-JP" altLang="en-US" sz="1100"/>
            <a:t>ヶ月間コース</a:t>
          </a:r>
          <a:r>
            <a:rPr kumimoji="1" lang="en-US" altLang="ja-JP" sz="1100"/>
            <a:t>(2019</a:t>
          </a:r>
          <a:r>
            <a:rPr kumimoji="1" lang="ja-JP" altLang="en-US" sz="1100"/>
            <a:t>年</a:t>
          </a:r>
          <a:r>
            <a:rPr kumimoji="1" lang="en-US" altLang="ja-JP" sz="1100"/>
            <a:t>1</a:t>
          </a:r>
          <a:r>
            <a:rPr kumimoji="1" lang="ja-JP" altLang="en-US" sz="1100"/>
            <a:t>～</a:t>
          </a:r>
          <a:r>
            <a:rPr kumimoji="1" lang="en-US" altLang="ja-JP" sz="1100"/>
            <a:t>3</a:t>
          </a:r>
          <a:r>
            <a:rPr kumimoji="1" lang="ja-JP" altLang="en-US" sz="1100"/>
            <a:t>月コース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					&lt;option value="93"&gt;【2018</a:t>
          </a:r>
          <a:r>
            <a:rPr kumimoji="1" lang="ja-JP" altLang="en-US" sz="1100"/>
            <a:t>年通年研修</a:t>
          </a:r>
          <a:r>
            <a:rPr kumimoji="1" lang="en-US" altLang="ja-JP" sz="1100"/>
            <a:t>】3</a:t>
          </a:r>
          <a:r>
            <a:rPr kumimoji="1" lang="ja-JP" altLang="en-US" sz="1100"/>
            <a:t>ヶ月間コース</a:t>
          </a:r>
          <a:r>
            <a:rPr kumimoji="1" lang="en-US" altLang="ja-JP" sz="1100"/>
            <a:t>(2019</a:t>
          </a:r>
          <a:r>
            <a:rPr kumimoji="1" lang="ja-JP" altLang="en-US" sz="1100"/>
            <a:t>年</a:t>
          </a:r>
          <a:r>
            <a:rPr kumimoji="1" lang="en-US" altLang="ja-JP" sz="1100"/>
            <a:t>1</a:t>
          </a:r>
          <a:r>
            <a:rPr kumimoji="1" lang="ja-JP" altLang="en-US" sz="1100"/>
            <a:t>～</a:t>
          </a:r>
          <a:r>
            <a:rPr kumimoji="1" lang="en-US" altLang="ja-JP" sz="1100"/>
            <a:t>3</a:t>
          </a:r>
          <a:r>
            <a:rPr kumimoji="1" lang="ja-JP" altLang="en-US" sz="1100"/>
            <a:t>月コース</a:t>
          </a:r>
          <a:r>
            <a:rPr kumimoji="1" lang="en-US" altLang="ja-JP" sz="1100"/>
            <a:t>)&lt;/option&gt;</a:t>
          </a:r>
        </a:p>
        <a:p>
          <a:pPr algn="l"/>
          <a:r>
            <a:rPr kumimoji="1" lang="en-US" altLang="ja-JP" sz="1100"/>
            <a:t>					&lt;option value="96"&gt;test</a:t>
          </a:r>
          <a:r>
            <a:rPr kumimoji="1" lang="ja-JP" altLang="en-US" sz="1100"/>
            <a:t>評価レポート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					&lt;option value="97"&gt;test</a:t>
          </a:r>
          <a:r>
            <a:rPr kumimoji="1" lang="ja-JP" altLang="en-US" sz="1100"/>
            <a:t>評価レポート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					&lt;option value="98"&gt;</a:t>
          </a:r>
          <a:r>
            <a:rPr kumimoji="1" lang="ja-JP" altLang="en-US" sz="1100"/>
            <a:t>結合テスト用評価レポート</a:t>
          </a:r>
          <a:r>
            <a:rPr kumimoji="1" lang="en-US" altLang="ja-JP" sz="1100"/>
            <a:t>01&lt;/option&gt;</a:t>
          </a:r>
        </a:p>
        <a:p>
          <a:pPr algn="l"/>
          <a:r>
            <a:rPr kumimoji="1" lang="en-US" altLang="ja-JP" sz="1100"/>
            <a:t>					&lt;option value="101"&gt;</a:t>
          </a:r>
          <a:r>
            <a:rPr kumimoji="1" lang="ja-JP" altLang="en-US" sz="1100"/>
            <a:t>シナリオ</a:t>
          </a:r>
          <a:r>
            <a:rPr kumimoji="1" lang="en-US" altLang="ja-JP" sz="1100"/>
            <a:t>8&lt;/option&gt;</a:t>
          </a:r>
        </a:p>
        <a:p>
          <a:pPr algn="l"/>
          <a:r>
            <a:rPr kumimoji="1" lang="en-US" altLang="ja-JP" sz="1100"/>
            <a:t>					&lt;option value="104"&gt;</a:t>
          </a:r>
          <a:r>
            <a:rPr kumimoji="1" lang="ja-JP" altLang="en-US" sz="1100"/>
            <a:t>シナリオ</a:t>
          </a:r>
          <a:r>
            <a:rPr kumimoji="1" lang="en-US" altLang="ja-JP" sz="1100"/>
            <a:t>8&lt;/option&gt;</a:t>
          </a:r>
        </a:p>
        <a:p>
          <a:pPr algn="l"/>
          <a:r>
            <a:rPr kumimoji="1" lang="en-US" altLang="ja-JP" sz="1100"/>
            <a:t>					&lt;option value="106"&gt;</a:t>
          </a:r>
          <a:r>
            <a:rPr kumimoji="1" lang="ja-JP" altLang="en-US" sz="1100"/>
            <a:t>シナリオ</a:t>
          </a:r>
          <a:r>
            <a:rPr kumimoji="1" lang="en-US" altLang="ja-JP" sz="1100"/>
            <a:t>16&lt;/option&gt;</a:t>
          </a:r>
        </a:p>
        <a:p>
          <a:pPr algn="l"/>
          <a:r>
            <a:rPr kumimoji="1" lang="en-US" altLang="ja-JP" sz="1100"/>
            <a:t>					&lt;option value="107"&gt;</a:t>
          </a:r>
          <a:r>
            <a:rPr kumimoji="1" lang="ja-JP" altLang="en-US" sz="1100"/>
            <a:t>シナリオ</a:t>
          </a:r>
          <a:r>
            <a:rPr kumimoji="1" lang="en-US" altLang="ja-JP" sz="1100"/>
            <a:t>16&lt;/option&gt;</a:t>
          </a:r>
        </a:p>
        <a:p>
          <a:pPr algn="l"/>
          <a:r>
            <a:rPr kumimoji="1" lang="en-US" altLang="ja-JP" sz="1100"/>
            <a:t>					&lt;option value="108"&gt;</a:t>
          </a:r>
          <a:r>
            <a:rPr kumimoji="1" lang="ja-JP" altLang="en-US" sz="1100"/>
            <a:t>テスト評価レポート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value="109"&gt;</a:t>
          </a:r>
          <a:r>
            <a:rPr kumimoji="1" lang="ja-JP" altLang="en-US" sz="1100"/>
            <a:t>れぐれ評価レポート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value="115"&gt;</a:t>
          </a:r>
          <a:r>
            <a:rPr kumimoji="1" lang="ja-JP" altLang="en-US" sz="1100"/>
            <a:t>れぐれ評価レポート</a:t>
          </a:r>
          <a:r>
            <a:rPr kumimoji="1" lang="en-US" altLang="ja-JP" sz="1100"/>
            <a:t>&lt;/option&gt;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					&lt;option value="117"&gt;</a:t>
          </a:r>
          <a:r>
            <a:rPr kumimoji="1" lang="ja-JP" altLang="en-US" sz="1100"/>
            <a:t>テスト評価レポートすず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	&lt;option value="118" selected="selected"&gt;</a:t>
          </a:r>
          <a:r>
            <a:rPr kumimoji="1" lang="ja-JP" altLang="en-US" sz="1100"/>
            <a:t>評価トレーニングレポート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				&lt;/select&gt;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for="meetingFileId" class="col-lg-2 control-label"&gt;</a:t>
          </a:r>
          <a:r>
            <a:rPr kumimoji="1" lang="ja-JP" altLang="en-US" sz="1100"/>
            <a:t>面談ファイル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&lt;select name="meetingFileId" id="meetingFileId" class="form-control"&gt;&lt;option value=""&gt;&lt;/option&gt;</a:t>
          </a:r>
        </a:p>
        <a:p>
          <a:pPr algn="l"/>
          <a:r>
            <a:rPr kumimoji="1" lang="en-US" altLang="ja-JP" sz="1100"/>
            <a:t>                &lt;option value="1"&gt;meeting.xlsx&lt;/option&gt;</a:t>
          </a:r>
        </a:p>
        <a:p>
          <a:pPr algn="l"/>
          <a:r>
            <a:rPr kumimoji="1" lang="en-US" altLang="ja-JP" sz="1100"/>
            <a:t>&lt;option value="2"&gt;</a:t>
          </a:r>
          <a:r>
            <a:rPr kumimoji="1" lang="ja-JP" altLang="en-US" sz="1100"/>
            <a:t>月次面談シート</a:t>
          </a:r>
          <a:r>
            <a:rPr kumimoji="1" lang="en-US" altLang="ja-JP" sz="1100"/>
            <a:t>.xlsx&lt;/option&gt;</a:t>
          </a:r>
        </a:p>
        <a:p>
          <a:pPr algn="l"/>
          <a:r>
            <a:rPr kumimoji="1" lang="en-US" altLang="ja-JP" sz="1100"/>
            <a:t>&lt;option value="5"&gt;daily_report_20170104_</a:t>
          </a:r>
          <a:r>
            <a:rPr kumimoji="1" lang="ja-JP" altLang="en-US" sz="1100"/>
            <a:t>株式会社事前説明会</a:t>
          </a:r>
          <a:r>
            <a:rPr kumimoji="1" lang="en-US" altLang="ja-JP" sz="1100"/>
            <a:t>C_</a:t>
          </a:r>
          <a:r>
            <a:rPr kumimoji="1" lang="ja-JP" altLang="en-US" sz="1100"/>
            <a:t>てすと１</a:t>
          </a:r>
          <a:r>
            <a:rPr kumimoji="1" lang="en-US" altLang="ja-JP" sz="1100"/>
            <a:t>.xls&lt;/option&gt;</a:t>
          </a:r>
        </a:p>
        <a:p>
          <a:pPr algn="l"/>
          <a:r>
            <a:rPr kumimoji="1" lang="en-US" altLang="ja-JP" sz="1100"/>
            <a:t>&lt;option value="6" selected="selected"&gt;</a:t>
          </a:r>
          <a:r>
            <a:rPr kumimoji="1" lang="ja-JP" altLang="en-US" sz="1100"/>
            <a:t>面談管理テンプレ</a:t>
          </a:r>
          <a:r>
            <a:rPr kumimoji="1" lang="en-US" altLang="ja-JP" sz="1100"/>
            <a:t>.xlsx&lt;/option&gt;&lt;/select&gt;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&lt;button type="submit" class="btn btn-primary"&gt;</a:t>
          </a:r>
          <a:r>
            <a:rPr kumimoji="1" lang="ja-JP" altLang="en-US" sz="1100"/>
            <a:t>決定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&lt;input type="hidden" name="courseId" value="500"&gt;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49</xdr:col>
      <xdr:colOff>173182</xdr:colOff>
      <xdr:row>41</xdr:row>
      <xdr:rowOff>133887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E67862-DE38-4CD9-A7F4-8B3697631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636" y="1039091"/>
          <a:ext cx="9940637" cy="61952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58" t="s">
        <v>39</v>
      </c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58" t="s">
        <v>85</v>
      </c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59" t="s">
        <v>19</v>
      </c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60"/>
      <c r="AB15" s="60"/>
      <c r="AC15" s="60"/>
      <c r="AD15" s="60"/>
      <c r="AE15" s="60"/>
      <c r="AF15" s="6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"第"&amp;TEXT(MAX(更新履歴!A8:I32),"0.0")&amp;"版"</f>
        <v>第1.2版</v>
      </c>
      <c r="Y17" s="26"/>
      <c r="Z17" s="26"/>
      <c r="AA17" s="61">
        <f>MAX(更新履歴!J8:Q32)</f>
        <v>43861</v>
      </c>
      <c r="AB17" s="61"/>
      <c r="AC17" s="61"/>
      <c r="AD17" s="61"/>
      <c r="AE17" s="61"/>
      <c r="AF17" s="61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61"/>
      <c r="AB19" s="61"/>
      <c r="AC19" s="61"/>
      <c r="AD19" s="61"/>
      <c r="AE19" s="61"/>
      <c r="AF19" s="61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62" t="s">
        <v>6</v>
      </c>
      <c r="V20" s="63"/>
      <c r="W20" s="63"/>
      <c r="X20" s="63"/>
      <c r="Y20" s="64"/>
      <c r="Z20" s="65" t="s">
        <v>7</v>
      </c>
      <c r="AA20" s="66"/>
      <c r="AB20" s="66"/>
      <c r="AC20" s="66"/>
      <c r="AD20" s="67"/>
      <c r="AE20" s="62" t="s">
        <v>8</v>
      </c>
      <c r="AF20" s="63"/>
      <c r="AG20" s="63"/>
      <c r="AH20" s="63"/>
      <c r="AI20" s="6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68" t="s">
        <v>42</v>
      </c>
      <c r="V21" s="69"/>
      <c r="W21" s="69"/>
      <c r="X21" s="69"/>
      <c r="Y21" s="70"/>
      <c r="Z21" s="68"/>
      <c r="AA21" s="69"/>
      <c r="AB21" s="69"/>
      <c r="AC21" s="69"/>
      <c r="AD21" s="70"/>
      <c r="AE21" s="68"/>
      <c r="AF21" s="69"/>
      <c r="AG21" s="69"/>
      <c r="AH21" s="69"/>
      <c r="AI21" s="7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1"/>
      <c r="V22" s="72"/>
      <c r="W22" s="72"/>
      <c r="X22" s="72"/>
      <c r="Y22" s="73"/>
      <c r="Z22" s="71"/>
      <c r="AA22" s="72"/>
      <c r="AB22" s="72"/>
      <c r="AC22" s="72"/>
      <c r="AD22" s="73"/>
      <c r="AE22" s="71"/>
      <c r="AF22" s="72"/>
      <c r="AG22" s="72"/>
      <c r="AH22" s="72"/>
      <c r="AI22" s="73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71"/>
      <c r="V23" s="72"/>
      <c r="W23" s="72"/>
      <c r="X23" s="72"/>
      <c r="Y23" s="73"/>
      <c r="Z23" s="71"/>
      <c r="AA23" s="72"/>
      <c r="AB23" s="72"/>
      <c r="AC23" s="72"/>
      <c r="AD23" s="73"/>
      <c r="AE23" s="71"/>
      <c r="AF23" s="72"/>
      <c r="AG23" s="72"/>
      <c r="AH23" s="72"/>
      <c r="AI23" s="73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74"/>
      <c r="V24" s="75"/>
      <c r="W24" s="75"/>
      <c r="X24" s="75"/>
      <c r="Y24" s="76"/>
      <c r="Z24" s="74"/>
      <c r="AA24" s="75"/>
      <c r="AB24" s="75"/>
      <c r="AC24" s="75"/>
      <c r="AD24" s="76"/>
      <c r="AE24" s="74"/>
      <c r="AF24" s="75"/>
      <c r="AG24" s="75"/>
      <c r="AH24" s="75"/>
      <c r="AI24" s="7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108" t="s">
        <v>0</v>
      </c>
      <c r="B1" s="77"/>
      <c r="C1" s="77"/>
      <c r="D1" s="77"/>
      <c r="E1" s="77"/>
      <c r="F1" s="78"/>
      <c r="G1" s="78"/>
      <c r="H1" s="78"/>
      <c r="I1" s="109"/>
      <c r="J1" s="110" t="s">
        <v>1</v>
      </c>
      <c r="K1" s="77"/>
      <c r="L1" s="77"/>
      <c r="M1" s="77"/>
      <c r="N1" s="77"/>
      <c r="O1" s="78"/>
      <c r="P1" s="78"/>
      <c r="Q1" s="78"/>
      <c r="R1" s="111" t="str">
        <f>表紙!S12</f>
        <v>画面レイアウト設計書</v>
      </c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3"/>
      <c r="AJ1" s="114" t="s">
        <v>2</v>
      </c>
      <c r="AK1" s="115"/>
      <c r="AL1" s="115"/>
      <c r="AM1" s="115"/>
      <c r="AN1" s="115"/>
      <c r="AO1" s="116" t="s">
        <v>3</v>
      </c>
      <c r="AP1" s="115"/>
      <c r="AQ1" s="115"/>
      <c r="AR1" s="115"/>
      <c r="AS1" s="115"/>
      <c r="AT1" s="116" t="s">
        <v>4</v>
      </c>
      <c r="AU1" s="115"/>
      <c r="AV1" s="115"/>
      <c r="AW1" s="115"/>
      <c r="AX1" s="115"/>
      <c r="AY1" s="77" t="s">
        <v>5</v>
      </c>
      <c r="AZ1" s="78"/>
      <c r="BA1" s="78"/>
      <c r="BB1" s="78"/>
      <c r="BC1" s="79"/>
    </row>
    <row r="2" spans="1:55" s="17" customFormat="1" ht="13.5" customHeight="1">
      <c r="A2" s="80" t="str">
        <f>表紙!O10</f>
        <v>13期12月対応</v>
      </c>
      <c r="B2" s="81"/>
      <c r="C2" s="81"/>
      <c r="D2" s="81"/>
      <c r="E2" s="81"/>
      <c r="F2" s="82"/>
      <c r="G2" s="82"/>
      <c r="H2" s="82"/>
      <c r="I2" s="83"/>
      <c r="J2" s="88" t="str">
        <f>表紙!O9</f>
        <v>LMS学習管理システム</v>
      </c>
      <c r="K2" s="81"/>
      <c r="L2" s="81"/>
      <c r="M2" s="81"/>
      <c r="N2" s="81"/>
      <c r="O2" s="82"/>
      <c r="P2" s="82"/>
      <c r="Q2" s="89"/>
      <c r="R2" s="92" t="s">
        <v>9</v>
      </c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4"/>
      <c r="AJ2" s="98" t="s">
        <v>43</v>
      </c>
      <c r="AK2" s="99"/>
      <c r="AL2" s="99"/>
      <c r="AM2" s="99"/>
      <c r="AN2" s="99"/>
      <c r="AO2" s="102">
        <v>43766</v>
      </c>
      <c r="AP2" s="99"/>
      <c r="AQ2" s="99"/>
      <c r="AR2" s="99"/>
      <c r="AS2" s="99"/>
      <c r="AT2" s="98" t="s">
        <v>43</v>
      </c>
      <c r="AU2" s="99"/>
      <c r="AV2" s="99"/>
      <c r="AW2" s="99"/>
      <c r="AX2" s="99"/>
      <c r="AY2" s="103">
        <v>43861</v>
      </c>
      <c r="AZ2" s="104"/>
      <c r="BA2" s="104"/>
      <c r="BB2" s="104"/>
      <c r="BC2" s="105"/>
    </row>
    <row r="3" spans="1:55" s="17" customFormat="1" ht="13.5" customHeight="1" thickBot="1">
      <c r="A3" s="84"/>
      <c r="B3" s="85"/>
      <c r="C3" s="85"/>
      <c r="D3" s="85"/>
      <c r="E3" s="85"/>
      <c r="F3" s="86"/>
      <c r="G3" s="86"/>
      <c r="H3" s="86"/>
      <c r="I3" s="87"/>
      <c r="J3" s="90"/>
      <c r="K3" s="85"/>
      <c r="L3" s="85"/>
      <c r="M3" s="85"/>
      <c r="N3" s="85"/>
      <c r="O3" s="86"/>
      <c r="P3" s="86"/>
      <c r="Q3" s="91"/>
      <c r="R3" s="95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7"/>
      <c r="AJ3" s="100"/>
      <c r="AK3" s="101"/>
      <c r="AL3" s="101"/>
      <c r="AM3" s="101"/>
      <c r="AN3" s="101"/>
      <c r="AO3" s="101"/>
      <c r="AP3" s="101"/>
      <c r="AQ3" s="101"/>
      <c r="AR3" s="101"/>
      <c r="AS3" s="101"/>
      <c r="AT3" s="100"/>
      <c r="AU3" s="101"/>
      <c r="AV3" s="101"/>
      <c r="AW3" s="101"/>
      <c r="AX3" s="101"/>
      <c r="AY3" s="106"/>
      <c r="AZ3" s="106"/>
      <c r="BA3" s="106"/>
      <c r="BB3" s="106"/>
      <c r="BC3" s="107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47" t="s">
        <v>10</v>
      </c>
      <c r="B5" s="148"/>
      <c r="C5" s="148"/>
      <c r="D5" s="148"/>
      <c r="E5" s="148"/>
      <c r="F5" s="148"/>
      <c r="G5" s="148"/>
      <c r="H5" s="148"/>
      <c r="I5" s="149"/>
      <c r="J5" s="156" t="s">
        <v>11</v>
      </c>
      <c r="K5" s="148"/>
      <c r="L5" s="148"/>
      <c r="M5" s="148"/>
      <c r="N5" s="148"/>
      <c r="O5" s="148"/>
      <c r="P5" s="148"/>
      <c r="Q5" s="149"/>
      <c r="R5" s="156" t="s">
        <v>12</v>
      </c>
      <c r="S5" s="148"/>
      <c r="T5" s="148"/>
      <c r="U5" s="149"/>
      <c r="V5" s="156" t="s">
        <v>13</v>
      </c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9"/>
      <c r="AT5" s="156" t="s">
        <v>14</v>
      </c>
      <c r="AU5" s="148"/>
      <c r="AV5" s="148"/>
      <c r="AW5" s="148"/>
      <c r="AX5" s="148"/>
      <c r="AY5" s="148"/>
      <c r="AZ5" s="148"/>
      <c r="BA5" s="148"/>
      <c r="BB5" s="148"/>
      <c r="BC5" s="159"/>
    </row>
    <row r="6" spans="1:55" s="25" customFormat="1" ht="13.5" customHeight="1">
      <c r="A6" s="150"/>
      <c r="B6" s="151"/>
      <c r="C6" s="151"/>
      <c r="D6" s="151"/>
      <c r="E6" s="151"/>
      <c r="F6" s="151"/>
      <c r="G6" s="151"/>
      <c r="H6" s="151"/>
      <c r="I6" s="152"/>
      <c r="J6" s="157"/>
      <c r="K6" s="151"/>
      <c r="L6" s="151"/>
      <c r="M6" s="151"/>
      <c r="N6" s="151"/>
      <c r="O6" s="151"/>
      <c r="P6" s="151"/>
      <c r="Q6" s="152"/>
      <c r="R6" s="157"/>
      <c r="S6" s="151"/>
      <c r="T6" s="151"/>
      <c r="U6" s="152"/>
      <c r="V6" s="157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2"/>
      <c r="AT6" s="157"/>
      <c r="AU6" s="151"/>
      <c r="AV6" s="151"/>
      <c r="AW6" s="151"/>
      <c r="AX6" s="151"/>
      <c r="AY6" s="151"/>
      <c r="AZ6" s="151"/>
      <c r="BA6" s="151"/>
      <c r="BB6" s="151"/>
      <c r="BC6" s="160"/>
    </row>
    <row r="7" spans="1:55" s="25" customFormat="1" ht="13.5" customHeight="1" thickBot="1">
      <c r="A7" s="153"/>
      <c r="B7" s="154"/>
      <c r="C7" s="154"/>
      <c r="D7" s="154"/>
      <c r="E7" s="154"/>
      <c r="F7" s="154"/>
      <c r="G7" s="154"/>
      <c r="H7" s="154"/>
      <c r="I7" s="155"/>
      <c r="J7" s="158"/>
      <c r="K7" s="154"/>
      <c r="L7" s="154"/>
      <c r="M7" s="154"/>
      <c r="N7" s="154"/>
      <c r="O7" s="154"/>
      <c r="P7" s="154"/>
      <c r="Q7" s="155"/>
      <c r="R7" s="158"/>
      <c r="S7" s="154"/>
      <c r="T7" s="154"/>
      <c r="U7" s="155"/>
      <c r="V7" s="158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5"/>
      <c r="AT7" s="158"/>
      <c r="AU7" s="154"/>
      <c r="AV7" s="154"/>
      <c r="AW7" s="154"/>
      <c r="AX7" s="154"/>
      <c r="AY7" s="154"/>
      <c r="AZ7" s="154"/>
      <c r="BA7" s="154"/>
      <c r="BB7" s="154"/>
      <c r="BC7" s="161"/>
    </row>
    <row r="8" spans="1:55" s="25" customFormat="1" ht="13.5" customHeight="1" thickTop="1">
      <c r="A8" s="117">
        <v>1</v>
      </c>
      <c r="B8" s="118"/>
      <c r="C8" s="118"/>
      <c r="D8" s="118"/>
      <c r="E8" s="118"/>
      <c r="F8" s="118"/>
      <c r="G8" s="118"/>
      <c r="H8" s="118"/>
      <c r="I8" s="119"/>
      <c r="J8" s="124">
        <v>43766</v>
      </c>
      <c r="K8" s="125"/>
      <c r="L8" s="125"/>
      <c r="M8" s="125"/>
      <c r="N8" s="125"/>
      <c r="O8" s="125"/>
      <c r="P8" s="125"/>
      <c r="Q8" s="126"/>
      <c r="R8" s="131" t="s">
        <v>15</v>
      </c>
      <c r="S8" s="132"/>
      <c r="T8" s="132"/>
      <c r="U8" s="133"/>
      <c r="V8" s="138" t="s">
        <v>16</v>
      </c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40"/>
      <c r="AT8" s="131" t="s">
        <v>43</v>
      </c>
      <c r="AU8" s="132"/>
      <c r="AV8" s="132"/>
      <c r="AW8" s="132"/>
      <c r="AX8" s="132"/>
      <c r="AY8" s="132"/>
      <c r="AZ8" s="132"/>
      <c r="BA8" s="132"/>
      <c r="BB8" s="132"/>
      <c r="BC8" s="145"/>
    </row>
    <row r="9" spans="1:55" s="25" customFormat="1" ht="13.5" customHeight="1">
      <c r="A9" s="120"/>
      <c r="B9" s="118"/>
      <c r="C9" s="118"/>
      <c r="D9" s="118"/>
      <c r="E9" s="118"/>
      <c r="F9" s="118"/>
      <c r="G9" s="118"/>
      <c r="H9" s="118"/>
      <c r="I9" s="119"/>
      <c r="J9" s="127"/>
      <c r="K9" s="125"/>
      <c r="L9" s="125"/>
      <c r="M9" s="125"/>
      <c r="N9" s="125"/>
      <c r="O9" s="125"/>
      <c r="P9" s="125"/>
      <c r="Q9" s="126"/>
      <c r="R9" s="134"/>
      <c r="S9" s="132"/>
      <c r="T9" s="132"/>
      <c r="U9" s="133"/>
      <c r="V9" s="141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40"/>
      <c r="AT9" s="134"/>
      <c r="AU9" s="132"/>
      <c r="AV9" s="132"/>
      <c r="AW9" s="132"/>
      <c r="AX9" s="132"/>
      <c r="AY9" s="132"/>
      <c r="AZ9" s="132"/>
      <c r="BA9" s="132"/>
      <c r="BB9" s="132"/>
      <c r="BC9" s="145"/>
    </row>
    <row r="10" spans="1:55" s="25" customFormat="1" ht="13.5" customHeight="1">
      <c r="A10" s="121"/>
      <c r="B10" s="122"/>
      <c r="C10" s="122"/>
      <c r="D10" s="122"/>
      <c r="E10" s="122"/>
      <c r="F10" s="122"/>
      <c r="G10" s="122"/>
      <c r="H10" s="122"/>
      <c r="I10" s="123"/>
      <c r="J10" s="128"/>
      <c r="K10" s="129"/>
      <c r="L10" s="129"/>
      <c r="M10" s="129"/>
      <c r="N10" s="129"/>
      <c r="O10" s="129"/>
      <c r="P10" s="129"/>
      <c r="Q10" s="130"/>
      <c r="R10" s="135"/>
      <c r="S10" s="136"/>
      <c r="T10" s="136"/>
      <c r="U10" s="137"/>
      <c r="V10" s="142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4"/>
      <c r="AT10" s="135"/>
      <c r="AU10" s="136"/>
      <c r="AV10" s="136"/>
      <c r="AW10" s="136"/>
      <c r="AX10" s="136"/>
      <c r="AY10" s="136"/>
      <c r="AZ10" s="136"/>
      <c r="BA10" s="136"/>
      <c r="BB10" s="136"/>
      <c r="BC10" s="146"/>
    </row>
    <row r="11" spans="1:55" s="25" customFormat="1" ht="13.5" customHeight="1">
      <c r="A11" s="162">
        <v>1.1000000000000001</v>
      </c>
      <c r="B11" s="163"/>
      <c r="C11" s="163"/>
      <c r="D11" s="163"/>
      <c r="E11" s="163"/>
      <c r="F11" s="163"/>
      <c r="G11" s="163"/>
      <c r="H11" s="163"/>
      <c r="I11" s="164"/>
      <c r="J11" s="165">
        <v>43770</v>
      </c>
      <c r="K11" s="166"/>
      <c r="L11" s="166"/>
      <c r="M11" s="166"/>
      <c r="N11" s="166"/>
      <c r="O11" s="166"/>
      <c r="P11" s="166"/>
      <c r="Q11" s="167"/>
      <c r="R11" s="168" t="s">
        <v>83</v>
      </c>
      <c r="S11" s="169"/>
      <c r="T11" s="169"/>
      <c r="U11" s="170"/>
      <c r="V11" s="171" t="s">
        <v>84</v>
      </c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3"/>
      <c r="AT11" s="168" t="s">
        <v>43</v>
      </c>
      <c r="AU11" s="169"/>
      <c r="AV11" s="169"/>
      <c r="AW11" s="169"/>
      <c r="AX11" s="169"/>
      <c r="AY11" s="169"/>
      <c r="AZ11" s="169"/>
      <c r="BA11" s="169"/>
      <c r="BB11" s="169"/>
      <c r="BC11" s="174"/>
    </row>
    <row r="12" spans="1:55" s="25" customFormat="1" ht="13.5" customHeight="1">
      <c r="A12" s="117"/>
      <c r="B12" s="118"/>
      <c r="C12" s="118"/>
      <c r="D12" s="118"/>
      <c r="E12" s="118"/>
      <c r="F12" s="118"/>
      <c r="G12" s="118"/>
      <c r="H12" s="118"/>
      <c r="I12" s="119"/>
      <c r="J12" s="124"/>
      <c r="K12" s="125"/>
      <c r="L12" s="125"/>
      <c r="M12" s="125"/>
      <c r="N12" s="125"/>
      <c r="O12" s="125"/>
      <c r="P12" s="125"/>
      <c r="Q12" s="126"/>
      <c r="R12" s="131"/>
      <c r="S12" s="132"/>
      <c r="T12" s="132"/>
      <c r="U12" s="133"/>
      <c r="V12" s="138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40"/>
      <c r="AT12" s="131"/>
      <c r="AU12" s="132"/>
      <c r="AV12" s="132"/>
      <c r="AW12" s="132"/>
      <c r="AX12" s="132"/>
      <c r="AY12" s="132"/>
      <c r="AZ12" s="132"/>
      <c r="BA12" s="132"/>
      <c r="BB12" s="132"/>
      <c r="BC12" s="145"/>
    </row>
    <row r="13" spans="1:55" s="25" customFormat="1" ht="13.5" customHeight="1">
      <c r="A13" s="120"/>
      <c r="B13" s="118"/>
      <c r="C13" s="118"/>
      <c r="D13" s="118"/>
      <c r="E13" s="118"/>
      <c r="F13" s="118"/>
      <c r="G13" s="118"/>
      <c r="H13" s="118"/>
      <c r="I13" s="119"/>
      <c r="J13" s="127"/>
      <c r="K13" s="125"/>
      <c r="L13" s="125"/>
      <c r="M13" s="125"/>
      <c r="N13" s="125"/>
      <c r="O13" s="125"/>
      <c r="P13" s="125"/>
      <c r="Q13" s="126"/>
      <c r="R13" s="134"/>
      <c r="S13" s="132"/>
      <c r="T13" s="132"/>
      <c r="U13" s="133"/>
      <c r="V13" s="141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40"/>
      <c r="AT13" s="134"/>
      <c r="AU13" s="132"/>
      <c r="AV13" s="132"/>
      <c r="AW13" s="132"/>
      <c r="AX13" s="132"/>
      <c r="AY13" s="132"/>
      <c r="AZ13" s="132"/>
      <c r="BA13" s="132"/>
      <c r="BB13" s="132"/>
      <c r="BC13" s="145"/>
    </row>
    <row r="14" spans="1:55" s="25" customFormat="1" ht="13.5" customHeight="1">
      <c r="A14" s="121"/>
      <c r="B14" s="122"/>
      <c r="C14" s="122"/>
      <c r="D14" s="122"/>
      <c r="E14" s="122"/>
      <c r="F14" s="122"/>
      <c r="G14" s="122"/>
      <c r="H14" s="122"/>
      <c r="I14" s="123"/>
      <c r="J14" s="128"/>
      <c r="K14" s="129"/>
      <c r="L14" s="129"/>
      <c r="M14" s="129"/>
      <c r="N14" s="129"/>
      <c r="O14" s="129"/>
      <c r="P14" s="129"/>
      <c r="Q14" s="130"/>
      <c r="R14" s="135"/>
      <c r="S14" s="136"/>
      <c r="T14" s="136"/>
      <c r="U14" s="137"/>
      <c r="V14" s="142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4"/>
      <c r="AT14" s="135"/>
      <c r="AU14" s="136"/>
      <c r="AV14" s="136"/>
      <c r="AW14" s="136"/>
      <c r="AX14" s="136"/>
      <c r="AY14" s="136"/>
      <c r="AZ14" s="136"/>
      <c r="BA14" s="136"/>
      <c r="BB14" s="136"/>
      <c r="BC14" s="146"/>
    </row>
    <row r="15" spans="1:55" s="25" customFormat="1" ht="13.5" customHeight="1">
      <c r="A15" s="162">
        <v>1.2</v>
      </c>
      <c r="B15" s="163"/>
      <c r="C15" s="163"/>
      <c r="D15" s="163"/>
      <c r="E15" s="163"/>
      <c r="F15" s="163"/>
      <c r="G15" s="163"/>
      <c r="H15" s="163"/>
      <c r="I15" s="164"/>
      <c r="J15" s="165">
        <v>43861</v>
      </c>
      <c r="K15" s="166"/>
      <c r="L15" s="166"/>
      <c r="M15" s="166"/>
      <c r="N15" s="166"/>
      <c r="O15" s="166"/>
      <c r="P15" s="166"/>
      <c r="Q15" s="167"/>
      <c r="R15" s="175" t="s">
        <v>86</v>
      </c>
      <c r="S15" s="169"/>
      <c r="T15" s="169"/>
      <c r="U15" s="170"/>
      <c r="V15" s="171" t="s">
        <v>87</v>
      </c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3"/>
      <c r="AT15" s="168" t="s">
        <v>43</v>
      </c>
      <c r="AU15" s="169"/>
      <c r="AV15" s="169"/>
      <c r="AW15" s="169"/>
      <c r="AX15" s="169"/>
      <c r="AY15" s="169"/>
      <c r="AZ15" s="169"/>
      <c r="BA15" s="169"/>
      <c r="BB15" s="169"/>
      <c r="BC15" s="174"/>
    </row>
    <row r="16" spans="1:55" s="25" customFormat="1" ht="13.5" customHeight="1">
      <c r="A16" s="120"/>
      <c r="B16" s="118"/>
      <c r="C16" s="118"/>
      <c r="D16" s="118"/>
      <c r="E16" s="118"/>
      <c r="F16" s="118"/>
      <c r="G16" s="118"/>
      <c r="H16" s="118"/>
      <c r="I16" s="119"/>
      <c r="J16" s="127"/>
      <c r="K16" s="125"/>
      <c r="L16" s="125"/>
      <c r="M16" s="125"/>
      <c r="N16" s="125"/>
      <c r="O16" s="125"/>
      <c r="P16" s="125"/>
      <c r="Q16" s="126"/>
      <c r="R16" s="134"/>
      <c r="S16" s="132"/>
      <c r="T16" s="132"/>
      <c r="U16" s="133"/>
      <c r="V16" s="141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40"/>
      <c r="AT16" s="134"/>
      <c r="AU16" s="132"/>
      <c r="AV16" s="132"/>
      <c r="AW16" s="132"/>
      <c r="AX16" s="132"/>
      <c r="AY16" s="132"/>
      <c r="AZ16" s="132"/>
      <c r="BA16" s="132"/>
      <c r="BB16" s="132"/>
      <c r="BC16" s="145"/>
    </row>
    <row r="17" spans="1:55" s="25" customFormat="1" ht="13.5" customHeight="1">
      <c r="A17" s="121"/>
      <c r="B17" s="122"/>
      <c r="C17" s="122"/>
      <c r="D17" s="122"/>
      <c r="E17" s="122"/>
      <c r="F17" s="122"/>
      <c r="G17" s="122"/>
      <c r="H17" s="122"/>
      <c r="I17" s="123"/>
      <c r="J17" s="128"/>
      <c r="K17" s="129"/>
      <c r="L17" s="129"/>
      <c r="M17" s="129"/>
      <c r="N17" s="129"/>
      <c r="O17" s="129"/>
      <c r="P17" s="129"/>
      <c r="Q17" s="130"/>
      <c r="R17" s="135"/>
      <c r="S17" s="136"/>
      <c r="T17" s="136"/>
      <c r="U17" s="137"/>
      <c r="V17" s="142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4"/>
      <c r="AT17" s="135"/>
      <c r="AU17" s="136"/>
      <c r="AV17" s="136"/>
      <c r="AW17" s="136"/>
      <c r="AX17" s="136"/>
      <c r="AY17" s="136"/>
      <c r="AZ17" s="136"/>
      <c r="BA17" s="136"/>
      <c r="BB17" s="136"/>
      <c r="BC17" s="146"/>
    </row>
    <row r="18" spans="1:55" s="25" customFormat="1" ht="13.5" customHeight="1">
      <c r="A18" s="162"/>
      <c r="B18" s="163"/>
      <c r="C18" s="163"/>
      <c r="D18" s="163"/>
      <c r="E18" s="163"/>
      <c r="F18" s="163"/>
      <c r="G18" s="163"/>
      <c r="H18" s="163"/>
      <c r="I18" s="164"/>
      <c r="J18" s="165"/>
      <c r="K18" s="166"/>
      <c r="L18" s="166"/>
      <c r="M18" s="166"/>
      <c r="N18" s="166"/>
      <c r="O18" s="166"/>
      <c r="P18" s="166"/>
      <c r="Q18" s="167"/>
      <c r="R18" s="175"/>
      <c r="S18" s="169"/>
      <c r="T18" s="169"/>
      <c r="U18" s="170"/>
      <c r="V18" s="171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3"/>
      <c r="AT18" s="168"/>
      <c r="AU18" s="169"/>
      <c r="AV18" s="169"/>
      <c r="AW18" s="169"/>
      <c r="AX18" s="169"/>
      <c r="AY18" s="169"/>
      <c r="AZ18" s="169"/>
      <c r="BA18" s="169"/>
      <c r="BB18" s="169"/>
      <c r="BC18" s="174"/>
    </row>
    <row r="19" spans="1:55" s="25" customFormat="1" ht="13.5" customHeight="1">
      <c r="A19" s="120"/>
      <c r="B19" s="118"/>
      <c r="C19" s="118"/>
      <c r="D19" s="118"/>
      <c r="E19" s="118"/>
      <c r="F19" s="118"/>
      <c r="G19" s="118"/>
      <c r="H19" s="118"/>
      <c r="I19" s="119"/>
      <c r="J19" s="127"/>
      <c r="K19" s="125"/>
      <c r="L19" s="125"/>
      <c r="M19" s="125"/>
      <c r="N19" s="125"/>
      <c r="O19" s="125"/>
      <c r="P19" s="125"/>
      <c r="Q19" s="126"/>
      <c r="R19" s="134"/>
      <c r="S19" s="132"/>
      <c r="T19" s="132"/>
      <c r="U19" s="133"/>
      <c r="V19" s="141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40"/>
      <c r="AT19" s="134"/>
      <c r="AU19" s="132"/>
      <c r="AV19" s="132"/>
      <c r="AW19" s="132"/>
      <c r="AX19" s="132"/>
      <c r="AY19" s="132"/>
      <c r="AZ19" s="132"/>
      <c r="BA19" s="132"/>
      <c r="BB19" s="132"/>
      <c r="BC19" s="145"/>
    </row>
    <row r="20" spans="1:55" s="25" customFormat="1" ht="13.5" customHeight="1">
      <c r="A20" s="121"/>
      <c r="B20" s="122"/>
      <c r="C20" s="122"/>
      <c r="D20" s="122"/>
      <c r="E20" s="122"/>
      <c r="F20" s="122"/>
      <c r="G20" s="122"/>
      <c r="H20" s="122"/>
      <c r="I20" s="123"/>
      <c r="J20" s="128"/>
      <c r="K20" s="129"/>
      <c r="L20" s="129"/>
      <c r="M20" s="129"/>
      <c r="N20" s="129"/>
      <c r="O20" s="129"/>
      <c r="P20" s="129"/>
      <c r="Q20" s="130"/>
      <c r="R20" s="135"/>
      <c r="S20" s="136"/>
      <c r="T20" s="136"/>
      <c r="U20" s="137"/>
      <c r="V20" s="142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4"/>
      <c r="AT20" s="135"/>
      <c r="AU20" s="136"/>
      <c r="AV20" s="136"/>
      <c r="AW20" s="136"/>
      <c r="AX20" s="136"/>
      <c r="AY20" s="136"/>
      <c r="AZ20" s="136"/>
      <c r="BA20" s="136"/>
      <c r="BB20" s="136"/>
      <c r="BC20" s="146"/>
    </row>
    <row r="21" spans="1:55" s="25" customFormat="1" ht="13.5" customHeight="1">
      <c r="A21" s="162"/>
      <c r="B21" s="163"/>
      <c r="C21" s="163"/>
      <c r="D21" s="163"/>
      <c r="E21" s="163"/>
      <c r="F21" s="163"/>
      <c r="G21" s="163"/>
      <c r="H21" s="163"/>
      <c r="I21" s="164"/>
      <c r="J21" s="165"/>
      <c r="K21" s="166"/>
      <c r="L21" s="166"/>
      <c r="M21" s="166"/>
      <c r="N21" s="166"/>
      <c r="O21" s="166"/>
      <c r="P21" s="166"/>
      <c r="Q21" s="167"/>
      <c r="R21" s="175"/>
      <c r="S21" s="169"/>
      <c r="T21" s="169"/>
      <c r="U21" s="170"/>
      <c r="V21" s="171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3"/>
      <c r="AT21" s="168"/>
      <c r="AU21" s="169"/>
      <c r="AV21" s="169"/>
      <c r="AW21" s="169"/>
      <c r="AX21" s="169"/>
      <c r="AY21" s="169"/>
      <c r="AZ21" s="169"/>
      <c r="BA21" s="169"/>
      <c r="BB21" s="169"/>
      <c r="BC21" s="174"/>
    </row>
    <row r="22" spans="1:55" s="25" customFormat="1" ht="13.5" customHeight="1">
      <c r="A22" s="120"/>
      <c r="B22" s="118"/>
      <c r="C22" s="118"/>
      <c r="D22" s="118"/>
      <c r="E22" s="118"/>
      <c r="F22" s="118"/>
      <c r="G22" s="118"/>
      <c r="H22" s="118"/>
      <c r="I22" s="119"/>
      <c r="J22" s="127"/>
      <c r="K22" s="125"/>
      <c r="L22" s="125"/>
      <c r="M22" s="125"/>
      <c r="N22" s="125"/>
      <c r="O22" s="125"/>
      <c r="P22" s="125"/>
      <c r="Q22" s="126"/>
      <c r="R22" s="134"/>
      <c r="S22" s="132"/>
      <c r="T22" s="132"/>
      <c r="U22" s="133"/>
      <c r="V22" s="141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40"/>
      <c r="AT22" s="134"/>
      <c r="AU22" s="132"/>
      <c r="AV22" s="132"/>
      <c r="AW22" s="132"/>
      <c r="AX22" s="132"/>
      <c r="AY22" s="132"/>
      <c r="AZ22" s="132"/>
      <c r="BA22" s="132"/>
      <c r="BB22" s="132"/>
      <c r="BC22" s="145"/>
    </row>
    <row r="23" spans="1:55" s="25" customFormat="1" ht="13.5" customHeight="1">
      <c r="A23" s="121"/>
      <c r="B23" s="122"/>
      <c r="C23" s="122"/>
      <c r="D23" s="122"/>
      <c r="E23" s="122"/>
      <c r="F23" s="122"/>
      <c r="G23" s="122"/>
      <c r="H23" s="122"/>
      <c r="I23" s="123"/>
      <c r="J23" s="128"/>
      <c r="K23" s="129"/>
      <c r="L23" s="129"/>
      <c r="M23" s="129"/>
      <c r="N23" s="129"/>
      <c r="O23" s="129"/>
      <c r="P23" s="129"/>
      <c r="Q23" s="130"/>
      <c r="R23" s="135"/>
      <c r="S23" s="136"/>
      <c r="T23" s="136"/>
      <c r="U23" s="137"/>
      <c r="V23" s="142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4"/>
      <c r="AT23" s="135"/>
      <c r="AU23" s="136"/>
      <c r="AV23" s="136"/>
      <c r="AW23" s="136"/>
      <c r="AX23" s="136"/>
      <c r="AY23" s="136"/>
      <c r="AZ23" s="136"/>
      <c r="BA23" s="136"/>
      <c r="BB23" s="136"/>
      <c r="BC23" s="146"/>
    </row>
    <row r="24" spans="1:55" s="25" customFormat="1" ht="13.5" customHeight="1">
      <c r="A24" s="162"/>
      <c r="B24" s="163"/>
      <c r="C24" s="163"/>
      <c r="D24" s="163"/>
      <c r="E24" s="163"/>
      <c r="F24" s="163"/>
      <c r="G24" s="163"/>
      <c r="H24" s="163"/>
      <c r="I24" s="164"/>
      <c r="J24" s="165"/>
      <c r="K24" s="166"/>
      <c r="L24" s="166"/>
      <c r="M24" s="166"/>
      <c r="N24" s="166"/>
      <c r="O24" s="166"/>
      <c r="P24" s="166"/>
      <c r="Q24" s="167"/>
      <c r="R24" s="175"/>
      <c r="S24" s="169"/>
      <c r="T24" s="169"/>
      <c r="U24" s="170"/>
      <c r="V24" s="171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3"/>
      <c r="AT24" s="168"/>
      <c r="AU24" s="169"/>
      <c r="AV24" s="169"/>
      <c r="AW24" s="169"/>
      <c r="AX24" s="169"/>
      <c r="AY24" s="169"/>
      <c r="AZ24" s="169"/>
      <c r="BA24" s="169"/>
      <c r="BB24" s="169"/>
      <c r="BC24" s="174"/>
    </row>
    <row r="25" spans="1:55" s="25" customFormat="1" ht="13.5" customHeight="1">
      <c r="A25" s="120"/>
      <c r="B25" s="118"/>
      <c r="C25" s="118"/>
      <c r="D25" s="118"/>
      <c r="E25" s="118"/>
      <c r="F25" s="118"/>
      <c r="G25" s="118"/>
      <c r="H25" s="118"/>
      <c r="I25" s="119"/>
      <c r="J25" s="127"/>
      <c r="K25" s="125"/>
      <c r="L25" s="125"/>
      <c r="M25" s="125"/>
      <c r="N25" s="125"/>
      <c r="O25" s="125"/>
      <c r="P25" s="125"/>
      <c r="Q25" s="126"/>
      <c r="R25" s="134"/>
      <c r="S25" s="132"/>
      <c r="T25" s="132"/>
      <c r="U25" s="133"/>
      <c r="V25" s="141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40"/>
      <c r="AT25" s="134"/>
      <c r="AU25" s="132"/>
      <c r="AV25" s="132"/>
      <c r="AW25" s="132"/>
      <c r="AX25" s="132"/>
      <c r="AY25" s="132"/>
      <c r="AZ25" s="132"/>
      <c r="BA25" s="132"/>
      <c r="BB25" s="132"/>
      <c r="BC25" s="145"/>
    </row>
    <row r="26" spans="1:55" s="25" customFormat="1" ht="13.5" customHeight="1">
      <c r="A26" s="121"/>
      <c r="B26" s="122"/>
      <c r="C26" s="122"/>
      <c r="D26" s="122"/>
      <c r="E26" s="122"/>
      <c r="F26" s="122"/>
      <c r="G26" s="122"/>
      <c r="H26" s="122"/>
      <c r="I26" s="123"/>
      <c r="J26" s="128"/>
      <c r="K26" s="129"/>
      <c r="L26" s="129"/>
      <c r="M26" s="129"/>
      <c r="N26" s="129"/>
      <c r="O26" s="129"/>
      <c r="P26" s="129"/>
      <c r="Q26" s="130"/>
      <c r="R26" s="135"/>
      <c r="S26" s="136"/>
      <c r="T26" s="136"/>
      <c r="U26" s="137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4"/>
      <c r="AT26" s="135"/>
      <c r="AU26" s="136"/>
      <c r="AV26" s="136"/>
      <c r="AW26" s="136"/>
      <c r="AX26" s="136"/>
      <c r="AY26" s="136"/>
      <c r="AZ26" s="136"/>
      <c r="BA26" s="136"/>
      <c r="BB26" s="136"/>
      <c r="BC26" s="146"/>
    </row>
    <row r="27" spans="1:55" s="25" customFormat="1" ht="13.5" customHeight="1">
      <c r="A27" s="162"/>
      <c r="B27" s="163"/>
      <c r="C27" s="163"/>
      <c r="D27" s="163"/>
      <c r="E27" s="163"/>
      <c r="F27" s="163"/>
      <c r="G27" s="163"/>
      <c r="H27" s="163"/>
      <c r="I27" s="164"/>
      <c r="J27" s="165"/>
      <c r="K27" s="166"/>
      <c r="L27" s="166"/>
      <c r="M27" s="166"/>
      <c r="N27" s="166"/>
      <c r="O27" s="166"/>
      <c r="P27" s="166"/>
      <c r="Q27" s="167"/>
      <c r="R27" s="168"/>
      <c r="S27" s="169"/>
      <c r="T27" s="169"/>
      <c r="U27" s="170"/>
      <c r="V27" s="171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90"/>
      <c r="AT27" s="168"/>
      <c r="AU27" s="169"/>
      <c r="AV27" s="169"/>
      <c r="AW27" s="169"/>
      <c r="AX27" s="169"/>
      <c r="AY27" s="169"/>
      <c r="AZ27" s="169"/>
      <c r="BA27" s="169"/>
      <c r="BB27" s="169"/>
      <c r="BC27" s="174"/>
    </row>
    <row r="28" spans="1:55" s="25" customFormat="1" ht="13.5" customHeight="1">
      <c r="A28" s="120"/>
      <c r="B28" s="118"/>
      <c r="C28" s="118"/>
      <c r="D28" s="118"/>
      <c r="E28" s="118"/>
      <c r="F28" s="118"/>
      <c r="G28" s="118"/>
      <c r="H28" s="118"/>
      <c r="I28" s="119"/>
      <c r="J28" s="127"/>
      <c r="K28" s="125"/>
      <c r="L28" s="125"/>
      <c r="M28" s="125"/>
      <c r="N28" s="125"/>
      <c r="O28" s="125"/>
      <c r="P28" s="125"/>
      <c r="Q28" s="126"/>
      <c r="R28" s="134"/>
      <c r="S28" s="132"/>
      <c r="T28" s="132"/>
      <c r="U28" s="133"/>
      <c r="V28" s="138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2"/>
      <c r="AT28" s="134"/>
      <c r="AU28" s="132"/>
      <c r="AV28" s="132"/>
      <c r="AW28" s="132"/>
      <c r="AX28" s="132"/>
      <c r="AY28" s="132"/>
      <c r="AZ28" s="132"/>
      <c r="BA28" s="132"/>
      <c r="BB28" s="132"/>
      <c r="BC28" s="145"/>
    </row>
    <row r="29" spans="1:55" s="25" customFormat="1" ht="13.5" customHeight="1">
      <c r="A29" s="121"/>
      <c r="B29" s="122"/>
      <c r="C29" s="122"/>
      <c r="D29" s="122"/>
      <c r="E29" s="122"/>
      <c r="F29" s="122"/>
      <c r="G29" s="122"/>
      <c r="H29" s="122"/>
      <c r="I29" s="123"/>
      <c r="J29" s="128"/>
      <c r="K29" s="129"/>
      <c r="L29" s="129"/>
      <c r="M29" s="129"/>
      <c r="N29" s="129"/>
      <c r="O29" s="129"/>
      <c r="P29" s="129"/>
      <c r="Q29" s="130"/>
      <c r="R29" s="135"/>
      <c r="S29" s="136"/>
      <c r="T29" s="136"/>
      <c r="U29" s="137"/>
      <c r="V29" s="193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5"/>
      <c r="AT29" s="135"/>
      <c r="AU29" s="136"/>
      <c r="AV29" s="136"/>
      <c r="AW29" s="136"/>
      <c r="AX29" s="136"/>
      <c r="AY29" s="136"/>
      <c r="AZ29" s="136"/>
      <c r="BA29" s="136"/>
      <c r="BB29" s="136"/>
      <c r="BC29" s="146"/>
    </row>
    <row r="30" spans="1:55" s="25" customFormat="1" ht="13.5" customHeight="1">
      <c r="A30" s="162"/>
      <c r="B30" s="163"/>
      <c r="C30" s="163"/>
      <c r="D30" s="163"/>
      <c r="E30" s="163"/>
      <c r="F30" s="163"/>
      <c r="G30" s="163"/>
      <c r="H30" s="163"/>
      <c r="I30" s="164"/>
      <c r="J30" s="165"/>
      <c r="K30" s="166"/>
      <c r="L30" s="166"/>
      <c r="M30" s="166"/>
      <c r="N30" s="166"/>
      <c r="O30" s="166"/>
      <c r="P30" s="166"/>
      <c r="Q30" s="167"/>
      <c r="R30" s="168"/>
      <c r="S30" s="169"/>
      <c r="T30" s="169"/>
      <c r="U30" s="170"/>
      <c r="V30" s="171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3"/>
      <c r="AT30" s="168"/>
      <c r="AU30" s="169"/>
      <c r="AV30" s="169"/>
      <c r="AW30" s="169"/>
      <c r="AX30" s="169"/>
      <c r="AY30" s="169"/>
      <c r="AZ30" s="169"/>
      <c r="BA30" s="169"/>
      <c r="BB30" s="169"/>
      <c r="BC30" s="174"/>
    </row>
    <row r="31" spans="1:55" s="25" customFormat="1" ht="13.5" customHeight="1">
      <c r="A31" s="120"/>
      <c r="B31" s="118"/>
      <c r="C31" s="118"/>
      <c r="D31" s="118"/>
      <c r="E31" s="118"/>
      <c r="F31" s="118"/>
      <c r="G31" s="118"/>
      <c r="H31" s="118"/>
      <c r="I31" s="119"/>
      <c r="J31" s="127"/>
      <c r="K31" s="125"/>
      <c r="L31" s="125"/>
      <c r="M31" s="125"/>
      <c r="N31" s="125"/>
      <c r="O31" s="125"/>
      <c r="P31" s="125"/>
      <c r="Q31" s="126"/>
      <c r="R31" s="134"/>
      <c r="S31" s="132"/>
      <c r="T31" s="132"/>
      <c r="U31" s="133"/>
      <c r="V31" s="141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40"/>
      <c r="AT31" s="134"/>
      <c r="AU31" s="132"/>
      <c r="AV31" s="132"/>
      <c r="AW31" s="132"/>
      <c r="AX31" s="132"/>
      <c r="AY31" s="132"/>
      <c r="AZ31" s="132"/>
      <c r="BA31" s="132"/>
      <c r="BB31" s="132"/>
      <c r="BC31" s="145"/>
    </row>
    <row r="32" spans="1:55" s="25" customFormat="1" ht="13.5" customHeight="1" thickBot="1">
      <c r="A32" s="176"/>
      <c r="B32" s="177"/>
      <c r="C32" s="177"/>
      <c r="D32" s="177"/>
      <c r="E32" s="177"/>
      <c r="F32" s="177"/>
      <c r="G32" s="177"/>
      <c r="H32" s="177"/>
      <c r="I32" s="178"/>
      <c r="J32" s="179"/>
      <c r="K32" s="180"/>
      <c r="L32" s="180"/>
      <c r="M32" s="180"/>
      <c r="N32" s="180"/>
      <c r="O32" s="180"/>
      <c r="P32" s="180"/>
      <c r="Q32" s="181"/>
      <c r="R32" s="182"/>
      <c r="S32" s="183"/>
      <c r="T32" s="183"/>
      <c r="U32" s="184"/>
      <c r="V32" s="185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7"/>
      <c r="AT32" s="182"/>
      <c r="AU32" s="183"/>
      <c r="AV32" s="183"/>
      <c r="AW32" s="183"/>
      <c r="AX32" s="183"/>
      <c r="AY32" s="183"/>
      <c r="AZ32" s="183"/>
      <c r="BA32" s="183"/>
      <c r="BB32" s="183"/>
      <c r="BC32" s="188"/>
    </row>
    <row r="33" spans="1:55" s="25" customFormat="1" ht="13.5" customHeight="1">
      <c r="A33" s="196"/>
      <c r="B33" s="118"/>
      <c r="C33" s="118"/>
      <c r="D33" s="118"/>
      <c r="E33" s="118"/>
      <c r="F33" s="118"/>
      <c r="G33" s="118"/>
      <c r="H33" s="118"/>
      <c r="I33" s="118"/>
      <c r="J33" s="197"/>
      <c r="K33" s="125"/>
      <c r="L33" s="125"/>
      <c r="M33" s="125"/>
      <c r="N33" s="125"/>
      <c r="O33" s="125"/>
      <c r="P33" s="125"/>
      <c r="Q33" s="125"/>
      <c r="R33" s="198"/>
      <c r="S33" s="132"/>
      <c r="T33" s="132"/>
      <c r="U33" s="132"/>
      <c r="V33" s="191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98"/>
      <c r="AU33" s="132"/>
      <c r="AV33" s="132"/>
      <c r="AW33" s="132"/>
      <c r="AX33" s="132"/>
      <c r="AY33" s="132"/>
      <c r="AZ33" s="132"/>
      <c r="BA33" s="132"/>
      <c r="BB33" s="132"/>
      <c r="BC33" s="132"/>
    </row>
  </sheetData>
  <mergeCells count="64">
    <mergeCell ref="A33:I33"/>
    <mergeCell ref="J33:Q33"/>
    <mergeCell ref="R33:U33"/>
    <mergeCell ref="V33:AS33"/>
    <mergeCell ref="AT33:BC33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11:I14"/>
    <mergeCell ref="J11:Q14"/>
    <mergeCell ref="R11:U14"/>
    <mergeCell ref="V11:AS14"/>
    <mergeCell ref="AT11:BC14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71"/>
  <sheetViews>
    <sheetView showGridLines="0" view="pageBreakPreview" zoomScale="85" zoomScaleNormal="100" zoomScaleSheetLayoutView="85" workbookViewId="0">
      <selection sqref="A1:I1"/>
    </sheetView>
  </sheetViews>
  <sheetFormatPr defaultColWidth="2.625" defaultRowHeight="13.5"/>
  <cols>
    <col min="1" max="1" width="2.625" style="37" customWidth="1"/>
    <col min="2" max="27" width="2.625" style="37"/>
    <col min="28" max="28" width="2.625" style="37" customWidth="1"/>
    <col min="29" max="41" width="2.625" style="37"/>
    <col min="42" max="43" width="2.625" style="37" customWidth="1"/>
    <col min="44" max="51" width="2.625" style="37"/>
    <col min="52" max="53" width="2.625" style="37" customWidth="1"/>
    <col min="54" max="54" width="2.75" style="37" customWidth="1"/>
    <col min="55" max="55" width="2.375" style="37" customWidth="1"/>
    <col min="56" max="56" width="3.125" style="37" hidden="1" customWidth="1"/>
    <col min="57" max="58" width="2.625" style="37" hidden="1" customWidth="1"/>
    <col min="59" max="16384" width="2.625" style="37"/>
  </cols>
  <sheetData>
    <row r="1" spans="1:55" ht="13.5" customHeight="1">
      <c r="A1" s="108" t="s">
        <v>0</v>
      </c>
      <c r="B1" s="77"/>
      <c r="C1" s="77"/>
      <c r="D1" s="77"/>
      <c r="E1" s="77"/>
      <c r="F1" s="78"/>
      <c r="G1" s="78"/>
      <c r="H1" s="78"/>
      <c r="I1" s="109"/>
      <c r="J1" s="110" t="s">
        <v>1</v>
      </c>
      <c r="K1" s="77"/>
      <c r="L1" s="77"/>
      <c r="M1" s="77"/>
      <c r="N1" s="77"/>
      <c r="O1" s="78"/>
      <c r="P1" s="78"/>
      <c r="Q1" s="78"/>
      <c r="R1" s="111" t="str">
        <f>表紙!S12</f>
        <v>画面レイアウト設計書</v>
      </c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3"/>
      <c r="AJ1" s="114" t="s">
        <v>2</v>
      </c>
      <c r="AK1" s="115"/>
      <c r="AL1" s="115"/>
      <c r="AM1" s="115"/>
      <c r="AN1" s="115"/>
      <c r="AO1" s="116" t="s">
        <v>3</v>
      </c>
      <c r="AP1" s="115"/>
      <c r="AQ1" s="115"/>
      <c r="AR1" s="115"/>
      <c r="AS1" s="115"/>
      <c r="AT1" s="116" t="s">
        <v>4</v>
      </c>
      <c r="AU1" s="115"/>
      <c r="AV1" s="115"/>
      <c r="AW1" s="115"/>
      <c r="AX1" s="115"/>
      <c r="AY1" s="77" t="s">
        <v>5</v>
      </c>
      <c r="AZ1" s="78"/>
      <c r="BA1" s="78"/>
      <c r="BB1" s="78"/>
      <c r="BC1" s="79"/>
    </row>
    <row r="2" spans="1:55" ht="13.5" customHeight="1">
      <c r="A2" s="214" t="str">
        <f>表紙!O10</f>
        <v>13期12月対応</v>
      </c>
      <c r="B2" s="81"/>
      <c r="C2" s="81"/>
      <c r="D2" s="81"/>
      <c r="E2" s="81"/>
      <c r="F2" s="82"/>
      <c r="G2" s="82"/>
      <c r="H2" s="82"/>
      <c r="I2" s="83"/>
      <c r="J2" s="88" t="str">
        <f>表紙!O9</f>
        <v>LMS学習管理システム</v>
      </c>
      <c r="K2" s="81"/>
      <c r="L2" s="81"/>
      <c r="M2" s="81"/>
      <c r="N2" s="81"/>
      <c r="O2" s="82"/>
      <c r="P2" s="82"/>
      <c r="Q2" s="89"/>
      <c r="R2" s="92" t="str">
        <f ca="1">RIGHT(CELL("filename",A1),LEN(CELL("filename",A1))-FIND("]",CELL("filename",A1)))</f>
        <v>コース概要変更画面（管理者権限）</v>
      </c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4"/>
      <c r="AJ2" s="215" t="s">
        <v>43</v>
      </c>
      <c r="AK2" s="99"/>
      <c r="AL2" s="99"/>
      <c r="AM2" s="99"/>
      <c r="AN2" s="99"/>
      <c r="AO2" s="102">
        <v>43766</v>
      </c>
      <c r="AP2" s="99"/>
      <c r="AQ2" s="216"/>
      <c r="AR2" s="99"/>
      <c r="AS2" s="99"/>
      <c r="AT2" s="215" t="s">
        <v>43</v>
      </c>
      <c r="AU2" s="99"/>
      <c r="AV2" s="216"/>
      <c r="AW2" s="99"/>
      <c r="AX2" s="99"/>
      <c r="AY2" s="103">
        <v>43861</v>
      </c>
      <c r="AZ2" s="104"/>
      <c r="BA2" s="104"/>
      <c r="BB2" s="217"/>
      <c r="BC2" s="105"/>
    </row>
    <row r="3" spans="1:55" ht="13.5" customHeight="1" thickBot="1">
      <c r="A3" s="84"/>
      <c r="B3" s="85"/>
      <c r="C3" s="85"/>
      <c r="D3" s="85"/>
      <c r="E3" s="85"/>
      <c r="F3" s="86"/>
      <c r="G3" s="86"/>
      <c r="H3" s="86"/>
      <c r="I3" s="87"/>
      <c r="J3" s="90"/>
      <c r="K3" s="85"/>
      <c r="L3" s="85"/>
      <c r="M3" s="85"/>
      <c r="N3" s="85"/>
      <c r="O3" s="86"/>
      <c r="P3" s="86"/>
      <c r="Q3" s="91"/>
      <c r="R3" s="95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7"/>
      <c r="AJ3" s="100"/>
      <c r="AK3" s="101"/>
      <c r="AL3" s="101"/>
      <c r="AM3" s="101"/>
      <c r="AN3" s="101"/>
      <c r="AO3" s="101"/>
      <c r="AP3" s="101"/>
      <c r="AQ3" s="101"/>
      <c r="AR3" s="101"/>
      <c r="AS3" s="101"/>
      <c r="AT3" s="100"/>
      <c r="AU3" s="101"/>
      <c r="AV3" s="101"/>
      <c r="AW3" s="101"/>
      <c r="AX3" s="101"/>
      <c r="AY3" s="106"/>
      <c r="AZ3" s="106"/>
      <c r="BA3" s="106"/>
      <c r="BB3" s="106"/>
      <c r="BC3" s="107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38"/>
      <c r="C6" s="39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40"/>
      <c r="AA6" s="38"/>
      <c r="AB6" s="38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29"/>
    </row>
    <row r="7" spans="1:55" ht="13.5" customHeight="1">
      <c r="A7" s="29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29"/>
    </row>
    <row r="8" spans="1:55" ht="13.5" customHeight="1">
      <c r="A8" s="29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29"/>
    </row>
    <row r="9" spans="1:55" ht="13.5" customHeight="1">
      <c r="A9" s="29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29"/>
    </row>
    <row r="10" spans="1:55" ht="13.5" customHeight="1">
      <c r="A10" s="29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29"/>
    </row>
    <row r="11" spans="1:55" ht="13.5" customHeight="1">
      <c r="A11" s="29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29"/>
    </row>
    <row r="12" spans="1:55" ht="13.5" customHeight="1">
      <c r="A12" s="29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29"/>
    </row>
    <row r="13" spans="1:55" ht="13.5" customHeight="1">
      <c r="A13" s="29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29"/>
    </row>
    <row r="14" spans="1:55" ht="13.5" customHeight="1">
      <c r="A14" s="29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29"/>
    </row>
    <row r="15" spans="1:55" ht="13.5" customHeight="1">
      <c r="A15" s="29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29"/>
    </row>
    <row r="16" spans="1:55" ht="13.5" customHeight="1">
      <c r="A16" s="29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29"/>
    </row>
    <row r="17" spans="1:55" ht="13.5" customHeight="1">
      <c r="A17" s="29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29"/>
    </row>
    <row r="18" spans="1:55" ht="13.5" customHeight="1">
      <c r="A18" s="29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29"/>
    </row>
    <row r="19" spans="1:55" ht="13.5" customHeight="1">
      <c r="A19" s="29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29"/>
    </row>
    <row r="20" spans="1:55" ht="13.5" customHeight="1">
      <c r="A20" s="29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9"/>
    </row>
    <row r="21" spans="1:55" ht="13.5" customHeight="1">
      <c r="A21" s="29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29"/>
    </row>
    <row r="22" spans="1:55" ht="13.5" customHeight="1">
      <c r="A22" s="29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29"/>
    </row>
    <row r="23" spans="1:55" ht="13.5" customHeight="1">
      <c r="A23" s="29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29"/>
    </row>
    <row r="24" spans="1:55" ht="13.5" customHeight="1">
      <c r="A24" s="29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29"/>
    </row>
    <row r="25" spans="1:55" ht="13.5" customHeight="1">
      <c r="A25" s="29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29"/>
    </row>
    <row r="26" spans="1:55" ht="13.5" customHeight="1">
      <c r="A26" s="29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29"/>
    </row>
    <row r="27" spans="1:55" ht="13.5" customHeight="1">
      <c r="A27" s="29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29"/>
    </row>
    <row r="28" spans="1:55" ht="13.5" customHeight="1">
      <c r="A28" s="29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29"/>
    </row>
    <row r="29" spans="1:55" ht="13.5" customHeight="1">
      <c r="A29" s="29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29"/>
    </row>
    <row r="30" spans="1:55" ht="13.5" customHeight="1">
      <c r="A30" s="29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29"/>
    </row>
    <row r="31" spans="1:55" ht="13.5" customHeight="1">
      <c r="A31" s="29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29"/>
    </row>
    <row r="32" spans="1:55" ht="13.5" customHeight="1">
      <c r="A32" s="29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29"/>
    </row>
    <row r="33" spans="1:55" ht="13.5" customHeight="1">
      <c r="A33" s="29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29"/>
    </row>
    <row r="34" spans="1:55" ht="13.5" customHeight="1">
      <c r="A34" s="29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9"/>
    </row>
    <row r="35" spans="1:55" ht="13.5" customHeight="1">
      <c r="A35" s="29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29"/>
    </row>
    <row r="36" spans="1:55" ht="13.5" customHeight="1">
      <c r="A36" s="29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29"/>
    </row>
    <row r="37" spans="1:55" ht="13.5" customHeight="1">
      <c r="A37" s="29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29"/>
    </row>
    <row r="38" spans="1:55" ht="13.5" customHeight="1">
      <c r="A38" s="29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29"/>
    </row>
    <row r="39" spans="1:55" ht="13.5" customHeight="1">
      <c r="A39" s="29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29"/>
    </row>
    <row r="40" spans="1:55" ht="13.5" customHeight="1">
      <c r="A40" s="29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29"/>
    </row>
    <row r="41" spans="1:55">
      <c r="A41" s="29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29"/>
    </row>
    <row r="42" spans="1:55">
      <c r="A42" s="29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29"/>
    </row>
    <row r="43" spans="1:55">
      <c r="A43" s="29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29"/>
    </row>
    <row r="44" spans="1:5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>
      <c r="A46" s="29"/>
      <c r="B46" s="28" t="s">
        <v>35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29"/>
    </row>
    <row r="47" spans="1:55">
      <c r="A47" s="29"/>
      <c r="B47" s="210" t="s">
        <v>17</v>
      </c>
      <c r="C47" s="211"/>
      <c r="D47" s="221" t="s">
        <v>28</v>
      </c>
      <c r="E47" s="222"/>
      <c r="F47" s="222"/>
      <c r="G47" s="222"/>
      <c r="H47" s="222"/>
      <c r="I47" s="222"/>
      <c r="J47" s="222"/>
      <c r="K47" s="222"/>
      <c r="L47" s="223"/>
      <c r="M47" s="227" t="s">
        <v>21</v>
      </c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9"/>
      <c r="AF47" s="210" t="s">
        <v>18</v>
      </c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11"/>
      <c r="BC47" s="29"/>
    </row>
    <row r="48" spans="1:55">
      <c r="A48" s="29"/>
      <c r="B48" s="212"/>
      <c r="C48" s="213"/>
      <c r="D48" s="224"/>
      <c r="E48" s="225"/>
      <c r="F48" s="225"/>
      <c r="G48" s="225"/>
      <c r="H48" s="225"/>
      <c r="I48" s="225"/>
      <c r="J48" s="225"/>
      <c r="K48" s="225"/>
      <c r="L48" s="226"/>
      <c r="M48" s="227" t="s">
        <v>34</v>
      </c>
      <c r="N48" s="228"/>
      <c r="O48" s="228"/>
      <c r="P48" s="228"/>
      <c r="Q48" s="228"/>
      <c r="R48" s="228"/>
      <c r="S48" s="228"/>
      <c r="T48" s="228"/>
      <c r="U48" s="228"/>
      <c r="V48" s="229"/>
      <c r="W48" s="227" t="s">
        <v>30</v>
      </c>
      <c r="X48" s="228"/>
      <c r="Y48" s="228"/>
      <c r="Z48" s="228"/>
      <c r="AA48" s="228"/>
      <c r="AB48" s="228"/>
      <c r="AC48" s="228"/>
      <c r="AD48" s="228"/>
      <c r="AE48" s="229"/>
      <c r="AF48" s="212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13"/>
      <c r="BC48" s="29"/>
    </row>
    <row r="49" spans="1:55">
      <c r="A49" s="29"/>
      <c r="B49" s="54" t="s">
        <v>44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3"/>
      <c r="BC49" s="29"/>
    </row>
    <row r="50" spans="1:55">
      <c r="A50" s="29"/>
      <c r="B50" s="205">
        <v>1</v>
      </c>
      <c r="C50" s="206"/>
      <c r="D50" s="207" t="s">
        <v>45</v>
      </c>
      <c r="E50" s="208"/>
      <c r="F50" s="208"/>
      <c r="G50" s="208"/>
      <c r="H50" s="208"/>
      <c r="I50" s="208"/>
      <c r="J50" s="208"/>
      <c r="K50" s="208"/>
      <c r="L50" s="209"/>
      <c r="M50" s="202" t="s">
        <v>52</v>
      </c>
      <c r="N50" s="203"/>
      <c r="O50" s="203"/>
      <c r="P50" s="203"/>
      <c r="Q50" s="203"/>
      <c r="R50" s="203"/>
      <c r="S50" s="203"/>
      <c r="T50" s="203"/>
      <c r="U50" s="203"/>
      <c r="V50" s="204"/>
      <c r="W50" s="218" t="s">
        <v>53</v>
      </c>
      <c r="X50" s="219"/>
      <c r="Y50" s="219"/>
      <c r="Z50" s="219"/>
      <c r="AA50" s="219"/>
      <c r="AB50" s="219"/>
      <c r="AC50" s="219"/>
      <c r="AD50" s="219"/>
      <c r="AE50" s="220"/>
      <c r="AF50" s="55" t="s">
        <v>71</v>
      </c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51"/>
      <c r="BC50" s="29"/>
    </row>
    <row r="51" spans="1:55">
      <c r="A51" s="29"/>
      <c r="B51" s="205">
        <v>2</v>
      </c>
      <c r="C51" s="206"/>
      <c r="D51" s="232" t="s">
        <v>46</v>
      </c>
      <c r="E51" s="233"/>
      <c r="F51" s="233"/>
      <c r="G51" s="233"/>
      <c r="H51" s="233"/>
      <c r="I51" s="233"/>
      <c r="J51" s="233"/>
      <c r="K51" s="233"/>
      <c r="L51" s="234"/>
      <c r="M51" s="235" t="s">
        <v>52</v>
      </c>
      <c r="N51" s="236"/>
      <c r="O51" s="236"/>
      <c r="P51" s="236"/>
      <c r="Q51" s="236"/>
      <c r="R51" s="236"/>
      <c r="S51" s="236"/>
      <c r="T51" s="236"/>
      <c r="U51" s="236"/>
      <c r="V51" s="237"/>
      <c r="W51" s="235" t="s">
        <v>54</v>
      </c>
      <c r="X51" s="236"/>
      <c r="Y51" s="236"/>
      <c r="Z51" s="236"/>
      <c r="AA51" s="236"/>
      <c r="AB51" s="236"/>
      <c r="AC51" s="236"/>
      <c r="AD51" s="236"/>
      <c r="AE51" s="237"/>
      <c r="AF51" s="55" t="s">
        <v>64</v>
      </c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7"/>
      <c r="BC51" s="29"/>
    </row>
    <row r="52" spans="1:55">
      <c r="A52" s="29"/>
      <c r="B52" s="205">
        <v>3</v>
      </c>
      <c r="C52" s="206"/>
      <c r="D52" s="232" t="s">
        <v>47</v>
      </c>
      <c r="E52" s="233"/>
      <c r="F52" s="233"/>
      <c r="G52" s="233"/>
      <c r="H52" s="233"/>
      <c r="I52" s="233"/>
      <c r="J52" s="233"/>
      <c r="K52" s="233"/>
      <c r="L52" s="234"/>
      <c r="M52" s="235" t="s">
        <v>52</v>
      </c>
      <c r="N52" s="236"/>
      <c r="O52" s="236"/>
      <c r="P52" s="236"/>
      <c r="Q52" s="236"/>
      <c r="R52" s="236"/>
      <c r="S52" s="236"/>
      <c r="T52" s="236"/>
      <c r="U52" s="236"/>
      <c r="V52" s="237"/>
      <c r="W52" s="235" t="s">
        <v>55</v>
      </c>
      <c r="X52" s="236"/>
      <c r="Y52" s="236"/>
      <c r="Z52" s="236"/>
      <c r="AA52" s="236"/>
      <c r="AB52" s="236"/>
      <c r="AC52" s="236"/>
      <c r="AD52" s="236"/>
      <c r="AE52" s="237"/>
      <c r="AF52" s="55" t="s">
        <v>64</v>
      </c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7"/>
      <c r="BC52" s="29"/>
    </row>
    <row r="53" spans="1:55">
      <c r="A53" s="29"/>
      <c r="B53" s="205">
        <v>4</v>
      </c>
      <c r="C53" s="206"/>
      <c r="D53" s="232" t="s">
        <v>48</v>
      </c>
      <c r="E53" s="233"/>
      <c r="F53" s="233"/>
      <c r="G53" s="233"/>
      <c r="H53" s="233"/>
      <c r="I53" s="233"/>
      <c r="J53" s="233"/>
      <c r="K53" s="233"/>
      <c r="L53" s="234"/>
      <c r="M53" s="235" t="s">
        <v>66</v>
      </c>
      <c r="N53" s="236"/>
      <c r="O53" s="236"/>
      <c r="P53" s="236"/>
      <c r="Q53" s="236"/>
      <c r="R53" s="236"/>
      <c r="S53" s="236"/>
      <c r="T53" s="236"/>
      <c r="U53" s="236"/>
      <c r="V53" s="237"/>
      <c r="W53" s="235" t="s">
        <v>65</v>
      </c>
      <c r="X53" s="236"/>
      <c r="Y53" s="236"/>
      <c r="Z53" s="236"/>
      <c r="AA53" s="236"/>
      <c r="AB53" s="236"/>
      <c r="AC53" s="236"/>
      <c r="AD53" s="236"/>
      <c r="AE53" s="237"/>
      <c r="AF53" s="55" t="s">
        <v>67</v>
      </c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7"/>
      <c r="BC53" s="29"/>
    </row>
    <row r="54" spans="1:55">
      <c r="A54" s="29"/>
      <c r="B54" s="205">
        <v>5</v>
      </c>
      <c r="C54" s="206"/>
      <c r="D54" s="232" t="s">
        <v>49</v>
      </c>
      <c r="E54" s="233"/>
      <c r="F54" s="233"/>
      <c r="G54" s="233"/>
      <c r="H54" s="233"/>
      <c r="I54" s="233"/>
      <c r="J54" s="233"/>
      <c r="K54" s="233"/>
      <c r="L54" s="234"/>
      <c r="M54" s="235" t="s">
        <v>68</v>
      </c>
      <c r="N54" s="236"/>
      <c r="O54" s="236"/>
      <c r="P54" s="236"/>
      <c r="Q54" s="236"/>
      <c r="R54" s="236"/>
      <c r="S54" s="236"/>
      <c r="T54" s="236"/>
      <c r="U54" s="236"/>
      <c r="V54" s="237"/>
      <c r="W54" s="235" t="s">
        <v>65</v>
      </c>
      <c r="X54" s="236"/>
      <c r="Y54" s="236"/>
      <c r="Z54" s="236"/>
      <c r="AA54" s="236"/>
      <c r="AB54" s="236"/>
      <c r="AC54" s="236"/>
      <c r="AD54" s="236"/>
      <c r="AE54" s="237"/>
      <c r="AF54" s="55" t="s">
        <v>56</v>
      </c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7"/>
      <c r="BC54" s="29"/>
    </row>
    <row r="55" spans="1:55">
      <c r="A55" s="29"/>
      <c r="B55" s="205">
        <v>6</v>
      </c>
      <c r="C55" s="206"/>
      <c r="D55" s="232" t="s">
        <v>50</v>
      </c>
      <c r="E55" s="233"/>
      <c r="F55" s="233"/>
      <c r="G55" s="233"/>
      <c r="H55" s="233"/>
      <c r="I55" s="233"/>
      <c r="J55" s="233"/>
      <c r="K55" s="233"/>
      <c r="L55" s="234"/>
      <c r="M55" s="235" t="s">
        <v>70</v>
      </c>
      <c r="N55" s="236"/>
      <c r="O55" s="236"/>
      <c r="P55" s="236"/>
      <c r="Q55" s="236"/>
      <c r="R55" s="236"/>
      <c r="S55" s="236"/>
      <c r="T55" s="236"/>
      <c r="U55" s="236"/>
      <c r="V55" s="237"/>
      <c r="W55" s="235" t="s">
        <v>69</v>
      </c>
      <c r="X55" s="236"/>
      <c r="Y55" s="236"/>
      <c r="Z55" s="236"/>
      <c r="AA55" s="236"/>
      <c r="AB55" s="236"/>
      <c r="AC55" s="236"/>
      <c r="AD55" s="236"/>
      <c r="AE55" s="237"/>
      <c r="AF55" s="55" t="s">
        <v>67</v>
      </c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7"/>
      <c r="BC55" s="29"/>
    </row>
    <row r="56" spans="1:55">
      <c r="A56" s="29"/>
      <c r="B56" s="41"/>
      <c r="C56" s="41"/>
      <c r="D56" s="36"/>
      <c r="E56" s="36"/>
      <c r="F56" s="36"/>
      <c r="G56" s="36"/>
      <c r="H56" s="36"/>
      <c r="I56" s="36"/>
      <c r="J56" s="36"/>
      <c r="K56" s="36"/>
      <c r="L56" s="36"/>
      <c r="M56" s="42"/>
      <c r="N56" s="42"/>
      <c r="O56" s="42"/>
      <c r="P56" s="42"/>
      <c r="Q56" s="42"/>
      <c r="R56" s="42"/>
      <c r="S56" s="42"/>
      <c r="T56" s="4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9"/>
    </row>
    <row r="57" spans="1:55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>
      <c r="A58" s="29"/>
      <c r="B58" s="245" t="s">
        <v>51</v>
      </c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  <c r="AY58" s="245"/>
      <c r="AZ58" s="245"/>
      <c r="BA58" s="245"/>
      <c r="BB58" s="245"/>
      <c r="BC58" s="29"/>
    </row>
    <row r="59" spans="1:55">
      <c r="A59" s="29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/>
      <c r="AV59" s="245"/>
      <c r="AW59" s="245"/>
      <c r="AX59" s="245"/>
      <c r="AY59" s="245"/>
      <c r="AZ59" s="245"/>
      <c r="BA59" s="245"/>
      <c r="BB59" s="245"/>
      <c r="BC59" s="29"/>
    </row>
    <row r="60" spans="1:55">
      <c r="A60" s="29"/>
      <c r="B60" s="28" t="s">
        <v>29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>
      <c r="A61" s="29"/>
      <c r="B61" s="210" t="s">
        <v>17</v>
      </c>
      <c r="C61" s="211"/>
      <c r="D61" s="221" t="s">
        <v>28</v>
      </c>
      <c r="E61" s="222"/>
      <c r="F61" s="222"/>
      <c r="G61" s="222"/>
      <c r="H61" s="222"/>
      <c r="I61" s="223"/>
      <c r="J61" s="221" t="s">
        <v>27</v>
      </c>
      <c r="K61" s="222"/>
      <c r="L61" s="222"/>
      <c r="M61" s="222"/>
      <c r="N61" s="222"/>
      <c r="O61" s="223"/>
      <c r="P61" s="221" t="s">
        <v>32</v>
      </c>
      <c r="Q61" s="222"/>
      <c r="R61" s="222"/>
      <c r="S61" s="222"/>
      <c r="T61" s="222"/>
      <c r="U61" s="223"/>
      <c r="V61" s="221" t="s">
        <v>26</v>
      </c>
      <c r="W61" s="223"/>
      <c r="X61" s="221" t="s">
        <v>25</v>
      </c>
      <c r="Y61" s="222"/>
      <c r="Z61" s="223"/>
      <c r="AA61" s="221" t="s">
        <v>24</v>
      </c>
      <c r="AB61" s="222"/>
      <c r="AC61" s="223"/>
      <c r="AD61" s="221" t="s">
        <v>23</v>
      </c>
      <c r="AE61" s="222"/>
      <c r="AF61" s="223"/>
      <c r="AG61" s="221" t="s">
        <v>33</v>
      </c>
      <c r="AH61" s="223"/>
      <c r="AI61" s="221" t="s">
        <v>22</v>
      </c>
      <c r="AJ61" s="222"/>
      <c r="AK61" s="222"/>
      <c r="AL61" s="222"/>
      <c r="AM61" s="222"/>
      <c r="AN61" s="222"/>
      <c r="AO61" s="222"/>
      <c r="AP61" s="223"/>
      <c r="AQ61" s="227" t="s">
        <v>18</v>
      </c>
      <c r="AR61" s="228"/>
      <c r="AS61" s="228"/>
      <c r="AT61" s="228"/>
      <c r="AU61" s="228"/>
      <c r="AV61" s="228"/>
      <c r="AW61" s="228"/>
      <c r="AX61" s="228"/>
      <c r="AY61" s="228"/>
      <c r="AZ61" s="228"/>
      <c r="BA61" s="228"/>
      <c r="BB61" s="229"/>
      <c r="BC61" s="29"/>
    </row>
    <row r="62" spans="1:55">
      <c r="A62" s="29"/>
      <c r="B62" s="205">
        <v>1</v>
      </c>
      <c r="C62" s="206"/>
      <c r="D62" s="207" t="s">
        <v>58</v>
      </c>
      <c r="E62" s="208"/>
      <c r="F62" s="208"/>
      <c r="G62" s="208"/>
      <c r="H62" s="208"/>
      <c r="I62" s="209"/>
      <c r="J62" s="207" t="s">
        <v>41</v>
      </c>
      <c r="K62" s="208"/>
      <c r="L62" s="208"/>
      <c r="M62" s="208"/>
      <c r="N62" s="208"/>
      <c r="O62" s="209"/>
      <c r="P62" s="207" t="s">
        <v>36</v>
      </c>
      <c r="Q62" s="208"/>
      <c r="R62" s="208"/>
      <c r="S62" s="208"/>
      <c r="T62" s="208"/>
      <c r="U62" s="209"/>
      <c r="V62" s="199" t="s">
        <v>37</v>
      </c>
      <c r="W62" s="201"/>
      <c r="X62" s="199" t="s">
        <v>31</v>
      </c>
      <c r="Y62" s="200"/>
      <c r="Z62" s="201"/>
      <c r="AA62" s="199" t="s">
        <v>31</v>
      </c>
      <c r="AB62" s="200"/>
      <c r="AC62" s="201"/>
      <c r="AD62" s="199" t="s">
        <v>31</v>
      </c>
      <c r="AE62" s="200"/>
      <c r="AF62" s="201"/>
      <c r="AG62" s="199" t="s">
        <v>31</v>
      </c>
      <c r="AH62" s="201"/>
      <c r="AI62" s="202" t="s">
        <v>38</v>
      </c>
      <c r="AJ62" s="203"/>
      <c r="AK62" s="203"/>
      <c r="AL62" s="203"/>
      <c r="AM62" s="203"/>
      <c r="AN62" s="203"/>
      <c r="AO62" s="203"/>
      <c r="AP62" s="204"/>
      <c r="AQ62" s="48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29"/>
    </row>
    <row r="63" spans="1:55">
      <c r="A63" s="29"/>
      <c r="B63" s="205">
        <v>2</v>
      </c>
      <c r="C63" s="206"/>
      <c r="D63" s="207" t="s">
        <v>78</v>
      </c>
      <c r="E63" s="208"/>
      <c r="F63" s="208"/>
      <c r="G63" s="208"/>
      <c r="H63" s="208"/>
      <c r="I63" s="209"/>
      <c r="J63" s="207" t="s">
        <v>72</v>
      </c>
      <c r="K63" s="208"/>
      <c r="L63" s="208"/>
      <c r="M63" s="208"/>
      <c r="N63" s="208"/>
      <c r="O63" s="209"/>
      <c r="P63" s="207" t="s">
        <v>71</v>
      </c>
      <c r="Q63" s="208"/>
      <c r="R63" s="208"/>
      <c r="S63" s="208"/>
      <c r="T63" s="208"/>
      <c r="U63" s="209"/>
      <c r="V63" s="199" t="s">
        <v>37</v>
      </c>
      <c r="W63" s="201"/>
      <c r="X63" s="199" t="s">
        <v>31</v>
      </c>
      <c r="Y63" s="200"/>
      <c r="Z63" s="201"/>
      <c r="AA63" s="199" t="s">
        <v>31</v>
      </c>
      <c r="AB63" s="200"/>
      <c r="AC63" s="201"/>
      <c r="AD63" s="199" t="s">
        <v>31</v>
      </c>
      <c r="AE63" s="200"/>
      <c r="AF63" s="201"/>
      <c r="AG63" s="199" t="s">
        <v>31</v>
      </c>
      <c r="AH63" s="201"/>
      <c r="AI63" s="202" t="s">
        <v>79</v>
      </c>
      <c r="AJ63" s="203"/>
      <c r="AK63" s="203"/>
      <c r="AL63" s="203"/>
      <c r="AM63" s="203"/>
      <c r="AN63" s="203"/>
      <c r="AO63" s="203"/>
      <c r="AP63" s="204"/>
      <c r="AQ63" s="48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29"/>
    </row>
    <row r="64" spans="1:55">
      <c r="A64" s="29"/>
      <c r="B64" s="205">
        <v>3</v>
      </c>
      <c r="C64" s="206"/>
      <c r="D64" s="207" t="s">
        <v>59</v>
      </c>
      <c r="E64" s="208"/>
      <c r="F64" s="208"/>
      <c r="G64" s="208"/>
      <c r="H64" s="208"/>
      <c r="I64" s="209"/>
      <c r="J64" s="207" t="s">
        <v>73</v>
      </c>
      <c r="K64" s="208"/>
      <c r="L64" s="208"/>
      <c r="M64" s="208"/>
      <c r="N64" s="208"/>
      <c r="O64" s="209"/>
      <c r="P64" s="207" t="s">
        <v>64</v>
      </c>
      <c r="Q64" s="208"/>
      <c r="R64" s="208"/>
      <c r="S64" s="208"/>
      <c r="T64" s="208"/>
      <c r="U64" s="209"/>
      <c r="V64" s="199" t="s">
        <v>37</v>
      </c>
      <c r="W64" s="201"/>
      <c r="X64" s="199" t="s">
        <v>31</v>
      </c>
      <c r="Y64" s="200"/>
      <c r="Z64" s="201"/>
      <c r="AA64" s="199" t="s">
        <v>31</v>
      </c>
      <c r="AB64" s="200"/>
      <c r="AC64" s="201"/>
      <c r="AD64" s="199" t="s">
        <v>31</v>
      </c>
      <c r="AE64" s="200"/>
      <c r="AF64" s="201"/>
      <c r="AG64" s="199" t="s">
        <v>31</v>
      </c>
      <c r="AH64" s="201"/>
      <c r="AI64" s="202" t="s">
        <v>80</v>
      </c>
      <c r="AJ64" s="203"/>
      <c r="AK64" s="203"/>
      <c r="AL64" s="203"/>
      <c r="AM64" s="203"/>
      <c r="AN64" s="203"/>
      <c r="AO64" s="203"/>
      <c r="AP64" s="204"/>
      <c r="AQ64" s="48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29"/>
    </row>
    <row r="65" spans="1:55">
      <c r="A65" s="29"/>
      <c r="B65" s="205">
        <v>4</v>
      </c>
      <c r="C65" s="206"/>
      <c r="D65" s="207" t="s">
        <v>60</v>
      </c>
      <c r="E65" s="208"/>
      <c r="F65" s="208"/>
      <c r="G65" s="208"/>
      <c r="H65" s="208"/>
      <c r="I65" s="209"/>
      <c r="J65" s="207" t="s">
        <v>74</v>
      </c>
      <c r="K65" s="208"/>
      <c r="L65" s="208"/>
      <c r="M65" s="208"/>
      <c r="N65" s="208"/>
      <c r="O65" s="209"/>
      <c r="P65" s="207" t="s">
        <v>64</v>
      </c>
      <c r="Q65" s="208"/>
      <c r="R65" s="208"/>
      <c r="S65" s="208"/>
      <c r="T65" s="208"/>
      <c r="U65" s="209"/>
      <c r="V65" s="199" t="s">
        <v>37</v>
      </c>
      <c r="W65" s="201"/>
      <c r="X65" s="199" t="s">
        <v>31</v>
      </c>
      <c r="Y65" s="200"/>
      <c r="Z65" s="201"/>
      <c r="AA65" s="199" t="s">
        <v>31</v>
      </c>
      <c r="AB65" s="200"/>
      <c r="AC65" s="201"/>
      <c r="AD65" s="199" t="s">
        <v>31</v>
      </c>
      <c r="AE65" s="200"/>
      <c r="AF65" s="201"/>
      <c r="AG65" s="199" t="s">
        <v>31</v>
      </c>
      <c r="AH65" s="201"/>
      <c r="AI65" s="202" t="s">
        <v>80</v>
      </c>
      <c r="AJ65" s="203"/>
      <c r="AK65" s="203"/>
      <c r="AL65" s="203"/>
      <c r="AM65" s="203"/>
      <c r="AN65" s="203"/>
      <c r="AO65" s="203"/>
      <c r="AP65" s="204"/>
      <c r="AQ65" s="48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29"/>
    </row>
    <row r="66" spans="1:55">
      <c r="A66" s="29"/>
      <c r="B66" s="205">
        <v>5</v>
      </c>
      <c r="C66" s="206"/>
      <c r="D66" s="207" t="s">
        <v>48</v>
      </c>
      <c r="E66" s="208"/>
      <c r="F66" s="208"/>
      <c r="G66" s="208"/>
      <c r="H66" s="208"/>
      <c r="I66" s="209"/>
      <c r="J66" s="207" t="s">
        <v>75</v>
      </c>
      <c r="K66" s="208"/>
      <c r="L66" s="208"/>
      <c r="M66" s="208"/>
      <c r="N66" s="208"/>
      <c r="O66" s="209"/>
      <c r="P66" s="207" t="s">
        <v>81</v>
      </c>
      <c r="Q66" s="208"/>
      <c r="R66" s="208"/>
      <c r="S66" s="208"/>
      <c r="T66" s="208"/>
      <c r="U66" s="209"/>
      <c r="V66" s="199" t="s">
        <v>37</v>
      </c>
      <c r="W66" s="201"/>
      <c r="X66" s="199" t="s">
        <v>31</v>
      </c>
      <c r="Y66" s="200"/>
      <c r="Z66" s="201"/>
      <c r="AA66" s="199" t="s">
        <v>31</v>
      </c>
      <c r="AB66" s="200"/>
      <c r="AC66" s="201"/>
      <c r="AD66" s="199" t="s">
        <v>31</v>
      </c>
      <c r="AE66" s="200"/>
      <c r="AF66" s="201"/>
      <c r="AG66" s="199" t="s">
        <v>31</v>
      </c>
      <c r="AH66" s="201"/>
      <c r="AI66" s="202" t="s">
        <v>38</v>
      </c>
      <c r="AJ66" s="203"/>
      <c r="AK66" s="203"/>
      <c r="AL66" s="203"/>
      <c r="AM66" s="203"/>
      <c r="AN66" s="203"/>
      <c r="AO66" s="203"/>
      <c r="AP66" s="204"/>
      <c r="AQ66" s="48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29"/>
    </row>
    <row r="67" spans="1:55">
      <c r="A67" s="29"/>
      <c r="B67" s="205">
        <v>6</v>
      </c>
      <c r="C67" s="206"/>
      <c r="D67" s="207" t="s">
        <v>61</v>
      </c>
      <c r="E67" s="208"/>
      <c r="F67" s="208"/>
      <c r="G67" s="208"/>
      <c r="H67" s="208"/>
      <c r="I67" s="209"/>
      <c r="J67" s="207" t="s">
        <v>76</v>
      </c>
      <c r="K67" s="208"/>
      <c r="L67" s="208"/>
      <c r="M67" s="208"/>
      <c r="N67" s="208"/>
      <c r="O67" s="209"/>
      <c r="P67" s="207" t="s">
        <v>82</v>
      </c>
      <c r="Q67" s="208"/>
      <c r="R67" s="208"/>
      <c r="S67" s="208"/>
      <c r="T67" s="208"/>
      <c r="U67" s="209"/>
      <c r="V67" s="199" t="s">
        <v>37</v>
      </c>
      <c r="W67" s="201"/>
      <c r="X67" s="199" t="s">
        <v>31</v>
      </c>
      <c r="Y67" s="200"/>
      <c r="Z67" s="201"/>
      <c r="AA67" s="199" t="s">
        <v>31</v>
      </c>
      <c r="AB67" s="200"/>
      <c r="AC67" s="201"/>
      <c r="AD67" s="199" t="s">
        <v>31</v>
      </c>
      <c r="AE67" s="200"/>
      <c r="AF67" s="201"/>
      <c r="AG67" s="199" t="s">
        <v>31</v>
      </c>
      <c r="AH67" s="201"/>
      <c r="AI67" s="202" t="s">
        <v>38</v>
      </c>
      <c r="AJ67" s="203"/>
      <c r="AK67" s="203"/>
      <c r="AL67" s="203"/>
      <c r="AM67" s="203"/>
      <c r="AN67" s="203"/>
      <c r="AO67" s="203"/>
      <c r="AP67" s="204"/>
      <c r="AQ67" s="48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29"/>
    </row>
    <row r="68" spans="1:55">
      <c r="A68" s="29"/>
      <c r="B68" s="205">
        <v>6</v>
      </c>
      <c r="C68" s="206"/>
      <c r="D68" s="207" t="s">
        <v>62</v>
      </c>
      <c r="E68" s="208"/>
      <c r="F68" s="208"/>
      <c r="G68" s="208"/>
      <c r="H68" s="208"/>
      <c r="I68" s="209"/>
      <c r="J68" s="207" t="s">
        <v>77</v>
      </c>
      <c r="K68" s="208"/>
      <c r="L68" s="208"/>
      <c r="M68" s="208"/>
      <c r="N68" s="208"/>
      <c r="O68" s="209"/>
      <c r="P68" s="207" t="s">
        <v>81</v>
      </c>
      <c r="Q68" s="208"/>
      <c r="R68" s="208"/>
      <c r="S68" s="208"/>
      <c r="T68" s="208"/>
      <c r="U68" s="209"/>
      <c r="V68" s="199" t="s">
        <v>37</v>
      </c>
      <c r="W68" s="201"/>
      <c r="X68" s="199" t="s">
        <v>31</v>
      </c>
      <c r="Y68" s="200"/>
      <c r="Z68" s="201"/>
      <c r="AA68" s="199" t="s">
        <v>31</v>
      </c>
      <c r="AB68" s="200"/>
      <c r="AC68" s="201"/>
      <c r="AD68" s="199" t="s">
        <v>31</v>
      </c>
      <c r="AE68" s="200"/>
      <c r="AF68" s="201"/>
      <c r="AG68" s="199" t="s">
        <v>31</v>
      </c>
      <c r="AH68" s="201"/>
      <c r="AI68" s="202" t="s">
        <v>38</v>
      </c>
      <c r="AJ68" s="203"/>
      <c r="AK68" s="203"/>
      <c r="AL68" s="203"/>
      <c r="AM68" s="203"/>
      <c r="AN68" s="203"/>
      <c r="AO68" s="203"/>
      <c r="AP68" s="204"/>
      <c r="AQ68" s="48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29"/>
    </row>
    <row r="69" spans="1:55">
      <c r="A69" s="29"/>
      <c r="B69" s="205">
        <v>7</v>
      </c>
      <c r="C69" s="206"/>
      <c r="D69" s="238" t="s">
        <v>57</v>
      </c>
      <c r="E69" s="239"/>
      <c r="F69" s="239"/>
      <c r="G69" s="239"/>
      <c r="H69" s="239"/>
      <c r="I69" s="240"/>
      <c r="J69" s="238" t="s">
        <v>31</v>
      </c>
      <c r="K69" s="239"/>
      <c r="L69" s="239"/>
      <c r="M69" s="239"/>
      <c r="N69" s="239"/>
      <c r="O69" s="240"/>
      <c r="P69" s="238" t="s">
        <v>40</v>
      </c>
      <c r="Q69" s="239"/>
      <c r="R69" s="239"/>
      <c r="S69" s="239"/>
      <c r="T69" s="239"/>
      <c r="U69" s="240"/>
      <c r="V69" s="205" t="s">
        <v>31</v>
      </c>
      <c r="W69" s="206"/>
      <c r="X69" s="205" t="s">
        <v>31</v>
      </c>
      <c r="Y69" s="241"/>
      <c r="Z69" s="206"/>
      <c r="AA69" s="205" t="s">
        <v>31</v>
      </c>
      <c r="AB69" s="241"/>
      <c r="AC69" s="206"/>
      <c r="AD69" s="205" t="s">
        <v>31</v>
      </c>
      <c r="AE69" s="241"/>
      <c r="AF69" s="206"/>
      <c r="AG69" s="205" t="s">
        <v>31</v>
      </c>
      <c r="AH69" s="206"/>
      <c r="AI69" s="242" t="s">
        <v>63</v>
      </c>
      <c r="AJ69" s="243"/>
      <c r="AK69" s="243"/>
      <c r="AL69" s="243"/>
      <c r="AM69" s="243"/>
      <c r="AN69" s="243"/>
      <c r="AO69" s="243"/>
      <c r="AP69" s="244"/>
      <c r="AQ69" s="43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5"/>
      <c r="BC69" s="29"/>
    </row>
    <row r="70" spans="1:5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>
      <c r="B71" s="34"/>
      <c r="C71" s="34"/>
      <c r="D71" s="36"/>
      <c r="E71" s="36"/>
      <c r="F71" s="36"/>
      <c r="G71" s="36"/>
      <c r="H71" s="36"/>
      <c r="I71" s="36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36"/>
    </row>
  </sheetData>
  <mergeCells count="136">
    <mergeCell ref="AI61:AP61"/>
    <mergeCell ref="B58:BB59"/>
    <mergeCell ref="AD66:AF66"/>
    <mergeCell ref="AG66:AH66"/>
    <mergeCell ref="AI66:AP66"/>
    <mergeCell ref="AI68:AP68"/>
    <mergeCell ref="J66:O66"/>
    <mergeCell ref="P66:U66"/>
    <mergeCell ref="V66:W66"/>
    <mergeCell ref="X66:Z66"/>
    <mergeCell ref="AA66:AC66"/>
    <mergeCell ref="B68:C68"/>
    <mergeCell ref="D68:I68"/>
    <mergeCell ref="J68:O68"/>
    <mergeCell ref="P68:U68"/>
    <mergeCell ref="V68:W68"/>
    <mergeCell ref="X68:Z68"/>
    <mergeCell ref="AA68:AC68"/>
    <mergeCell ref="AD68:AF68"/>
    <mergeCell ref="AG68:AH68"/>
    <mergeCell ref="AI62:AP62"/>
    <mergeCell ref="AI67:AP67"/>
    <mergeCell ref="AI65:AP65"/>
    <mergeCell ref="V67:W67"/>
    <mergeCell ref="B52:C52"/>
    <mergeCell ref="D52:L52"/>
    <mergeCell ref="M52:V52"/>
    <mergeCell ref="W52:AE52"/>
    <mergeCell ref="B54:C54"/>
    <mergeCell ref="D54:L54"/>
    <mergeCell ref="M54:V54"/>
    <mergeCell ref="W54:AE54"/>
    <mergeCell ref="B55:C55"/>
    <mergeCell ref="D55:L55"/>
    <mergeCell ref="M55:V55"/>
    <mergeCell ref="W55:AE55"/>
    <mergeCell ref="B53:C53"/>
    <mergeCell ref="D53:L53"/>
    <mergeCell ref="M53:V53"/>
    <mergeCell ref="W53:AE53"/>
    <mergeCell ref="B69:C69"/>
    <mergeCell ref="D62:I62"/>
    <mergeCell ref="J62:O62"/>
    <mergeCell ref="P62:U62"/>
    <mergeCell ref="V62:W62"/>
    <mergeCell ref="X62:Z62"/>
    <mergeCell ref="AA62:AC62"/>
    <mergeCell ref="AD62:AF62"/>
    <mergeCell ref="AG62:AH62"/>
    <mergeCell ref="B66:C66"/>
    <mergeCell ref="D66:I66"/>
    <mergeCell ref="B65:C65"/>
    <mergeCell ref="D65:I65"/>
    <mergeCell ref="J65:O65"/>
    <mergeCell ref="P65:U65"/>
    <mergeCell ref="V65:W65"/>
    <mergeCell ref="X65:Z65"/>
    <mergeCell ref="AA65:AC65"/>
    <mergeCell ref="AD65:AF65"/>
    <mergeCell ref="AG65:AH65"/>
    <mergeCell ref="B67:C67"/>
    <mergeCell ref="D67:I67"/>
    <mergeCell ref="J67:O67"/>
    <mergeCell ref="P67:U67"/>
    <mergeCell ref="AF47:BB48"/>
    <mergeCell ref="D51:L51"/>
    <mergeCell ref="M51:V51"/>
    <mergeCell ref="W51:AE51"/>
    <mergeCell ref="AQ61:BB61"/>
    <mergeCell ref="B62:C62"/>
    <mergeCell ref="D69:I69"/>
    <mergeCell ref="J69:O69"/>
    <mergeCell ref="P69:U69"/>
    <mergeCell ref="V69:W69"/>
    <mergeCell ref="X69:Z69"/>
    <mergeCell ref="AA69:AC69"/>
    <mergeCell ref="AD69:AF69"/>
    <mergeCell ref="AG69:AH69"/>
    <mergeCell ref="AI69:AP69"/>
    <mergeCell ref="B61:C61"/>
    <mergeCell ref="D61:I61"/>
    <mergeCell ref="J61:O61"/>
    <mergeCell ref="P61:U61"/>
    <mergeCell ref="V61:W61"/>
    <mergeCell ref="X61:Z61"/>
    <mergeCell ref="AA61:AC61"/>
    <mergeCell ref="AD61:AF61"/>
    <mergeCell ref="AG61:AH61"/>
    <mergeCell ref="B47:C48"/>
    <mergeCell ref="B51:C51"/>
    <mergeCell ref="B50:C50"/>
    <mergeCell ref="D50:L50"/>
    <mergeCell ref="M50:V5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W50:AE50"/>
    <mergeCell ref="D47:L48"/>
    <mergeCell ref="M47:AE47"/>
    <mergeCell ref="M48:V48"/>
    <mergeCell ref="W48:AE48"/>
    <mergeCell ref="X67:Z67"/>
    <mergeCell ref="AA67:AC67"/>
    <mergeCell ref="AD67:AF67"/>
    <mergeCell ref="AG67:AH67"/>
    <mergeCell ref="AI64:AP64"/>
    <mergeCell ref="B63:C63"/>
    <mergeCell ref="D63:I63"/>
    <mergeCell ref="J63:O63"/>
    <mergeCell ref="P63:U63"/>
    <mergeCell ref="V63:W63"/>
    <mergeCell ref="X63:Z63"/>
    <mergeCell ref="AA63:AC63"/>
    <mergeCell ref="AD63:AF63"/>
    <mergeCell ref="AG63:AH63"/>
    <mergeCell ref="AI63:AP63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H64"/>
  </mergeCells>
  <phoneticPr fontId="1"/>
  <pageMargins left="0.23622047244094491" right="0.23622047244094491" top="0.55118110236220474" bottom="0.74803149606299213" header="0.31496062992125984" footer="0.31496062992125984"/>
  <pageSetup paperSize="9" scale="49" orientation="landscape" r:id="rId1"/>
  <headerFooter>
    <oddFooter>&amp;C&amp;8&amp;P / &amp;N ページ</oddFooter>
  </headerFooter>
  <rowBreaks count="1" manualBreakCount="1">
    <brk id="57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コース概要変更画面（管理者権限）</vt:lpstr>
      <vt:lpstr>'コース概要変更画面（管理者権限）'!Print_Area</vt:lpstr>
      <vt:lpstr>更新履歴!Print_Area</vt:lpstr>
      <vt:lpstr>'コース概要変更画面（管理者権限）'!Print_Titles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2020-01-31T03:42:23Z</dcterms:modified>
</cp:coreProperties>
</file>