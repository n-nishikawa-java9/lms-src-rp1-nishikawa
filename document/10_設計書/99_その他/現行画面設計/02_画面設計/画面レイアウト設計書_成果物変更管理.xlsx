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F33B0C04-8D95-45DD-8697-9853FB03CFB5}" xr6:coauthVersionLast="45" xr6:coauthVersionMax="45" xr10:uidLastSave="{00000000-0000-0000-0000-000000000000}"/>
  <bookViews>
    <workbookView xWindow="-20610" yWindow="-120" windowWidth="20730" windowHeight="11160" tabRatio="807" xr2:uid="{00000000-000D-0000-FFFF-FFFF00000000}"/>
  </bookViews>
  <sheets>
    <sheet name="表紙" sheetId="4" r:id="rId1"/>
    <sheet name="更新履歴" sheetId="5" r:id="rId2"/>
    <sheet name="成果物変更管理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'成果物変更管理画面（管理者権限）'!$A$1:$BF$57</definedName>
    <definedName name="_xlnm.Print_Titles" localSheetId="2">'成果物変更管理画面（管理者権限）'!$1:$4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<sst xmlns="http://schemas.openxmlformats.org/spreadsheetml/2006/main" count="120" uniqueCount="69">
  <si>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</si>
  <si>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</si>
  <si>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</si>
  <si>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</si>
  <si>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</si>
  <si>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</si>
  <si>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</si>
  <si>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</si>
  <si>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</si>
  <si>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</si>
  <si>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</si>
  <si>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</si>
  <si>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</si>
  <si>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</si>
  <si>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</si>
  <si>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</si>
  <si>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</si>
  <si>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</si>
  <si>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</si>
  <si>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</si>
  <si>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</si>
  <si>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</si>
  <si>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</si>
  <si>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</si>
  <si>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</si>
  <si>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</si>
  <si>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</si>
  <si>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</si>
  <si>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</si>
  <si>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</si>
  <si>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</si>
  <si>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</si>
  <si>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</si>
  <si>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LMS学習管理システム</t>
    <phoneticPr fontId="1"/>
  </si>
  <si>
    <t>変更する</t>
    <rPh sb="0" eb="2">
      <t>ヘンコウ</t>
    </rPh>
    <phoneticPr fontId="1"/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</si>
  <si>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</si>
  <si>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</si>
  <si>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成果物名</t>
    <rPh sb="0" eb="3">
      <t>セイカブツ</t>
    </rPh>
    <rPh sb="3" eb="4">
      <t>メイ</t>
    </rPh>
    <phoneticPr fontId="1"/>
  </si>
  <si>
    <t>基本情報</t>
    <rPh sb="0" eb="2">
      <t>キホン</t>
    </rPh>
    <rPh sb="2" eb="4">
      <t>ジョウホウ</t>
    </rPh>
    <phoneticPr fontId="1"/>
  </si>
  <si>
    <t>採点有無チェック</t>
    <rPh sb="0" eb="2">
      <t>サイテン</t>
    </rPh>
    <rPh sb="2" eb="4">
      <t>ウム</t>
    </rPh>
    <phoneticPr fontId="1"/>
  </si>
  <si>
    <t>◆『変更する』ボタン押下時</t>
    <rPh sb="2" eb="4">
      <t>ヘンコウ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</si>
  <si>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</si>
  <si>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</si>
  <si>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送信ボタン</t>
    <rPh sb="0" eb="2">
      <t>ソウシン</t>
    </rPh>
    <phoneticPr fontId="1"/>
  </si>
  <si>
    <t>データベース　更新</t>
    <rPh sb="7" eb="9">
      <t>コウシン</t>
    </rPh>
    <phoneticPr fontId="1"/>
  </si>
  <si>
    <t>名称</t>
  </si>
  <si>
    <t>テーブル名(物理名）</t>
  </si>
  <si>
    <t>カラム名(物理名）</t>
  </si>
  <si>
    <t>備考</t>
  </si>
  <si>
    <t>m_deliverables</t>
    <phoneticPr fontId="1"/>
  </si>
  <si>
    <t>deliverables_name</t>
    <phoneticPr fontId="1"/>
  </si>
  <si>
    <t>score_flg</t>
    <phoneticPr fontId="1"/>
  </si>
  <si>
    <t>テキストボックス</t>
    <phoneticPr fontId="1"/>
  </si>
  <si>
    <t>チェックボックス：チェックで採点有</t>
    <rPh sb="14" eb="16">
      <t>サイテン</t>
    </rPh>
    <rPh sb="16" eb="17">
      <t>アリ</t>
    </rPh>
    <phoneticPr fontId="1"/>
  </si>
  <si>
    <t>deliverablesＮame</t>
    <phoneticPr fontId="1"/>
  </si>
  <si>
    <t>hidden</t>
    <phoneticPr fontId="1"/>
  </si>
  <si>
    <t>○</t>
    <phoneticPr fontId="1"/>
  </si>
  <si>
    <t>scoreFlg</t>
    <phoneticPr fontId="1"/>
  </si>
  <si>
    <t>13期12月対応</t>
    <phoneticPr fontId="1"/>
  </si>
  <si>
    <t>フィードバックコメント有無チェック</t>
    <rPh sb="11" eb="13">
      <t>ユウム</t>
    </rPh>
    <phoneticPr fontId="1"/>
  </si>
  <si>
    <t>feedback_flg</t>
    <phoneticPr fontId="1"/>
  </si>
  <si>
    <t>チェックボックス：チェックでフィードバックコメント有</t>
    <rPh sb="25" eb="26">
      <t>アリ</t>
    </rPh>
    <phoneticPr fontId="1"/>
  </si>
  <si>
    <t>フィードバックコメント
有無チェック</t>
    <rPh sb="12" eb="14">
      <t>ユウム</t>
    </rPh>
    <phoneticPr fontId="1"/>
  </si>
  <si>
    <t>feedbackFlg</t>
    <phoneticPr fontId="1"/>
  </si>
  <si>
    <t>/lms/deliverables/manage/list</t>
    <phoneticPr fontId="1"/>
  </si>
  <si>
    <t>全て</t>
    <rPh sb="0" eb="1">
      <t>スベ</t>
    </rPh>
    <phoneticPr fontId="1"/>
  </si>
  <si>
    <t>谷口</t>
    <rPh sb="0" eb="2">
      <t>タニグチ</t>
    </rPh>
    <phoneticPr fontId="1"/>
  </si>
  <si>
    <t>【2019年12月対応】
追加対応</t>
    <rPh sb="5" eb="6">
      <t>ネン</t>
    </rPh>
    <rPh sb="8" eb="9">
      <t>ガツ</t>
    </rPh>
    <rPh sb="9" eb="11">
      <t>タイオウ</t>
    </rPh>
    <rPh sb="13" eb="15">
      <t>ツイカ</t>
    </rPh>
    <rPh sb="15" eb="17">
      <t>タイオウ</t>
    </rPh>
    <phoneticPr fontId="1"/>
  </si>
  <si>
    <t>【13期1月対応】
ボタン名修正　登録する→変更する</t>
    <rPh sb="3" eb="4">
      <t>キ</t>
    </rPh>
    <rPh sb="5" eb="6">
      <t>ガツ</t>
    </rPh>
    <rPh sb="6" eb="8">
      <t>タイオウ</t>
    </rPh>
    <rPh sb="13" eb="14">
      <t>メイ</t>
    </rPh>
    <rPh sb="14" eb="16">
      <t>シュウセイ</t>
    </rPh>
    <rPh sb="17" eb="19">
      <t>トウロク</t>
    </rPh>
    <rPh sb="22" eb="24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</si>
</sst>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4" applyNumberFormat="0" applyProtection="0">
      <alignment vertical="center"/>
    </xf>
    <xf numFmtId="0" fontId="19" fillId="8" borderId="86" applyNumberFormat="0" applyProtection="0">
      <alignment vertical="center"/>
    </xf>
    <xf numFmtId="0" fontId="18" fillId="0" borderId="88" applyNumberFormat="0" applyFill="0" applyProtection="0">
      <alignment vertical="center"/>
    </xf>
    <xf numFmtId="0" fontId="13" fillId="8" borderId="84" applyNumberFormat="0" applyProtection="0">
      <alignment vertical="center"/>
    </xf>
    <xf numFmtId="0" fontId="2" fillId="10" borderId="85" applyNumberFormat="0" applyProtection="0">
      <alignment vertical="center"/>
    </xf>
    <xf numFmtId="0" fontId="46" fillId="0" borderId="87" applyNumberFormat="0" applyFill="0" applyProtection="0">
      <alignment vertical="center"/>
    </xf>
    <xf numFmtId="0" fontId="44" fillId="20" borderId="86" applyNumberFormat="0" applyProtection="0">
      <alignment vertical="center"/>
    </xf>
    <xf numFmtId="0" fontId="2" fillId="10" borderId="85" applyNumberFormat="0" applyProtection="0">
      <alignment vertical="center"/>
    </xf>
    <xf numFmtId="0" fontId="41" fillId="7" borderId="84" applyNumberFormat="0" applyProtection="0">
      <alignment vertical="center"/>
    </xf>
    <xf numFmtId="0" fontId="33" fillId="20" borderId="78" applyNumberFormat="0" applyProtection="0">
      <alignment vertical="center"/>
    </xf>
    <xf numFmtId="0" fontId="33" fillId="20" borderId="84" applyNumberFormat="0" applyProtection="0">
      <alignment vertical="center"/>
    </xf>
    <xf numFmtId="0" fontId="41" fillId="7" borderId="78" applyNumberFormat="0" applyProtection="0">
      <alignment vertical="center"/>
    </xf>
    <xf numFmtId="0" fontId="2" fillId="10" borderId="79" applyNumberFormat="0" applyProtection="0">
      <alignment vertical="center"/>
    </xf>
    <xf numFmtId="0" fontId="44" fillId="20" borderId="80" applyNumberFormat="0" applyProtection="0">
      <alignment vertical="center"/>
    </xf>
    <xf numFmtId="0" fontId="46" fillId="0" borderId="81" applyNumberFormat="0" applyFill="0" applyProtection="0">
      <alignment vertical="center"/>
    </xf>
    <xf numFmtId="0" fontId="2" fillId="10" borderId="79" applyNumberFormat="0" applyProtection="0">
      <alignment vertical="center"/>
    </xf>
    <xf numFmtId="0" fontId="13" fillId="8" borderId="78" applyNumberFormat="0" applyProtection="0">
      <alignment vertical="center"/>
    </xf>
    <xf numFmtId="0" fontId="18" fillId="0" borderId="82" applyNumberFormat="0" applyFill="0" applyProtection="0">
      <alignment vertical="center"/>
    </xf>
    <xf numFmtId="0" fontId="19" fillId="8" borderId="80" applyNumberFormat="0" applyProtection="0">
      <alignment vertical="center"/>
    </xf>
    <xf numFmtId="0" fontId="48" fillId="3" borderId="78" applyNumberFormat="0" applyProtection="0">
      <alignment vertical="center"/>
    </xf>
  </cellStyleXfs>
  <cellXfs count="331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32" borderId="76" xfId="0" applyFont="1" applyFill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3" fillId="33" borderId="72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3" xfId="0" applyFont="1" applyFill="1" applyBorder="1">
      <alignment vertical="center"/>
    </xf>
    <xf numFmtId="0" fontId="55" fillId="0" borderId="73" xfId="0" applyFont="1" applyBorder="1">
      <alignment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75" xfId="0" applyFont="1" applyFill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vertical="center"/>
    </xf>
    <xf numFmtId="0" fontId="54" fillId="0" borderId="0" xfId="0" applyFont="1">
      <alignment vertical="center"/>
    </xf>
    <xf numFmtId="0" fontId="53" fillId="32" borderId="92" xfId="0" applyFont="1" applyFill="1" applyBorder="1" applyAlignment="1">
      <alignment horizontal="left" vertical="center"/>
    </xf>
    <xf numFmtId="0" fontId="53" fillId="32" borderId="93" xfId="0" applyFont="1" applyFill="1" applyBorder="1" applyAlignment="1">
      <alignment horizontal="left" vertical="center"/>
    </xf>
    <xf numFmtId="0" fontId="53" fillId="32" borderId="94" xfId="0" applyFont="1" applyFill="1" applyBorder="1" applyAlignment="1">
      <alignment horizontal="left" vertical="center"/>
    </xf>
    <xf numFmtId="0" fontId="53" fillId="32" borderId="92" xfId="0" applyFont="1" applyFill="1" applyBorder="1">
      <alignment vertical="center"/>
    </xf>
    <xf numFmtId="0" fontId="53" fillId="32" borderId="93" xfId="0" applyFont="1" applyFill="1" applyBorder="1">
      <alignment vertical="center"/>
    </xf>
    <xf numFmtId="0" fontId="53" fillId="32" borderId="94" xfId="0" applyFont="1" applyFill="1" applyBorder="1">
      <alignment vertical="center"/>
    </xf>
    <xf numFmtId="0" fontId="53" fillId="32" borderId="95" xfId="0" applyFont="1" applyFill="1" applyBorder="1">
      <alignment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>
      <alignment vertical="center"/>
    </xf>
    <xf numFmtId="0" fontId="2" fillId="0" borderId="0" xfId="0" applyFont="1">
      <alignment vertical="center"/>
    </xf>
    <xf numFmtId="0" fontId="57" fillId="0" borderId="0" xfId="105" applyFont="1" applyAlignment="1">
      <alignment vertical="center"/>
    </xf>
    <xf numFmtId="0" fontId="60" fillId="0" borderId="0" xfId="105" applyFont="1"/>
    <xf numFmtId="0" fontId="53" fillId="0" borderId="98" xfId="0" applyFont="1" applyBorder="1">
      <alignment vertical="center"/>
    </xf>
    <xf numFmtId="0" fontId="56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3" fillId="33" borderId="71" xfId="0" applyFont="1" applyFill="1" applyBorder="1" applyAlignment="1">
      <alignment vertical="center"/>
    </xf>
    <xf numFmtId="0" fontId="55" fillId="33" borderId="97" xfId="0" applyFont="1" applyFill="1" applyBorder="1">
      <alignment vertical="center"/>
    </xf>
    <xf numFmtId="0" fontId="57" fillId="0" borderId="0" xfId="0" applyFont="1">
      <alignment vertical="center"/>
    </xf>
    <xf numFmtId="0" fontId="62" fillId="0" borderId="98" xfId="0" applyFont="1" applyBorder="1">
      <alignment vertical="center"/>
    </xf>
    <xf numFmtId="0" fontId="62" fillId="0" borderId="72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89" xfId="102" applyFont="1" applyFill="1" applyBorder="1" applyAlignment="1">
      <alignment horizontal="center" vertical="center"/>
    </xf>
    <xf numFmtId="0" fontId="2" fillId="28" borderId="83" xfId="102" applyFont="1" applyFill="1" applyBorder="1" applyAlignment="1">
      <alignment horizontal="center" vertical="center"/>
    </xf>
    <xf numFmtId="0" fontId="2" fillId="28" borderId="90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62" fillId="32" borderId="105" xfId="0" applyFont="1" applyFill="1" applyBorder="1" applyAlignment="1">
      <alignment horizontal="left" vertical="center" wrapText="1"/>
    </xf>
    <xf numFmtId="0" fontId="62" fillId="32" borderId="106" xfId="0" applyFont="1" applyFill="1" applyBorder="1" applyAlignment="1">
      <alignment horizontal="left" vertical="center" wrapText="1"/>
    </xf>
    <xf numFmtId="0" fontId="62" fillId="32" borderId="107" xfId="0" applyFont="1" applyFill="1" applyBorder="1" applyAlignment="1">
      <alignment horizontal="left" vertical="center" wrapText="1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14" fontId="55" fillId="0" borderId="28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75" xfId="0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2" fillId="31" borderId="71" xfId="98" applyFont="1" applyFill="1" applyBorder="1" applyAlignment="1">
      <alignment horizontal="center"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3" fillId="32" borderId="101" xfId="0" applyFont="1" applyFill="1" applyBorder="1" applyAlignment="1">
      <alignment horizontal="center" vertical="center"/>
    </xf>
    <xf numFmtId="0" fontId="53" fillId="32" borderId="103" xfId="0" applyFont="1" applyFill="1" applyBorder="1" applyAlignment="1">
      <alignment horizontal="center" vertical="center"/>
    </xf>
    <xf numFmtId="0" fontId="52" fillId="30" borderId="74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3" fillId="0" borderId="71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horizontal="left" vertical="center"/>
    </xf>
    <xf numFmtId="0" fontId="53" fillId="0" borderId="73" xfId="0" applyFont="1" applyFill="1" applyBorder="1" applyAlignment="1">
      <alignment horizontal="left" vertical="center"/>
    </xf>
    <xf numFmtId="0" fontId="53" fillId="0" borderId="71" xfId="0" applyFont="1" applyFill="1" applyBorder="1" applyAlignment="1">
      <alignment vertical="center"/>
    </xf>
    <xf numFmtId="0" fontId="53" fillId="0" borderId="72" xfId="0" applyFont="1" applyFill="1" applyBorder="1" applyAlignment="1">
      <alignment vertical="center"/>
    </xf>
    <xf numFmtId="0" fontId="53" fillId="0" borderId="73" xfId="0" applyFont="1" applyFill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3" fillId="32" borderId="98" xfId="0" applyFont="1" applyFill="1" applyBorder="1" applyAlignment="1">
      <alignment horizontal="center" vertical="center"/>
    </xf>
    <xf numFmtId="0" fontId="53" fillId="32" borderId="99" xfId="0" applyFont="1" applyFill="1" applyBorder="1" applyAlignment="1">
      <alignment horizontal="center" vertical="center"/>
    </xf>
    <xf numFmtId="0" fontId="53" fillId="32" borderId="100" xfId="0" applyFont="1" applyFill="1" applyBorder="1" applyAlignment="1">
      <alignment horizontal="center" vertical="center"/>
    </xf>
    <xf numFmtId="0" fontId="62" fillId="32" borderId="95" xfId="0" applyFont="1" applyFill="1" applyBorder="1" applyAlignment="1">
      <alignment horizontal="center" vertical="center"/>
    </xf>
    <xf numFmtId="0" fontId="62" fillId="32" borderId="97" xfId="0" applyFont="1" applyFill="1" applyBorder="1" applyAlignment="1">
      <alignment horizontal="center" vertical="center"/>
    </xf>
    <xf numFmtId="0" fontId="53" fillId="32" borderId="95" xfId="0" applyFont="1" applyFill="1" applyBorder="1" applyAlignment="1">
      <alignment horizontal="center" vertical="center"/>
    </xf>
    <xf numFmtId="0" fontId="53" fillId="32" borderId="97" xfId="0" applyFont="1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52" fillId="31" borderId="95" xfId="98" applyFont="1" applyFill="1" applyBorder="1" applyAlignment="1">
      <alignment horizontal="center" vertical="center"/>
    </xf>
    <xf numFmtId="0" fontId="52" fillId="31" borderId="96" xfId="98" applyFont="1" applyFill="1" applyBorder="1" applyAlignment="1">
      <alignment horizontal="center" vertical="center"/>
    </xf>
    <xf numFmtId="0" fontId="52" fillId="31" borderId="97" xfId="98" applyFont="1" applyFill="1" applyBorder="1" applyAlignment="1">
      <alignment horizontal="center" vertical="center"/>
    </xf>
    <xf numFmtId="0" fontId="52" fillId="31" borderId="92" xfId="98" applyFont="1" applyFill="1" applyBorder="1" applyAlignment="1">
      <alignment horizontal="center" vertical="center"/>
    </xf>
    <xf numFmtId="0" fontId="52" fillId="31" borderId="93" xfId="98" applyFont="1" applyFill="1" applyBorder="1" applyAlignment="1">
      <alignment horizontal="center" vertical="center"/>
    </xf>
    <xf numFmtId="0" fontId="52" fillId="31" borderId="94" xfId="98" applyFont="1" applyFill="1" applyBorder="1" applyAlignment="1">
      <alignment horizontal="center" vertical="center"/>
    </xf>
    <xf numFmtId="0" fontId="53" fillId="33" borderId="95" xfId="0" applyFont="1" applyFill="1" applyBorder="1" applyAlignment="1">
      <alignment horizontal="left" vertical="center"/>
    </xf>
    <xf numFmtId="0" fontId="53" fillId="33" borderId="96" xfId="0" applyFont="1" applyFill="1" applyBorder="1" applyAlignment="1">
      <alignment horizontal="left" vertical="center"/>
    </xf>
    <xf numFmtId="0" fontId="53" fillId="32" borderId="95" xfId="0" applyFont="1" applyFill="1" applyBorder="1" applyAlignment="1">
      <alignment horizontal="left" vertical="center"/>
    </xf>
    <xf numFmtId="0" fontId="53" fillId="32" borderId="96" xfId="0" applyFont="1" applyFill="1" applyBorder="1" applyAlignment="1">
      <alignment horizontal="left" vertical="center"/>
    </xf>
    <xf numFmtId="0" fontId="53" fillId="32" borderId="97" xfId="0" applyFont="1" applyFill="1" applyBorder="1" applyAlignment="1">
      <alignment horizontal="left" vertical="center"/>
    </xf>
    <xf numFmtId="0" fontId="53" fillId="32" borderId="98" xfId="0" applyFont="1" applyFill="1" applyBorder="1">
      <alignment vertical="center"/>
    </xf>
    <xf numFmtId="0" fontId="53" fillId="32" borderId="99" xfId="0" applyFont="1" applyFill="1" applyBorder="1">
      <alignment vertical="center"/>
    </xf>
    <xf numFmtId="0" fontId="53" fillId="32" borderId="100" xfId="0" applyFont="1" applyFill="1" applyBorder="1">
      <alignment vertical="center"/>
    </xf>
    <xf numFmtId="0" fontId="52" fillId="30" borderId="91" xfId="0" applyFont="1" applyFill="1" applyBorder="1" applyAlignment="1">
      <alignment horizontal="center" vertical="center"/>
    </xf>
    <xf numFmtId="0" fontId="53" fillId="32" borderId="92" xfId="0" applyFont="1" applyFill="1" applyBorder="1" applyAlignment="1">
      <alignment horizontal="center" vertical="center"/>
    </xf>
    <xf numFmtId="0" fontId="53" fillId="32" borderId="94" xfId="0" applyFont="1" applyFill="1" applyBorder="1" applyAlignment="1">
      <alignment horizontal="center" vertical="center"/>
    </xf>
    <xf numFmtId="0" fontId="53" fillId="32" borderId="101" xfId="0" applyFont="1" applyFill="1" applyBorder="1">
      <alignment vertical="center"/>
    </xf>
    <xf numFmtId="0" fontId="53" fillId="32" borderId="102" xfId="0" applyFont="1" applyFill="1" applyBorder="1">
      <alignment vertical="center"/>
    </xf>
    <xf numFmtId="0" fontId="53" fillId="32" borderId="103" xfId="0" applyFont="1" applyFill="1" applyBorder="1">
      <alignment vertical="center"/>
    </xf>
    <xf numFmtId="0" fontId="62" fillId="32" borderId="71" xfId="0" applyFont="1" applyFill="1" applyBorder="1" applyAlignment="1">
      <alignment horizontal="center" vertical="center"/>
    </xf>
    <xf numFmtId="0" fontId="62" fillId="32" borderId="73" xfId="0" applyFont="1" applyFill="1" applyBorder="1" applyAlignment="1">
      <alignment horizontal="center" vertical="center"/>
    </xf>
    <xf numFmtId="0" fontId="62" fillId="32" borderId="71" xfId="0" applyFont="1" applyFill="1" applyBorder="1" applyAlignment="1">
      <alignment horizontal="left" vertical="center"/>
    </xf>
    <xf numFmtId="0" fontId="62" fillId="32" borderId="72" xfId="0" applyFont="1" applyFill="1" applyBorder="1" applyAlignment="1">
      <alignment horizontal="left" vertical="center"/>
    </xf>
    <xf numFmtId="0" fontId="62" fillId="32" borderId="73" xfId="0" applyFont="1" applyFill="1" applyBorder="1" applyAlignment="1">
      <alignment horizontal="left" vertical="center"/>
    </xf>
    <xf numFmtId="0" fontId="62" fillId="32" borderId="71" xfId="0" applyFont="1" applyFill="1" applyBorder="1" applyAlignment="1">
      <alignment vertical="center"/>
    </xf>
    <xf numFmtId="0" fontId="62" fillId="32" borderId="72" xfId="0" applyFont="1" applyFill="1" applyBorder="1" applyAlignment="1">
      <alignment vertical="center"/>
    </xf>
    <xf numFmtId="0" fontId="62" fillId="32" borderId="73" xfId="0" applyFont="1" applyFill="1" applyBorder="1" applyAlignment="1">
      <alignment vertical="center"/>
    </xf>
    <xf numFmtId="0" fontId="62" fillId="0" borderId="71" xfId="0" applyFont="1" applyBorder="1" applyAlignment="1">
      <alignment vertical="center"/>
    </xf>
    <xf numFmtId="0" fontId="62" fillId="0" borderId="72" xfId="0" applyFont="1" applyBorder="1" applyAlignment="1">
      <alignment vertical="center"/>
    </xf>
    <xf numFmtId="0" fontId="62" fillId="0" borderId="73" xfId="0" applyFont="1" applyBorder="1" applyAlignment="1">
      <alignment vertical="center"/>
    </xf>
    <xf numFmtId="0" fontId="52" fillId="31" borderId="91" xfId="98" applyFont="1" applyFill="1" applyBorder="1" applyAlignment="1">
      <alignment horizontal="center" vertical="center"/>
    </xf>
    <xf numFmtId="0" fontId="53" fillId="32" borderId="95" xfId="0" applyFont="1" applyFill="1" applyBorder="1">
      <alignment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32" borderId="96" xfId="0" applyFont="1" applyFill="1" applyBorder="1" applyAlignment="1">
      <alignment horizontal="center" vertical="center"/>
    </xf>
    <xf numFmtId="0" fontId="62" fillId="32" borderId="98" xfId="0" applyFont="1" applyFill="1" applyBorder="1">
      <alignment vertical="center"/>
    </xf>
    <xf numFmtId="0" fontId="62" fillId="32" borderId="99" xfId="0" applyFont="1" applyFill="1" applyBorder="1">
      <alignment vertical="center"/>
    </xf>
    <xf numFmtId="0" fontId="62" fillId="32" borderId="100" xfId="0" applyFont="1" applyFill="1" applyBorder="1">
      <alignment vertical="center"/>
    </xf>
    <xf numFmtId="0" fontId="62" fillId="32" borderId="101" xfId="0" applyFont="1" applyFill="1" applyBorder="1" applyAlignment="1">
      <alignment horizontal="center" vertical="center"/>
    </xf>
    <xf numFmtId="0" fontId="62" fillId="32" borderId="103" xfId="0" applyFont="1" applyFill="1" applyBorder="1" applyAlignment="1">
      <alignment horizontal="center" vertical="center"/>
    </xf>
    <xf numFmtId="0" fontId="53" fillId="32" borderId="98" xfId="0" applyFont="1" applyFill="1" applyBorder="1" applyAlignment="1">
      <alignment horizontal="left" vertical="center"/>
    </xf>
    <xf numFmtId="0" fontId="53" fillId="32" borderId="99" xfId="0" applyFont="1" applyFill="1" applyBorder="1" applyAlignment="1">
      <alignment horizontal="left" vertical="center"/>
    </xf>
    <xf numFmtId="0" fontId="53" fillId="32" borderId="100" xfId="0" applyFont="1" applyFill="1" applyBorder="1" applyAlignment="1">
      <alignment horizontal="left" vertical="center"/>
    </xf>
    <xf numFmtId="0" fontId="53" fillId="32" borderId="101" xfId="0" applyFont="1" applyFill="1" applyBorder="1" applyAlignment="1">
      <alignment horizontal="left" vertical="center"/>
    </xf>
    <xf numFmtId="0" fontId="53" fillId="32" borderId="102" xfId="0" applyFont="1" applyFill="1" applyBorder="1" applyAlignment="1">
      <alignment horizontal="left" vertical="center"/>
    </xf>
    <xf numFmtId="0" fontId="53" fillId="32" borderId="103" xfId="0" applyFont="1" applyFill="1" applyBorder="1" applyAlignment="1">
      <alignment horizontal="left" vertical="center"/>
    </xf>
    <xf numFmtId="0" fontId="63" fillId="0" borderId="91" xfId="105" applyFont="1" applyBorder="1" applyAlignment="1">
      <alignment horizontal="center" vertical="center"/>
    </xf>
    <xf numFmtId="0" fontId="63" fillId="0" borderId="95" xfId="105" applyFont="1" applyBorder="1" applyAlignment="1">
      <alignment horizontal="left" vertical="center"/>
    </xf>
    <xf numFmtId="0" fontId="63" fillId="0" borderId="96" xfId="105" applyFont="1" applyBorder="1" applyAlignment="1">
      <alignment horizontal="left" vertical="center"/>
    </xf>
    <xf numFmtId="0" fontId="63" fillId="0" borderId="97" xfId="105" applyFont="1" applyBorder="1" applyAlignment="1">
      <alignment horizontal="left" vertical="center"/>
    </xf>
    <xf numFmtId="0" fontId="63" fillId="0" borderId="98" xfId="105" applyFont="1" applyBorder="1" applyAlignment="1">
      <alignment horizontal="left"/>
    </xf>
    <xf numFmtId="0" fontId="63" fillId="0" borderId="99" xfId="105" applyFont="1" applyBorder="1" applyAlignment="1">
      <alignment horizontal="left"/>
    </xf>
    <xf numFmtId="0" fontId="63" fillId="0" borderId="100" xfId="105" applyFont="1" applyBorder="1" applyAlignment="1">
      <alignment horizontal="left"/>
    </xf>
    <xf numFmtId="0" fontId="63" fillId="0" borderId="104" xfId="105" applyFont="1" applyBorder="1" applyAlignment="1">
      <alignment horizontal="left"/>
    </xf>
    <xf numFmtId="0" fontId="59" fillId="0" borderId="95" xfId="105" applyFont="1" applyBorder="1" applyAlignment="1">
      <alignment horizontal="left"/>
    </xf>
    <xf numFmtId="0" fontId="59" fillId="0" borderId="96" xfId="105" applyFont="1" applyBorder="1" applyAlignment="1">
      <alignment horizontal="left"/>
    </xf>
    <xf numFmtId="0" fontId="59" fillId="0" borderId="97" xfId="105" applyFont="1" applyBorder="1" applyAlignment="1">
      <alignment horizontal="left"/>
    </xf>
    <xf numFmtId="0" fontId="59" fillId="0" borderId="104" xfId="105" applyFont="1" applyBorder="1" applyAlignment="1">
      <alignment horizontal="left"/>
    </xf>
    <xf numFmtId="0" fontId="58" fillId="34" borderId="91" xfId="105" applyFont="1" applyFill="1" applyBorder="1" applyAlignment="1">
      <alignment horizontal="center" vertical="center"/>
    </xf>
    <xf numFmtId="0" fontId="58" fillId="34" borderId="95" xfId="105" applyFont="1" applyFill="1" applyBorder="1" applyAlignment="1">
      <alignment horizontal="center" vertical="center"/>
    </xf>
    <xf numFmtId="0" fontId="58" fillId="34" borderId="96" xfId="105" applyFont="1" applyFill="1" applyBorder="1" applyAlignment="1">
      <alignment horizontal="center" vertical="center"/>
    </xf>
    <xf numFmtId="0" fontId="58" fillId="34" borderId="97" xfId="105" applyFont="1" applyFill="1" applyBorder="1" applyAlignment="1">
      <alignment horizontal="center" vertical="center"/>
    </xf>
    <xf numFmtId="0" fontId="59" fillId="0" borderId="95" xfId="105" applyFont="1" applyBorder="1" applyAlignment="1">
      <alignment horizontal="left" vertical="center"/>
    </xf>
    <xf numFmtId="0" fontId="59" fillId="0" borderId="96" xfId="105" applyFont="1" applyBorder="1" applyAlignment="1">
      <alignment horizontal="left" vertical="center"/>
    </xf>
    <xf numFmtId="0" fontId="59" fillId="0" borderId="97" xfId="105" applyFont="1" applyBorder="1" applyAlignment="1">
      <alignment horizontal="left" vertical="center"/>
    </xf>
    <xf numFmtId="0" fontId="59" fillId="0" borderId="98" xfId="105" applyFont="1" applyBorder="1" applyAlignment="1">
      <alignment horizontal="left"/>
    </xf>
    <xf numFmtId="0" fontId="59" fillId="0" borderId="99" xfId="105" applyFont="1" applyBorder="1" applyAlignment="1">
      <alignment horizontal="left"/>
    </xf>
    <xf numFmtId="0" fontId="59" fillId="0" borderId="100" xfId="105" applyFont="1" applyBorder="1" applyAlignment="1">
      <alignment horizontal="left"/>
    </xf>
    <xf numFmtId="0" fontId="59" fillId="0" borderId="91" xfId="105" applyFont="1" applyBorder="1" applyAlignment="1">
      <alignment horizontal="center" vertical="center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53339</xdr:colOff>
      <xdr:row>6</xdr:row>
      <xdr:rowOff>53340</xdr:rowOff>
    </xdr:from>
    <xdr:to>
      <xdr:col>52</xdr:col>
      <xdr:colOff>125258</xdr:colOff>
      <xdr:row>24</xdr:row>
      <xdr:rowOff>7620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7095F6-08D3-471C-B3A3-CC4EF373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059180"/>
          <a:ext cx="9215919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142876</xdr:colOff>
      <xdr:row>18</xdr:row>
      <xdr:rowOff>161926</xdr:rowOff>
    </xdr:from>
    <xdr:to>
      <xdr:col>16</xdr:col>
      <xdr:colOff>19051</xdr:colOff>
      <xdr:row>21</xdr:row>
      <xdr:rowOff>64178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C18934-75D7-4523-8233-2BA904051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1" y="3248026"/>
          <a:ext cx="876300" cy="41660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</xdr:row>
      <xdr:rowOff>30480</xdr:rowOff>
    </xdr:from>
    <xdr:to>
      <xdr:col>53</xdr:col>
      <xdr:colOff>114301</xdr:colOff>
      <xdr:row>28</xdr:row>
      <xdr:rowOff>5175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C39BB42-5B35-4AFD-82C2-21F337E1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1059180"/>
          <a:ext cx="10296526" cy="3746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0" t="s">
        <v>33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0" t="s">
        <v>58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1" t="s">
        <v>19</v>
      </c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2"/>
      <c r="AB15" s="72"/>
      <c r="AC15" s="72"/>
      <c r="AD15" s="72"/>
      <c r="AE15" s="72"/>
      <c r="AF15" s="7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第1.2版</v>
      </c>
      <c r="Y17" s="26"/>
      <c r="Z17" s="26"/>
      <c r="AA17" s="73">
        <f>MAX(更新履歴!J8:Q31)</f>
        <v>43861</v>
      </c>
      <c r="AB17" s="73"/>
      <c r="AC17" s="73"/>
      <c r="AD17" s="73"/>
      <c r="AE17" s="73"/>
      <c r="AF17" s="7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3"/>
      <c r="AB19" s="73"/>
      <c r="AC19" s="73"/>
      <c r="AD19" s="73"/>
      <c r="AE19" s="73"/>
      <c r="AF19" s="73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4" t="s">
        <v>6</v>
      </c>
      <c r="V20" s="75"/>
      <c r="W20" s="75"/>
      <c r="X20" s="75"/>
      <c r="Y20" s="76"/>
      <c r="Z20" s="77" t="s">
        <v>7</v>
      </c>
      <c r="AA20" s="78"/>
      <c r="AB20" s="78"/>
      <c r="AC20" s="78"/>
      <c r="AD20" s="79"/>
      <c r="AE20" s="74" t="s">
        <v>8</v>
      </c>
      <c r="AF20" s="75"/>
      <c r="AG20" s="75"/>
      <c r="AH20" s="75"/>
      <c r="AI20" s="7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0" t="s">
        <v>35</v>
      </c>
      <c r="V21" s="81"/>
      <c r="W21" s="81"/>
      <c r="X21" s="81"/>
      <c r="Y21" s="82"/>
      <c r="Z21" s="80"/>
      <c r="AA21" s="81"/>
      <c r="AB21" s="81"/>
      <c r="AC21" s="81"/>
      <c r="AD21" s="82"/>
      <c r="AE21" s="80"/>
      <c r="AF21" s="81"/>
      <c r="AG21" s="81"/>
      <c r="AH21" s="81"/>
      <c r="AI21" s="8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3"/>
      <c r="V22" s="84"/>
      <c r="W22" s="84"/>
      <c r="X22" s="84"/>
      <c r="Y22" s="85"/>
      <c r="Z22" s="83"/>
      <c r="AA22" s="84"/>
      <c r="AB22" s="84"/>
      <c r="AC22" s="84"/>
      <c r="AD22" s="85"/>
      <c r="AE22" s="83"/>
      <c r="AF22" s="84"/>
      <c r="AG22" s="84"/>
      <c r="AH22" s="84"/>
      <c r="AI22" s="85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83"/>
      <c r="V23" s="84"/>
      <c r="W23" s="84"/>
      <c r="X23" s="84"/>
      <c r="Y23" s="85"/>
      <c r="Z23" s="83"/>
      <c r="AA23" s="84"/>
      <c r="AB23" s="84"/>
      <c r="AC23" s="84"/>
      <c r="AD23" s="85"/>
      <c r="AE23" s="83"/>
      <c r="AF23" s="84"/>
      <c r="AG23" s="84"/>
      <c r="AH23" s="84"/>
      <c r="AI23" s="85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86"/>
      <c r="V24" s="87"/>
      <c r="W24" s="87"/>
      <c r="X24" s="87"/>
      <c r="Y24" s="88"/>
      <c r="Z24" s="86"/>
      <c r="AA24" s="87"/>
      <c r="AB24" s="87"/>
      <c r="AC24" s="87"/>
      <c r="AD24" s="88"/>
      <c r="AE24" s="86"/>
      <c r="AF24" s="87"/>
      <c r="AG24" s="87"/>
      <c r="AH24" s="87"/>
      <c r="AI24" s="8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120" t="s">
        <v>0</v>
      </c>
      <c r="B1" s="89"/>
      <c r="C1" s="89"/>
      <c r="D1" s="89"/>
      <c r="E1" s="89"/>
      <c r="F1" s="90"/>
      <c r="G1" s="90"/>
      <c r="H1" s="90"/>
      <c r="I1" s="121"/>
      <c r="J1" s="122" t="s">
        <v>1</v>
      </c>
      <c r="K1" s="89"/>
      <c r="L1" s="89"/>
      <c r="M1" s="89"/>
      <c r="N1" s="89"/>
      <c r="O1" s="90"/>
      <c r="P1" s="90"/>
      <c r="Q1" s="90"/>
      <c r="R1" s="123" t="str">
        <f>表紙!S12</f>
        <v>画面レイアウト設計書</v>
      </c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5"/>
      <c r="AJ1" s="126" t="s">
        <v>2</v>
      </c>
      <c r="AK1" s="127"/>
      <c r="AL1" s="127"/>
      <c r="AM1" s="127"/>
      <c r="AN1" s="127"/>
      <c r="AO1" s="128" t="s">
        <v>3</v>
      </c>
      <c r="AP1" s="127"/>
      <c r="AQ1" s="127"/>
      <c r="AR1" s="127"/>
      <c r="AS1" s="127"/>
      <c r="AT1" s="128" t="s">
        <v>4</v>
      </c>
      <c r="AU1" s="127"/>
      <c r="AV1" s="127"/>
      <c r="AW1" s="127"/>
      <c r="AX1" s="127"/>
      <c r="AY1" s="89" t="s">
        <v>5</v>
      </c>
      <c r="AZ1" s="90"/>
      <c r="BA1" s="90"/>
      <c r="BB1" s="90"/>
      <c r="BC1" s="91"/>
    </row>
    <row r="2" spans="1:55" s="17" customFormat="1" ht="13.5" customHeight="1">
      <c r="A2" s="92" t="str">
        <f>表紙!O10</f>
        <v>13期12月対応</v>
      </c>
      <c r="B2" s="93"/>
      <c r="C2" s="93"/>
      <c r="D2" s="93"/>
      <c r="E2" s="93"/>
      <c r="F2" s="94"/>
      <c r="G2" s="94"/>
      <c r="H2" s="94"/>
      <c r="I2" s="95"/>
      <c r="J2" s="100" t="str">
        <f>表紙!O9</f>
        <v>LMS学習管理システム</v>
      </c>
      <c r="K2" s="93"/>
      <c r="L2" s="93"/>
      <c r="M2" s="93"/>
      <c r="N2" s="93"/>
      <c r="O2" s="94"/>
      <c r="P2" s="94"/>
      <c r="Q2" s="101"/>
      <c r="R2" s="104" t="s">
        <v>9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  <c r="AJ2" s="110" t="s">
        <v>36</v>
      </c>
      <c r="AK2" s="111"/>
      <c r="AL2" s="111"/>
      <c r="AM2" s="111"/>
      <c r="AN2" s="111"/>
      <c r="AO2" s="114">
        <v>43766</v>
      </c>
      <c r="AP2" s="111"/>
      <c r="AQ2" s="111"/>
      <c r="AR2" s="111"/>
      <c r="AS2" s="111"/>
      <c r="AT2" s="110" t="s">
        <v>36</v>
      </c>
      <c r="AU2" s="111"/>
      <c r="AV2" s="111"/>
      <c r="AW2" s="111"/>
      <c r="AX2" s="111"/>
      <c r="AY2" s="115">
        <v>43861</v>
      </c>
      <c r="AZ2" s="116"/>
      <c r="BA2" s="116"/>
      <c r="BB2" s="116"/>
      <c r="BC2" s="117"/>
    </row>
    <row r="3" spans="1:55" s="17" customFormat="1" ht="13.5" customHeight="1" thickBot="1">
      <c r="A3" s="96"/>
      <c r="B3" s="97"/>
      <c r="C3" s="97"/>
      <c r="D3" s="97"/>
      <c r="E3" s="97"/>
      <c r="F3" s="98"/>
      <c r="G3" s="98"/>
      <c r="H3" s="98"/>
      <c r="I3" s="99"/>
      <c r="J3" s="102"/>
      <c r="K3" s="97"/>
      <c r="L3" s="97"/>
      <c r="M3" s="97"/>
      <c r="N3" s="97"/>
      <c r="O3" s="98"/>
      <c r="P3" s="98"/>
      <c r="Q3" s="103"/>
      <c r="R3" s="107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9"/>
      <c r="AJ3" s="112"/>
      <c r="AK3" s="113"/>
      <c r="AL3" s="113"/>
      <c r="AM3" s="113"/>
      <c r="AN3" s="113"/>
      <c r="AO3" s="113"/>
      <c r="AP3" s="113"/>
      <c r="AQ3" s="113"/>
      <c r="AR3" s="113"/>
      <c r="AS3" s="113"/>
      <c r="AT3" s="112"/>
      <c r="AU3" s="113"/>
      <c r="AV3" s="113"/>
      <c r="AW3" s="113"/>
      <c r="AX3" s="113"/>
      <c r="AY3" s="118"/>
      <c r="AZ3" s="118"/>
      <c r="BA3" s="118"/>
      <c r="BB3" s="118"/>
      <c r="BC3" s="119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59" t="s">
        <v>10</v>
      </c>
      <c r="B5" s="160"/>
      <c r="C5" s="160"/>
      <c r="D5" s="160"/>
      <c r="E5" s="160"/>
      <c r="F5" s="160"/>
      <c r="G5" s="160"/>
      <c r="H5" s="160"/>
      <c r="I5" s="161"/>
      <c r="J5" s="168" t="s">
        <v>11</v>
      </c>
      <c r="K5" s="160"/>
      <c r="L5" s="160"/>
      <c r="M5" s="160"/>
      <c r="N5" s="160"/>
      <c r="O5" s="160"/>
      <c r="P5" s="160"/>
      <c r="Q5" s="161"/>
      <c r="R5" s="168" t="s">
        <v>12</v>
      </c>
      <c r="S5" s="160"/>
      <c r="T5" s="160"/>
      <c r="U5" s="161"/>
      <c r="V5" s="168" t="s">
        <v>13</v>
      </c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1"/>
      <c r="AT5" s="168" t="s">
        <v>14</v>
      </c>
      <c r="AU5" s="160"/>
      <c r="AV5" s="160"/>
      <c r="AW5" s="160"/>
      <c r="AX5" s="160"/>
      <c r="AY5" s="160"/>
      <c r="AZ5" s="160"/>
      <c r="BA5" s="160"/>
      <c r="BB5" s="160"/>
      <c r="BC5" s="171"/>
    </row>
    <row r="6" spans="1:55" s="25" customFormat="1" ht="13.5" customHeight="1">
      <c r="A6" s="162"/>
      <c r="B6" s="163"/>
      <c r="C6" s="163"/>
      <c r="D6" s="163"/>
      <c r="E6" s="163"/>
      <c r="F6" s="163"/>
      <c r="G6" s="163"/>
      <c r="H6" s="163"/>
      <c r="I6" s="164"/>
      <c r="J6" s="169"/>
      <c r="K6" s="163"/>
      <c r="L6" s="163"/>
      <c r="M6" s="163"/>
      <c r="N6" s="163"/>
      <c r="O6" s="163"/>
      <c r="P6" s="163"/>
      <c r="Q6" s="164"/>
      <c r="R6" s="169"/>
      <c r="S6" s="163"/>
      <c r="T6" s="163"/>
      <c r="U6" s="164"/>
      <c r="V6" s="169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4"/>
      <c r="AT6" s="169"/>
      <c r="AU6" s="163"/>
      <c r="AV6" s="163"/>
      <c r="AW6" s="163"/>
      <c r="AX6" s="163"/>
      <c r="AY6" s="163"/>
      <c r="AZ6" s="163"/>
      <c r="BA6" s="163"/>
      <c r="BB6" s="163"/>
      <c r="BC6" s="172"/>
    </row>
    <row r="7" spans="1:55" s="25" customFormat="1" ht="13.5" customHeight="1" thickBot="1">
      <c r="A7" s="165"/>
      <c r="B7" s="166"/>
      <c r="C7" s="166"/>
      <c r="D7" s="166"/>
      <c r="E7" s="166"/>
      <c r="F7" s="166"/>
      <c r="G7" s="166"/>
      <c r="H7" s="166"/>
      <c r="I7" s="167"/>
      <c r="J7" s="170"/>
      <c r="K7" s="166"/>
      <c r="L7" s="166"/>
      <c r="M7" s="166"/>
      <c r="N7" s="166"/>
      <c r="O7" s="166"/>
      <c r="P7" s="166"/>
      <c r="Q7" s="167"/>
      <c r="R7" s="170"/>
      <c r="S7" s="166"/>
      <c r="T7" s="166"/>
      <c r="U7" s="167"/>
      <c r="V7" s="170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7"/>
      <c r="AT7" s="170"/>
      <c r="AU7" s="166"/>
      <c r="AV7" s="166"/>
      <c r="AW7" s="166"/>
      <c r="AX7" s="166"/>
      <c r="AY7" s="166"/>
      <c r="AZ7" s="166"/>
      <c r="BA7" s="166"/>
      <c r="BB7" s="166"/>
      <c r="BC7" s="173"/>
    </row>
    <row r="8" spans="1:55" s="25" customFormat="1" ht="13.5" customHeight="1" thickTop="1">
      <c r="A8" s="129">
        <v>1</v>
      </c>
      <c r="B8" s="130"/>
      <c r="C8" s="130"/>
      <c r="D8" s="130"/>
      <c r="E8" s="130"/>
      <c r="F8" s="130"/>
      <c r="G8" s="130"/>
      <c r="H8" s="130"/>
      <c r="I8" s="131"/>
      <c r="J8" s="136">
        <v>43766</v>
      </c>
      <c r="K8" s="137"/>
      <c r="L8" s="137"/>
      <c r="M8" s="137"/>
      <c r="N8" s="137"/>
      <c r="O8" s="137"/>
      <c r="P8" s="137"/>
      <c r="Q8" s="138"/>
      <c r="R8" s="143" t="s">
        <v>15</v>
      </c>
      <c r="S8" s="144"/>
      <c r="T8" s="144"/>
      <c r="U8" s="145"/>
      <c r="V8" s="150" t="s">
        <v>16</v>
      </c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2"/>
      <c r="AT8" s="143" t="s">
        <v>36</v>
      </c>
      <c r="AU8" s="144"/>
      <c r="AV8" s="144"/>
      <c r="AW8" s="144"/>
      <c r="AX8" s="144"/>
      <c r="AY8" s="144"/>
      <c r="AZ8" s="144"/>
      <c r="BA8" s="144"/>
      <c r="BB8" s="144"/>
      <c r="BC8" s="157"/>
    </row>
    <row r="9" spans="1:55" s="25" customFormat="1" ht="13.5" customHeight="1">
      <c r="A9" s="132"/>
      <c r="B9" s="130"/>
      <c r="C9" s="130"/>
      <c r="D9" s="130"/>
      <c r="E9" s="130"/>
      <c r="F9" s="130"/>
      <c r="G9" s="130"/>
      <c r="H9" s="130"/>
      <c r="I9" s="131"/>
      <c r="J9" s="139"/>
      <c r="K9" s="137"/>
      <c r="L9" s="137"/>
      <c r="M9" s="137"/>
      <c r="N9" s="137"/>
      <c r="O9" s="137"/>
      <c r="P9" s="137"/>
      <c r="Q9" s="138"/>
      <c r="R9" s="146"/>
      <c r="S9" s="144"/>
      <c r="T9" s="144"/>
      <c r="U9" s="145"/>
      <c r="V9" s="153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2"/>
      <c r="AT9" s="146"/>
      <c r="AU9" s="144"/>
      <c r="AV9" s="144"/>
      <c r="AW9" s="144"/>
      <c r="AX9" s="144"/>
      <c r="AY9" s="144"/>
      <c r="AZ9" s="144"/>
      <c r="BA9" s="144"/>
      <c r="BB9" s="144"/>
      <c r="BC9" s="157"/>
    </row>
    <row r="10" spans="1:55" s="25" customFormat="1" ht="13.5" customHeight="1">
      <c r="A10" s="133"/>
      <c r="B10" s="134"/>
      <c r="C10" s="134"/>
      <c r="D10" s="134"/>
      <c r="E10" s="134"/>
      <c r="F10" s="134"/>
      <c r="G10" s="134"/>
      <c r="H10" s="134"/>
      <c r="I10" s="135"/>
      <c r="J10" s="140"/>
      <c r="K10" s="141"/>
      <c r="L10" s="141"/>
      <c r="M10" s="141"/>
      <c r="N10" s="141"/>
      <c r="O10" s="141"/>
      <c r="P10" s="141"/>
      <c r="Q10" s="142"/>
      <c r="R10" s="147"/>
      <c r="S10" s="148"/>
      <c r="T10" s="148"/>
      <c r="U10" s="149"/>
      <c r="V10" s="154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6"/>
      <c r="AT10" s="147"/>
      <c r="AU10" s="148"/>
      <c r="AV10" s="148"/>
      <c r="AW10" s="148"/>
      <c r="AX10" s="148"/>
      <c r="AY10" s="148"/>
      <c r="AZ10" s="148"/>
      <c r="BA10" s="148"/>
      <c r="BB10" s="148"/>
      <c r="BC10" s="158"/>
    </row>
    <row r="11" spans="1:55" s="25" customFormat="1" ht="13.5" customHeight="1">
      <c r="A11" s="174">
        <v>1.1000000000000001</v>
      </c>
      <c r="B11" s="175"/>
      <c r="C11" s="175"/>
      <c r="D11" s="175"/>
      <c r="E11" s="175"/>
      <c r="F11" s="175"/>
      <c r="G11" s="175"/>
      <c r="H11" s="175"/>
      <c r="I11" s="176"/>
      <c r="J11" s="177">
        <v>43805</v>
      </c>
      <c r="K11" s="178"/>
      <c r="L11" s="178"/>
      <c r="M11" s="178"/>
      <c r="N11" s="178"/>
      <c r="O11" s="178"/>
      <c r="P11" s="178"/>
      <c r="Q11" s="179"/>
      <c r="R11" s="180" t="s">
        <v>65</v>
      </c>
      <c r="S11" s="181"/>
      <c r="T11" s="181"/>
      <c r="U11" s="182"/>
      <c r="V11" s="183" t="s">
        <v>67</v>
      </c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5"/>
      <c r="AT11" s="180" t="s">
        <v>66</v>
      </c>
      <c r="AU11" s="181"/>
      <c r="AV11" s="181"/>
      <c r="AW11" s="181"/>
      <c r="AX11" s="181"/>
      <c r="AY11" s="181"/>
      <c r="AZ11" s="181"/>
      <c r="BA11" s="181"/>
      <c r="BB11" s="181"/>
      <c r="BC11" s="186"/>
    </row>
    <row r="12" spans="1:55" s="25" customFormat="1" ht="13.5" customHeight="1">
      <c r="A12" s="132"/>
      <c r="B12" s="130"/>
      <c r="C12" s="130"/>
      <c r="D12" s="130"/>
      <c r="E12" s="130"/>
      <c r="F12" s="130"/>
      <c r="G12" s="130"/>
      <c r="H12" s="130"/>
      <c r="I12" s="131"/>
      <c r="J12" s="139"/>
      <c r="K12" s="137"/>
      <c r="L12" s="137"/>
      <c r="M12" s="137"/>
      <c r="N12" s="137"/>
      <c r="O12" s="137"/>
      <c r="P12" s="137"/>
      <c r="Q12" s="138"/>
      <c r="R12" s="146"/>
      <c r="S12" s="144"/>
      <c r="T12" s="144"/>
      <c r="U12" s="145"/>
      <c r="V12" s="153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2"/>
      <c r="AT12" s="146"/>
      <c r="AU12" s="144"/>
      <c r="AV12" s="144"/>
      <c r="AW12" s="144"/>
      <c r="AX12" s="144"/>
      <c r="AY12" s="144"/>
      <c r="AZ12" s="144"/>
      <c r="BA12" s="144"/>
      <c r="BB12" s="144"/>
      <c r="BC12" s="157"/>
    </row>
    <row r="13" spans="1:55" s="25" customFormat="1" ht="13.5" customHeight="1">
      <c r="A13" s="133"/>
      <c r="B13" s="134"/>
      <c r="C13" s="134"/>
      <c r="D13" s="134"/>
      <c r="E13" s="134"/>
      <c r="F13" s="134"/>
      <c r="G13" s="134"/>
      <c r="H13" s="134"/>
      <c r="I13" s="135"/>
      <c r="J13" s="140"/>
      <c r="K13" s="141"/>
      <c r="L13" s="141"/>
      <c r="M13" s="141"/>
      <c r="N13" s="141"/>
      <c r="O13" s="141"/>
      <c r="P13" s="141"/>
      <c r="Q13" s="142"/>
      <c r="R13" s="147"/>
      <c r="S13" s="148"/>
      <c r="T13" s="148"/>
      <c r="U13" s="149"/>
      <c r="V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6"/>
      <c r="AT13" s="147"/>
      <c r="AU13" s="148"/>
      <c r="AV13" s="148"/>
      <c r="AW13" s="148"/>
      <c r="AX13" s="148"/>
      <c r="AY13" s="148"/>
      <c r="AZ13" s="148"/>
      <c r="BA13" s="148"/>
      <c r="BB13" s="148"/>
      <c r="BC13" s="158"/>
    </row>
    <row r="14" spans="1:55" s="25" customFormat="1" ht="13.5" customHeight="1">
      <c r="A14" s="174">
        <v>1.2</v>
      </c>
      <c r="B14" s="175"/>
      <c r="C14" s="175"/>
      <c r="D14" s="175"/>
      <c r="E14" s="175"/>
      <c r="F14" s="175"/>
      <c r="G14" s="175"/>
      <c r="H14" s="175"/>
      <c r="I14" s="176"/>
      <c r="J14" s="177">
        <v>43861</v>
      </c>
      <c r="K14" s="178"/>
      <c r="L14" s="178"/>
      <c r="M14" s="178"/>
      <c r="N14" s="178"/>
      <c r="O14" s="178"/>
      <c r="P14" s="178"/>
      <c r="Q14" s="179"/>
      <c r="R14" s="180" t="s">
        <v>65</v>
      </c>
      <c r="S14" s="181"/>
      <c r="T14" s="181"/>
      <c r="U14" s="182"/>
      <c r="V14" s="183" t="s">
        <v>68</v>
      </c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5"/>
      <c r="AT14" s="143" t="s">
        <v>36</v>
      </c>
      <c r="AU14" s="144"/>
      <c r="AV14" s="144"/>
      <c r="AW14" s="144"/>
      <c r="AX14" s="144"/>
      <c r="AY14" s="144"/>
      <c r="AZ14" s="144"/>
      <c r="BA14" s="144"/>
      <c r="BB14" s="144"/>
      <c r="BC14" s="157"/>
    </row>
    <row r="15" spans="1:55" s="25" customFormat="1" ht="13.5" customHeight="1">
      <c r="A15" s="132"/>
      <c r="B15" s="130"/>
      <c r="C15" s="130"/>
      <c r="D15" s="130"/>
      <c r="E15" s="130"/>
      <c r="F15" s="130"/>
      <c r="G15" s="130"/>
      <c r="H15" s="130"/>
      <c r="I15" s="131"/>
      <c r="J15" s="139"/>
      <c r="K15" s="137"/>
      <c r="L15" s="137"/>
      <c r="M15" s="137"/>
      <c r="N15" s="137"/>
      <c r="O15" s="137"/>
      <c r="P15" s="137"/>
      <c r="Q15" s="138"/>
      <c r="R15" s="146"/>
      <c r="S15" s="144"/>
      <c r="T15" s="144"/>
      <c r="U15" s="145"/>
      <c r="V15" s="153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2"/>
      <c r="AT15" s="146"/>
      <c r="AU15" s="144"/>
      <c r="AV15" s="144"/>
      <c r="AW15" s="144"/>
      <c r="AX15" s="144"/>
      <c r="AY15" s="144"/>
      <c r="AZ15" s="144"/>
      <c r="BA15" s="144"/>
      <c r="BB15" s="144"/>
      <c r="BC15" s="157"/>
    </row>
    <row r="16" spans="1:55" s="25" customFormat="1" ht="13.5" customHeight="1">
      <c r="A16" s="133"/>
      <c r="B16" s="134"/>
      <c r="C16" s="134"/>
      <c r="D16" s="134"/>
      <c r="E16" s="134"/>
      <c r="F16" s="134"/>
      <c r="G16" s="134"/>
      <c r="H16" s="134"/>
      <c r="I16" s="135"/>
      <c r="J16" s="140"/>
      <c r="K16" s="141"/>
      <c r="L16" s="141"/>
      <c r="M16" s="141"/>
      <c r="N16" s="141"/>
      <c r="O16" s="141"/>
      <c r="P16" s="141"/>
      <c r="Q16" s="142"/>
      <c r="R16" s="147"/>
      <c r="S16" s="148"/>
      <c r="T16" s="148"/>
      <c r="U16" s="149"/>
      <c r="V16" s="154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6"/>
      <c r="AT16" s="147"/>
      <c r="AU16" s="148"/>
      <c r="AV16" s="148"/>
      <c r="AW16" s="148"/>
      <c r="AX16" s="148"/>
      <c r="AY16" s="148"/>
      <c r="AZ16" s="148"/>
      <c r="BA16" s="148"/>
      <c r="BB16" s="148"/>
      <c r="BC16" s="158"/>
    </row>
    <row r="17" spans="1:55" s="25" customFormat="1" ht="13.5" customHeight="1">
      <c r="A17" s="174"/>
      <c r="B17" s="175"/>
      <c r="C17" s="175"/>
      <c r="D17" s="175"/>
      <c r="E17" s="175"/>
      <c r="F17" s="175"/>
      <c r="G17" s="175"/>
      <c r="H17" s="175"/>
      <c r="I17" s="176"/>
      <c r="J17" s="177"/>
      <c r="K17" s="178"/>
      <c r="L17" s="178"/>
      <c r="M17" s="178"/>
      <c r="N17" s="178"/>
      <c r="O17" s="178"/>
      <c r="P17" s="178"/>
      <c r="Q17" s="179"/>
      <c r="R17" s="187"/>
      <c r="S17" s="181"/>
      <c r="T17" s="181"/>
      <c r="U17" s="182"/>
      <c r="V17" s="183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5"/>
      <c r="AT17" s="180"/>
      <c r="AU17" s="181"/>
      <c r="AV17" s="181"/>
      <c r="AW17" s="181"/>
      <c r="AX17" s="181"/>
      <c r="AY17" s="181"/>
      <c r="AZ17" s="181"/>
      <c r="BA17" s="181"/>
      <c r="BB17" s="181"/>
      <c r="BC17" s="186"/>
    </row>
    <row r="18" spans="1:55" s="25" customFormat="1" ht="13.5" customHeight="1">
      <c r="A18" s="132"/>
      <c r="B18" s="130"/>
      <c r="C18" s="130"/>
      <c r="D18" s="130"/>
      <c r="E18" s="130"/>
      <c r="F18" s="130"/>
      <c r="G18" s="130"/>
      <c r="H18" s="130"/>
      <c r="I18" s="131"/>
      <c r="J18" s="139"/>
      <c r="K18" s="137"/>
      <c r="L18" s="137"/>
      <c r="M18" s="137"/>
      <c r="N18" s="137"/>
      <c r="O18" s="137"/>
      <c r="P18" s="137"/>
      <c r="Q18" s="138"/>
      <c r="R18" s="146"/>
      <c r="S18" s="144"/>
      <c r="T18" s="144"/>
      <c r="U18" s="145"/>
      <c r="V18" s="153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2"/>
      <c r="AT18" s="146"/>
      <c r="AU18" s="144"/>
      <c r="AV18" s="144"/>
      <c r="AW18" s="144"/>
      <c r="AX18" s="144"/>
      <c r="AY18" s="144"/>
      <c r="AZ18" s="144"/>
      <c r="BA18" s="144"/>
      <c r="BB18" s="144"/>
      <c r="BC18" s="157"/>
    </row>
    <row r="19" spans="1:55" s="25" customFormat="1" ht="13.5" customHeight="1">
      <c r="A19" s="133"/>
      <c r="B19" s="134"/>
      <c r="C19" s="134"/>
      <c r="D19" s="134"/>
      <c r="E19" s="134"/>
      <c r="F19" s="134"/>
      <c r="G19" s="134"/>
      <c r="H19" s="134"/>
      <c r="I19" s="135"/>
      <c r="J19" s="140"/>
      <c r="K19" s="141"/>
      <c r="L19" s="141"/>
      <c r="M19" s="141"/>
      <c r="N19" s="141"/>
      <c r="O19" s="141"/>
      <c r="P19" s="141"/>
      <c r="Q19" s="142"/>
      <c r="R19" s="147"/>
      <c r="S19" s="148"/>
      <c r="T19" s="148"/>
      <c r="U19" s="149"/>
      <c r="V19" s="154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6"/>
      <c r="AT19" s="147"/>
      <c r="AU19" s="148"/>
      <c r="AV19" s="148"/>
      <c r="AW19" s="148"/>
      <c r="AX19" s="148"/>
      <c r="AY19" s="148"/>
      <c r="AZ19" s="148"/>
      <c r="BA19" s="148"/>
      <c r="BB19" s="148"/>
      <c r="BC19" s="158"/>
    </row>
    <row r="20" spans="1:55" s="25" customFormat="1" ht="13.5" customHeight="1">
      <c r="A20" s="174"/>
      <c r="B20" s="175"/>
      <c r="C20" s="175"/>
      <c r="D20" s="175"/>
      <c r="E20" s="175"/>
      <c r="F20" s="175"/>
      <c r="G20" s="175"/>
      <c r="H20" s="175"/>
      <c r="I20" s="176"/>
      <c r="J20" s="177"/>
      <c r="K20" s="178"/>
      <c r="L20" s="178"/>
      <c r="M20" s="178"/>
      <c r="N20" s="178"/>
      <c r="O20" s="178"/>
      <c r="P20" s="178"/>
      <c r="Q20" s="179"/>
      <c r="R20" s="187"/>
      <c r="S20" s="181"/>
      <c r="T20" s="181"/>
      <c r="U20" s="182"/>
      <c r="V20" s="183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5"/>
      <c r="AT20" s="180"/>
      <c r="AU20" s="181"/>
      <c r="AV20" s="181"/>
      <c r="AW20" s="181"/>
      <c r="AX20" s="181"/>
      <c r="AY20" s="181"/>
      <c r="AZ20" s="181"/>
      <c r="BA20" s="181"/>
      <c r="BB20" s="181"/>
      <c r="BC20" s="186"/>
    </row>
    <row r="21" spans="1:55" s="25" customFormat="1" ht="13.5" customHeight="1">
      <c r="A21" s="132"/>
      <c r="B21" s="130"/>
      <c r="C21" s="130"/>
      <c r="D21" s="130"/>
      <c r="E21" s="130"/>
      <c r="F21" s="130"/>
      <c r="G21" s="130"/>
      <c r="H21" s="130"/>
      <c r="I21" s="131"/>
      <c r="J21" s="139"/>
      <c r="K21" s="137"/>
      <c r="L21" s="137"/>
      <c r="M21" s="137"/>
      <c r="N21" s="137"/>
      <c r="O21" s="137"/>
      <c r="P21" s="137"/>
      <c r="Q21" s="138"/>
      <c r="R21" s="146"/>
      <c r="S21" s="144"/>
      <c r="T21" s="144"/>
      <c r="U21" s="145"/>
      <c r="V21" s="153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2"/>
      <c r="AT21" s="146"/>
      <c r="AU21" s="144"/>
      <c r="AV21" s="144"/>
      <c r="AW21" s="144"/>
      <c r="AX21" s="144"/>
      <c r="AY21" s="144"/>
      <c r="AZ21" s="144"/>
      <c r="BA21" s="144"/>
      <c r="BB21" s="144"/>
      <c r="BC21" s="157"/>
    </row>
    <row r="22" spans="1:55" s="25" customFormat="1" ht="13.5" customHeight="1">
      <c r="A22" s="133"/>
      <c r="B22" s="134"/>
      <c r="C22" s="134"/>
      <c r="D22" s="134"/>
      <c r="E22" s="134"/>
      <c r="F22" s="134"/>
      <c r="G22" s="134"/>
      <c r="H22" s="134"/>
      <c r="I22" s="135"/>
      <c r="J22" s="140"/>
      <c r="K22" s="141"/>
      <c r="L22" s="141"/>
      <c r="M22" s="141"/>
      <c r="N22" s="141"/>
      <c r="O22" s="141"/>
      <c r="P22" s="141"/>
      <c r="Q22" s="142"/>
      <c r="R22" s="147"/>
      <c r="S22" s="148"/>
      <c r="T22" s="148"/>
      <c r="U22" s="149"/>
      <c r="V22" s="154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6"/>
      <c r="AT22" s="147"/>
      <c r="AU22" s="148"/>
      <c r="AV22" s="148"/>
      <c r="AW22" s="148"/>
      <c r="AX22" s="148"/>
      <c r="AY22" s="148"/>
      <c r="AZ22" s="148"/>
      <c r="BA22" s="148"/>
      <c r="BB22" s="148"/>
      <c r="BC22" s="158"/>
    </row>
    <row r="23" spans="1:55" s="25" customFormat="1" ht="13.5" customHeight="1">
      <c r="A23" s="174"/>
      <c r="B23" s="175"/>
      <c r="C23" s="175"/>
      <c r="D23" s="175"/>
      <c r="E23" s="175"/>
      <c r="F23" s="175"/>
      <c r="G23" s="175"/>
      <c r="H23" s="175"/>
      <c r="I23" s="176"/>
      <c r="J23" s="177"/>
      <c r="K23" s="178"/>
      <c r="L23" s="178"/>
      <c r="M23" s="178"/>
      <c r="N23" s="178"/>
      <c r="O23" s="178"/>
      <c r="P23" s="178"/>
      <c r="Q23" s="179"/>
      <c r="R23" s="187"/>
      <c r="S23" s="181"/>
      <c r="T23" s="181"/>
      <c r="U23" s="182"/>
      <c r="V23" s="183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5"/>
      <c r="AT23" s="180"/>
      <c r="AU23" s="181"/>
      <c r="AV23" s="181"/>
      <c r="AW23" s="181"/>
      <c r="AX23" s="181"/>
      <c r="AY23" s="181"/>
      <c r="AZ23" s="181"/>
      <c r="BA23" s="181"/>
      <c r="BB23" s="181"/>
      <c r="BC23" s="186"/>
    </row>
    <row r="24" spans="1:55" s="25" customFormat="1" ht="13.5" customHeight="1">
      <c r="A24" s="132"/>
      <c r="B24" s="130"/>
      <c r="C24" s="130"/>
      <c r="D24" s="130"/>
      <c r="E24" s="130"/>
      <c r="F24" s="130"/>
      <c r="G24" s="130"/>
      <c r="H24" s="130"/>
      <c r="I24" s="131"/>
      <c r="J24" s="139"/>
      <c r="K24" s="137"/>
      <c r="L24" s="137"/>
      <c r="M24" s="137"/>
      <c r="N24" s="137"/>
      <c r="O24" s="137"/>
      <c r="P24" s="137"/>
      <c r="Q24" s="138"/>
      <c r="R24" s="146"/>
      <c r="S24" s="144"/>
      <c r="T24" s="144"/>
      <c r="U24" s="145"/>
      <c r="V24" s="153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2"/>
      <c r="AT24" s="146"/>
      <c r="AU24" s="144"/>
      <c r="AV24" s="144"/>
      <c r="AW24" s="144"/>
      <c r="AX24" s="144"/>
      <c r="AY24" s="144"/>
      <c r="AZ24" s="144"/>
      <c r="BA24" s="144"/>
      <c r="BB24" s="144"/>
      <c r="BC24" s="157"/>
    </row>
    <row r="25" spans="1:55" s="25" customFormat="1" ht="13.5" customHeight="1">
      <c r="A25" s="133"/>
      <c r="B25" s="134"/>
      <c r="C25" s="134"/>
      <c r="D25" s="134"/>
      <c r="E25" s="134"/>
      <c r="F25" s="134"/>
      <c r="G25" s="134"/>
      <c r="H25" s="134"/>
      <c r="I25" s="135"/>
      <c r="J25" s="140"/>
      <c r="K25" s="141"/>
      <c r="L25" s="141"/>
      <c r="M25" s="141"/>
      <c r="N25" s="141"/>
      <c r="O25" s="141"/>
      <c r="P25" s="141"/>
      <c r="Q25" s="142"/>
      <c r="R25" s="147"/>
      <c r="S25" s="148"/>
      <c r="T25" s="148"/>
      <c r="U25" s="149"/>
      <c r="V25" s="154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6"/>
      <c r="AT25" s="147"/>
      <c r="AU25" s="148"/>
      <c r="AV25" s="148"/>
      <c r="AW25" s="148"/>
      <c r="AX25" s="148"/>
      <c r="AY25" s="148"/>
      <c r="AZ25" s="148"/>
      <c r="BA25" s="148"/>
      <c r="BB25" s="148"/>
      <c r="BC25" s="158"/>
    </row>
    <row r="26" spans="1:55" s="25" customFormat="1" ht="13.5" customHeight="1">
      <c r="A26" s="174"/>
      <c r="B26" s="175"/>
      <c r="C26" s="175"/>
      <c r="D26" s="175"/>
      <c r="E26" s="175"/>
      <c r="F26" s="175"/>
      <c r="G26" s="175"/>
      <c r="H26" s="175"/>
      <c r="I26" s="176"/>
      <c r="J26" s="177"/>
      <c r="K26" s="178"/>
      <c r="L26" s="178"/>
      <c r="M26" s="178"/>
      <c r="N26" s="178"/>
      <c r="O26" s="178"/>
      <c r="P26" s="178"/>
      <c r="Q26" s="179"/>
      <c r="R26" s="180"/>
      <c r="S26" s="181"/>
      <c r="T26" s="181"/>
      <c r="U26" s="182"/>
      <c r="V26" s="183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180"/>
      <c r="AU26" s="181"/>
      <c r="AV26" s="181"/>
      <c r="AW26" s="181"/>
      <c r="AX26" s="181"/>
      <c r="AY26" s="181"/>
      <c r="AZ26" s="181"/>
      <c r="BA26" s="181"/>
      <c r="BB26" s="181"/>
      <c r="BC26" s="186"/>
    </row>
    <row r="27" spans="1:55" s="25" customFormat="1" ht="13.5" customHeight="1">
      <c r="A27" s="132"/>
      <c r="B27" s="130"/>
      <c r="C27" s="130"/>
      <c r="D27" s="130"/>
      <c r="E27" s="130"/>
      <c r="F27" s="130"/>
      <c r="G27" s="130"/>
      <c r="H27" s="130"/>
      <c r="I27" s="131"/>
      <c r="J27" s="139"/>
      <c r="K27" s="137"/>
      <c r="L27" s="137"/>
      <c r="M27" s="137"/>
      <c r="N27" s="137"/>
      <c r="O27" s="137"/>
      <c r="P27" s="137"/>
      <c r="Q27" s="138"/>
      <c r="R27" s="146"/>
      <c r="S27" s="144"/>
      <c r="T27" s="144"/>
      <c r="U27" s="145"/>
      <c r="V27" s="150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4"/>
      <c r="AT27" s="146"/>
      <c r="AU27" s="144"/>
      <c r="AV27" s="144"/>
      <c r="AW27" s="144"/>
      <c r="AX27" s="144"/>
      <c r="AY27" s="144"/>
      <c r="AZ27" s="144"/>
      <c r="BA27" s="144"/>
      <c r="BB27" s="144"/>
      <c r="BC27" s="157"/>
    </row>
    <row r="28" spans="1:55" s="25" customFormat="1" ht="13.5" customHeight="1">
      <c r="A28" s="133"/>
      <c r="B28" s="134"/>
      <c r="C28" s="134"/>
      <c r="D28" s="134"/>
      <c r="E28" s="134"/>
      <c r="F28" s="134"/>
      <c r="G28" s="134"/>
      <c r="H28" s="134"/>
      <c r="I28" s="135"/>
      <c r="J28" s="140"/>
      <c r="K28" s="141"/>
      <c r="L28" s="141"/>
      <c r="M28" s="141"/>
      <c r="N28" s="141"/>
      <c r="O28" s="141"/>
      <c r="P28" s="141"/>
      <c r="Q28" s="142"/>
      <c r="R28" s="147"/>
      <c r="S28" s="148"/>
      <c r="T28" s="148"/>
      <c r="U28" s="149"/>
      <c r="V28" s="205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7"/>
      <c r="AT28" s="147"/>
      <c r="AU28" s="148"/>
      <c r="AV28" s="148"/>
      <c r="AW28" s="148"/>
      <c r="AX28" s="148"/>
      <c r="AY28" s="148"/>
      <c r="AZ28" s="148"/>
      <c r="BA28" s="148"/>
      <c r="BB28" s="148"/>
      <c r="BC28" s="158"/>
    </row>
    <row r="29" spans="1:55" s="25" customFormat="1" ht="13.5" customHeight="1">
      <c r="A29" s="174"/>
      <c r="B29" s="175"/>
      <c r="C29" s="175"/>
      <c r="D29" s="175"/>
      <c r="E29" s="175"/>
      <c r="F29" s="175"/>
      <c r="G29" s="175"/>
      <c r="H29" s="175"/>
      <c r="I29" s="176"/>
      <c r="J29" s="177"/>
      <c r="K29" s="178"/>
      <c r="L29" s="178"/>
      <c r="M29" s="178"/>
      <c r="N29" s="178"/>
      <c r="O29" s="178"/>
      <c r="P29" s="178"/>
      <c r="Q29" s="179"/>
      <c r="R29" s="180"/>
      <c r="S29" s="181"/>
      <c r="T29" s="181"/>
      <c r="U29" s="182"/>
      <c r="V29" s="183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5"/>
      <c r="AT29" s="180"/>
      <c r="AU29" s="181"/>
      <c r="AV29" s="181"/>
      <c r="AW29" s="181"/>
      <c r="AX29" s="181"/>
      <c r="AY29" s="181"/>
      <c r="AZ29" s="181"/>
      <c r="BA29" s="181"/>
      <c r="BB29" s="181"/>
      <c r="BC29" s="186"/>
    </row>
    <row r="30" spans="1:55" s="25" customFormat="1" ht="13.5" customHeight="1">
      <c r="A30" s="132"/>
      <c r="B30" s="130"/>
      <c r="C30" s="130"/>
      <c r="D30" s="130"/>
      <c r="E30" s="130"/>
      <c r="F30" s="130"/>
      <c r="G30" s="130"/>
      <c r="H30" s="130"/>
      <c r="I30" s="131"/>
      <c r="J30" s="139"/>
      <c r="K30" s="137"/>
      <c r="L30" s="137"/>
      <c r="M30" s="137"/>
      <c r="N30" s="137"/>
      <c r="O30" s="137"/>
      <c r="P30" s="137"/>
      <c r="Q30" s="138"/>
      <c r="R30" s="146"/>
      <c r="S30" s="144"/>
      <c r="T30" s="144"/>
      <c r="U30" s="145"/>
      <c r="V30" s="153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2"/>
      <c r="AT30" s="146"/>
      <c r="AU30" s="144"/>
      <c r="AV30" s="144"/>
      <c r="AW30" s="144"/>
      <c r="AX30" s="144"/>
      <c r="AY30" s="144"/>
      <c r="AZ30" s="144"/>
      <c r="BA30" s="144"/>
      <c r="BB30" s="144"/>
      <c r="BC30" s="157"/>
    </row>
    <row r="31" spans="1:55" s="25" customFormat="1" ht="13.5" customHeight="1" thickBot="1">
      <c r="A31" s="188"/>
      <c r="B31" s="189"/>
      <c r="C31" s="189"/>
      <c r="D31" s="189"/>
      <c r="E31" s="189"/>
      <c r="F31" s="189"/>
      <c r="G31" s="189"/>
      <c r="H31" s="189"/>
      <c r="I31" s="190"/>
      <c r="J31" s="191"/>
      <c r="K31" s="192"/>
      <c r="L31" s="192"/>
      <c r="M31" s="192"/>
      <c r="N31" s="192"/>
      <c r="O31" s="192"/>
      <c r="P31" s="192"/>
      <c r="Q31" s="193"/>
      <c r="R31" s="194"/>
      <c r="S31" s="195"/>
      <c r="T31" s="195"/>
      <c r="U31" s="196"/>
      <c r="V31" s="197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194"/>
      <c r="AU31" s="195"/>
      <c r="AV31" s="195"/>
      <c r="AW31" s="195"/>
      <c r="AX31" s="195"/>
      <c r="AY31" s="195"/>
      <c r="AZ31" s="195"/>
      <c r="BA31" s="195"/>
      <c r="BB31" s="195"/>
      <c r="BC31" s="200"/>
    </row>
    <row r="32" spans="1:55" s="25" customFormat="1" ht="13.5" customHeight="1">
      <c r="A32" s="208"/>
      <c r="B32" s="130"/>
      <c r="C32" s="130"/>
      <c r="D32" s="130"/>
      <c r="E32" s="130"/>
      <c r="F32" s="130"/>
      <c r="G32" s="130"/>
      <c r="H32" s="130"/>
      <c r="I32" s="130"/>
      <c r="J32" s="209"/>
      <c r="K32" s="137"/>
      <c r="L32" s="137"/>
      <c r="M32" s="137"/>
      <c r="N32" s="137"/>
      <c r="O32" s="137"/>
      <c r="P32" s="137"/>
      <c r="Q32" s="137"/>
      <c r="R32" s="210"/>
      <c r="S32" s="144"/>
      <c r="T32" s="144"/>
      <c r="U32" s="144"/>
      <c r="V32" s="203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210"/>
      <c r="AU32" s="144"/>
      <c r="AV32" s="144"/>
      <c r="AW32" s="144"/>
      <c r="AX32" s="144"/>
      <c r="AY32" s="144"/>
      <c r="AZ32" s="144"/>
      <c r="BA32" s="144"/>
      <c r="BB32" s="144"/>
      <c r="BC32" s="144"/>
    </row>
  </sheetData>
  <mergeCells count="64">
    <mergeCell ref="A32:I32"/>
    <mergeCell ref="J32:Q32"/>
    <mergeCell ref="R32:U32"/>
    <mergeCell ref="V32:AS32"/>
    <mergeCell ref="AT32:BC32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11:I13"/>
    <mergeCell ref="J11:Q13"/>
    <mergeCell ref="R11:U13"/>
    <mergeCell ref="V11:AS13"/>
    <mergeCell ref="AT11:BC1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56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8" customWidth="1"/>
    <col min="2" max="27" width="2.625" style="38"/>
    <col min="28" max="28" width="2.625" style="38" customWidth="1"/>
    <col min="29" max="41" width="2.625" style="38"/>
    <col min="42" max="43" width="2.625" style="38" customWidth="1"/>
    <col min="44" max="51" width="2.625" style="38"/>
    <col min="52" max="53" width="2.625" style="38" customWidth="1"/>
    <col min="54" max="54" width="2.75" style="38" customWidth="1"/>
    <col min="55" max="55" width="2.375" style="38" customWidth="1"/>
    <col min="56" max="56" width="3.125" style="38" hidden="1" customWidth="1"/>
    <col min="57" max="58" width="2.625" style="38" hidden="1" customWidth="1"/>
    <col min="59" max="16384" width="2.625" style="38"/>
  </cols>
  <sheetData>
    <row r="1" spans="1:55" ht="13.5" customHeight="1">
      <c r="A1" s="120" t="s">
        <v>0</v>
      </c>
      <c r="B1" s="89"/>
      <c r="C1" s="89"/>
      <c r="D1" s="89"/>
      <c r="E1" s="89"/>
      <c r="F1" s="90"/>
      <c r="G1" s="90"/>
      <c r="H1" s="90"/>
      <c r="I1" s="121"/>
      <c r="J1" s="122" t="s">
        <v>1</v>
      </c>
      <c r="K1" s="89"/>
      <c r="L1" s="89"/>
      <c r="M1" s="89"/>
      <c r="N1" s="89"/>
      <c r="O1" s="90"/>
      <c r="P1" s="90"/>
      <c r="Q1" s="90"/>
      <c r="R1" s="123" t="str">
        <f>表紙!S12</f>
        <v>画面レイアウト設計書</v>
      </c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5"/>
      <c r="AJ1" s="126" t="s">
        <v>2</v>
      </c>
      <c r="AK1" s="127"/>
      <c r="AL1" s="127"/>
      <c r="AM1" s="127"/>
      <c r="AN1" s="127"/>
      <c r="AO1" s="128" t="s">
        <v>3</v>
      </c>
      <c r="AP1" s="127"/>
      <c r="AQ1" s="127"/>
      <c r="AR1" s="127"/>
      <c r="AS1" s="127"/>
      <c r="AT1" s="128" t="s">
        <v>4</v>
      </c>
      <c r="AU1" s="127"/>
      <c r="AV1" s="127"/>
      <c r="AW1" s="127"/>
      <c r="AX1" s="127"/>
      <c r="AY1" s="89" t="s">
        <v>5</v>
      </c>
      <c r="AZ1" s="90"/>
      <c r="BA1" s="90"/>
      <c r="BB1" s="90"/>
      <c r="BC1" s="91"/>
    </row>
    <row r="2" spans="1:55" ht="13.5" customHeight="1">
      <c r="A2" s="214" t="str">
        <f>表紙!O10</f>
        <v>13期12月対応</v>
      </c>
      <c r="B2" s="93"/>
      <c r="C2" s="93"/>
      <c r="D2" s="93"/>
      <c r="E2" s="93"/>
      <c r="F2" s="94"/>
      <c r="G2" s="94"/>
      <c r="H2" s="94"/>
      <c r="I2" s="95"/>
      <c r="J2" s="100" t="str">
        <f>表紙!O9</f>
        <v>LMS学習管理システム</v>
      </c>
      <c r="K2" s="93"/>
      <c r="L2" s="93"/>
      <c r="M2" s="93"/>
      <c r="N2" s="93"/>
      <c r="O2" s="94"/>
      <c r="P2" s="94"/>
      <c r="Q2" s="101"/>
      <c r="R2" s="104" t="str">
        <f ca="1">RIGHT(CELL("filename",A1),LEN(CELL("filename",A1))-FIND("]",CELL("filename",A1)))</f>
        <v>成果物変更管理画面（管理者権限）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  <c r="AJ2" s="215" t="s">
        <v>36</v>
      </c>
      <c r="AK2" s="111"/>
      <c r="AL2" s="111"/>
      <c r="AM2" s="111"/>
      <c r="AN2" s="111"/>
      <c r="AO2" s="114">
        <v>43766</v>
      </c>
      <c r="AP2" s="111"/>
      <c r="AQ2" s="216"/>
      <c r="AR2" s="111"/>
      <c r="AS2" s="111"/>
      <c r="AT2" s="217" t="s">
        <v>36</v>
      </c>
      <c r="AU2" s="111"/>
      <c r="AV2" s="216"/>
      <c r="AW2" s="111"/>
      <c r="AX2" s="111"/>
      <c r="AY2" s="115">
        <v>43861</v>
      </c>
      <c r="AZ2" s="116"/>
      <c r="BA2" s="116"/>
      <c r="BB2" s="218"/>
      <c r="BC2" s="117"/>
    </row>
    <row r="3" spans="1:55" ht="13.5" customHeight="1" thickBot="1">
      <c r="A3" s="96"/>
      <c r="B3" s="97"/>
      <c r="C3" s="97"/>
      <c r="D3" s="97"/>
      <c r="E3" s="97"/>
      <c r="F3" s="98"/>
      <c r="G3" s="98"/>
      <c r="H3" s="98"/>
      <c r="I3" s="99"/>
      <c r="J3" s="102"/>
      <c r="K3" s="97"/>
      <c r="L3" s="97"/>
      <c r="M3" s="97"/>
      <c r="N3" s="97"/>
      <c r="O3" s="98"/>
      <c r="P3" s="98"/>
      <c r="Q3" s="103"/>
      <c r="R3" s="107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9"/>
      <c r="AJ3" s="112"/>
      <c r="AK3" s="113"/>
      <c r="AL3" s="113"/>
      <c r="AM3" s="113"/>
      <c r="AN3" s="113"/>
      <c r="AO3" s="113"/>
      <c r="AP3" s="113"/>
      <c r="AQ3" s="113"/>
      <c r="AR3" s="113"/>
      <c r="AS3" s="113"/>
      <c r="AT3" s="112"/>
      <c r="AU3" s="113"/>
      <c r="AV3" s="113"/>
      <c r="AW3" s="113"/>
      <c r="AX3" s="113"/>
      <c r="AY3" s="118"/>
      <c r="AZ3" s="118"/>
      <c r="BA3" s="118"/>
      <c r="BB3" s="118"/>
      <c r="BC3" s="119"/>
    </row>
    <row r="4" spans="1:55" ht="13.5" customHeight="1"/>
    <row r="5" spans="1:55" ht="13.5" customHeight="1">
      <c r="A5" s="30"/>
      <c r="B5" s="29" t="s">
        <v>20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</row>
    <row r="6" spans="1:55" ht="13.5" customHeight="1">
      <c r="A6" s="30"/>
      <c r="B6" s="39"/>
      <c r="C6" s="40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1"/>
      <c r="AA6" s="39"/>
      <c r="AB6" s="39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30"/>
    </row>
    <row r="7" spans="1:55" ht="13.5" customHeight="1">
      <c r="A7" s="30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30"/>
    </row>
    <row r="8" spans="1:55" ht="13.5" customHeight="1">
      <c r="A8" s="30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30"/>
    </row>
    <row r="9" spans="1:55" ht="13.5" customHeight="1">
      <c r="A9" s="30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30"/>
    </row>
    <row r="10" spans="1:55" ht="13.5" customHeight="1">
      <c r="A10" s="3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30"/>
    </row>
    <row r="11" spans="1:55" ht="13.5" customHeight="1">
      <c r="A11" s="30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30"/>
    </row>
    <row r="12" spans="1:55" ht="13.5" customHeight="1">
      <c r="A12" s="3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30"/>
    </row>
    <row r="13" spans="1:55" ht="13.5" customHeight="1">
      <c r="A13" s="3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30"/>
    </row>
    <row r="14" spans="1:55" ht="13.5" customHeight="1">
      <c r="A14" s="3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30"/>
    </row>
    <row r="15" spans="1:55" ht="13.5" customHeight="1">
      <c r="A15" s="30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30"/>
    </row>
    <row r="16" spans="1:55" ht="13.5" customHeight="1">
      <c r="A16" s="3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30"/>
    </row>
    <row r="17" spans="1:55" ht="13.5" customHeight="1">
      <c r="A17" s="30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30"/>
    </row>
    <row r="18" spans="1:55" ht="13.5" customHeight="1">
      <c r="A18" s="3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30"/>
    </row>
    <row r="19" spans="1:55" ht="13.5" customHeight="1">
      <c r="A19" s="3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30"/>
    </row>
    <row r="20" spans="1:55" ht="13.5" customHeight="1">
      <c r="A20" s="3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30"/>
    </row>
    <row r="21" spans="1:55" ht="13.5" customHeight="1">
      <c r="A21" s="3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30"/>
    </row>
    <row r="22" spans="1:55" ht="13.5" customHeight="1">
      <c r="A22" s="3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30"/>
    </row>
    <row r="23" spans="1:55" ht="13.5" customHeight="1">
      <c r="A23" s="3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30"/>
    </row>
    <row r="24" spans="1:55" ht="13.5" customHeight="1">
      <c r="A24" s="3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0"/>
    </row>
    <row r="25" spans="1:55" ht="13.5" customHeight="1">
      <c r="A25" s="3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0"/>
    </row>
    <row r="26" spans="1:55" ht="13.5" customHeight="1">
      <c r="A26" s="3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0"/>
    </row>
    <row r="27" spans="1:55" ht="13.5" customHeight="1">
      <c r="A27" s="3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0"/>
    </row>
    <row r="28" spans="1:55" ht="13.5" customHeight="1">
      <c r="A28" s="3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0"/>
    </row>
    <row r="29" spans="1:55" ht="13.5" customHeight="1">
      <c r="A29" s="3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0"/>
    </row>
    <row r="30" spans="1:5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</row>
    <row r="31" spans="1:5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</row>
    <row r="32" spans="1:55">
      <c r="A32" s="30"/>
      <c r="B32" s="29" t="s">
        <v>32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2"/>
      <c r="BC32" s="30"/>
    </row>
    <row r="33" spans="1:55">
      <c r="A33" s="30"/>
      <c r="B33" s="219" t="s">
        <v>17</v>
      </c>
      <c r="C33" s="220"/>
      <c r="D33" s="231" t="s">
        <v>26</v>
      </c>
      <c r="E33" s="232"/>
      <c r="F33" s="232"/>
      <c r="G33" s="232"/>
      <c r="H33" s="232"/>
      <c r="I33" s="232"/>
      <c r="J33" s="232"/>
      <c r="K33" s="232"/>
      <c r="L33" s="233"/>
      <c r="M33" s="237" t="s">
        <v>21</v>
      </c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9"/>
      <c r="AF33" s="219" t="s">
        <v>18</v>
      </c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  <c r="BA33" s="242"/>
      <c r="BB33" s="220"/>
      <c r="BC33" s="30"/>
    </row>
    <row r="34" spans="1:55">
      <c r="A34" s="30"/>
      <c r="B34" s="221"/>
      <c r="C34" s="222"/>
      <c r="D34" s="234"/>
      <c r="E34" s="235"/>
      <c r="F34" s="235"/>
      <c r="G34" s="235"/>
      <c r="H34" s="235"/>
      <c r="I34" s="235"/>
      <c r="J34" s="235"/>
      <c r="K34" s="235"/>
      <c r="L34" s="236"/>
      <c r="M34" s="237" t="s">
        <v>31</v>
      </c>
      <c r="N34" s="238"/>
      <c r="O34" s="238"/>
      <c r="P34" s="238"/>
      <c r="Q34" s="238"/>
      <c r="R34" s="238"/>
      <c r="S34" s="238"/>
      <c r="T34" s="238"/>
      <c r="U34" s="238"/>
      <c r="V34" s="239"/>
      <c r="W34" s="237" t="s">
        <v>28</v>
      </c>
      <c r="X34" s="238"/>
      <c r="Y34" s="238"/>
      <c r="Z34" s="238"/>
      <c r="AA34" s="238"/>
      <c r="AB34" s="238"/>
      <c r="AC34" s="238"/>
      <c r="AD34" s="238"/>
      <c r="AE34" s="239"/>
      <c r="AF34" s="221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3"/>
      <c r="BB34" s="222"/>
      <c r="BC34" s="30"/>
    </row>
    <row r="35" spans="1:55">
      <c r="A35" s="30"/>
      <c r="B35" s="63" t="s">
        <v>38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3"/>
      <c r="BC35" s="30"/>
    </row>
    <row r="36" spans="1:55">
      <c r="A36" s="30"/>
      <c r="B36" s="223">
        <v>1</v>
      </c>
      <c r="C36" s="224"/>
      <c r="D36" s="225" t="s">
        <v>37</v>
      </c>
      <c r="E36" s="226"/>
      <c r="F36" s="226"/>
      <c r="G36" s="226"/>
      <c r="H36" s="226"/>
      <c r="I36" s="226"/>
      <c r="J36" s="226"/>
      <c r="K36" s="226"/>
      <c r="L36" s="227"/>
      <c r="M36" s="228" t="s">
        <v>49</v>
      </c>
      <c r="N36" s="229"/>
      <c r="O36" s="229"/>
      <c r="P36" s="229"/>
      <c r="Q36" s="229"/>
      <c r="R36" s="229"/>
      <c r="S36" s="229"/>
      <c r="T36" s="229"/>
      <c r="U36" s="229"/>
      <c r="V36" s="230"/>
      <c r="W36" s="250" t="s">
        <v>50</v>
      </c>
      <c r="X36" s="251"/>
      <c r="Y36" s="251"/>
      <c r="Z36" s="251"/>
      <c r="AA36" s="251"/>
      <c r="AB36" s="251"/>
      <c r="AC36" s="251"/>
      <c r="AD36" s="251"/>
      <c r="AE36" s="252"/>
      <c r="AF36" s="60" t="s">
        <v>52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27"/>
      <c r="BC36" s="30"/>
    </row>
    <row r="37" spans="1:55">
      <c r="A37" s="30"/>
      <c r="B37" s="223">
        <v>2</v>
      </c>
      <c r="C37" s="224"/>
      <c r="D37" s="244" t="s">
        <v>39</v>
      </c>
      <c r="E37" s="245"/>
      <c r="F37" s="245"/>
      <c r="G37" s="245"/>
      <c r="H37" s="245"/>
      <c r="I37" s="245"/>
      <c r="J37" s="245"/>
      <c r="K37" s="245"/>
      <c r="L37" s="246"/>
      <c r="M37" s="228" t="s">
        <v>49</v>
      </c>
      <c r="N37" s="229"/>
      <c r="O37" s="229"/>
      <c r="P37" s="229"/>
      <c r="Q37" s="229"/>
      <c r="R37" s="229"/>
      <c r="S37" s="229"/>
      <c r="T37" s="229"/>
      <c r="U37" s="229"/>
      <c r="V37" s="230"/>
      <c r="W37" s="247" t="s">
        <v>51</v>
      </c>
      <c r="X37" s="248"/>
      <c r="Y37" s="248"/>
      <c r="Z37" s="248"/>
      <c r="AA37" s="248"/>
      <c r="AB37" s="248"/>
      <c r="AC37" s="248"/>
      <c r="AD37" s="248"/>
      <c r="AE37" s="249"/>
      <c r="AF37" s="60" t="s">
        <v>53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6"/>
      <c r="BC37" s="30"/>
    </row>
    <row r="38" spans="1:55">
      <c r="A38" s="30"/>
      <c r="B38" s="281">
        <v>3</v>
      </c>
      <c r="C38" s="282"/>
      <c r="D38" s="283" t="s">
        <v>59</v>
      </c>
      <c r="E38" s="284"/>
      <c r="F38" s="284"/>
      <c r="G38" s="284"/>
      <c r="H38" s="284"/>
      <c r="I38" s="284"/>
      <c r="J38" s="284"/>
      <c r="K38" s="284"/>
      <c r="L38" s="285"/>
      <c r="M38" s="286" t="s">
        <v>49</v>
      </c>
      <c r="N38" s="287"/>
      <c r="O38" s="287"/>
      <c r="P38" s="287"/>
      <c r="Q38" s="287"/>
      <c r="R38" s="287"/>
      <c r="S38" s="287"/>
      <c r="T38" s="287"/>
      <c r="U38" s="287"/>
      <c r="V38" s="288"/>
      <c r="W38" s="289" t="s">
        <v>60</v>
      </c>
      <c r="X38" s="290"/>
      <c r="Y38" s="290"/>
      <c r="Z38" s="290"/>
      <c r="AA38" s="290"/>
      <c r="AB38" s="290"/>
      <c r="AC38" s="290"/>
      <c r="AD38" s="290"/>
      <c r="AE38" s="291"/>
      <c r="AF38" s="66" t="s">
        <v>61</v>
      </c>
      <c r="AG38" s="67"/>
      <c r="AH38" s="6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4"/>
    </row>
    <row r="39" spans="1:55">
      <c r="A39" s="30"/>
      <c r="B39" s="42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43"/>
      <c r="N39" s="43"/>
      <c r="O39" s="43"/>
      <c r="P39" s="43"/>
      <c r="Q39" s="43"/>
      <c r="R39" s="43"/>
      <c r="S39" s="43"/>
      <c r="T39" s="43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30"/>
    </row>
    <row r="41" spans="1:55">
      <c r="B41" s="260" t="s">
        <v>40</v>
      </c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</row>
    <row r="42" spans="1:55"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</row>
    <row r="43" spans="1:55">
      <c r="B43" s="44" t="s">
        <v>27</v>
      </c>
    </row>
    <row r="44" spans="1:55">
      <c r="B44" s="275" t="s">
        <v>17</v>
      </c>
      <c r="C44" s="275"/>
      <c r="D44" s="292" t="s">
        <v>26</v>
      </c>
      <c r="E44" s="292"/>
      <c r="F44" s="292"/>
      <c r="G44" s="292"/>
      <c r="H44" s="292"/>
      <c r="I44" s="292"/>
      <c r="J44" s="264" t="s">
        <v>25</v>
      </c>
      <c r="K44" s="265"/>
      <c r="L44" s="265"/>
      <c r="M44" s="265"/>
      <c r="N44" s="265"/>
      <c r="O44" s="266"/>
      <c r="P44" s="264" t="s">
        <v>30</v>
      </c>
      <c r="Q44" s="265"/>
      <c r="R44" s="265"/>
      <c r="S44" s="265"/>
      <c r="T44" s="265"/>
      <c r="U44" s="266"/>
      <c r="V44" s="264" t="s">
        <v>24</v>
      </c>
      <c r="W44" s="266"/>
      <c r="X44" s="264" t="s">
        <v>23</v>
      </c>
      <c r="Y44" s="265"/>
      <c r="Z44" s="266"/>
      <c r="AA44" s="264" t="s">
        <v>41</v>
      </c>
      <c r="AB44" s="265"/>
      <c r="AC44" s="266"/>
      <c r="AD44" s="264" t="s">
        <v>42</v>
      </c>
      <c r="AE44" s="265"/>
      <c r="AF44" s="266"/>
      <c r="AG44" s="261" t="s">
        <v>22</v>
      </c>
      <c r="AH44" s="262"/>
      <c r="AI44" s="262"/>
      <c r="AJ44" s="262"/>
      <c r="AK44" s="262"/>
      <c r="AL44" s="262"/>
      <c r="AM44" s="262"/>
      <c r="AN44" s="262"/>
      <c r="AO44" s="262"/>
      <c r="AP44" s="263"/>
      <c r="AQ44" s="264" t="s">
        <v>18</v>
      </c>
      <c r="AR44" s="265"/>
      <c r="AS44" s="265"/>
      <c r="AT44" s="265"/>
      <c r="AU44" s="265"/>
      <c r="AV44" s="265"/>
      <c r="AW44" s="265"/>
      <c r="AX44" s="265"/>
      <c r="AY44" s="265"/>
      <c r="AZ44" s="265"/>
      <c r="BA44" s="265"/>
      <c r="BB44" s="266"/>
    </row>
    <row r="45" spans="1:55">
      <c r="B45" s="267" t="s">
        <v>38</v>
      </c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64"/>
    </row>
    <row r="46" spans="1:55">
      <c r="B46" s="258">
        <v>1</v>
      </c>
      <c r="C46" s="259"/>
      <c r="D46" s="269" t="s">
        <v>37</v>
      </c>
      <c r="E46" s="270"/>
      <c r="F46" s="270"/>
      <c r="G46" s="270"/>
      <c r="H46" s="270"/>
      <c r="I46" s="271"/>
      <c r="J46" s="272" t="s">
        <v>54</v>
      </c>
      <c r="K46" s="273"/>
      <c r="L46" s="273"/>
      <c r="M46" s="273"/>
      <c r="N46" s="273"/>
      <c r="O46" s="274"/>
      <c r="P46" s="272" t="s">
        <v>55</v>
      </c>
      <c r="Q46" s="273"/>
      <c r="R46" s="273"/>
      <c r="S46" s="273"/>
      <c r="T46" s="273"/>
      <c r="U46" s="274"/>
      <c r="V46" s="253" t="s">
        <v>56</v>
      </c>
      <c r="W46" s="255"/>
      <c r="X46" s="253" t="s">
        <v>29</v>
      </c>
      <c r="Y46" s="254"/>
      <c r="Z46" s="255"/>
      <c r="AA46" s="253" t="s">
        <v>29</v>
      </c>
      <c r="AB46" s="254"/>
      <c r="AC46" s="255"/>
      <c r="AD46" s="253" t="s">
        <v>29</v>
      </c>
      <c r="AE46" s="254"/>
      <c r="AF46" s="255"/>
      <c r="AG46" s="302" t="s">
        <v>29</v>
      </c>
      <c r="AH46" s="303"/>
      <c r="AI46" s="303"/>
      <c r="AJ46" s="303"/>
      <c r="AK46" s="303"/>
      <c r="AL46" s="303"/>
      <c r="AM46" s="303"/>
      <c r="AN46" s="303"/>
      <c r="AO46" s="303"/>
      <c r="AP46" s="304"/>
      <c r="AQ46" s="293"/>
      <c r="AR46" s="294"/>
      <c r="AS46" s="294"/>
      <c r="AT46" s="294"/>
      <c r="AU46" s="294"/>
      <c r="AV46" s="294"/>
      <c r="AW46" s="294"/>
      <c r="AX46" s="294"/>
      <c r="AY46" s="294"/>
      <c r="AZ46" s="294"/>
      <c r="BA46" s="294"/>
      <c r="BB46" s="295"/>
    </row>
    <row r="47" spans="1:55">
      <c r="B47" s="276">
        <v>2</v>
      </c>
      <c r="C47" s="277"/>
      <c r="D47" s="45" t="s">
        <v>39</v>
      </c>
      <c r="E47" s="46"/>
      <c r="F47" s="46"/>
      <c r="G47" s="46"/>
      <c r="H47" s="46"/>
      <c r="I47" s="47"/>
      <c r="J47" s="278" t="s">
        <v>57</v>
      </c>
      <c r="K47" s="279"/>
      <c r="L47" s="279"/>
      <c r="M47" s="279"/>
      <c r="N47" s="279"/>
      <c r="O47" s="280"/>
      <c r="P47" s="272" t="s">
        <v>55</v>
      </c>
      <c r="Q47" s="273"/>
      <c r="R47" s="273"/>
      <c r="S47" s="273"/>
      <c r="T47" s="273"/>
      <c r="U47" s="274"/>
      <c r="V47" s="240" t="s">
        <v>56</v>
      </c>
      <c r="W47" s="241"/>
      <c r="X47" s="253" t="s">
        <v>29</v>
      </c>
      <c r="Y47" s="254"/>
      <c r="Z47" s="255"/>
      <c r="AA47" s="253" t="s">
        <v>29</v>
      </c>
      <c r="AB47" s="254"/>
      <c r="AC47" s="255"/>
      <c r="AD47" s="253" t="s">
        <v>29</v>
      </c>
      <c r="AE47" s="254"/>
      <c r="AF47" s="255"/>
      <c r="AG47" s="305" t="s">
        <v>29</v>
      </c>
      <c r="AH47" s="306"/>
      <c r="AI47" s="306"/>
      <c r="AJ47" s="306"/>
      <c r="AK47" s="306"/>
      <c r="AL47" s="306"/>
      <c r="AM47" s="306"/>
      <c r="AN47" s="306"/>
      <c r="AO47" s="306"/>
      <c r="AP47" s="307"/>
      <c r="AQ47" s="48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</row>
    <row r="48" spans="1:55" ht="20.45" customHeight="1">
      <c r="B48" s="256">
        <v>3</v>
      </c>
      <c r="C48" s="257"/>
      <c r="D48" s="211" t="s">
        <v>62</v>
      </c>
      <c r="E48" s="212"/>
      <c r="F48" s="212"/>
      <c r="G48" s="212"/>
      <c r="H48" s="212"/>
      <c r="I48" s="213"/>
      <c r="J48" s="297" t="s">
        <v>63</v>
      </c>
      <c r="K48" s="298"/>
      <c r="L48" s="298"/>
      <c r="M48" s="298"/>
      <c r="N48" s="298"/>
      <c r="O48" s="299"/>
      <c r="P48" s="297" t="s">
        <v>55</v>
      </c>
      <c r="Q48" s="298"/>
      <c r="R48" s="298"/>
      <c r="S48" s="298"/>
      <c r="T48" s="298"/>
      <c r="U48" s="299"/>
      <c r="V48" s="300" t="s">
        <v>56</v>
      </c>
      <c r="W48" s="301"/>
      <c r="X48" s="253" t="s">
        <v>29</v>
      </c>
      <c r="Y48" s="254"/>
      <c r="Z48" s="255"/>
      <c r="AA48" s="253" t="s">
        <v>29</v>
      </c>
      <c r="AB48" s="254"/>
      <c r="AC48" s="255"/>
      <c r="AD48" s="253" t="s">
        <v>29</v>
      </c>
      <c r="AE48" s="254"/>
      <c r="AF48" s="255"/>
      <c r="AG48" s="302" t="s">
        <v>29</v>
      </c>
      <c r="AH48" s="303"/>
      <c r="AI48" s="303"/>
      <c r="AJ48" s="303"/>
      <c r="AK48" s="303"/>
      <c r="AL48" s="303"/>
      <c r="AM48" s="303"/>
      <c r="AN48" s="303"/>
      <c r="AO48" s="303"/>
      <c r="AP48" s="304"/>
      <c r="AQ48" s="51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</row>
    <row r="49" spans="1:55">
      <c r="B49" s="258">
        <v>4</v>
      </c>
      <c r="C49" s="259"/>
      <c r="D49" s="269" t="s">
        <v>34</v>
      </c>
      <c r="E49" s="270"/>
      <c r="F49" s="270"/>
      <c r="G49" s="270"/>
      <c r="H49" s="270"/>
      <c r="I49" s="271"/>
      <c r="J49" s="293" t="s">
        <v>29</v>
      </c>
      <c r="K49" s="294"/>
      <c r="L49" s="294"/>
      <c r="M49" s="294"/>
      <c r="N49" s="294"/>
      <c r="O49" s="295"/>
      <c r="P49" s="293" t="s">
        <v>43</v>
      </c>
      <c r="Q49" s="294"/>
      <c r="R49" s="294"/>
      <c r="S49" s="294"/>
      <c r="T49" s="294"/>
      <c r="U49" s="295"/>
      <c r="V49" s="258" t="s">
        <v>29</v>
      </c>
      <c r="W49" s="259"/>
      <c r="X49" s="258" t="s">
        <v>29</v>
      </c>
      <c r="Y49" s="296"/>
      <c r="Z49" s="259"/>
      <c r="AA49" s="258" t="s">
        <v>29</v>
      </c>
      <c r="AB49" s="296"/>
      <c r="AC49" s="259"/>
      <c r="AD49" s="258" t="s">
        <v>29</v>
      </c>
      <c r="AE49" s="296"/>
      <c r="AF49" s="259"/>
      <c r="AG49" s="269" t="s">
        <v>29</v>
      </c>
      <c r="AH49" s="270"/>
      <c r="AI49" s="270"/>
      <c r="AJ49" s="270"/>
      <c r="AK49" s="270"/>
      <c r="AL49" s="270"/>
      <c r="AM49" s="270"/>
      <c r="AN49" s="270"/>
      <c r="AO49" s="270"/>
      <c r="AP49" s="271"/>
      <c r="AQ49" s="272" t="s">
        <v>64</v>
      </c>
      <c r="AR49" s="273"/>
      <c r="AS49" s="273"/>
      <c r="AT49" s="273"/>
      <c r="AU49" s="273"/>
      <c r="AV49" s="273"/>
      <c r="AW49" s="273"/>
      <c r="AX49" s="273"/>
      <c r="AY49" s="273"/>
      <c r="AZ49" s="273"/>
      <c r="BA49" s="273"/>
      <c r="BB49" s="274"/>
    </row>
    <row r="51" spans="1:55">
      <c r="B51" s="54"/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</row>
    <row r="52" spans="1:55">
      <c r="A52" s="57"/>
      <c r="B52" s="65" t="s">
        <v>44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8"/>
      <c r="BC52" s="57"/>
    </row>
    <row r="53" spans="1:55">
      <c r="A53" s="57"/>
      <c r="B53" s="320" t="s">
        <v>17</v>
      </c>
      <c r="C53" s="320"/>
      <c r="D53" s="320" t="s">
        <v>45</v>
      </c>
      <c r="E53" s="320"/>
      <c r="F53" s="320"/>
      <c r="G53" s="320"/>
      <c r="H53" s="320"/>
      <c r="I53" s="320"/>
      <c r="J53" s="320"/>
      <c r="K53" s="320"/>
      <c r="L53" s="320"/>
      <c r="M53" s="320" t="s">
        <v>46</v>
      </c>
      <c r="N53" s="320"/>
      <c r="O53" s="320"/>
      <c r="P53" s="320"/>
      <c r="Q53" s="320"/>
      <c r="R53" s="320"/>
      <c r="S53" s="320"/>
      <c r="T53" s="320"/>
      <c r="U53" s="320"/>
      <c r="V53" s="320"/>
      <c r="W53" s="320" t="s">
        <v>47</v>
      </c>
      <c r="X53" s="320"/>
      <c r="Y53" s="320"/>
      <c r="Z53" s="320"/>
      <c r="AA53" s="320"/>
      <c r="AB53" s="320"/>
      <c r="AC53" s="320"/>
      <c r="AD53" s="320"/>
      <c r="AE53" s="320"/>
      <c r="AF53" s="321" t="s">
        <v>48</v>
      </c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3"/>
      <c r="BC53" s="58"/>
    </row>
    <row r="54" spans="1:55">
      <c r="B54" s="330">
        <v>1</v>
      </c>
      <c r="C54" s="330"/>
      <c r="D54" s="324" t="s">
        <v>37</v>
      </c>
      <c r="E54" s="325"/>
      <c r="F54" s="325"/>
      <c r="G54" s="325"/>
      <c r="H54" s="325"/>
      <c r="I54" s="325"/>
      <c r="J54" s="325"/>
      <c r="K54" s="325"/>
      <c r="L54" s="326"/>
      <c r="M54" s="327" t="s">
        <v>49</v>
      </c>
      <c r="N54" s="328"/>
      <c r="O54" s="328"/>
      <c r="P54" s="328"/>
      <c r="Q54" s="328"/>
      <c r="R54" s="328"/>
      <c r="S54" s="328"/>
      <c r="T54" s="328"/>
      <c r="U54" s="328"/>
      <c r="V54" s="329"/>
      <c r="W54" s="319" t="s">
        <v>50</v>
      </c>
      <c r="X54" s="319"/>
      <c r="Y54" s="319"/>
      <c r="Z54" s="319"/>
      <c r="AA54" s="319"/>
      <c r="AB54" s="319"/>
      <c r="AC54" s="319"/>
      <c r="AD54" s="319"/>
      <c r="AE54" s="319"/>
      <c r="AF54" s="316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7"/>
      <c r="AR54" s="317"/>
      <c r="AS54" s="317"/>
      <c r="AT54" s="317"/>
      <c r="AU54" s="317"/>
      <c r="AV54" s="317"/>
      <c r="AW54" s="317"/>
      <c r="AX54" s="317"/>
      <c r="AY54" s="317"/>
      <c r="AZ54" s="317"/>
      <c r="BA54" s="317"/>
      <c r="BB54" s="318"/>
    </row>
    <row r="55" spans="1:55">
      <c r="A55" s="57"/>
      <c r="B55" s="330">
        <v>2</v>
      </c>
      <c r="C55" s="330"/>
      <c r="D55" s="324" t="s">
        <v>39</v>
      </c>
      <c r="E55" s="325"/>
      <c r="F55" s="325"/>
      <c r="G55" s="325"/>
      <c r="H55" s="325"/>
      <c r="I55" s="325"/>
      <c r="J55" s="325"/>
      <c r="K55" s="325"/>
      <c r="L55" s="326"/>
      <c r="M55" s="327" t="s">
        <v>49</v>
      </c>
      <c r="N55" s="328"/>
      <c r="O55" s="328"/>
      <c r="P55" s="328"/>
      <c r="Q55" s="328"/>
      <c r="R55" s="328"/>
      <c r="S55" s="328"/>
      <c r="T55" s="328"/>
      <c r="U55" s="328"/>
      <c r="V55" s="329"/>
      <c r="W55" s="319" t="s">
        <v>51</v>
      </c>
      <c r="X55" s="319"/>
      <c r="Y55" s="319"/>
      <c r="Z55" s="319"/>
      <c r="AA55" s="319"/>
      <c r="AB55" s="319"/>
      <c r="AC55" s="319"/>
      <c r="AD55" s="319"/>
      <c r="AE55" s="319"/>
      <c r="AF55" s="316"/>
      <c r="AG55" s="317"/>
      <c r="AH55" s="317"/>
      <c r="AI55" s="317"/>
      <c r="AJ55" s="317"/>
      <c r="AK55" s="317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7"/>
      <c r="AZ55" s="317"/>
      <c r="BA55" s="317"/>
      <c r="BB55" s="318"/>
      <c r="BC55" s="59"/>
    </row>
    <row r="56" spans="1:55">
      <c r="A56" s="57"/>
      <c r="B56" s="308">
        <v>3</v>
      </c>
      <c r="C56" s="308"/>
      <c r="D56" s="309" t="s">
        <v>59</v>
      </c>
      <c r="E56" s="310"/>
      <c r="F56" s="310"/>
      <c r="G56" s="310"/>
      <c r="H56" s="310"/>
      <c r="I56" s="310"/>
      <c r="J56" s="310"/>
      <c r="K56" s="310"/>
      <c r="L56" s="311"/>
      <c r="M56" s="312" t="s">
        <v>49</v>
      </c>
      <c r="N56" s="313"/>
      <c r="O56" s="313"/>
      <c r="P56" s="313"/>
      <c r="Q56" s="313"/>
      <c r="R56" s="313"/>
      <c r="S56" s="313"/>
      <c r="T56" s="313"/>
      <c r="U56" s="313"/>
      <c r="V56" s="314"/>
      <c r="W56" s="315" t="s">
        <v>60</v>
      </c>
      <c r="X56" s="315"/>
      <c r="Y56" s="315"/>
      <c r="Z56" s="315"/>
      <c r="AA56" s="315"/>
      <c r="AB56" s="315"/>
      <c r="AC56" s="315"/>
      <c r="AD56" s="315"/>
      <c r="AE56" s="315"/>
      <c r="AF56" s="316"/>
      <c r="AG56" s="317"/>
      <c r="AH56" s="317"/>
      <c r="AI56" s="317"/>
      <c r="AJ56" s="317"/>
      <c r="AK56" s="317"/>
      <c r="AL56" s="317"/>
      <c r="AM56" s="317"/>
      <c r="AN56" s="317"/>
      <c r="AO56" s="317"/>
      <c r="AP56" s="317"/>
      <c r="AQ56" s="317"/>
      <c r="AR56" s="317"/>
      <c r="AS56" s="317"/>
      <c r="AT56" s="317"/>
      <c r="AU56" s="317"/>
      <c r="AV56" s="317"/>
      <c r="AW56" s="317"/>
      <c r="AX56" s="317"/>
      <c r="AY56" s="317"/>
      <c r="AZ56" s="317"/>
      <c r="BA56" s="317"/>
      <c r="BB56" s="318"/>
      <c r="BC56" s="59"/>
    </row>
  </sheetData>
  <mergeCells count="101">
    <mergeCell ref="B56:C56"/>
    <mergeCell ref="D56:L56"/>
    <mergeCell ref="M56:V56"/>
    <mergeCell ref="W56:AE56"/>
    <mergeCell ref="AF56:BB56"/>
    <mergeCell ref="W55:AE55"/>
    <mergeCell ref="AF55:BB55"/>
    <mergeCell ref="D53:L53"/>
    <mergeCell ref="M53:V53"/>
    <mergeCell ref="W53:AE53"/>
    <mergeCell ref="AF53:BB53"/>
    <mergeCell ref="D54:L54"/>
    <mergeCell ref="M54:V54"/>
    <mergeCell ref="W54:AE54"/>
    <mergeCell ref="AF54:BB54"/>
    <mergeCell ref="B54:C54"/>
    <mergeCell ref="B53:C53"/>
    <mergeCell ref="B55:C55"/>
    <mergeCell ref="D55:L55"/>
    <mergeCell ref="M55:V55"/>
    <mergeCell ref="AQ46:BB46"/>
    <mergeCell ref="B49:C49"/>
    <mergeCell ref="D49:I49"/>
    <mergeCell ref="J49:O49"/>
    <mergeCell ref="P49:U49"/>
    <mergeCell ref="V49:W49"/>
    <mergeCell ref="X49:Z49"/>
    <mergeCell ref="AA49:AC49"/>
    <mergeCell ref="AD49:AF49"/>
    <mergeCell ref="AG49:AP49"/>
    <mergeCell ref="AQ49:BB49"/>
    <mergeCell ref="J48:O48"/>
    <mergeCell ref="P48:U48"/>
    <mergeCell ref="V48:W48"/>
    <mergeCell ref="X48:Z48"/>
    <mergeCell ref="AA48:AC48"/>
    <mergeCell ref="AD48:AF48"/>
    <mergeCell ref="AG48:AP48"/>
    <mergeCell ref="X47:Z47"/>
    <mergeCell ref="AA47:AC47"/>
    <mergeCell ref="AD47:AF47"/>
    <mergeCell ref="AG47:AP47"/>
    <mergeCell ref="AD46:AF46"/>
    <mergeCell ref="AG46:AP46"/>
    <mergeCell ref="M38:V38"/>
    <mergeCell ref="W38:AE38"/>
    <mergeCell ref="D44:I44"/>
    <mergeCell ref="J44:O44"/>
    <mergeCell ref="P44:U44"/>
    <mergeCell ref="V44:W44"/>
    <mergeCell ref="X44:Z44"/>
    <mergeCell ref="AA44:AC44"/>
    <mergeCell ref="AD44:AF44"/>
    <mergeCell ref="V47:W47"/>
    <mergeCell ref="AF33:BB34"/>
    <mergeCell ref="D37:L37"/>
    <mergeCell ref="M37:V37"/>
    <mergeCell ref="W37:AE37"/>
    <mergeCell ref="W36:AE36"/>
    <mergeCell ref="AA46:AC46"/>
    <mergeCell ref="B48:C48"/>
    <mergeCell ref="B46:C46"/>
    <mergeCell ref="B41:BB42"/>
    <mergeCell ref="AG44:AP44"/>
    <mergeCell ref="AQ44:BB44"/>
    <mergeCell ref="B45:BA45"/>
    <mergeCell ref="D46:I46"/>
    <mergeCell ref="J46:O46"/>
    <mergeCell ref="P46:U46"/>
    <mergeCell ref="V46:W46"/>
    <mergeCell ref="X46:Z46"/>
    <mergeCell ref="B44:C44"/>
    <mergeCell ref="B47:C47"/>
    <mergeCell ref="J47:O47"/>
    <mergeCell ref="P47:U47"/>
    <mergeCell ref="B38:C38"/>
    <mergeCell ref="D38:L38"/>
    <mergeCell ref="D48:I4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33:C34"/>
    <mergeCell ref="B37:C37"/>
    <mergeCell ref="B36:C36"/>
    <mergeCell ref="D36:L36"/>
    <mergeCell ref="M36:V36"/>
    <mergeCell ref="D33:L34"/>
    <mergeCell ref="M33:AE33"/>
    <mergeCell ref="M34:V34"/>
    <mergeCell ref="W34:AE34"/>
  </mergeCells>
  <phoneticPr fontId="1"/>
  <pageMargins left="0.23622047244094491" right="0.23622047244094491" top="0.55118110236220474" bottom="0.74803149606299213" header="0.31496062992125984" footer="0.31496062992125984"/>
  <pageSetup paperSize="9" scale="69" fitToHeight="0" orientation="portrait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成果物変更管理画面（管理者権限）</vt:lpstr>
      <vt:lpstr>更新履歴!Print_Area</vt:lpstr>
      <vt:lpstr>'成果物変更管理画面（管理者権限）'!Print_Area</vt:lpstr>
      <vt:lpstr>'成果物変更管理画面（管理者権限）'!Print_Titles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2020-01-31T07:30:41Z</dcterms:modified>
</cp:coreProperties>
</file>