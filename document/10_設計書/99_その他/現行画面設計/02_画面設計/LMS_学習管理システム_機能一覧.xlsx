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ev.4sss.info\02_社内開発\【開発】新LMS\12_13期課題対応\20_基本設計\02.01月対応分\02_画面設計\"/>
    </mc:Choice>
  </mc:AlternateContent>
  <xr:revisionPtr revIDLastSave="0" documentId="13_ncr:1_{3CB198B6-2CD8-437A-A94C-6E9B075470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表紙" sheetId="4" r:id="rId1"/>
    <sheet name="更新履歴" sheetId="7" r:id="rId2"/>
    <sheet name="機能一覧" sheetId="8" r:id="rId3"/>
    <sheet name="data" sheetId="10" r:id="rId4"/>
  </sheets>
  <externalReferences>
    <externalReference r:id="rId5"/>
    <externalReference r:id="rId6"/>
  </externalReferences>
  <definedNames>
    <definedName name="_xlnm._FilterDatabase" localSheetId="2" hidden="1">機能一覧!$A$5:$BL$189</definedName>
    <definedName name="a" localSheetId="2" hidden="1">{"ID名称",#N/A,FALSE,"進捗状況";"prog予定",#N/A,FALSE,"進捗状況"}</definedName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2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2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2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2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>#REF!</definedName>
    <definedName name="Excel_BuiltIn_Print_Area_3_3">#REF!</definedName>
    <definedName name="Excel_BuiltIn_Print_Area_3_4">#REF!</definedName>
    <definedName name="Excel_BuiltIn_Print_Titles_3">#REF!</definedName>
    <definedName name="Excel_BuiltIn_Print_Titles_3_3">#REF!</definedName>
    <definedName name="Excel_BuiltIn_Print_Titles_3_4">#REF!</definedName>
    <definedName name="Excel_BuiltIn_Print_Titles_6">#REF!</definedName>
    <definedName name="Excel_BuiltIn_Print_Titles_6_3">#REF!</definedName>
    <definedName name="Excel_BuiltIn_Print_Titles_6_4">#REF!</definedName>
    <definedName name="Excel_BuiltIn_Print_Titles_7" localSheetId="2">[1]SW!#REF!</definedName>
    <definedName name="Excel_BuiltIn_Print_Titles_7">[1]SW!#REF!</definedName>
    <definedName name="Excel_BuiltIn_Print_Titles_7_3" localSheetId="2">[2]SW!#REF!</definedName>
    <definedName name="Excel_BuiltIn_Print_Titles_7_3">[2]SW!#REF!</definedName>
    <definedName name="Excel_BuiltIn_Print_Titles_7_4" localSheetId="2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機能一覧!$A$1:$BN$195</definedName>
    <definedName name="_xlnm.Print_Area" localSheetId="1">更新履歴!$A$1:$BL$46</definedName>
    <definedName name="_xlnm.Print_Area" localSheetId="0">表紙!$A$1:$BA$40</definedName>
    <definedName name="_xlnm.Print_Titles" localSheetId="2">機能一覧!$5:$6</definedName>
    <definedName name="ugawa" localSheetId="2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2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2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2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2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2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2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2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" i="8" l="1"/>
  <c r="A2" i="8"/>
  <c r="K2" i="7"/>
  <c r="A2" i="7"/>
  <c r="U1" i="7" l="1"/>
  <c r="U1" i="8"/>
  <c r="X17" i="4"/>
  <c r="AA17" i="4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 s="1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W9" authorId="0" shapeId="0" xr:uid="{00000000-0006-0000-0200-000001000000}">
      <text>
        <r>
          <rPr>
            <b/>
            <sz val="9"/>
            <color indexed="81"/>
            <rFont val="MS P ゴシック"/>
            <family val="3"/>
            <charset val="128"/>
          </rPr>
          <t>「パスワード再設定完了」画面</t>
        </r>
      </text>
    </comment>
    <comment ref="W10" authorId="0" shapeId="0" xr:uid="{00000000-0006-0000-0200-000002000000}">
      <text>
        <r>
          <rPr>
            <b/>
            <sz val="9"/>
            <color indexed="81"/>
            <rFont val="MS P ゴシック"/>
            <family val="3"/>
            <charset val="128"/>
          </rPr>
          <t>「パスワード再設定エラー」画面</t>
        </r>
      </text>
    </comment>
    <comment ref="W20" authorId="0" shapeId="0" xr:uid="{00000000-0006-0000-0200-00000300000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「レポートテンプレート一覧」画面
</t>
        </r>
      </text>
    </comment>
    <comment ref="W25" authorId="0" shapeId="0" xr:uid="{00000000-0006-0000-0200-000004000000}">
      <text>
        <r>
          <rPr>
            <b/>
            <sz val="9"/>
            <color indexed="81"/>
            <rFont val="MS P ゴシック"/>
            <family val="3"/>
            <charset val="128"/>
          </rPr>
          <t>「日時報告」画面
または
「レポート登録」画面</t>
        </r>
      </text>
    </comment>
    <comment ref="W31" authorId="0" shapeId="0" xr:uid="{00000000-0006-0000-0200-000005000000}">
      <text>
        <r>
          <rPr>
            <b/>
            <sz val="9"/>
            <color indexed="81"/>
            <rFont val="MS P ゴシック"/>
            <family val="3"/>
            <charset val="128"/>
          </rPr>
          <t>「評価レポート一覧公開」画面</t>
        </r>
      </text>
    </comment>
    <comment ref="W38" authorId="0" shapeId="0" xr:uid="{00000000-0006-0000-0200-000006000000}">
      <text>
        <r>
          <rPr>
            <b/>
            <sz val="9"/>
            <color indexed="81"/>
            <rFont val="MS P ゴシック"/>
            <family val="3"/>
            <charset val="128"/>
          </rPr>
          <t>画面名がわかりにくい</t>
        </r>
      </text>
    </comment>
    <comment ref="W40" authorId="0" shapeId="0" xr:uid="{00000000-0006-0000-0200-000007000000}">
      <text>
        <r>
          <rPr>
            <b/>
            <sz val="9"/>
            <color indexed="81"/>
            <rFont val="MS P ゴシック"/>
            <family val="3"/>
            <charset val="128"/>
          </rPr>
          <t>画面名がわかりにくい</t>
        </r>
      </text>
    </comment>
    <comment ref="W43" authorId="0" shapeId="0" xr:uid="{00000000-0006-0000-0200-000008000000}">
      <text>
        <r>
          <rPr>
            <b/>
            <sz val="9"/>
            <color indexed="81"/>
            <rFont val="MS P ゴシック"/>
            <family val="3"/>
            <charset val="128"/>
          </rPr>
          <t>「試験」画面</t>
        </r>
      </text>
    </comment>
    <comment ref="W44" authorId="0" shapeId="0" xr:uid="{00000000-0006-0000-0200-000009000000}">
      <text>
        <r>
          <rPr>
            <b/>
            <sz val="9"/>
            <color indexed="81"/>
            <rFont val="MS P ゴシック"/>
            <family val="3"/>
            <charset val="128"/>
          </rPr>
          <t>正しい画面名をつける</t>
        </r>
      </text>
    </comment>
    <comment ref="W45" authorId="0" shapeId="0" xr:uid="{00000000-0006-0000-0200-00000A000000}">
      <text>
        <r>
          <rPr>
            <b/>
            <sz val="9"/>
            <color indexed="81"/>
            <rFont val="MS P ゴシック"/>
            <family val="3"/>
            <charset val="128"/>
          </rPr>
          <t>正しい画面名をつける</t>
        </r>
      </text>
    </comment>
    <comment ref="W46" authorId="0" shapeId="0" xr:uid="{00000000-0006-0000-0200-00000B000000}">
      <text>
        <r>
          <rPr>
            <b/>
            <sz val="9"/>
            <color indexed="81"/>
            <rFont val="MS P ゴシック"/>
            <family val="3"/>
            <charset val="128"/>
          </rPr>
          <t>正しい画面名を付ける</t>
        </r>
      </text>
    </comment>
    <comment ref="W72" authorId="0" shapeId="0" xr:uid="{00000000-0006-0000-0200-00000C000000}">
      <text>
        <r>
          <rPr>
            <b/>
            <sz val="9"/>
            <color indexed="81"/>
            <rFont val="MS P ゴシック"/>
            <family val="3"/>
            <charset val="128"/>
          </rPr>
          <t>「ユーザ－登録メニュ－」画面</t>
        </r>
      </text>
    </comment>
    <comment ref="W77" authorId="0" shapeId="0" xr:uid="{00000000-0006-0000-0200-00000D000000}">
      <text>
        <r>
          <rPr>
            <b/>
            <sz val="9"/>
            <color indexed="81"/>
            <rFont val="MS P ゴシック"/>
            <family val="3"/>
            <charset val="128"/>
          </rPr>
          <t>「動画カテゴリ変更」画面</t>
        </r>
      </text>
    </comment>
    <comment ref="W79" authorId="0" shapeId="0" xr:uid="{00000000-0006-0000-0200-00000E000000}">
      <text>
        <r>
          <rPr>
            <b/>
            <sz val="9"/>
            <color indexed="81"/>
            <rFont val="MS P ゴシック"/>
            <family val="3"/>
            <charset val="128"/>
          </rPr>
          <t>「動画変更」画面</t>
        </r>
      </text>
    </comment>
    <comment ref="W101" authorId="0" shapeId="0" xr:uid="{00000000-0006-0000-0200-00000F000000}">
      <text>
        <r>
          <rPr>
            <b/>
            <sz val="9"/>
            <color indexed="81"/>
            <rFont val="MS P ゴシック"/>
            <family val="3"/>
            <charset val="128"/>
          </rPr>
          <t>「メールテンプレート選択」画面</t>
        </r>
      </text>
    </comment>
    <comment ref="W111" authorId="0" shapeId="0" xr:uid="{00000000-0006-0000-0200-00001000000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「見積もり品変更」画面
</t>
        </r>
      </text>
    </comment>
    <comment ref="W150" authorId="0" shapeId="0" xr:uid="{00000000-0006-0000-0200-000011000000}">
      <text>
        <r>
          <rPr>
            <b/>
            <sz val="9"/>
            <color indexed="81"/>
            <rFont val="MS P ゴシック"/>
            <family val="3"/>
            <charset val="128"/>
          </rPr>
          <t>「面談実施日登録（会場／企業選択）」画面</t>
        </r>
      </text>
    </comment>
    <comment ref="W151" authorId="0" shapeId="0" xr:uid="{00000000-0006-0000-0200-000012000000}">
      <text>
        <r>
          <rPr>
            <b/>
            <sz val="9"/>
            <color indexed="81"/>
            <rFont val="MS P ゴシック"/>
            <family val="3"/>
            <charset val="128"/>
          </rPr>
          <t>「面談実施日登録（日程登録）」画面</t>
        </r>
      </text>
    </comment>
  </commentList>
</comments>
</file>

<file path=xl/sharedStrings.xml><?xml version="1.0" encoding="utf-8"?>
<sst xmlns="http://schemas.openxmlformats.org/spreadsheetml/2006/main" count="1243" uniqueCount="283">
  <si>
    <t>プロジェクト名</t>
    <rPh sb="6" eb="7">
      <t>メイ</t>
    </rPh>
    <phoneticPr fontId="10"/>
  </si>
  <si>
    <t>システム名</t>
    <rPh sb="4" eb="5">
      <t>メイ</t>
    </rPh>
    <phoneticPr fontId="10"/>
  </si>
  <si>
    <t>作成者</t>
    <rPh sb="0" eb="3">
      <t>サクセイシャ</t>
    </rPh>
    <phoneticPr fontId="10"/>
  </si>
  <si>
    <t>作成日</t>
    <rPh sb="0" eb="3">
      <t>サクセイビ</t>
    </rPh>
    <phoneticPr fontId="10"/>
  </si>
  <si>
    <t>更新者</t>
    <rPh sb="0" eb="3">
      <t>コウシンシャ</t>
    </rPh>
    <phoneticPr fontId="10"/>
  </si>
  <si>
    <t>更新日</t>
    <rPh sb="0" eb="3">
      <t>コウシンビ</t>
    </rPh>
    <phoneticPr fontId="10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</si>
  <si>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</si>
  <si>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</si>
  <si>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</si>
  <si>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</si>
  <si>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</si>
  <si>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</si>
  <si>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</si>
  <si>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No.</t>
    <phoneticPr fontId="1"/>
  </si>
  <si>
    <t>画面名</t>
    <rPh sb="0" eb="2">
      <t>ガメン</t>
    </rPh>
    <rPh sb="2" eb="3">
      <t>メイ</t>
    </rPh>
    <phoneticPr fontId="1"/>
  </si>
  <si>
    <t>企業一覧画面</t>
    <rPh sb="0" eb="2">
      <t>キギョウ</t>
    </rPh>
    <rPh sb="2" eb="4">
      <t>イチラン</t>
    </rPh>
    <rPh sb="4" eb="6">
      <t>ガメン</t>
    </rPh>
    <phoneticPr fontId="1"/>
  </si>
  <si>
    <t>コース一覧画面</t>
    <rPh sb="3" eb="5">
      <t>イチラン</t>
    </rPh>
    <rPh sb="5" eb="7">
      <t>ガメン</t>
    </rPh>
    <phoneticPr fontId="1"/>
  </si>
  <si>
    <t>コース詳細画面</t>
    <rPh sb="3" eb="5">
      <t>ショウサイ</t>
    </rPh>
    <rPh sb="5" eb="7">
      <t>ガメン</t>
    </rPh>
    <phoneticPr fontId="1"/>
  </si>
  <si>
    <t>レポート一覧画面</t>
    <rPh sb="4" eb="6">
      <t>イチラン</t>
    </rPh>
    <rPh sb="6" eb="8">
      <t>ガメン</t>
    </rPh>
    <phoneticPr fontId="1"/>
  </si>
  <si>
    <t>レポートテンプレート登録画面</t>
    <rPh sb="10" eb="12">
      <t>トウロク</t>
    </rPh>
    <rPh sb="12" eb="14">
      <t>ガメン</t>
    </rPh>
    <phoneticPr fontId="1"/>
  </si>
  <si>
    <t>レポートテンプレート変更画面</t>
    <rPh sb="10" eb="12">
      <t>ヘンコウ</t>
    </rPh>
    <rPh sb="12" eb="14">
      <t>ガメン</t>
    </rPh>
    <phoneticPr fontId="1"/>
  </si>
  <si>
    <t>評価レポート一覧画面</t>
    <rPh sb="0" eb="2">
      <t>ヒョウカ</t>
    </rPh>
    <rPh sb="6" eb="8">
      <t>イチラン</t>
    </rPh>
    <rPh sb="8" eb="10">
      <t>ガメン</t>
    </rPh>
    <phoneticPr fontId="1"/>
  </si>
  <si>
    <t>評価レポート登録画面</t>
    <rPh sb="0" eb="2">
      <t>ヒョウカ</t>
    </rPh>
    <rPh sb="6" eb="8">
      <t>トウロク</t>
    </rPh>
    <rPh sb="8" eb="10">
      <t>ガメン</t>
    </rPh>
    <phoneticPr fontId="1"/>
  </si>
  <si>
    <t>評価レポート結果登録画面</t>
    <rPh sb="0" eb="2">
      <t>ヒョウカ</t>
    </rPh>
    <rPh sb="6" eb="8">
      <t>ケッカ</t>
    </rPh>
    <rPh sb="8" eb="10">
      <t>トウロク</t>
    </rPh>
    <rPh sb="10" eb="12">
      <t>ガメン</t>
    </rPh>
    <phoneticPr fontId="1"/>
  </si>
  <si>
    <t>評価レポート変更画面</t>
    <rPh sb="0" eb="2">
      <t>ヒョウカ</t>
    </rPh>
    <rPh sb="6" eb="8">
      <t>ヘンコウ</t>
    </rPh>
    <rPh sb="8" eb="10">
      <t>ガメン</t>
    </rPh>
    <phoneticPr fontId="1"/>
  </si>
  <si>
    <t>試験一覧画面</t>
    <rPh sb="0" eb="2">
      <t>シケン</t>
    </rPh>
    <rPh sb="2" eb="4">
      <t>イチラン</t>
    </rPh>
    <rPh sb="4" eb="6">
      <t>ガメン</t>
    </rPh>
    <phoneticPr fontId="1"/>
  </si>
  <si>
    <t>試験開始画面</t>
    <rPh sb="0" eb="2">
      <t>シケン</t>
    </rPh>
    <rPh sb="2" eb="4">
      <t>カイシ</t>
    </rPh>
    <rPh sb="4" eb="6">
      <t>ガメン</t>
    </rPh>
    <phoneticPr fontId="1"/>
  </si>
  <si>
    <t>試験問題画面</t>
    <rPh sb="0" eb="2">
      <t>シケン</t>
    </rPh>
    <rPh sb="2" eb="4">
      <t>モンダイ</t>
    </rPh>
    <rPh sb="4" eb="6">
      <t>ガメン</t>
    </rPh>
    <phoneticPr fontId="1"/>
  </si>
  <si>
    <t>試験回答確認画面</t>
    <rPh sb="0" eb="2">
      <t>シケン</t>
    </rPh>
    <rPh sb="2" eb="4">
      <t>カイトウ</t>
    </rPh>
    <rPh sb="4" eb="6">
      <t>カクニン</t>
    </rPh>
    <rPh sb="6" eb="8">
      <t>ガメン</t>
    </rPh>
    <phoneticPr fontId="1"/>
  </si>
  <si>
    <t>試験結果画面</t>
    <rPh sb="0" eb="2">
      <t>シケン</t>
    </rPh>
    <rPh sb="2" eb="4">
      <t>ケッカ</t>
    </rPh>
    <rPh sb="4" eb="6">
      <t>ガメン</t>
    </rPh>
    <phoneticPr fontId="1"/>
  </si>
  <si>
    <t>試験登録画面</t>
    <rPh sb="0" eb="2">
      <t>シケン</t>
    </rPh>
    <rPh sb="2" eb="4">
      <t>トウロク</t>
    </rPh>
    <rPh sb="4" eb="6">
      <t>ガメン</t>
    </rPh>
    <phoneticPr fontId="1"/>
  </si>
  <si>
    <t>試験詳細画面</t>
    <rPh sb="0" eb="2">
      <t>シケン</t>
    </rPh>
    <rPh sb="2" eb="4">
      <t>ショウサイ</t>
    </rPh>
    <rPh sb="4" eb="6">
      <t>ガメン</t>
    </rPh>
    <phoneticPr fontId="1"/>
  </si>
  <si>
    <t>試験結果一覧画面</t>
    <rPh sb="0" eb="2">
      <t>シケン</t>
    </rPh>
    <rPh sb="2" eb="4">
      <t>ケッカ</t>
    </rPh>
    <rPh sb="4" eb="6">
      <t>イチラン</t>
    </rPh>
    <rPh sb="6" eb="8">
      <t>ガメン</t>
    </rPh>
    <phoneticPr fontId="1"/>
  </si>
  <si>
    <t>試験内容変更画面</t>
    <rPh sb="0" eb="2">
      <t>シケン</t>
    </rPh>
    <rPh sb="2" eb="4">
      <t>ナイヨウ</t>
    </rPh>
    <rPh sb="4" eb="6">
      <t>ヘンコウ</t>
    </rPh>
    <rPh sb="6" eb="8">
      <t>ガメン</t>
    </rPh>
    <phoneticPr fontId="1"/>
  </si>
  <si>
    <t>試験問題登録画面</t>
    <rPh sb="0" eb="2">
      <t>シケン</t>
    </rPh>
    <rPh sb="2" eb="4">
      <t>モンダイ</t>
    </rPh>
    <rPh sb="4" eb="6">
      <t>トウロク</t>
    </rPh>
    <rPh sb="6" eb="8">
      <t>ガメン</t>
    </rPh>
    <phoneticPr fontId="1"/>
  </si>
  <si>
    <t>試験問題変更画面</t>
    <rPh sb="0" eb="2">
      <t>シケン</t>
    </rPh>
    <rPh sb="2" eb="4">
      <t>モンダイ</t>
    </rPh>
    <rPh sb="4" eb="6">
      <t>ヘンコウ</t>
    </rPh>
    <rPh sb="6" eb="8">
      <t>ガメン</t>
    </rPh>
    <phoneticPr fontId="1"/>
  </si>
  <si>
    <t>試験カテゴリー登録画面</t>
    <rPh sb="0" eb="2">
      <t>シケン</t>
    </rPh>
    <rPh sb="7" eb="9">
      <t>トウロク</t>
    </rPh>
    <rPh sb="9" eb="11">
      <t>ガメン</t>
    </rPh>
    <phoneticPr fontId="1"/>
  </si>
  <si>
    <t>試験カテゴリー変更画面</t>
    <rPh sb="0" eb="2">
      <t>シケン</t>
    </rPh>
    <rPh sb="7" eb="9">
      <t>ヘンコウ</t>
    </rPh>
    <rPh sb="9" eb="11">
      <t>ガメン</t>
    </rPh>
    <phoneticPr fontId="1"/>
  </si>
  <si>
    <t>試験カテゴリー一覧画面</t>
    <rPh sb="0" eb="2">
      <t>シケン</t>
    </rPh>
    <rPh sb="7" eb="9">
      <t>イチラン</t>
    </rPh>
    <rPh sb="9" eb="11">
      <t>ガメン</t>
    </rPh>
    <phoneticPr fontId="1"/>
  </si>
  <si>
    <t>休暇日一覧画面</t>
    <rPh sb="0" eb="2">
      <t>キュウカ</t>
    </rPh>
    <rPh sb="2" eb="3">
      <t>ビ</t>
    </rPh>
    <rPh sb="3" eb="5">
      <t>イチラン</t>
    </rPh>
    <rPh sb="5" eb="7">
      <t>ガメン</t>
    </rPh>
    <phoneticPr fontId="1"/>
  </si>
  <si>
    <t>お知らせ画面</t>
    <rPh sb="1" eb="2">
      <t>シ</t>
    </rPh>
    <rPh sb="4" eb="6">
      <t>ガメン</t>
    </rPh>
    <phoneticPr fontId="1"/>
  </si>
  <si>
    <t>お知らせ変更画面</t>
    <rPh sb="1" eb="2">
      <t>シ</t>
    </rPh>
    <rPh sb="4" eb="6">
      <t>ヘンコウ</t>
    </rPh>
    <rPh sb="6" eb="8">
      <t>ガメン</t>
    </rPh>
    <phoneticPr fontId="1"/>
  </si>
  <si>
    <t>面談テンプレート登録画面</t>
    <rPh sb="0" eb="2">
      <t>メンダン</t>
    </rPh>
    <rPh sb="8" eb="10">
      <t>トウロク</t>
    </rPh>
    <rPh sb="10" eb="12">
      <t>ガメン</t>
    </rPh>
    <phoneticPr fontId="1"/>
  </si>
  <si>
    <t>面談テンプレート変更画面</t>
    <rPh sb="0" eb="2">
      <t>メンダン</t>
    </rPh>
    <rPh sb="8" eb="10">
      <t>ヘンコウ</t>
    </rPh>
    <rPh sb="10" eb="12">
      <t>ガメン</t>
    </rPh>
    <phoneticPr fontId="1"/>
  </si>
  <si>
    <t>面談記録登録画面</t>
    <rPh sb="0" eb="2">
      <t>メンダン</t>
    </rPh>
    <rPh sb="2" eb="4">
      <t>キロク</t>
    </rPh>
    <rPh sb="4" eb="6">
      <t>トウロク</t>
    </rPh>
    <rPh sb="6" eb="8">
      <t>ガメン</t>
    </rPh>
    <phoneticPr fontId="1"/>
  </si>
  <si>
    <t>面談記録変更画面</t>
    <rPh sb="0" eb="2">
      <t>メンダン</t>
    </rPh>
    <rPh sb="2" eb="4">
      <t>キロク</t>
    </rPh>
    <rPh sb="4" eb="6">
      <t>ヘンコウ</t>
    </rPh>
    <rPh sb="6" eb="8">
      <t>ガメン</t>
    </rPh>
    <phoneticPr fontId="1"/>
  </si>
  <si>
    <t>会場一覧画面</t>
    <rPh sb="0" eb="2">
      <t>カイジョウ</t>
    </rPh>
    <rPh sb="2" eb="4">
      <t>イチラン</t>
    </rPh>
    <rPh sb="4" eb="6">
      <t>ガメン</t>
    </rPh>
    <phoneticPr fontId="1"/>
  </si>
  <si>
    <t>会場登録画面</t>
    <rPh sb="0" eb="2">
      <t>カイジョウ</t>
    </rPh>
    <rPh sb="2" eb="4">
      <t>トウロク</t>
    </rPh>
    <rPh sb="4" eb="6">
      <t>ガメン</t>
    </rPh>
    <phoneticPr fontId="1"/>
  </si>
  <si>
    <t>会場データインポート画面</t>
    <rPh sb="0" eb="2">
      <t>カイジョウ</t>
    </rPh>
    <rPh sb="10" eb="12">
      <t>ガメン</t>
    </rPh>
    <phoneticPr fontId="1"/>
  </si>
  <si>
    <t>会場変更画面</t>
    <rPh sb="2" eb="4">
      <t>ヘンコウ</t>
    </rPh>
    <rPh sb="4" eb="6">
      <t>ガメン</t>
    </rPh>
    <phoneticPr fontId="1"/>
  </si>
  <si>
    <t>改修履歴一覧画面</t>
    <rPh sb="0" eb="2">
      <t>カイシュウ</t>
    </rPh>
    <rPh sb="2" eb="4">
      <t>リレキ</t>
    </rPh>
    <rPh sb="4" eb="6">
      <t>イチラン</t>
    </rPh>
    <rPh sb="6" eb="8">
      <t>ガメン</t>
    </rPh>
    <phoneticPr fontId="1"/>
  </si>
  <si>
    <t>改修新規登録画面</t>
    <rPh sb="0" eb="2">
      <t>カイシュウ</t>
    </rPh>
    <rPh sb="2" eb="4">
      <t>シンキ</t>
    </rPh>
    <rPh sb="4" eb="6">
      <t>トウロク</t>
    </rPh>
    <rPh sb="6" eb="8">
      <t>ガメン</t>
    </rPh>
    <phoneticPr fontId="1"/>
  </si>
  <si>
    <t>改修内容変更画面</t>
    <rPh sb="0" eb="2">
      <t>カイシュウ</t>
    </rPh>
    <rPh sb="2" eb="4">
      <t>ナイヨウ</t>
    </rPh>
    <rPh sb="4" eb="6">
      <t>ヘンコウ</t>
    </rPh>
    <rPh sb="6" eb="8">
      <t>ガメン</t>
    </rPh>
    <phoneticPr fontId="1"/>
  </si>
  <si>
    <t>セクション詳細画面</t>
    <rPh sb="5" eb="7">
      <t>ショウサイ</t>
    </rPh>
    <rPh sb="7" eb="9">
      <t>ガメン</t>
    </rPh>
    <phoneticPr fontId="1"/>
  </si>
  <si>
    <t>パスワード変更画面</t>
    <rPh sb="5" eb="7">
      <t>ヘンコウ</t>
    </rPh>
    <rPh sb="7" eb="9">
      <t>ガメン</t>
    </rPh>
    <phoneticPr fontId="1"/>
  </si>
  <si>
    <t>ユーザー詳細画面</t>
    <rPh sb="4" eb="6">
      <t>ショウサイ</t>
    </rPh>
    <rPh sb="6" eb="8">
      <t>ガメン</t>
    </rPh>
    <phoneticPr fontId="1"/>
  </si>
  <si>
    <t>ユーザー一覧画面</t>
    <rPh sb="4" eb="6">
      <t>イチラン</t>
    </rPh>
    <rPh sb="6" eb="8">
      <t>ガメン</t>
    </rPh>
    <phoneticPr fontId="1"/>
  </si>
  <si>
    <t>マイアカウント画面</t>
    <rPh sb="7" eb="9">
      <t>ガメン</t>
    </rPh>
    <phoneticPr fontId="1"/>
  </si>
  <si>
    <t>ユーザー登録画面</t>
    <rPh sb="4" eb="6">
      <t>トウロク</t>
    </rPh>
    <rPh sb="6" eb="8">
      <t>ガメン</t>
    </rPh>
    <phoneticPr fontId="1"/>
  </si>
  <si>
    <t>ユーザー変更画面</t>
    <rPh sb="4" eb="8">
      <t>ヘンコウガメン</t>
    </rPh>
    <phoneticPr fontId="1"/>
  </si>
  <si>
    <t>ログイン画面</t>
    <rPh sb="4" eb="6">
      <t>ガメン</t>
    </rPh>
    <phoneticPr fontId="1"/>
  </si>
  <si>
    <t>不正アクセス画面</t>
    <rPh sb="0" eb="2">
      <t>フセイ</t>
    </rPh>
    <rPh sb="6" eb="8">
      <t>ガメン</t>
    </rPh>
    <phoneticPr fontId="1"/>
  </si>
  <si>
    <t>エラー画面</t>
    <rPh sb="3" eb="5">
      <t>ガメン</t>
    </rPh>
    <phoneticPr fontId="1"/>
  </si>
  <si>
    <t>404画面</t>
    <rPh sb="3" eb="5">
      <t>ガメン</t>
    </rPh>
    <phoneticPr fontId="1"/>
  </si>
  <si>
    <t>レポート詳細画面</t>
    <rPh sb="4" eb="6">
      <t>ショウサイ</t>
    </rPh>
    <rPh sb="6" eb="8">
      <t>ガメン</t>
    </rPh>
    <phoneticPr fontId="1"/>
  </si>
  <si>
    <t>レポート提出画面</t>
    <rPh sb="4" eb="6">
      <t>テイシュツ</t>
    </rPh>
    <phoneticPr fontId="1"/>
  </si>
  <si>
    <t>櫻井</t>
    <rPh sb="0" eb="2">
      <t>サクライ</t>
    </rPh>
    <phoneticPr fontId="1"/>
  </si>
  <si>
    <t>参照可能権限</t>
    <rPh sb="0" eb="2">
      <t>サンショウ</t>
    </rPh>
    <rPh sb="2" eb="4">
      <t>カノウ</t>
    </rPh>
    <rPh sb="4" eb="6">
      <t>ケンゲン</t>
    </rPh>
    <phoneticPr fontId="1"/>
  </si>
  <si>
    <t>管</t>
    <rPh sb="0" eb="1">
      <t>カン</t>
    </rPh>
    <phoneticPr fontId="1"/>
  </si>
  <si>
    <t>企</t>
    <rPh sb="0" eb="1">
      <t>キ</t>
    </rPh>
    <phoneticPr fontId="1"/>
  </si>
  <si>
    <t>育</t>
    <rPh sb="0" eb="1">
      <t>イク</t>
    </rPh>
    <phoneticPr fontId="1"/>
  </si>
  <si>
    <t>受</t>
    <rPh sb="0" eb="1">
      <t>ウケ</t>
    </rPh>
    <phoneticPr fontId="1"/>
  </si>
  <si>
    <t>講</t>
    <rPh sb="0" eb="1">
      <t>コウ</t>
    </rPh>
    <phoneticPr fontId="1"/>
  </si>
  <si>
    <t>〇</t>
  </si>
  <si>
    <t>参照可能権限</t>
    <rPh sb="0" eb="2">
      <t>サンショウ</t>
    </rPh>
    <rPh sb="2" eb="4">
      <t>カノウ</t>
    </rPh>
    <rPh sb="4" eb="6">
      <t>ケンゲン</t>
    </rPh>
    <phoneticPr fontId="1"/>
  </si>
  <si>
    <t>〇</t>
    <phoneticPr fontId="1"/>
  </si>
  <si>
    <t>×</t>
  </si>
  <si>
    <t>×</t>
    <phoneticPr fontId="1"/>
  </si>
  <si>
    <t>×</t>
    <phoneticPr fontId="1"/>
  </si>
  <si>
    <t>〇</t>
    <phoneticPr fontId="1"/>
  </si>
  <si>
    <t>通常コース登録画面</t>
    <rPh sb="0" eb="2">
      <t>ツウジョウ</t>
    </rPh>
    <rPh sb="5" eb="7">
      <t>トウロク</t>
    </rPh>
    <rPh sb="7" eb="9">
      <t>ガメン</t>
    </rPh>
    <phoneticPr fontId="1"/>
  </si>
  <si>
    <t>通常コース登録(詳細)画面</t>
    <rPh sb="0" eb="2">
      <t>ツウジョウ</t>
    </rPh>
    <rPh sb="5" eb="7">
      <t>トウロク</t>
    </rPh>
    <rPh sb="8" eb="10">
      <t>ショウサイ</t>
    </rPh>
    <rPh sb="11" eb="13">
      <t>ガメン</t>
    </rPh>
    <phoneticPr fontId="1"/>
  </si>
  <si>
    <t>コース概要変更画面</t>
    <rPh sb="3" eb="5">
      <t>ガイヨウ</t>
    </rPh>
    <rPh sb="5" eb="7">
      <t>ヘンコウ</t>
    </rPh>
    <rPh sb="7" eb="9">
      <t>ガメン</t>
    </rPh>
    <phoneticPr fontId="1"/>
  </si>
  <si>
    <t>コース変更(詳細)画面</t>
    <rPh sb="3" eb="5">
      <t>ヘンコウ</t>
    </rPh>
    <rPh sb="6" eb="8">
      <t>ショウサイ</t>
    </rPh>
    <rPh sb="9" eb="11">
      <t>ガメン</t>
    </rPh>
    <phoneticPr fontId="1"/>
  </si>
  <si>
    <t>〇</t>
    <phoneticPr fontId="1"/>
  </si>
  <si>
    <t>評価レポート一覧画面</t>
    <phoneticPr fontId="1"/>
  </si>
  <si>
    <t>試験結果詳細画面</t>
    <rPh sb="0" eb="2">
      <t>シケン</t>
    </rPh>
    <rPh sb="2" eb="4">
      <t>ケッカ</t>
    </rPh>
    <rPh sb="4" eb="6">
      <t>ショウサイ</t>
    </rPh>
    <rPh sb="6" eb="8">
      <t>ガメン</t>
    </rPh>
    <phoneticPr fontId="1"/>
  </si>
  <si>
    <t>〇</t>
    <phoneticPr fontId="1"/>
  </si>
  <si>
    <t>詳細試験カテゴリー登録画面</t>
    <rPh sb="0" eb="2">
      <t>ショウサイ</t>
    </rPh>
    <rPh sb="2" eb="4">
      <t>シケン</t>
    </rPh>
    <rPh sb="9" eb="11">
      <t>トウロク</t>
    </rPh>
    <rPh sb="11" eb="13">
      <t>ガメン</t>
    </rPh>
    <phoneticPr fontId="1"/>
  </si>
  <si>
    <t>詳細試験カテゴリー変更画面</t>
    <rPh sb="0" eb="2">
      <t>ショウサイ</t>
    </rPh>
    <rPh sb="2" eb="4">
      <t>シケン</t>
    </rPh>
    <rPh sb="9" eb="11">
      <t>ヘンコウ</t>
    </rPh>
    <rPh sb="11" eb="13">
      <t>ガメン</t>
    </rPh>
    <phoneticPr fontId="1"/>
  </si>
  <si>
    <t>お知らせ履歴一覧</t>
    <phoneticPr fontId="1"/>
  </si>
  <si>
    <t>面談テンプレートファイル一覧画面</t>
    <rPh sb="0" eb="2">
      <t>メンダン</t>
    </rPh>
    <rPh sb="12" eb="14">
      <t>イチラン</t>
    </rPh>
    <rPh sb="14" eb="16">
      <t>ガメン</t>
    </rPh>
    <phoneticPr fontId="1"/>
  </si>
  <si>
    <t>利用規約画面</t>
    <rPh sb="0" eb="2">
      <t>リヨウ</t>
    </rPh>
    <rPh sb="2" eb="4">
      <t>キヤク</t>
    </rPh>
    <rPh sb="4" eb="6">
      <t>ガメン</t>
    </rPh>
    <phoneticPr fontId="1"/>
  </si>
  <si>
    <t>パスワード再設定画面</t>
    <phoneticPr fontId="1"/>
  </si>
  <si>
    <t>パスワード再設定画面</t>
    <phoneticPr fontId="1"/>
  </si>
  <si>
    <t>パスワード変更画面</t>
    <rPh sb="5" eb="7">
      <t>ヘンコウ</t>
    </rPh>
    <rPh sb="7" eb="9">
      <t>ガメン</t>
    </rPh>
    <phoneticPr fontId="1"/>
  </si>
  <si>
    <t>パスワード再発行画面</t>
    <rPh sb="5" eb="8">
      <t>サイハッコウ</t>
    </rPh>
    <rPh sb="8" eb="10">
      <t>ガメン</t>
    </rPh>
    <phoneticPr fontId="1"/>
  </si>
  <si>
    <t>ユーザー登録画面</t>
    <rPh sb="4" eb="6">
      <t>トウロク</t>
    </rPh>
    <rPh sb="6" eb="8">
      <t>ガメン</t>
    </rPh>
    <phoneticPr fontId="1"/>
  </si>
  <si>
    <t>開講セット出力画面</t>
    <rPh sb="7" eb="9">
      <t>ガメン</t>
    </rPh>
    <phoneticPr fontId="1"/>
  </si>
  <si>
    <t>よくある質問画面</t>
    <rPh sb="4" eb="6">
      <t>シツモン</t>
    </rPh>
    <rPh sb="6" eb="8">
      <t>ガメン</t>
    </rPh>
    <phoneticPr fontId="1"/>
  </si>
  <si>
    <t>よくある質問一覧画面</t>
    <rPh sb="8" eb="10">
      <t>ガメン</t>
    </rPh>
    <phoneticPr fontId="1"/>
  </si>
  <si>
    <t>質問カテゴリー登録</t>
    <phoneticPr fontId="1"/>
  </si>
  <si>
    <t>質問カテゴリー変更</t>
    <phoneticPr fontId="1"/>
  </si>
  <si>
    <t>質問登録</t>
    <phoneticPr fontId="1"/>
  </si>
  <si>
    <t>質問変更</t>
    <phoneticPr fontId="1"/>
  </si>
  <si>
    <t>ヘルプ画面</t>
    <rPh sb="3" eb="5">
      <t>ガメン</t>
    </rPh>
    <phoneticPr fontId="1"/>
  </si>
  <si>
    <t>勤怠情報確認（受講生一覧）画面</t>
    <rPh sb="13" eb="15">
      <t>ガメン</t>
    </rPh>
    <phoneticPr fontId="1"/>
  </si>
  <si>
    <t>勤怠情報変更画面</t>
    <rPh sb="0" eb="2">
      <t>キンタイ</t>
    </rPh>
    <rPh sb="2" eb="4">
      <t>ジョウホウ</t>
    </rPh>
    <rPh sb="4" eb="6">
      <t>ヘンコウ</t>
    </rPh>
    <rPh sb="6" eb="8">
      <t>ガメン</t>
    </rPh>
    <phoneticPr fontId="1"/>
  </si>
  <si>
    <t>勤怠管理画面</t>
    <rPh sb="4" eb="6">
      <t>ガメン</t>
    </rPh>
    <phoneticPr fontId="1"/>
  </si>
  <si>
    <t>ファイル一覧画面</t>
    <phoneticPr fontId="1"/>
  </si>
  <si>
    <t>共有フォルダ一覧画面</t>
    <rPh sb="8" eb="10">
      <t>ガメン</t>
    </rPh>
    <phoneticPr fontId="1"/>
  </si>
  <si>
    <t>助成金企業一覧画面</t>
    <rPh sb="7" eb="9">
      <t>ガメン</t>
    </rPh>
    <phoneticPr fontId="1"/>
  </si>
  <si>
    <t>助成金カテゴリ選択画面</t>
    <rPh sb="9" eb="11">
      <t>ガメン</t>
    </rPh>
    <phoneticPr fontId="1"/>
  </si>
  <si>
    <t>助成金コース・ユーザ選択画面</t>
    <rPh sb="12" eb="14">
      <t>ガメン</t>
    </rPh>
    <phoneticPr fontId="1"/>
  </si>
  <si>
    <t>助成金テンプレート一覧画面</t>
    <rPh sb="11" eb="13">
      <t>ガメン</t>
    </rPh>
    <phoneticPr fontId="1"/>
  </si>
  <si>
    <t>助成金書類テンプレート登録画面</t>
    <rPh sb="13" eb="15">
      <t>ガメン</t>
    </rPh>
    <phoneticPr fontId="1"/>
  </si>
  <si>
    <t>助成金カテゴリ一覧画面</t>
    <rPh sb="9" eb="11">
      <t>ガメン</t>
    </rPh>
    <phoneticPr fontId="1"/>
  </si>
  <si>
    <t>助成金書類カテゴリ登録画面</t>
    <rPh sb="11" eb="13">
      <t>ガメン</t>
    </rPh>
    <phoneticPr fontId="1"/>
  </si>
  <si>
    <t>助成金書類カテゴリ変更画面</t>
    <rPh sb="11" eb="13">
      <t>ガメン</t>
    </rPh>
    <phoneticPr fontId="1"/>
  </si>
  <si>
    <t>助成金書類テンプレート変更画面</t>
    <rPh sb="13" eb="15">
      <t>ガメン</t>
    </rPh>
    <phoneticPr fontId="1"/>
  </si>
  <si>
    <t>エントリ一覧画面</t>
    <rPh sb="6" eb="8">
      <t>ガメン</t>
    </rPh>
    <phoneticPr fontId="1"/>
  </si>
  <si>
    <t>エントリー情報編集画面</t>
    <rPh sb="9" eb="11">
      <t>ガメン</t>
    </rPh>
    <phoneticPr fontId="1"/>
  </si>
  <si>
    <t>企業紐付け(エントリー情報確定)画面</t>
    <rPh sb="16" eb="18">
      <t>ガメン</t>
    </rPh>
    <phoneticPr fontId="1"/>
  </si>
  <si>
    <t>企業新規登録(エントリー情報確定)画面</t>
    <rPh sb="17" eb="19">
      <t>ガメン</t>
    </rPh>
    <phoneticPr fontId="1"/>
  </si>
  <si>
    <t>企業担当者紐付け(エントリー情報確定)画面</t>
    <rPh sb="19" eb="21">
      <t>ガメン</t>
    </rPh>
    <phoneticPr fontId="1"/>
  </si>
  <si>
    <t>企業担当者新規登録(エントリー情報確定)画面</t>
    <rPh sb="20" eb="22">
      <t>ガメン</t>
    </rPh>
    <phoneticPr fontId="1"/>
  </si>
  <si>
    <t>コース紐付け画面</t>
    <rPh sb="6" eb="8">
      <t>ガメン</t>
    </rPh>
    <phoneticPr fontId="1"/>
  </si>
  <si>
    <t>会場アサイン登録画面</t>
    <rPh sb="8" eb="10">
      <t>ガメン</t>
    </rPh>
    <phoneticPr fontId="1"/>
  </si>
  <si>
    <t>会場選択画面</t>
    <rPh sb="4" eb="6">
      <t>ガメン</t>
    </rPh>
    <phoneticPr fontId="1"/>
  </si>
  <si>
    <t>見積もり情報登録画面</t>
    <rPh sb="8" eb="10">
      <t>ガメン</t>
    </rPh>
    <phoneticPr fontId="1"/>
  </si>
  <si>
    <t>エントリー確定情報画面</t>
    <rPh sb="9" eb="11">
      <t>ガメン</t>
    </rPh>
    <phoneticPr fontId="1"/>
  </si>
  <si>
    <t>送信メール確認画面</t>
    <rPh sb="7" eb="9">
      <t>ガメン</t>
    </rPh>
    <phoneticPr fontId="1"/>
  </si>
  <si>
    <t>メール一斉送信</t>
    <phoneticPr fontId="1"/>
  </si>
  <si>
    <t>会場アサイン集計表画面</t>
    <rPh sb="9" eb="11">
      <t>ガメン</t>
    </rPh>
    <phoneticPr fontId="1"/>
  </si>
  <si>
    <t>会場アサイン内訳</t>
    <phoneticPr fontId="1"/>
  </si>
  <si>
    <t>会場アサイン変更画面</t>
    <rPh sb="8" eb="10">
      <t>ガメン</t>
    </rPh>
    <phoneticPr fontId="1"/>
  </si>
  <si>
    <t>会場選択画面</t>
    <rPh sb="0" eb="2">
      <t>カイジョウ</t>
    </rPh>
    <rPh sb="2" eb="4">
      <t>センタク</t>
    </rPh>
    <rPh sb="4" eb="6">
      <t>ガメン</t>
    </rPh>
    <phoneticPr fontId="1"/>
  </si>
  <si>
    <t>請求情報出力画面</t>
    <rPh sb="6" eb="8">
      <t>ガメン</t>
    </rPh>
    <phoneticPr fontId="1"/>
  </si>
  <si>
    <t>見積もり情報編集画面</t>
    <rPh sb="8" eb="10">
      <t>ガメン</t>
    </rPh>
    <phoneticPr fontId="1"/>
  </si>
  <si>
    <t>品名一覧画面</t>
    <rPh sb="4" eb="6">
      <t>ガメン</t>
    </rPh>
    <phoneticPr fontId="1"/>
  </si>
  <si>
    <t>見積もり品登録画面</t>
    <rPh sb="7" eb="9">
      <t>ガメン</t>
    </rPh>
    <phoneticPr fontId="1"/>
  </si>
  <si>
    <t>メールテンプレート選択画面</t>
    <rPh sb="9" eb="11">
      <t>センタク</t>
    </rPh>
    <rPh sb="11" eb="13">
      <t>ガメン</t>
    </rPh>
    <phoneticPr fontId="1"/>
  </si>
  <si>
    <t>テンプレート内容確認画面</t>
    <rPh sb="6" eb="8">
      <t>ナイヨウ</t>
    </rPh>
    <rPh sb="8" eb="10">
      <t>カクニン</t>
    </rPh>
    <rPh sb="10" eb="12">
      <t>ガメン</t>
    </rPh>
    <phoneticPr fontId="1"/>
  </si>
  <si>
    <t>コース一覧画面</t>
    <rPh sb="3" eb="5">
      <t>イチラン</t>
    </rPh>
    <rPh sb="5" eb="7">
      <t>ガメン</t>
    </rPh>
    <phoneticPr fontId="1"/>
  </si>
  <si>
    <t>送信先確認画面</t>
    <rPh sb="0" eb="2">
      <t>ソウシン</t>
    </rPh>
    <rPh sb="2" eb="3">
      <t>サキ</t>
    </rPh>
    <rPh sb="3" eb="5">
      <t>カクニン</t>
    </rPh>
    <rPh sb="5" eb="7">
      <t>ガメン</t>
    </rPh>
    <phoneticPr fontId="1"/>
  </si>
  <si>
    <t>メール送信内容確認画面</t>
    <rPh sb="3" eb="5">
      <t>ソウシン</t>
    </rPh>
    <rPh sb="5" eb="7">
      <t>ナイヨウ</t>
    </rPh>
    <rPh sb="7" eb="9">
      <t>カクニン</t>
    </rPh>
    <rPh sb="9" eb="11">
      <t>ガメン</t>
    </rPh>
    <phoneticPr fontId="1"/>
  </si>
  <si>
    <t>メール送信キュー一覧画面</t>
    <rPh sb="10" eb="12">
      <t>ガメン</t>
    </rPh>
    <phoneticPr fontId="1"/>
  </si>
  <si>
    <t>メールテンプレート一覧画面</t>
    <rPh sb="11" eb="13">
      <t>ガメン</t>
    </rPh>
    <phoneticPr fontId="1"/>
  </si>
  <si>
    <t>メールテンプレート登録画面</t>
    <rPh sb="11" eb="13">
      <t>ガメン</t>
    </rPh>
    <phoneticPr fontId="1"/>
  </si>
  <si>
    <t>メールテンプレート詳細画面</t>
    <rPh sb="11" eb="13">
      <t>ガメン</t>
    </rPh>
    <phoneticPr fontId="1"/>
  </si>
  <si>
    <t>メールテンプレート編集画面</t>
    <rPh sb="11" eb="13">
      <t>ガメン</t>
    </rPh>
    <phoneticPr fontId="1"/>
  </si>
  <si>
    <t xml:space="preserve">動画一覧画面 </t>
    <rPh sb="4" eb="6">
      <t>ガメン</t>
    </rPh>
    <phoneticPr fontId="1"/>
  </si>
  <si>
    <t>動画カテゴリー登録画面</t>
    <rPh sb="9" eb="11">
      <t>ガメン</t>
    </rPh>
    <phoneticPr fontId="1"/>
  </si>
  <si>
    <t>動画登録画面</t>
    <rPh sb="2" eb="4">
      <t>トウロク</t>
    </rPh>
    <rPh sb="4" eb="6">
      <t>ガメン</t>
    </rPh>
    <phoneticPr fontId="1"/>
  </si>
  <si>
    <t>動画視聴画面</t>
    <rPh sb="4" eb="6">
      <t>ガメン</t>
    </rPh>
    <phoneticPr fontId="1"/>
  </si>
  <si>
    <t>過去契約一覧画面</t>
    <rPh sb="6" eb="8">
      <t>ガメン</t>
    </rPh>
    <phoneticPr fontId="1"/>
  </si>
  <si>
    <t>契約確認画面</t>
    <rPh sb="4" eb="6">
      <t>ガメン</t>
    </rPh>
    <phoneticPr fontId="1"/>
  </si>
  <si>
    <t>契約内容履歴一覧画面</t>
    <rPh sb="8" eb="10">
      <t>ガメン</t>
    </rPh>
    <phoneticPr fontId="1"/>
  </si>
  <si>
    <t>履歴内容確認画面</t>
    <rPh sb="6" eb="8">
      <t>ガメン</t>
    </rPh>
    <phoneticPr fontId="1"/>
  </si>
  <si>
    <t>契約書編集画面</t>
    <rPh sb="5" eb="7">
      <t>ガメン</t>
    </rPh>
    <phoneticPr fontId="1"/>
  </si>
  <si>
    <t>契約書確認画面</t>
    <rPh sb="5" eb="7">
      <t>ガメン</t>
    </rPh>
    <phoneticPr fontId="1"/>
  </si>
  <si>
    <t>チーム編成一覧画面</t>
    <rPh sb="7" eb="9">
      <t>ガメン</t>
    </rPh>
    <phoneticPr fontId="1"/>
  </si>
  <si>
    <t>スケジュール一覧画面</t>
    <rPh sb="8" eb="10">
      <t>ガメン</t>
    </rPh>
    <phoneticPr fontId="1"/>
  </si>
  <si>
    <t>スケジュール詳細画面</t>
    <rPh sb="8" eb="10">
      <t>ガメン</t>
    </rPh>
    <phoneticPr fontId="1"/>
  </si>
  <si>
    <t>スケジュール登録画面（開催時間）</t>
    <rPh sb="8" eb="10">
      <t>ガメン</t>
    </rPh>
    <rPh sb="11" eb="13">
      <t>カイサイ</t>
    </rPh>
    <rPh sb="13" eb="15">
      <t>ジカン</t>
    </rPh>
    <phoneticPr fontId="1"/>
  </si>
  <si>
    <t>スケジュール登録画面(基本情報)</t>
    <rPh sb="8" eb="10">
      <t>ガメン</t>
    </rPh>
    <rPh sb="11" eb="13">
      <t>キホン</t>
    </rPh>
    <rPh sb="13" eb="15">
      <t>ジョウホウ</t>
    </rPh>
    <phoneticPr fontId="1"/>
  </si>
  <si>
    <t>スケジュール登録画面(会場選択)</t>
    <rPh sb="8" eb="10">
      <t>ガメン</t>
    </rPh>
    <rPh sb="11" eb="13">
      <t>カイジョウ</t>
    </rPh>
    <rPh sb="13" eb="15">
      <t>センタク</t>
    </rPh>
    <phoneticPr fontId="1"/>
  </si>
  <si>
    <t>チーム編成（チーム数入力）画面</t>
    <rPh sb="13" eb="15">
      <t>ガメン</t>
    </rPh>
    <phoneticPr fontId="1"/>
  </si>
  <si>
    <t>チーム編成（チーム入力）画面</t>
    <rPh sb="12" eb="14">
      <t>ガメン</t>
    </rPh>
    <phoneticPr fontId="1"/>
  </si>
  <si>
    <t>スケジュール編集画面(基本情報)</t>
    <rPh sb="8" eb="10">
      <t>ガメン</t>
    </rPh>
    <rPh sb="11" eb="13">
      <t>キホン</t>
    </rPh>
    <rPh sb="13" eb="15">
      <t>ジョウホウ</t>
    </rPh>
    <phoneticPr fontId="1"/>
  </si>
  <si>
    <t>スケジュール編集画面(会場選択)</t>
    <rPh sb="8" eb="10">
      <t>ガメン</t>
    </rPh>
    <rPh sb="11" eb="13">
      <t>カイジョウ</t>
    </rPh>
    <rPh sb="13" eb="15">
      <t>センタク</t>
    </rPh>
    <phoneticPr fontId="1"/>
  </si>
  <si>
    <t>スケジュール編集画面（開催時間）</t>
    <rPh sb="8" eb="10">
      <t>ガメン</t>
    </rPh>
    <rPh sb="11" eb="13">
      <t>カイサイ</t>
    </rPh>
    <rPh sb="13" eb="15">
      <t>ジカン</t>
    </rPh>
    <phoneticPr fontId="1"/>
  </si>
  <si>
    <t>スケジュール割り当て画面</t>
    <rPh sb="10" eb="12">
      <t>ガメン</t>
    </rPh>
    <phoneticPr fontId="1"/>
  </si>
  <si>
    <t>チーム編成　詳細画面</t>
    <rPh sb="8" eb="10">
      <t>ガメン</t>
    </rPh>
    <phoneticPr fontId="1"/>
  </si>
  <si>
    <t>成果報告会一覧画面</t>
    <rPh sb="7" eb="9">
      <t>ガメン</t>
    </rPh>
    <phoneticPr fontId="1"/>
  </si>
  <si>
    <t>成果報告　参加予約画面</t>
    <rPh sb="9" eb="11">
      <t>ガメン</t>
    </rPh>
    <phoneticPr fontId="1"/>
  </si>
  <si>
    <t>成果報告参加予約</t>
    <phoneticPr fontId="1"/>
  </si>
  <si>
    <t>面談実施日一覧画面</t>
    <rPh sb="7" eb="9">
      <t>ガメン</t>
    </rPh>
    <phoneticPr fontId="1"/>
  </si>
  <si>
    <t>面談実施日登録（実施日時登録）画面</t>
    <rPh sb="15" eb="17">
      <t>ガメン</t>
    </rPh>
    <phoneticPr fontId="1"/>
  </si>
  <si>
    <t>面談実施日登録（会場／企業選択）画面</t>
    <rPh sb="16" eb="18">
      <t>ガメン</t>
    </rPh>
    <phoneticPr fontId="1"/>
  </si>
  <si>
    <t>面談実施日登録（日程登録）画面</t>
    <rPh sb="13" eb="15">
      <t>ガメン</t>
    </rPh>
    <phoneticPr fontId="1"/>
  </si>
  <si>
    <t>面談スケジュール一覧画面</t>
    <rPh sb="10" eb="12">
      <t>ガメン</t>
    </rPh>
    <phoneticPr fontId="1"/>
  </si>
  <si>
    <t>引継面談 時間予約画面</t>
    <rPh sb="9" eb="11">
      <t>ガメン</t>
    </rPh>
    <phoneticPr fontId="1"/>
  </si>
  <si>
    <t>受講生登録画面</t>
    <rPh sb="5" eb="7">
      <t>ガメン</t>
    </rPh>
    <phoneticPr fontId="1"/>
  </si>
  <si>
    <t>ヘッダー</t>
    <phoneticPr fontId="1"/>
  </si>
  <si>
    <t>フッダー</t>
    <phoneticPr fontId="1"/>
  </si>
  <si>
    <t>共通ファイル</t>
    <rPh sb="0" eb="2">
      <t>キョウツウ</t>
    </rPh>
    <phoneticPr fontId="1"/>
  </si>
  <si>
    <t>ログインレイアウト</t>
    <phoneticPr fontId="1"/>
  </si>
  <si>
    <t>ログイン後レイアウト</t>
    <rPh sb="4" eb="5">
      <t>ゴ</t>
    </rPh>
    <phoneticPr fontId="1"/>
  </si>
  <si>
    <t>パスワードレイアウト</t>
    <phoneticPr fontId="1"/>
  </si>
  <si>
    <t>機能一覧</t>
    <rPh sb="0" eb="2">
      <t>キノウ</t>
    </rPh>
    <rPh sb="2" eb="4">
      <t>イチラン</t>
    </rPh>
    <phoneticPr fontId="3"/>
  </si>
  <si>
    <t>櫻井</t>
    <rPh sb="0" eb="2">
      <t>サクライ</t>
    </rPh>
    <phoneticPr fontId="3"/>
  </si>
  <si>
    <t>新規作成</t>
    <rPh sb="0" eb="2">
      <t>シンキ</t>
    </rPh>
    <rPh sb="2" eb="4">
      <t>サクセイ</t>
    </rPh>
    <phoneticPr fontId="3"/>
  </si>
  <si>
    <t>機能名</t>
    <rPh sb="0" eb="2">
      <t>キノウ</t>
    </rPh>
    <rPh sb="2" eb="3">
      <t>メイ</t>
    </rPh>
    <phoneticPr fontId="1"/>
  </si>
  <si>
    <t>ログイン機能</t>
    <rPh sb="4" eb="6">
      <t>キノウ</t>
    </rPh>
    <phoneticPr fontId="1"/>
  </si>
  <si>
    <t>パスワード再設定機能</t>
    <rPh sb="5" eb="8">
      <t>サイセッテイ</t>
    </rPh>
    <rPh sb="8" eb="10">
      <t>キノウ</t>
    </rPh>
    <phoneticPr fontId="1"/>
  </si>
  <si>
    <t>開講セット出力機能</t>
    <rPh sb="0" eb="2">
      <t>カイコウ</t>
    </rPh>
    <rPh sb="5" eb="7">
      <t>シュツリョク</t>
    </rPh>
    <rPh sb="7" eb="9">
      <t>キノウ</t>
    </rPh>
    <phoneticPr fontId="1"/>
  </si>
  <si>
    <t>企業変更機能</t>
    <rPh sb="0" eb="2">
      <t>キギョウ</t>
    </rPh>
    <rPh sb="2" eb="4">
      <t>ヘンコウ</t>
    </rPh>
    <rPh sb="4" eb="6">
      <t>キノウ</t>
    </rPh>
    <phoneticPr fontId="1"/>
  </si>
  <si>
    <t>レポート提出機能</t>
    <rPh sb="4" eb="6">
      <t>テイシュツ</t>
    </rPh>
    <rPh sb="6" eb="8">
      <t>キノウ</t>
    </rPh>
    <phoneticPr fontId="1"/>
  </si>
  <si>
    <t>試験実施機能</t>
    <rPh sb="0" eb="2">
      <t>シケン</t>
    </rPh>
    <rPh sb="2" eb="4">
      <t>ジッシ</t>
    </rPh>
    <rPh sb="4" eb="6">
      <t>キノウ</t>
    </rPh>
    <phoneticPr fontId="1"/>
  </si>
  <si>
    <t>助成金書類テンプレート登録</t>
    <rPh sb="0" eb="3">
      <t>ジョセイキン</t>
    </rPh>
    <rPh sb="3" eb="5">
      <t>ショルイ</t>
    </rPh>
    <rPh sb="11" eb="13">
      <t>トウロク</t>
    </rPh>
    <phoneticPr fontId="1"/>
  </si>
  <si>
    <t>助成金書類ダウンロード機能</t>
    <rPh sb="0" eb="3">
      <t>ジョセイキン</t>
    </rPh>
    <rPh sb="3" eb="5">
      <t>ショルイ</t>
    </rPh>
    <rPh sb="11" eb="13">
      <t>キノウ</t>
    </rPh>
    <phoneticPr fontId="1"/>
  </si>
  <si>
    <t>助成金情報登録機能</t>
    <rPh sb="0" eb="3">
      <t>ジョセイキン</t>
    </rPh>
    <rPh sb="3" eb="5">
      <t>ジョウホウ</t>
    </rPh>
    <rPh sb="5" eb="7">
      <t>トウロク</t>
    </rPh>
    <rPh sb="7" eb="9">
      <t>キノウ</t>
    </rPh>
    <phoneticPr fontId="1"/>
  </si>
  <si>
    <t>よくある質問登録機能</t>
    <rPh sb="4" eb="6">
      <t>シツモン</t>
    </rPh>
    <rPh sb="6" eb="8">
      <t>トウロク</t>
    </rPh>
    <rPh sb="8" eb="10">
      <t>キノウ</t>
    </rPh>
    <phoneticPr fontId="1"/>
  </si>
  <si>
    <t>引継面談スケジュール登録機能</t>
    <rPh sb="0" eb="2">
      <t>ヒキツギ</t>
    </rPh>
    <rPh sb="2" eb="4">
      <t>メンダン</t>
    </rPh>
    <rPh sb="10" eb="12">
      <t>トウロク</t>
    </rPh>
    <rPh sb="12" eb="14">
      <t>キノウ</t>
    </rPh>
    <phoneticPr fontId="1"/>
  </si>
  <si>
    <t>引継面談参加予約機能</t>
    <rPh sb="0" eb="2">
      <t>ヒキツギ</t>
    </rPh>
    <rPh sb="2" eb="4">
      <t>メンダン</t>
    </rPh>
    <rPh sb="4" eb="6">
      <t>サンカ</t>
    </rPh>
    <rPh sb="6" eb="8">
      <t>ヨヤク</t>
    </rPh>
    <rPh sb="8" eb="10">
      <t>キノウ</t>
    </rPh>
    <phoneticPr fontId="1"/>
  </si>
  <si>
    <t>成果報告会参加予約機能</t>
    <rPh sb="0" eb="2">
      <t>セイカ</t>
    </rPh>
    <rPh sb="2" eb="4">
      <t>ホウコク</t>
    </rPh>
    <rPh sb="4" eb="5">
      <t>カイ</t>
    </rPh>
    <rPh sb="5" eb="7">
      <t>サンカ</t>
    </rPh>
    <rPh sb="7" eb="9">
      <t>ヨヤク</t>
    </rPh>
    <rPh sb="9" eb="11">
      <t>キノウ</t>
    </rPh>
    <phoneticPr fontId="1"/>
  </si>
  <si>
    <t>成果報告会スケジュール登録機能</t>
    <rPh sb="0" eb="2">
      <t>セイカ</t>
    </rPh>
    <rPh sb="2" eb="4">
      <t>ホウコク</t>
    </rPh>
    <rPh sb="4" eb="5">
      <t>カイ</t>
    </rPh>
    <rPh sb="11" eb="13">
      <t>トウロク</t>
    </rPh>
    <rPh sb="13" eb="15">
      <t>キノウ</t>
    </rPh>
    <phoneticPr fontId="1"/>
  </si>
  <si>
    <t>メールテンプレート登録機能</t>
    <rPh sb="9" eb="11">
      <t>トウロク</t>
    </rPh>
    <rPh sb="11" eb="13">
      <t>キノウ</t>
    </rPh>
    <phoneticPr fontId="1"/>
  </si>
  <si>
    <t>過去契約確認機能</t>
    <rPh sb="0" eb="2">
      <t>カコ</t>
    </rPh>
    <rPh sb="2" eb="4">
      <t>ケイヤク</t>
    </rPh>
    <rPh sb="4" eb="6">
      <t>カクニン</t>
    </rPh>
    <rPh sb="6" eb="8">
      <t>キノウ</t>
    </rPh>
    <phoneticPr fontId="1"/>
  </si>
  <si>
    <t>契約内容登録機能</t>
    <rPh sb="0" eb="2">
      <t>ケイヤク</t>
    </rPh>
    <rPh sb="2" eb="4">
      <t>ナイヨウ</t>
    </rPh>
    <rPh sb="4" eb="6">
      <t>トウロク</t>
    </rPh>
    <rPh sb="6" eb="8">
      <t>キノウ</t>
    </rPh>
    <phoneticPr fontId="1"/>
  </si>
  <si>
    <t>メール一斉送信機能</t>
    <rPh sb="3" eb="5">
      <t>イッセイ</t>
    </rPh>
    <rPh sb="5" eb="7">
      <t>ソウシン</t>
    </rPh>
    <rPh sb="7" eb="9">
      <t>キノウ</t>
    </rPh>
    <phoneticPr fontId="1"/>
  </si>
  <si>
    <t>見積もり品登録機能</t>
    <rPh sb="0" eb="2">
      <t>ミツ</t>
    </rPh>
    <rPh sb="4" eb="5">
      <t>シナ</t>
    </rPh>
    <rPh sb="5" eb="7">
      <t>トウロク</t>
    </rPh>
    <rPh sb="7" eb="9">
      <t>キノウ</t>
    </rPh>
    <phoneticPr fontId="1"/>
  </si>
  <si>
    <t>動画登録機能</t>
    <rPh sb="0" eb="2">
      <t>ドウガ</t>
    </rPh>
    <rPh sb="2" eb="4">
      <t>トウロク</t>
    </rPh>
    <rPh sb="4" eb="6">
      <t>キノウ</t>
    </rPh>
    <phoneticPr fontId="1"/>
  </si>
  <si>
    <t>ヘルプ機能</t>
    <rPh sb="3" eb="5">
      <t>キノウ</t>
    </rPh>
    <phoneticPr fontId="1"/>
  </si>
  <si>
    <t>勤怠情報登録機能</t>
    <rPh sb="0" eb="2">
      <t>キンタイ</t>
    </rPh>
    <rPh sb="2" eb="4">
      <t>ジョウホウ</t>
    </rPh>
    <rPh sb="4" eb="6">
      <t>トウロク</t>
    </rPh>
    <rPh sb="6" eb="8">
      <t>キノウ</t>
    </rPh>
    <phoneticPr fontId="1"/>
  </si>
  <si>
    <t>ファイル共有機能</t>
    <rPh sb="4" eb="6">
      <t>キョウユウ</t>
    </rPh>
    <rPh sb="6" eb="8">
      <t>キノウ</t>
    </rPh>
    <phoneticPr fontId="1"/>
  </si>
  <si>
    <t>ユーザ登録機能</t>
    <rPh sb="3" eb="5">
      <t>トウロク</t>
    </rPh>
    <rPh sb="5" eb="7">
      <t>キノウ</t>
    </rPh>
    <phoneticPr fontId="1"/>
  </si>
  <si>
    <t>面談テンプレート登録機能</t>
    <rPh sb="0" eb="2">
      <t>メンダン</t>
    </rPh>
    <rPh sb="8" eb="10">
      <t>トウロク</t>
    </rPh>
    <rPh sb="10" eb="12">
      <t>キノウ</t>
    </rPh>
    <phoneticPr fontId="1"/>
  </si>
  <si>
    <t>面談記録登録機能</t>
    <rPh sb="0" eb="2">
      <t>メンダン</t>
    </rPh>
    <rPh sb="2" eb="4">
      <t>キロク</t>
    </rPh>
    <rPh sb="4" eb="6">
      <t>トウロク</t>
    </rPh>
    <rPh sb="6" eb="8">
      <t>キノウ</t>
    </rPh>
    <phoneticPr fontId="1"/>
  </si>
  <si>
    <t>会場登録機能</t>
    <rPh sb="0" eb="2">
      <t>カイジョウ</t>
    </rPh>
    <rPh sb="2" eb="4">
      <t>トウロク</t>
    </rPh>
    <rPh sb="4" eb="6">
      <t>キノウ</t>
    </rPh>
    <phoneticPr fontId="1"/>
  </si>
  <si>
    <t>改修履歴登録機能</t>
    <rPh sb="0" eb="2">
      <t>カイシュウ</t>
    </rPh>
    <rPh sb="2" eb="4">
      <t>リレキ</t>
    </rPh>
    <rPh sb="4" eb="6">
      <t>トウロク</t>
    </rPh>
    <rPh sb="6" eb="8">
      <t>キノウ</t>
    </rPh>
    <phoneticPr fontId="1"/>
  </si>
  <si>
    <t>試験問題登録機能</t>
    <rPh sb="0" eb="2">
      <t>シケン</t>
    </rPh>
    <rPh sb="2" eb="4">
      <t>モンダイ</t>
    </rPh>
    <rPh sb="4" eb="6">
      <t>トウロク</t>
    </rPh>
    <rPh sb="6" eb="8">
      <t>キノウ</t>
    </rPh>
    <phoneticPr fontId="1"/>
  </si>
  <si>
    <t>コース登録機能</t>
    <rPh sb="3" eb="5">
      <t>トウロク</t>
    </rPh>
    <rPh sb="5" eb="7">
      <t>キノウ</t>
    </rPh>
    <phoneticPr fontId="1"/>
  </si>
  <si>
    <t>評価レポートテンプレート登録機能</t>
    <rPh sb="0" eb="2">
      <t>ヒョウカ</t>
    </rPh>
    <rPh sb="12" eb="14">
      <t>トウロク</t>
    </rPh>
    <rPh sb="14" eb="16">
      <t>キノウ</t>
    </rPh>
    <phoneticPr fontId="1"/>
  </si>
  <si>
    <t>評価レポート公開機能、評価レポートダウンロード機能</t>
    <rPh sb="0" eb="2">
      <t>ヒョウカ</t>
    </rPh>
    <rPh sb="6" eb="8">
      <t>コウカイ</t>
    </rPh>
    <rPh sb="8" eb="10">
      <t>キノウ</t>
    </rPh>
    <rPh sb="11" eb="13">
      <t>ヒョウカ</t>
    </rPh>
    <rPh sb="23" eb="25">
      <t>キノウ</t>
    </rPh>
    <phoneticPr fontId="1"/>
  </si>
  <si>
    <t>休暇日設定機能</t>
    <rPh sb="0" eb="2">
      <t>キュウカ</t>
    </rPh>
    <rPh sb="2" eb="3">
      <t>ビ</t>
    </rPh>
    <rPh sb="3" eb="5">
      <t>セッテイ</t>
    </rPh>
    <rPh sb="5" eb="7">
      <t>キノウ</t>
    </rPh>
    <phoneticPr fontId="1"/>
  </si>
  <si>
    <t>お知らせ登録機能</t>
    <rPh sb="1" eb="2">
      <t>シ</t>
    </rPh>
    <rPh sb="4" eb="6">
      <t>トウロク</t>
    </rPh>
    <rPh sb="6" eb="8">
      <t>キノウ</t>
    </rPh>
    <phoneticPr fontId="1"/>
  </si>
  <si>
    <t>パスワード再設定機能（企業担当者）</t>
    <rPh sb="5" eb="8">
      <t>サイセッテイ</t>
    </rPh>
    <rPh sb="8" eb="10">
      <t>キノウ</t>
    </rPh>
    <rPh sb="11" eb="13">
      <t>キギョウ</t>
    </rPh>
    <rPh sb="13" eb="16">
      <t>タントウシャ</t>
    </rPh>
    <phoneticPr fontId="1"/>
  </si>
  <si>
    <t>利用規約同意機能</t>
    <rPh sb="0" eb="2">
      <t>リヨウ</t>
    </rPh>
    <rPh sb="2" eb="4">
      <t>キヤク</t>
    </rPh>
    <rPh sb="4" eb="6">
      <t>ドウイ</t>
    </rPh>
    <rPh sb="6" eb="8">
      <t>キノウ</t>
    </rPh>
    <phoneticPr fontId="1"/>
  </si>
  <si>
    <t>会場アサイン機能</t>
    <rPh sb="0" eb="2">
      <t>カイジョウ</t>
    </rPh>
    <rPh sb="6" eb="8">
      <t>キノウ</t>
    </rPh>
    <phoneticPr fontId="1"/>
  </si>
  <si>
    <t>請求情報出力機能</t>
    <rPh sb="0" eb="2">
      <t>セイキュウ</t>
    </rPh>
    <rPh sb="2" eb="4">
      <t>ジョウホウ</t>
    </rPh>
    <rPh sb="4" eb="6">
      <t>シュツリョク</t>
    </rPh>
    <rPh sb="6" eb="8">
      <t>キノウ</t>
    </rPh>
    <phoneticPr fontId="1"/>
  </si>
  <si>
    <t>見積もり情報編集機能</t>
    <rPh sb="0" eb="2">
      <t>ミツ</t>
    </rPh>
    <rPh sb="4" eb="6">
      <t>ジョウホウ</t>
    </rPh>
    <rPh sb="6" eb="8">
      <t>ヘンシュウ</t>
    </rPh>
    <rPh sb="8" eb="10">
      <t>キノウ</t>
    </rPh>
    <phoneticPr fontId="1"/>
  </si>
  <si>
    <t>受講生登録機能（企業担当者）</t>
    <rPh sb="0" eb="3">
      <t>ジュコウセイ</t>
    </rPh>
    <rPh sb="3" eb="5">
      <t>トウロク</t>
    </rPh>
    <rPh sb="5" eb="7">
      <t>キノウ</t>
    </rPh>
    <rPh sb="8" eb="10">
      <t>キギョウ</t>
    </rPh>
    <rPh sb="10" eb="13">
      <t>タントウシャ</t>
    </rPh>
    <phoneticPr fontId="1"/>
  </si>
  <si>
    <t>レポートテンプレート登録機能</t>
    <rPh sb="10" eb="12">
      <t>トウロク</t>
    </rPh>
    <rPh sb="12" eb="14">
      <t>キノウ</t>
    </rPh>
    <phoneticPr fontId="1"/>
  </si>
  <si>
    <t>評価レポート結果登録機能</t>
    <rPh sb="0" eb="2">
      <t>ヒョウカ</t>
    </rPh>
    <rPh sb="6" eb="8">
      <t>ケッカ</t>
    </rPh>
    <rPh sb="8" eb="10">
      <t>トウロク</t>
    </rPh>
    <rPh sb="10" eb="12">
      <t>キノウ</t>
    </rPh>
    <phoneticPr fontId="1"/>
  </si>
  <si>
    <t>助成金書類ダウンロード 申請種別選択画面</t>
    <rPh sb="3" eb="5">
      <t>ショルイ</t>
    </rPh>
    <rPh sb="18" eb="20">
      <t>ガメン</t>
    </rPh>
    <phoneticPr fontId="1"/>
  </si>
  <si>
    <t>櫻井</t>
    <rPh sb="0" eb="2">
      <t>サクライ</t>
    </rPh>
    <phoneticPr fontId="1"/>
  </si>
  <si>
    <t>助成金書類ダウンロード 出力対象選択画面</t>
    <rPh sb="12" eb="14">
      <t>シュツリョク</t>
    </rPh>
    <rPh sb="14" eb="16">
      <t>タイショウ</t>
    </rPh>
    <rPh sb="16" eb="18">
      <t>センタク</t>
    </rPh>
    <rPh sb="18" eb="20">
      <t>ガメン</t>
    </rPh>
    <phoneticPr fontId="1"/>
  </si>
  <si>
    <t>機能詳細/備考</t>
    <rPh sb="0" eb="2">
      <t>キノウ</t>
    </rPh>
    <phoneticPr fontId="1"/>
  </si>
  <si>
    <t>共通</t>
    <rPh sb="0" eb="2">
      <t>キョウツウ</t>
    </rPh>
    <phoneticPr fontId="1"/>
  </si>
  <si>
    <t>【助成金書類DL機能のユーザビリティ向上 案件対応】
No151「助成金カテゴリ選択画面」は削除
No153「助成金コース・ユーザ選択画面」は削除
No152「助成金申請種別選択画面」の画面名を「助成金書類ダウンロード 申請種別選択画面」に変更
No154「助成金書類ダウンロード画面」の画面名を「助成金書類ダウンロード 出力対象選択画面」に変更</t>
    <rPh sb="46" eb="48">
      <t>サクジョ</t>
    </rPh>
    <rPh sb="71" eb="73">
      <t>サクジョ</t>
    </rPh>
    <rPh sb="93" eb="95">
      <t>ガメン</t>
    </rPh>
    <rPh sb="95" eb="96">
      <t>メイ</t>
    </rPh>
    <rPh sb="101" eb="103">
      <t>ショルイ</t>
    </rPh>
    <rPh sb="120" eb="122">
      <t>ヘンコウ</t>
    </rPh>
    <rPh sb="144" eb="146">
      <t>ガメン</t>
    </rPh>
    <rPh sb="146" eb="147">
      <t>メイ</t>
    </rPh>
    <rPh sb="149" eb="152">
      <t>ジョセイキン</t>
    </rPh>
    <rPh sb="152" eb="154">
      <t>ショルイ</t>
    </rPh>
    <rPh sb="161" eb="163">
      <t>シュツリョク</t>
    </rPh>
    <rPh sb="163" eb="165">
      <t>タイショウ</t>
    </rPh>
    <rPh sb="165" eb="167">
      <t>センタク</t>
    </rPh>
    <rPh sb="167" eb="169">
      <t>ガメン</t>
    </rPh>
    <rPh sb="171" eb="173">
      <t>ヘンコウ</t>
    </rPh>
    <phoneticPr fontId="1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</si>
  <si>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</si>
  <si>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</si>
  <si>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</si>
  <si>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機能一覧</t>
    <rPh sb="0" eb="2">
      <t>キノウ</t>
    </rPh>
    <rPh sb="2" eb="4">
      <t>イチラン</t>
    </rPh>
    <phoneticPr fontId="1"/>
  </si>
  <si>
    <t>教材管理機能</t>
    <rPh sb="0" eb="2">
      <t>キョウザイ</t>
    </rPh>
    <rPh sb="2" eb="4">
      <t>カンリ</t>
    </rPh>
    <rPh sb="4" eb="6">
      <t>キノウ</t>
    </rPh>
    <phoneticPr fontId="1"/>
  </si>
  <si>
    <t>教材ダウンロード機能</t>
    <rPh sb="0" eb="2">
      <t>キョウザイ</t>
    </rPh>
    <rPh sb="8" eb="10">
      <t>キノウ</t>
    </rPh>
    <phoneticPr fontId="1"/>
  </si>
  <si>
    <t>教材ダウンロード画面</t>
    <rPh sb="0" eb="2">
      <t>キョウザイ</t>
    </rPh>
    <rPh sb="8" eb="10">
      <t>ガメン</t>
    </rPh>
    <phoneticPr fontId="1"/>
  </si>
  <si>
    <t>【コンテンツ管理 案件対応】
No.176、177を追加</t>
    <rPh sb="6" eb="8">
      <t>カンリ</t>
    </rPh>
    <rPh sb="9" eb="11">
      <t>アンケン</t>
    </rPh>
    <rPh sb="11" eb="13">
      <t>タイオウ</t>
    </rPh>
    <rPh sb="26" eb="28">
      <t>ツイカ</t>
    </rPh>
    <phoneticPr fontId="1"/>
  </si>
  <si>
    <t>機能一覧</t>
    <rPh sb="0" eb="2">
      <t>キノウ</t>
    </rPh>
    <rPh sb="2" eb="4">
      <t>イチラン</t>
    </rPh>
    <phoneticPr fontId="1"/>
  </si>
  <si>
    <t>櫻井</t>
    <rPh sb="0" eb="2">
      <t>サクライ</t>
    </rPh>
    <phoneticPr fontId="1"/>
  </si>
  <si>
    <t>勤怠一括登録画面</t>
    <rPh sb="0" eb="2">
      <t>キンタイ</t>
    </rPh>
    <rPh sb="2" eb="4">
      <t>イッカツ</t>
    </rPh>
    <rPh sb="4" eb="6">
      <t>トウロク</t>
    </rPh>
    <rPh sb="6" eb="8">
      <t>ガメン</t>
    </rPh>
    <phoneticPr fontId="1"/>
  </si>
  <si>
    <t>【12期課題対応】
No.79 「勤怠一括登録画面」を追加</t>
    <rPh sb="3" eb="4">
      <t>キ</t>
    </rPh>
    <rPh sb="4" eb="6">
      <t>カダイ</t>
    </rPh>
    <rPh sb="6" eb="8">
      <t>タイオウ</t>
    </rPh>
    <rPh sb="27" eb="29">
      <t>ツイカ</t>
    </rPh>
    <phoneticPr fontId="1"/>
  </si>
  <si>
    <t>CSV出力機能</t>
    <rPh sb="3" eb="5">
      <t>シュツリョク</t>
    </rPh>
    <rPh sb="5" eb="7">
      <t>キノウ</t>
    </rPh>
    <phoneticPr fontId="1"/>
  </si>
  <si>
    <t>CSV出力画面</t>
    <rPh sb="5" eb="7">
      <t>ガメン</t>
    </rPh>
    <phoneticPr fontId="1"/>
  </si>
  <si>
    <t>画面なし（質問サイトへのリンクのみ）</t>
    <phoneticPr fontId="1"/>
  </si>
  <si>
    <t>-</t>
    <phoneticPr fontId="1"/>
  </si>
  <si>
    <t>質問サイト機能</t>
    <rPh sb="0" eb="2">
      <t>シツモン</t>
    </rPh>
    <rPh sb="5" eb="7">
      <t>キノウ</t>
    </rPh>
    <phoneticPr fontId="1"/>
  </si>
  <si>
    <t>櫻井</t>
    <rPh sb="0" eb="2">
      <t>サクライ</t>
    </rPh>
    <phoneticPr fontId="1"/>
  </si>
  <si>
    <t>データの表示制御画面</t>
    <phoneticPr fontId="1"/>
  </si>
  <si>
    <t>データの表示制御機能</t>
    <rPh sb="4" eb="6">
      <t>ヒョウジ</t>
    </rPh>
    <rPh sb="6" eb="8">
      <t>セイギョ</t>
    </rPh>
    <rPh sb="8" eb="10">
      <t>キノウ</t>
    </rPh>
    <phoneticPr fontId="1"/>
  </si>
  <si>
    <t>エントリ確定機能</t>
    <rPh sb="4" eb="6">
      <t>カクテイ</t>
    </rPh>
    <rPh sb="6" eb="8">
      <t>キノウ</t>
    </rPh>
    <phoneticPr fontId="1"/>
  </si>
  <si>
    <t>エントリキャンセル機能</t>
    <rPh sb="9" eb="11">
      <t>キノウ</t>
    </rPh>
    <phoneticPr fontId="1"/>
  </si>
  <si>
    <t>企業情報画面</t>
    <rPh sb="0" eb="2">
      <t>キギョウ</t>
    </rPh>
    <rPh sb="4" eb="6">
      <t>ガメン</t>
    </rPh>
    <phoneticPr fontId="1"/>
  </si>
  <si>
    <t>企業情報編集画面</t>
    <rPh sb="0" eb="2">
      <t>キギョウ</t>
    </rPh>
    <rPh sb="6" eb="8">
      <t>ガメン</t>
    </rPh>
    <phoneticPr fontId="1"/>
  </si>
  <si>
    <t>企業金情報画面</t>
    <rPh sb="0" eb="2">
      <t>キギョウ</t>
    </rPh>
    <rPh sb="5" eb="7">
      <t>ガメン</t>
    </rPh>
    <phoneticPr fontId="1"/>
  </si>
  <si>
    <t>【12期課題対応】
No19 「レポート提出画面」の参照可能権限に、講師と管理者を追加
No13 「開講セット出力機能」を削除
No179「CSV出力機能」を追加</t>
    <rPh sb="26" eb="28">
      <t>サンショウ</t>
    </rPh>
    <rPh sb="28" eb="30">
      <t>カノウ</t>
    </rPh>
    <rPh sb="30" eb="32">
      <t>ケンゲン</t>
    </rPh>
    <rPh sb="34" eb="36">
      <t>コウシ</t>
    </rPh>
    <rPh sb="37" eb="40">
      <t>カンリシャ</t>
    </rPh>
    <rPh sb="41" eb="43">
      <t>ツイカ</t>
    </rPh>
    <rPh sb="50" eb="52">
      <t>カイコウ</t>
    </rPh>
    <rPh sb="55" eb="57">
      <t>シュツリョク</t>
    </rPh>
    <rPh sb="57" eb="59">
      <t>キノウ</t>
    </rPh>
    <rPh sb="61" eb="63">
      <t>サクジョ</t>
    </rPh>
    <rPh sb="73" eb="75">
      <t>シュツリョク</t>
    </rPh>
    <rPh sb="75" eb="77">
      <t>キノウ</t>
    </rPh>
    <rPh sb="79" eb="81">
      <t>ツイカ</t>
    </rPh>
    <phoneticPr fontId="1"/>
  </si>
  <si>
    <t>【12期課題対応】
No180 「エントリキャンセル機能」
No181 「質問サイト機能」</t>
    <rPh sb="26" eb="28">
      <t>キノウ</t>
    </rPh>
    <rPh sb="37" eb="39">
      <t>シツモン</t>
    </rPh>
    <rPh sb="42" eb="44">
      <t>キノウ</t>
    </rPh>
    <phoneticPr fontId="1"/>
  </si>
  <si>
    <t>【マスタデータの表示制御機能】
No182 「データの表示制御機能」を追加</t>
    <rPh sb="8" eb="10">
      <t>ヒョウジ</t>
    </rPh>
    <rPh sb="10" eb="12">
      <t>セイギョ</t>
    </rPh>
    <rPh sb="12" eb="14">
      <t>キノウ</t>
    </rPh>
    <rPh sb="31" eb="33">
      <t>キノウ</t>
    </rPh>
    <rPh sb="35" eb="37">
      <t>ツイカ</t>
    </rPh>
    <phoneticPr fontId="1"/>
  </si>
  <si>
    <t>LMS学習管理システム</t>
    <phoneticPr fontId="1"/>
  </si>
  <si>
    <t>画面レイアウト設計書</t>
    <rPh sb="0" eb="2">
      <t>ガメン</t>
    </rPh>
    <rPh sb="7" eb="10">
      <t>セッケイショ</t>
    </rPh>
    <phoneticPr fontId="1"/>
  </si>
  <si>
    <t>髙橋大</t>
    <rPh sb="0" eb="2">
      <t>タカハシ</t>
    </rPh>
    <rPh sb="2" eb="3">
      <t>ダイ</t>
    </rPh>
    <phoneticPr fontId="1"/>
  </si>
  <si>
    <t>成果物登録機能</t>
    <rPh sb="0" eb="3">
      <t>セイカブツ</t>
    </rPh>
    <rPh sb="3" eb="5">
      <t>トウロク</t>
    </rPh>
    <rPh sb="5" eb="7">
      <t>キノウ</t>
    </rPh>
    <phoneticPr fontId="1"/>
  </si>
  <si>
    <t>成果物一覧画面</t>
    <rPh sb="0" eb="3">
      <t>セイカブツ</t>
    </rPh>
    <rPh sb="3" eb="5">
      <t>イチラン</t>
    </rPh>
    <rPh sb="5" eb="7">
      <t>ガメン</t>
    </rPh>
    <phoneticPr fontId="1"/>
  </si>
  <si>
    <t>成果物一覧管理画面</t>
    <rPh sb="0" eb="3">
      <t>セイカブツ</t>
    </rPh>
    <rPh sb="3" eb="5">
      <t>イチラン</t>
    </rPh>
    <rPh sb="7" eb="9">
      <t>ガメン</t>
    </rPh>
    <phoneticPr fontId="1"/>
  </si>
  <si>
    <t>成果物登録管理画面</t>
    <rPh sb="0" eb="3">
      <t>セイカブツ</t>
    </rPh>
    <rPh sb="3" eb="5">
      <t>トウロク</t>
    </rPh>
    <rPh sb="7" eb="9">
      <t>ガメン</t>
    </rPh>
    <phoneticPr fontId="1"/>
  </si>
  <si>
    <t>成果物変更管理画面</t>
    <rPh sb="0" eb="3">
      <t>セイカブツ</t>
    </rPh>
    <rPh sb="3" eb="5">
      <t>ヘンコウ</t>
    </rPh>
    <rPh sb="7" eb="9">
      <t>ガメン</t>
    </rPh>
    <phoneticPr fontId="1"/>
  </si>
  <si>
    <t>成果物採点機能</t>
    <rPh sb="0" eb="3">
      <t>セイカブツ</t>
    </rPh>
    <rPh sb="3" eb="5">
      <t>サイテン</t>
    </rPh>
    <rPh sb="5" eb="7">
      <t>キノウ</t>
    </rPh>
    <phoneticPr fontId="1"/>
  </si>
  <si>
    <t>評価レポート採点確認機能</t>
    <rPh sb="0" eb="2">
      <t>ヒョウカ</t>
    </rPh>
    <rPh sb="6" eb="8">
      <t>サイテン</t>
    </rPh>
    <rPh sb="8" eb="10">
      <t>カクニン</t>
    </rPh>
    <rPh sb="10" eb="12">
      <t>キノウ</t>
    </rPh>
    <phoneticPr fontId="1"/>
  </si>
  <si>
    <t>評価レポート採点確認画面</t>
    <rPh sb="6" eb="8">
      <t>サイテン</t>
    </rPh>
    <rPh sb="8" eb="10">
      <t>カクニン</t>
    </rPh>
    <phoneticPr fontId="1"/>
  </si>
  <si>
    <t xml:space="preserve">【13期12月対応】
No.24 評価レポート採点確認機能 似た行に追加
No.184 成果物登録機能
No.187 成果物採点機能
上記新規機能、画面を追加
</t>
    <rPh sb="3" eb="4">
      <t>キ</t>
    </rPh>
    <rPh sb="6" eb="7">
      <t>ガツ</t>
    </rPh>
    <rPh sb="7" eb="9">
      <t>タイオウ</t>
    </rPh>
    <rPh sb="30" eb="31">
      <t>ニ</t>
    </rPh>
    <rPh sb="32" eb="33">
      <t>ギョウ</t>
    </rPh>
    <rPh sb="34" eb="36">
      <t>ツイカ</t>
    </rPh>
    <rPh sb="67" eb="69">
      <t>ジョウキ</t>
    </rPh>
    <rPh sb="69" eb="71">
      <t>シンキ</t>
    </rPh>
    <rPh sb="71" eb="73">
      <t>キノウ</t>
    </rPh>
    <rPh sb="74" eb="76">
      <t>ガメン</t>
    </rPh>
    <rPh sb="77" eb="79">
      <t>ツイカ</t>
    </rPh>
    <phoneticPr fontId="1"/>
  </si>
  <si>
    <t>13期12月対応</t>
    <rPh sb="2" eb="3">
      <t>キ</t>
    </rPh>
    <rPh sb="5" eb="6">
      <t>ガツ</t>
    </rPh>
    <rPh sb="6" eb="8">
      <t>タイオウ</t>
    </rPh>
    <phoneticPr fontId="6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</si>
</sst>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&quot;第&quot;0.0&quot;版&quot;"/>
    <numFmt numFmtId="177" formatCode="&quot;$&quot;#,##0_);[Red]\(&quot;$&quot;#,##0\)"/>
    <numFmt numFmtId="178" formatCode="&quot;$&quot;#,##0.00_);[Red]\(&quot;$&quot;#,##0.00\)"/>
    <numFmt numFmtId="179" formatCode="yy\.mm\.dd"/>
    <numFmt numFmtId="180" formatCode="0.0_ "/>
  </numFmts>
  <fonts count="66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54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9"/>
      <name val="ＭＳ Ｐゴシック"/>
      <family val="3"/>
      <charset val="128"/>
    </font>
    <font>
      <sz val="11"/>
      <color theme="1"/>
      <name val="Arial"/>
      <family val="2"/>
      <charset val="128"/>
    </font>
    <font>
      <u/>
      <sz val="11"/>
      <color theme="1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メイリオ"/>
      <family val="2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6"/>
      <name val="メイリオ"/>
      <family val="2"/>
      <charset val="128"/>
    </font>
    <font>
      <sz val="9"/>
      <color theme="1"/>
      <name val="ＭＳ Ｐ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rgb="FFCC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7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43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14" fillId="4" borderId="0" applyNumberFormat="0" applyBorder="0" applyProtection="0">
      <alignment vertical="center"/>
    </xf>
    <xf numFmtId="0" fontId="14" fillId="5" borderId="0" applyNumberFormat="0" applyBorder="0" applyProtection="0">
      <alignment vertical="center"/>
    </xf>
    <xf numFmtId="0" fontId="14" fillId="6" borderId="0" applyNumberFormat="0" applyBorder="0" applyProtection="0">
      <alignment vertical="center"/>
    </xf>
    <xf numFmtId="0" fontId="14" fillId="7" borderId="0" applyNumberFormat="0" applyBorder="0" applyProtection="0">
      <alignment vertical="center"/>
    </xf>
    <xf numFmtId="0" fontId="14" fillId="8" borderId="0" applyNumberFormat="0" applyBorder="0" applyProtection="0">
      <alignment vertical="center"/>
    </xf>
    <xf numFmtId="0" fontId="14" fillId="9" borderId="0" applyNumberFormat="0" applyBorder="0" applyProtection="0">
      <alignment vertical="center"/>
    </xf>
    <xf numFmtId="0" fontId="15" fillId="10" borderId="0" applyNumberFormat="0" applyBorder="0" applyProtection="0">
      <alignment vertical="center"/>
    </xf>
    <xf numFmtId="0" fontId="15" fillId="11" borderId="0" applyNumberFormat="0" applyBorder="0" applyProtection="0">
      <alignment vertical="center"/>
    </xf>
    <xf numFmtId="0" fontId="15" fillId="12" borderId="0" applyNumberFormat="0" applyBorder="0" applyProtection="0">
      <alignment vertical="center"/>
    </xf>
    <xf numFmtId="0" fontId="15" fillId="10" borderId="0" applyNumberFormat="0" applyBorder="0" applyProtection="0">
      <alignment vertical="center"/>
    </xf>
    <xf numFmtId="0" fontId="15" fillId="8" borderId="0" applyNumberFormat="0" applyBorder="0" applyProtection="0">
      <alignment vertical="center"/>
    </xf>
    <xf numFmtId="0" fontId="15" fillId="12" borderId="0" applyNumberFormat="0" applyBorder="0" applyProtection="0">
      <alignment vertical="center"/>
    </xf>
    <xf numFmtId="0" fontId="14" fillId="13" borderId="0" applyNumberFormat="0" applyBorder="0" applyProtection="0">
      <alignment vertical="center"/>
    </xf>
    <xf numFmtId="0" fontId="14" fillId="11" borderId="0" applyNumberFormat="0" applyBorder="0" applyProtection="0">
      <alignment vertical="center"/>
    </xf>
    <xf numFmtId="0" fontId="14" fillId="14" borderId="0" applyNumberFormat="0" applyBorder="0" applyProtection="0">
      <alignment vertical="center"/>
    </xf>
    <xf numFmtId="0" fontId="14" fillId="7" borderId="0" applyNumberFormat="0" applyBorder="0" applyProtection="0">
      <alignment vertical="center"/>
    </xf>
    <xf numFmtId="0" fontId="14" fillId="13" borderId="0" applyNumberFormat="0" applyBorder="0" applyProtection="0">
      <alignment vertical="center"/>
    </xf>
    <xf numFmtId="0" fontId="14" fillId="15" borderId="0" applyNumberFormat="0" applyBorder="0" applyProtection="0">
      <alignment vertical="center"/>
    </xf>
    <xf numFmtId="0" fontId="15" fillId="9" borderId="0" applyNumberFormat="0" applyBorder="0" applyProtection="0">
      <alignment vertical="center"/>
    </xf>
    <xf numFmtId="0" fontId="15" fillId="16" borderId="0" applyNumberFormat="0" applyBorder="0" applyProtection="0">
      <alignment vertical="center"/>
    </xf>
    <xf numFmtId="0" fontId="15" fillId="6" borderId="0" applyNumberFormat="0" applyBorder="0" applyProtection="0">
      <alignment vertical="center"/>
    </xf>
    <xf numFmtId="0" fontId="15" fillId="9" borderId="0" applyNumberFormat="0" applyBorder="0" applyProtection="0">
      <alignment vertical="center"/>
    </xf>
    <xf numFmtId="0" fontId="15" fillId="13" borderId="0" applyNumberFormat="0" applyBorder="0" applyProtection="0">
      <alignment vertical="center"/>
    </xf>
    <xf numFmtId="0" fontId="15" fillId="17" borderId="0" applyNumberFormat="0" applyBorder="0" applyProtection="0">
      <alignment vertical="center"/>
    </xf>
    <xf numFmtId="0" fontId="16" fillId="18" borderId="0" applyNumberFormat="0" applyBorder="0" applyProtection="0">
      <alignment vertical="center"/>
    </xf>
    <xf numFmtId="0" fontId="16" fillId="11" borderId="0" applyNumberFormat="0" applyBorder="0" applyProtection="0">
      <alignment vertical="center"/>
    </xf>
    <xf numFmtId="0" fontId="16" fillId="14" borderId="0" applyNumberFormat="0" applyBorder="0" applyProtection="0">
      <alignment vertical="center"/>
    </xf>
    <xf numFmtId="0" fontId="16" fillId="19" borderId="0" applyNumberFormat="0" applyBorder="0" applyProtection="0">
      <alignment vertical="center"/>
    </xf>
    <xf numFmtId="0" fontId="16" fillId="20" borderId="0" applyNumberFormat="0" applyBorder="0" applyProtection="0">
      <alignment vertical="center"/>
    </xf>
    <xf numFmtId="0" fontId="16" fillId="21" borderId="0" applyNumberFormat="0" applyBorder="0" applyProtection="0">
      <alignment vertical="center"/>
    </xf>
    <xf numFmtId="0" fontId="17" fillId="20" borderId="0" applyNumberFormat="0" applyBorder="0" applyProtection="0">
      <alignment vertical="center"/>
    </xf>
    <xf numFmtId="0" fontId="17" fillId="16" borderId="0" applyNumberFormat="0" applyBorder="0" applyProtection="0">
      <alignment vertical="center"/>
    </xf>
    <xf numFmtId="0" fontId="17" fillId="6" borderId="0" applyNumberFormat="0" applyBorder="0" applyProtection="0">
      <alignment vertical="center"/>
    </xf>
    <xf numFmtId="0" fontId="17" fillId="22" borderId="0" applyNumberFormat="0" applyBorder="0" applyProtection="0">
      <alignment vertical="center"/>
    </xf>
    <xf numFmtId="0" fontId="17" fillId="20" borderId="0" applyNumberFormat="0" applyBorder="0" applyProtection="0">
      <alignment vertical="center"/>
    </xf>
    <xf numFmtId="0" fontId="17" fillId="5" borderId="0" applyNumberFormat="0" applyBorder="0" applyProtection="0">
      <alignment vertical="center"/>
    </xf>
    <xf numFmtId="0" fontId="16" fillId="23" borderId="0" applyNumberFormat="0" applyBorder="0" applyProtection="0">
      <alignment vertical="center"/>
    </xf>
    <xf numFmtId="0" fontId="16" fillId="24" borderId="0" applyNumberFormat="0" applyBorder="0" applyProtection="0">
      <alignment vertical="center"/>
    </xf>
    <xf numFmtId="0" fontId="16" fillId="25" borderId="0" applyNumberFormat="0" applyBorder="0" applyProtection="0">
      <alignment vertical="center"/>
    </xf>
    <xf numFmtId="0" fontId="16" fillId="19" borderId="0" applyNumberFormat="0" applyBorder="0" applyProtection="0">
      <alignment vertical="center"/>
    </xf>
    <xf numFmtId="0" fontId="16" fillId="20" borderId="0" applyNumberFormat="0" applyBorder="0" applyProtection="0">
      <alignment vertical="center"/>
    </xf>
    <xf numFmtId="0" fontId="16" fillId="16" borderId="0" applyNumberFormat="0" applyBorder="0" applyProtection="0">
      <alignment vertical="center"/>
    </xf>
    <xf numFmtId="4" fontId="18" fillId="26" borderId="0" applyNumberFormat="0" applyBorder="0" applyAlignment="0" applyProtection="0">
      <alignment horizontal="left"/>
    </xf>
    <xf numFmtId="0" fontId="19" fillId="5" borderId="0" applyNumberFormat="0" applyBorder="0" applyProtection="0">
      <alignment vertical="center"/>
    </xf>
    <xf numFmtId="0" fontId="20" fillId="22" borderId="52" applyNumberFormat="0" applyProtection="0">
      <alignment vertical="center"/>
    </xf>
    <xf numFmtId="0" fontId="21" fillId="27" borderId="53" applyNumberFormat="0" applyProtection="0">
      <alignment vertical="center"/>
    </xf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" fillId="0" borderId="54" applyFont="0"/>
    <xf numFmtId="0" fontId="23" fillId="0" borderId="0" applyNumberFormat="0" applyFill="0" applyBorder="0" applyProtection="0">
      <alignment vertical="center"/>
    </xf>
    <xf numFmtId="0" fontId="24" fillId="6" borderId="0" applyNumberFormat="0" applyBorder="0" applyProtection="0">
      <alignment vertical="center"/>
    </xf>
    <xf numFmtId="0" fontId="25" fillId="0" borderId="55" applyNumberFormat="0" applyFill="0" applyProtection="0">
      <alignment vertical="center"/>
    </xf>
    <xf numFmtId="0" fontId="26" fillId="0" borderId="56" applyNumberFormat="0" applyFill="0" applyProtection="0">
      <alignment vertical="center"/>
    </xf>
    <xf numFmtId="0" fontId="27" fillId="0" borderId="57" applyNumberFormat="0" applyFill="0" applyProtection="0">
      <alignment vertical="center"/>
    </xf>
    <xf numFmtId="0" fontId="27" fillId="0" borderId="0" applyNumberFormat="0" applyFill="0" applyBorder="0" applyProtection="0">
      <alignment vertical="center"/>
    </xf>
    <xf numFmtId="0" fontId="9" fillId="0" borderId="0" applyBorder="0"/>
    <xf numFmtId="0" fontId="28" fillId="9" borderId="52" applyNumberFormat="0" applyProtection="0">
      <alignment vertical="center"/>
    </xf>
    <xf numFmtId="0" fontId="9" fillId="0" borderId="0"/>
    <xf numFmtId="0" fontId="29" fillId="0" borderId="58" applyNumberFormat="0" applyFill="0" applyProtection="0">
      <alignment vertical="center"/>
    </xf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0" fillId="17" borderId="0" applyNumberFormat="0" applyBorder="0" applyProtection="0">
      <alignment vertical="center"/>
    </xf>
    <xf numFmtId="15" fontId="22" fillId="0" borderId="0"/>
    <xf numFmtId="0" fontId="2" fillId="12" borderId="59" applyNumberFormat="0" applyProtection="0">
      <alignment vertical="center"/>
    </xf>
    <xf numFmtId="0" fontId="31" fillId="22" borderId="60" applyNumberFormat="0" applyProtection="0">
      <alignment vertical="center"/>
    </xf>
    <xf numFmtId="0" fontId="32" fillId="0" borderId="0" applyNumberFormat="0" applyFill="0" applyBorder="0" applyProtection="0">
      <alignment vertical="center"/>
    </xf>
    <xf numFmtId="0" fontId="33" fillId="0" borderId="61" applyNumberFormat="0" applyFill="0" applyProtection="0">
      <alignment vertical="center"/>
    </xf>
    <xf numFmtId="0" fontId="34" fillId="0" borderId="0" applyNumberFormat="0" applyFill="0" applyBorder="0" applyProtection="0">
      <alignment vertical="center"/>
    </xf>
    <xf numFmtId="0" fontId="17" fillId="20" borderId="0" applyNumberFormat="0" applyBorder="0" applyProtection="0">
      <alignment vertical="center"/>
    </xf>
    <xf numFmtId="0" fontId="17" fillId="16" borderId="0" applyNumberFormat="0" applyBorder="0" applyProtection="0">
      <alignment vertical="center"/>
    </xf>
    <xf numFmtId="0" fontId="17" fillId="6" borderId="0" applyNumberFormat="0" applyBorder="0" applyProtection="0">
      <alignment vertical="center"/>
    </xf>
    <xf numFmtId="0" fontId="17" fillId="28" borderId="0" applyNumberFormat="0" applyBorder="0" applyProtection="0">
      <alignment vertical="center"/>
    </xf>
    <xf numFmtId="0" fontId="17" fillId="20" borderId="0" applyNumberFormat="0" applyBorder="0" applyProtection="0">
      <alignment vertical="center"/>
    </xf>
    <xf numFmtId="0" fontId="17" fillId="16" borderId="0" applyNumberFormat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6" fillId="27" borderId="53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37" fillId="17" borderId="0" applyNumberFormat="0" applyBorder="0" applyProtection="0">
      <alignment vertical="center"/>
    </xf>
    <xf numFmtId="0" fontId="10" fillId="0" borderId="0" applyBorder="0" applyAlignment="0"/>
    <xf numFmtId="0" fontId="2" fillId="12" borderId="59" applyNumberFormat="0" applyProtection="0">
      <alignment vertical="center"/>
    </xf>
    <xf numFmtId="0" fontId="38" fillId="0" borderId="58" applyNumberFormat="0" applyFill="0" applyProtection="0">
      <alignment vertical="center"/>
    </xf>
    <xf numFmtId="0" fontId="39" fillId="7" borderId="0" applyNumberFormat="0" applyBorder="0" applyProtection="0">
      <alignment vertical="center"/>
    </xf>
    <xf numFmtId="0" fontId="40" fillId="10" borderId="52" applyNumberFormat="0" applyProtection="0">
      <alignment vertical="center"/>
    </xf>
    <xf numFmtId="0" fontId="41" fillId="0" borderId="0" applyNumberFormat="0" applyFill="0" applyBorder="0" applyProtection="0">
      <alignment vertical="center"/>
    </xf>
    <xf numFmtId="0" fontId="42" fillId="0" borderId="62" applyNumberFormat="0" applyFill="0" applyProtection="0">
      <alignment vertical="center"/>
    </xf>
    <xf numFmtId="0" fontId="43" fillId="0" borderId="56" applyNumberFormat="0" applyFill="0" applyProtection="0">
      <alignment vertical="center"/>
    </xf>
    <xf numFmtId="0" fontId="44" fillId="0" borderId="63" applyNumberFormat="0" applyFill="0" applyProtection="0">
      <alignment vertical="center"/>
    </xf>
    <xf numFmtId="0" fontId="44" fillId="0" borderId="0" applyNumberFormat="0" applyFill="0" applyBorder="0" applyProtection="0">
      <alignment vertical="center"/>
    </xf>
    <xf numFmtId="0" fontId="45" fillId="0" borderId="64" applyNumberFormat="0" applyFill="0" applyProtection="0">
      <alignment vertical="center"/>
    </xf>
    <xf numFmtId="0" fontId="46" fillId="10" borderId="60" applyNumberFormat="0" applyProtection="0">
      <alignment vertical="center"/>
    </xf>
    <xf numFmtId="0" fontId="10" fillId="0" borderId="0" applyFill="0" applyBorder="0">
      <alignment horizontal="left"/>
    </xf>
    <xf numFmtId="0" fontId="47" fillId="0" borderId="0" applyNumberFormat="0" applyFill="0" applyBorder="0" applyProtection="0">
      <alignment vertical="center"/>
    </xf>
    <xf numFmtId="0" fontId="48" fillId="5" borderId="52" applyNumberForma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12" fillId="0" borderId="0"/>
    <xf numFmtId="0" fontId="13" fillId="0" borderId="0"/>
    <xf numFmtId="0" fontId="49" fillId="29" borderId="0" applyNumberFormat="0" applyBorder="0" applyProtection="0">
      <alignment vertical="center"/>
    </xf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38" fontId="2" fillId="0" borderId="0" applyFont="0" applyFill="0" applyBorder="0" applyAlignment="0" applyProtection="0">
      <alignment vertical="center"/>
    </xf>
    <xf numFmtId="38" fontId="54" fillId="0" borderId="0" applyFont="0" applyFill="0" applyBorder="0" applyAlignment="0" applyProtection="0">
      <alignment vertical="center"/>
    </xf>
    <xf numFmtId="38" fontId="54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0" fontId="56" fillId="0" borderId="0">
      <alignment vertical="center"/>
    </xf>
    <xf numFmtId="0" fontId="2" fillId="0" borderId="0"/>
    <xf numFmtId="0" fontId="59" fillId="0" borderId="0">
      <alignment vertical="center"/>
    </xf>
    <xf numFmtId="0" fontId="2" fillId="0" borderId="0">
      <alignment vertical="center"/>
    </xf>
    <xf numFmtId="0" fontId="5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0" fillId="0" borderId="0"/>
    <xf numFmtId="0" fontId="54" fillId="0" borderId="0">
      <alignment vertical="center"/>
    </xf>
    <xf numFmtId="0" fontId="56" fillId="0" borderId="0">
      <alignment vertical="center"/>
    </xf>
    <xf numFmtId="0" fontId="20" fillId="22" borderId="52" applyNumberFormat="0" applyProtection="0">
      <alignment vertical="center"/>
    </xf>
    <xf numFmtId="0" fontId="28" fillId="9" borderId="52" applyNumberFormat="0" applyProtection="0">
      <alignment vertical="center"/>
    </xf>
    <xf numFmtId="0" fontId="2" fillId="12" borderId="59" applyNumberFormat="0" applyProtection="0">
      <alignment vertical="center"/>
    </xf>
    <xf numFmtId="0" fontId="31" fillId="22" borderId="60" applyNumberFormat="0" applyProtection="0">
      <alignment vertical="center"/>
    </xf>
    <xf numFmtId="0" fontId="33" fillId="0" borderId="61" applyNumberFormat="0" applyFill="0" applyProtection="0">
      <alignment vertical="center"/>
    </xf>
    <xf numFmtId="0" fontId="2" fillId="12" borderId="59" applyNumberFormat="0" applyProtection="0">
      <alignment vertical="center"/>
    </xf>
    <xf numFmtId="0" fontId="40" fillId="10" borderId="52" applyNumberFormat="0" applyProtection="0">
      <alignment vertical="center"/>
    </xf>
    <xf numFmtId="0" fontId="45" fillId="0" borderId="64" applyNumberFormat="0" applyFill="0" applyProtection="0">
      <alignment vertical="center"/>
    </xf>
    <xf numFmtId="0" fontId="46" fillId="10" borderId="60" applyNumberFormat="0" applyProtection="0">
      <alignment vertical="center"/>
    </xf>
    <xf numFmtId="0" fontId="48" fillId="5" borderId="52" applyNumberFormat="0" applyProtection="0">
      <alignment vertical="center"/>
    </xf>
    <xf numFmtId="38" fontId="2" fillId="0" borderId="0" applyFont="0" applyFill="0" applyBorder="0" applyAlignment="0" applyProtection="0"/>
    <xf numFmtId="0" fontId="61" fillId="0" borderId="0">
      <alignment vertical="center"/>
    </xf>
  </cellStyleXfs>
  <cellXfs count="402">
    <xf numFmtId="0" fontId="0" fillId="0" borderId="0" xfId="0">
      <alignment vertical="center"/>
    </xf>
    <xf numFmtId="0" fontId="2" fillId="2" borderId="0" xfId="1" applyFont="1" applyFill="1"/>
    <xf numFmtId="0" fontId="2" fillId="2" borderId="1" xfId="1" applyFont="1" applyFill="1" applyBorder="1"/>
    <xf numFmtId="0" fontId="2" fillId="2" borderId="2" xfId="1" applyFont="1" applyFill="1" applyBorder="1"/>
    <xf numFmtId="0" fontId="2" fillId="2" borderId="3" xfId="1" applyFont="1" applyFill="1" applyBorder="1"/>
    <xf numFmtId="0" fontId="2" fillId="2" borderId="4" xfId="1" applyFont="1" applyFill="1" applyBorder="1"/>
    <xf numFmtId="0" fontId="2" fillId="2" borderId="5" xfId="1" applyFont="1" applyFill="1" applyBorder="1"/>
    <xf numFmtId="0" fontId="2" fillId="2" borderId="0" xfId="1" applyFont="1" applyFill="1" applyBorder="1"/>
    <xf numFmtId="0" fontId="2" fillId="2" borderId="6" xfId="1" applyFont="1" applyFill="1" applyBorder="1"/>
    <xf numFmtId="0" fontId="2" fillId="2" borderId="7" xfId="1" applyFont="1" applyFill="1" applyBorder="1"/>
    <xf numFmtId="0" fontId="2" fillId="2" borderId="8" xfId="1" applyFont="1" applyFill="1" applyBorder="1"/>
    <xf numFmtId="0" fontId="5" fillId="2" borderId="0" xfId="1" applyFont="1" applyFill="1" applyAlignment="1"/>
    <xf numFmtId="58" fontId="5" fillId="2" borderId="0" xfId="1" applyNumberFormat="1" applyFont="1" applyFill="1" applyAlignment="1">
      <alignment horizontal="center"/>
    </xf>
    <xf numFmtId="31" fontId="5" fillId="2" borderId="0" xfId="1" applyNumberFormat="1" applyFont="1" applyFill="1" applyAlignment="1">
      <alignment horizontal="center"/>
    </xf>
    <xf numFmtId="0" fontId="6" fillId="2" borderId="0" xfId="1" applyFont="1" applyFill="1"/>
    <xf numFmtId="0" fontId="2" fillId="2" borderId="12" xfId="1" applyFont="1" applyFill="1" applyBorder="1"/>
    <xf numFmtId="31" fontId="2" fillId="2" borderId="13" xfId="1" applyNumberFormat="1" applyFont="1" applyFill="1" applyBorder="1" applyAlignment="1"/>
    <xf numFmtId="0" fontId="2" fillId="2" borderId="14" xfId="1" applyFont="1" applyFill="1" applyBorder="1" applyAlignment="1"/>
    <xf numFmtId="0" fontId="2" fillId="2" borderId="15" xfId="1" applyFont="1" applyFill="1" applyBorder="1" applyAlignment="1"/>
    <xf numFmtId="0" fontId="2" fillId="2" borderId="16" xfId="1" applyFont="1" applyFill="1" applyBorder="1"/>
    <xf numFmtId="0" fontId="2" fillId="2" borderId="17" xfId="1" applyFont="1" applyFill="1" applyBorder="1"/>
    <xf numFmtId="0" fontId="2" fillId="2" borderId="18" xfId="1" applyFont="1" applyFill="1" applyBorder="1"/>
    <xf numFmtId="0" fontId="2" fillId="2" borderId="19" xfId="1" applyFont="1" applyFill="1" applyBorder="1"/>
    <xf numFmtId="0" fontId="8" fillId="2" borderId="0" xfId="1" applyFont="1" applyFill="1"/>
    <xf numFmtId="0" fontId="2" fillId="2" borderId="0" xfId="1" applyFont="1" applyFill="1" applyAlignment="1">
      <alignment horizontal="right"/>
    </xf>
    <xf numFmtId="0" fontId="11" fillId="0" borderId="0" xfId="2" applyFont="1" applyAlignment="1">
      <alignment horizontal="left" vertical="center"/>
    </xf>
    <xf numFmtId="0" fontId="11" fillId="0" borderId="0" xfId="2" applyFont="1"/>
    <xf numFmtId="0" fontId="2" fillId="0" borderId="0" xfId="2" applyFont="1"/>
    <xf numFmtId="0" fontId="12" fillId="2" borderId="0" xfId="1" applyFont="1" applyFill="1" applyBorder="1" applyAlignment="1">
      <alignment horizontal="center" vertical="center"/>
    </xf>
    <xf numFmtId="0" fontId="12" fillId="2" borderId="0" xfId="1" applyFont="1" applyFill="1" applyBorder="1" applyAlignment="1">
      <alignment horizontal="center"/>
    </xf>
    <xf numFmtId="0" fontId="12" fillId="2" borderId="0" xfId="1" applyFont="1" applyFill="1" applyBorder="1" applyAlignment="1"/>
    <xf numFmtId="0" fontId="12" fillId="2" borderId="0" xfId="1" applyFont="1" applyFill="1" applyBorder="1" applyAlignment="1">
      <alignment vertical="center"/>
    </xf>
    <xf numFmtId="0" fontId="12" fillId="2" borderId="0" xfId="1" applyFont="1" applyFill="1" applyBorder="1"/>
    <xf numFmtId="0" fontId="12" fillId="2" borderId="0" xfId="1" applyFont="1" applyFill="1" applyBorder="1" applyAlignment="1">
      <alignment horizontal="left"/>
    </xf>
    <xf numFmtId="0" fontId="12" fillId="2" borderId="0" xfId="1" applyFont="1" applyFill="1"/>
    <xf numFmtId="176" fontId="5" fillId="2" borderId="0" xfId="1" applyNumberFormat="1" applyFont="1" applyFill="1" applyAlignment="1">
      <alignment horizontal="left"/>
    </xf>
    <xf numFmtId="0" fontId="53" fillId="0" borderId="0" xfId="2" applyFont="1" applyAlignment="1">
      <alignment horizontal="left" vertical="center"/>
    </xf>
    <xf numFmtId="0" fontId="55" fillId="2" borderId="32" xfId="1" applyFont="1" applyFill="1" applyBorder="1" applyAlignment="1">
      <alignment horizontal="center" vertical="center"/>
    </xf>
    <xf numFmtId="0" fontId="55" fillId="2" borderId="32" xfId="1" applyFont="1" applyFill="1" applyBorder="1" applyAlignment="1">
      <alignment horizontal="center"/>
    </xf>
    <xf numFmtId="0" fontId="55" fillId="2" borderId="32" xfId="1" applyFont="1" applyFill="1" applyBorder="1" applyAlignment="1"/>
    <xf numFmtId="0" fontId="55" fillId="2" borderId="32" xfId="1" applyFont="1" applyFill="1" applyBorder="1" applyAlignment="1">
      <alignment vertical="center"/>
    </xf>
    <xf numFmtId="0" fontId="55" fillId="2" borderId="32" xfId="1" applyFont="1" applyFill="1" applyBorder="1"/>
    <xf numFmtId="0" fontId="53" fillId="0" borderId="0" xfId="2" applyFont="1"/>
    <xf numFmtId="0" fontId="51" fillId="0" borderId="0" xfId="2" applyFont="1"/>
    <xf numFmtId="0" fontId="51" fillId="0" borderId="0" xfId="2" applyFont="1" applyFill="1"/>
    <xf numFmtId="0" fontId="51" fillId="0" borderId="0" xfId="3" applyNumberFormat="1" applyFont="1" applyFill="1" applyBorder="1" applyAlignment="1">
      <alignment horizontal="center" vertical="center"/>
    </xf>
    <xf numFmtId="14" fontId="51" fillId="0" borderId="0" xfId="3" applyNumberFormat="1" applyFont="1" applyFill="1" applyBorder="1" applyAlignment="1">
      <alignment horizontal="center" vertical="center"/>
    </xf>
    <xf numFmtId="0" fontId="51" fillId="0" borderId="0" xfId="3" applyNumberFormat="1" applyFont="1" applyFill="1" applyBorder="1" applyAlignment="1">
      <alignment vertical="center" wrapText="1"/>
    </xf>
    <xf numFmtId="0" fontId="53" fillId="0" borderId="0" xfId="2" applyNumberFormat="1" applyFont="1" applyFill="1" applyBorder="1" applyAlignment="1">
      <alignment horizontal="center" vertical="center"/>
    </xf>
    <xf numFmtId="14" fontId="53" fillId="0" borderId="0" xfId="2" applyNumberFormat="1" applyFont="1" applyFill="1" applyBorder="1" applyAlignment="1">
      <alignment horizontal="center" vertical="center"/>
    </xf>
    <xf numFmtId="0" fontId="53" fillId="0" borderId="0" xfId="2" applyNumberFormat="1" applyFont="1" applyFill="1" applyBorder="1" applyAlignment="1">
      <alignment horizontal="center" vertical="center" wrapText="1"/>
    </xf>
    <xf numFmtId="0" fontId="53" fillId="0" borderId="0" xfId="2" applyNumberFormat="1" applyFont="1" applyFill="1" applyBorder="1" applyAlignment="1">
      <alignment vertical="center" wrapText="1"/>
    </xf>
    <xf numFmtId="0" fontId="55" fillId="2" borderId="0" xfId="1" applyFont="1" applyFill="1" applyBorder="1" applyAlignment="1">
      <alignment horizontal="center" vertical="center"/>
    </xf>
    <xf numFmtId="0" fontId="55" fillId="2" borderId="0" xfId="1" applyFont="1" applyFill="1" applyBorder="1" applyAlignment="1">
      <alignment horizontal="center"/>
    </xf>
    <xf numFmtId="0" fontId="55" fillId="2" borderId="0" xfId="1" applyFont="1" applyFill="1" applyBorder="1" applyAlignment="1"/>
    <xf numFmtId="0" fontId="55" fillId="2" borderId="0" xfId="1" applyFont="1" applyFill="1" applyBorder="1" applyAlignment="1">
      <alignment vertical="center"/>
    </xf>
    <xf numFmtId="0" fontId="55" fillId="2" borderId="0" xfId="1" applyFont="1" applyFill="1" applyBorder="1"/>
    <xf numFmtId="0" fontId="55" fillId="2" borderId="0" xfId="1" applyFont="1" applyFill="1"/>
    <xf numFmtId="0" fontId="51" fillId="0" borderId="9" xfId="3" applyFont="1" applyFill="1" applyBorder="1" applyAlignment="1">
      <alignment horizontal="left" vertical="center"/>
    </xf>
    <xf numFmtId="0" fontId="51" fillId="0" borderId="10" xfId="3" applyFont="1" applyFill="1" applyBorder="1" applyAlignment="1">
      <alignment horizontal="left" vertical="center"/>
    </xf>
    <xf numFmtId="0" fontId="51" fillId="0" borderId="11" xfId="3" applyFont="1" applyFill="1" applyBorder="1" applyAlignment="1">
      <alignment horizontal="left" vertical="center"/>
    </xf>
    <xf numFmtId="0" fontId="2" fillId="32" borderId="9" xfId="3" applyFont="1" applyFill="1" applyBorder="1" applyAlignment="1">
      <alignment horizontal="left" vertical="center"/>
    </xf>
    <xf numFmtId="0" fontId="2" fillId="32" borderId="10" xfId="3" applyFont="1" applyFill="1" applyBorder="1" applyAlignment="1">
      <alignment horizontal="left" vertical="center"/>
    </xf>
    <xf numFmtId="0" fontId="2" fillId="32" borderId="11" xfId="3" applyFont="1" applyFill="1" applyBorder="1" applyAlignment="1">
      <alignment horizontal="left" vertical="center"/>
    </xf>
    <xf numFmtId="31" fontId="5" fillId="2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4" fillId="2" borderId="0" xfId="1" applyFont="1" applyFill="1" applyBorder="1" applyAlignment="1">
      <alignment horizontal="center" shrinkToFit="1"/>
    </xf>
    <xf numFmtId="0" fontId="4" fillId="2" borderId="0" xfId="1" applyFont="1" applyFill="1" applyBorder="1" applyAlignment="1">
      <alignment horizontal="center"/>
    </xf>
    <xf numFmtId="58" fontId="5" fillId="2" borderId="0" xfId="1" applyNumberFormat="1" applyFont="1" applyFill="1" applyAlignment="1">
      <alignment horizontal="center"/>
    </xf>
    <xf numFmtId="0" fontId="2" fillId="2" borderId="9" xfId="1" applyFont="1" applyFill="1" applyBorder="1" applyAlignment="1">
      <alignment horizontal="center"/>
    </xf>
    <xf numFmtId="0" fontId="2" fillId="2" borderId="10" xfId="1" applyFont="1" applyFill="1" applyBorder="1" applyAlignment="1">
      <alignment horizontal="center"/>
    </xf>
    <xf numFmtId="0" fontId="2" fillId="2" borderId="11" xfId="1" applyFont="1" applyFill="1" applyBorder="1" applyAlignment="1">
      <alignment horizontal="center"/>
    </xf>
    <xf numFmtId="31" fontId="7" fillId="2" borderId="9" xfId="1" applyNumberFormat="1" applyFont="1" applyFill="1" applyBorder="1" applyAlignment="1">
      <alignment horizontal="center"/>
    </xf>
    <xf numFmtId="31" fontId="7" fillId="2" borderId="10" xfId="1" applyNumberFormat="1" applyFont="1" applyFill="1" applyBorder="1" applyAlignment="1">
      <alignment horizontal="center"/>
    </xf>
    <xf numFmtId="31" fontId="7" fillId="2" borderId="11" xfId="1" applyNumberFormat="1" applyFont="1" applyFill="1" applyBorder="1" applyAlignment="1">
      <alignment horizontal="center"/>
    </xf>
    <xf numFmtId="0" fontId="11" fillId="0" borderId="13" xfId="2" applyFont="1" applyFill="1" applyBorder="1" applyAlignment="1">
      <alignment horizontal="center" vertical="center"/>
    </xf>
    <xf numFmtId="0" fontId="2" fillId="0" borderId="14" xfId="3" applyFont="1" applyFill="1" applyBorder="1" applyAlignment="1">
      <alignment horizontal="center" vertical="center"/>
    </xf>
    <xf numFmtId="0" fontId="2" fillId="0" borderId="43" xfId="3" applyFont="1" applyFill="1" applyBorder="1" applyAlignment="1">
      <alignment horizontal="center" vertical="center"/>
    </xf>
    <xf numFmtId="0" fontId="11" fillId="0" borderId="12" xfId="2" applyFont="1" applyFill="1" applyBorder="1" applyAlignment="1">
      <alignment horizontal="center" vertical="center"/>
    </xf>
    <xf numFmtId="0" fontId="2" fillId="0" borderId="0" xfId="3" applyFont="1" applyFill="1" applyBorder="1" applyAlignment="1">
      <alignment horizontal="center" vertical="center"/>
    </xf>
    <xf numFmtId="0" fontId="2" fillId="0" borderId="42" xfId="3" applyFont="1" applyFill="1" applyBorder="1" applyAlignment="1">
      <alignment horizontal="center" vertical="center"/>
    </xf>
    <xf numFmtId="0" fontId="2" fillId="0" borderId="12" xfId="3" applyFont="1" applyFill="1" applyBorder="1" applyAlignment="1">
      <alignment horizontal="center" vertical="center"/>
    </xf>
    <xf numFmtId="0" fontId="2" fillId="0" borderId="17" xfId="3" applyFont="1" applyFill="1" applyBorder="1" applyAlignment="1">
      <alignment horizontal="center" vertical="center"/>
    </xf>
    <xf numFmtId="0" fontId="2" fillId="0" borderId="18" xfId="3" applyFont="1" applyFill="1" applyBorder="1" applyAlignment="1">
      <alignment horizontal="center" vertical="center"/>
    </xf>
    <xf numFmtId="0" fontId="2" fillId="0" borderId="66" xfId="3" applyFont="1" applyFill="1" applyBorder="1" applyAlignment="1">
      <alignment horizontal="center" vertical="center"/>
    </xf>
    <xf numFmtId="0" fontId="11" fillId="0" borderId="69" xfId="2" applyFont="1" applyFill="1" applyBorder="1" applyAlignment="1">
      <alignment vertical="center" wrapText="1"/>
    </xf>
    <xf numFmtId="0" fontId="11" fillId="0" borderId="70" xfId="2" applyFont="1" applyFill="1" applyBorder="1" applyAlignment="1">
      <alignment vertical="center" wrapText="1"/>
    </xf>
    <xf numFmtId="0" fontId="11" fillId="0" borderId="71" xfId="2" applyFont="1" applyFill="1" applyBorder="1" applyAlignment="1">
      <alignment vertical="center" wrapText="1"/>
    </xf>
    <xf numFmtId="0" fontId="11" fillId="0" borderId="12" xfId="2" applyFont="1" applyFill="1" applyBorder="1" applyAlignment="1">
      <alignment vertical="center" wrapText="1"/>
    </xf>
    <xf numFmtId="0" fontId="11" fillId="0" borderId="0" xfId="2" applyFont="1" applyFill="1" applyBorder="1" applyAlignment="1">
      <alignment vertical="center" wrapText="1"/>
    </xf>
    <xf numFmtId="0" fontId="11" fillId="0" borderId="16" xfId="2" applyFont="1" applyFill="1" applyBorder="1" applyAlignment="1">
      <alignment vertical="center" wrapText="1"/>
    </xf>
    <xf numFmtId="0" fontId="11" fillId="0" borderId="17" xfId="2" applyFont="1" applyFill="1" applyBorder="1" applyAlignment="1">
      <alignment vertical="center" wrapText="1"/>
    </xf>
    <xf numFmtId="0" fontId="11" fillId="0" borderId="18" xfId="2" applyFont="1" applyFill="1" applyBorder="1" applyAlignment="1">
      <alignment vertical="center" wrapText="1"/>
    </xf>
    <xf numFmtId="0" fontId="11" fillId="0" borderId="19" xfId="2" applyFont="1" applyFill="1" applyBorder="1" applyAlignment="1">
      <alignment vertical="center" wrapText="1"/>
    </xf>
    <xf numFmtId="0" fontId="11" fillId="0" borderId="13" xfId="2" applyFont="1" applyFill="1" applyBorder="1" applyAlignment="1">
      <alignment horizontal="center" vertical="center" wrapText="1"/>
    </xf>
    <xf numFmtId="0" fontId="2" fillId="0" borderId="15" xfId="3" applyFont="1" applyFill="1" applyBorder="1" applyAlignment="1">
      <alignment horizontal="center" vertical="center"/>
    </xf>
    <xf numFmtId="0" fontId="11" fillId="0" borderId="12" xfId="2" applyFont="1" applyFill="1" applyBorder="1" applyAlignment="1">
      <alignment horizontal="center" vertical="center" wrapText="1"/>
    </xf>
    <xf numFmtId="0" fontId="2" fillId="0" borderId="16" xfId="3" applyFont="1" applyFill="1" applyBorder="1" applyAlignment="1">
      <alignment horizontal="center" vertical="center"/>
    </xf>
    <xf numFmtId="0" fontId="2" fillId="0" borderId="19" xfId="3" applyFont="1" applyFill="1" applyBorder="1" applyAlignment="1">
      <alignment horizontal="center" vertical="center"/>
    </xf>
    <xf numFmtId="14" fontId="11" fillId="0" borderId="69" xfId="2" applyNumberFormat="1" applyFont="1" applyFill="1" applyBorder="1" applyAlignment="1">
      <alignment horizontal="center" vertical="center"/>
    </xf>
    <xf numFmtId="14" fontId="11" fillId="0" borderId="70" xfId="2" applyNumberFormat="1" applyFont="1" applyFill="1" applyBorder="1" applyAlignment="1">
      <alignment horizontal="center" vertical="center"/>
    </xf>
    <xf numFmtId="14" fontId="11" fillId="0" borderId="71" xfId="2" applyNumberFormat="1" applyFont="1" applyFill="1" applyBorder="1" applyAlignment="1">
      <alignment horizontal="center" vertical="center"/>
    </xf>
    <xf numFmtId="14" fontId="11" fillId="0" borderId="12" xfId="2" applyNumberFormat="1" applyFont="1" applyFill="1" applyBorder="1" applyAlignment="1">
      <alignment horizontal="center" vertical="center"/>
    </xf>
    <xf numFmtId="14" fontId="11" fillId="0" borderId="0" xfId="2" applyNumberFormat="1" applyFont="1" applyFill="1" applyBorder="1" applyAlignment="1">
      <alignment horizontal="center" vertical="center"/>
    </xf>
    <xf numFmtId="14" fontId="11" fillId="0" borderId="16" xfId="2" applyNumberFormat="1" applyFont="1" applyFill="1" applyBorder="1" applyAlignment="1">
      <alignment horizontal="center" vertical="center"/>
    </xf>
    <xf numFmtId="14" fontId="11" fillId="0" borderId="17" xfId="2" applyNumberFormat="1" applyFont="1" applyFill="1" applyBorder="1" applyAlignment="1">
      <alignment horizontal="center" vertical="center"/>
    </xf>
    <xf numFmtId="14" fontId="11" fillId="0" borderId="18" xfId="2" applyNumberFormat="1" applyFont="1" applyFill="1" applyBorder="1" applyAlignment="1">
      <alignment horizontal="center" vertical="center"/>
    </xf>
    <xf numFmtId="14" fontId="11" fillId="0" borderId="19" xfId="2" applyNumberFormat="1" applyFont="1" applyFill="1" applyBorder="1" applyAlignment="1">
      <alignment horizontal="center" vertical="center"/>
    </xf>
    <xf numFmtId="180" fontId="11" fillId="0" borderId="72" xfId="2" applyNumberFormat="1" applyFont="1" applyFill="1" applyBorder="1" applyAlignment="1">
      <alignment horizontal="center" vertical="center"/>
    </xf>
    <xf numFmtId="180" fontId="11" fillId="0" borderId="70" xfId="2" applyNumberFormat="1" applyFont="1" applyFill="1" applyBorder="1" applyAlignment="1">
      <alignment horizontal="center" vertical="center"/>
    </xf>
    <xf numFmtId="180" fontId="11" fillId="0" borderId="71" xfId="2" applyNumberFormat="1" applyFont="1" applyFill="1" applyBorder="1" applyAlignment="1">
      <alignment horizontal="center" vertical="center"/>
    </xf>
    <xf numFmtId="180" fontId="11" fillId="0" borderId="41" xfId="2" applyNumberFormat="1" applyFont="1" applyFill="1" applyBorder="1" applyAlignment="1">
      <alignment horizontal="center" vertical="center"/>
    </xf>
    <xf numFmtId="180" fontId="11" fillId="0" borderId="0" xfId="2" applyNumberFormat="1" applyFont="1" applyFill="1" applyBorder="1" applyAlignment="1">
      <alignment horizontal="center" vertical="center"/>
    </xf>
    <xf numFmtId="180" fontId="11" fillId="0" borderId="16" xfId="2" applyNumberFormat="1" applyFont="1" applyFill="1" applyBorder="1" applyAlignment="1">
      <alignment horizontal="center" vertical="center"/>
    </xf>
    <xf numFmtId="180" fontId="11" fillId="0" borderId="65" xfId="2" applyNumberFormat="1" applyFont="1" applyFill="1" applyBorder="1" applyAlignment="1">
      <alignment horizontal="center" vertical="center"/>
    </xf>
    <xf numFmtId="180" fontId="11" fillId="0" borderId="18" xfId="2" applyNumberFormat="1" applyFont="1" applyFill="1" applyBorder="1" applyAlignment="1">
      <alignment horizontal="center" vertical="center"/>
    </xf>
    <xf numFmtId="180" fontId="11" fillId="0" borderId="19" xfId="2" applyNumberFormat="1" applyFont="1" applyFill="1" applyBorder="1" applyAlignment="1">
      <alignment horizontal="center" vertical="center"/>
    </xf>
    <xf numFmtId="0" fontId="2" fillId="3" borderId="21" xfId="2" applyFont="1" applyFill="1" applyBorder="1" applyAlignment="1">
      <alignment horizontal="center" vertical="center"/>
    </xf>
    <xf numFmtId="0" fontId="2" fillId="0" borderId="21" xfId="3" applyFont="1" applyBorder="1" applyAlignment="1">
      <alignment horizontal="center" vertical="center"/>
    </xf>
    <xf numFmtId="0" fontId="2" fillId="0" borderId="27" xfId="3" applyFont="1" applyBorder="1" applyAlignment="1">
      <alignment horizontal="center" vertical="center"/>
    </xf>
    <xf numFmtId="0" fontId="65" fillId="0" borderId="28" xfId="2" applyFont="1" applyBorder="1" applyAlignment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2" fillId="0" borderId="14" xfId="3" applyFont="1" applyBorder="1" applyAlignment="1">
      <alignment horizontal="center" vertical="center" wrapText="1"/>
    </xf>
    <xf numFmtId="0" fontId="12" fillId="0" borderId="15" xfId="3" applyFont="1" applyBorder="1" applyAlignment="1">
      <alignment horizontal="center" vertical="center" wrapText="1"/>
    </xf>
    <xf numFmtId="0" fontId="12" fillId="0" borderId="31" xfId="2" applyFont="1" applyBorder="1" applyAlignment="1">
      <alignment horizontal="center" vertical="center" wrapText="1"/>
    </xf>
    <xf numFmtId="0" fontId="12" fillId="0" borderId="32" xfId="2" applyFont="1" applyBorder="1" applyAlignment="1">
      <alignment horizontal="center" vertical="center" wrapText="1"/>
    </xf>
    <xf numFmtId="0" fontId="12" fillId="0" borderId="32" xfId="3" applyFont="1" applyBorder="1" applyAlignment="1">
      <alignment horizontal="center" vertical="center" wrapText="1"/>
    </xf>
    <xf numFmtId="0" fontId="12" fillId="0" borderId="33" xfId="3" applyFont="1" applyBorder="1" applyAlignment="1">
      <alignment horizontal="center" vertical="center" wrapText="1"/>
    </xf>
    <xf numFmtId="0" fontId="12" fillId="0" borderId="13" xfId="2" applyFont="1" applyBorder="1" applyAlignment="1">
      <alignment horizontal="center" vertical="center" wrapText="1"/>
    </xf>
    <xf numFmtId="0" fontId="12" fillId="0" borderId="29" xfId="3" applyFont="1" applyBorder="1" applyAlignment="1">
      <alignment horizontal="center" vertical="center" wrapText="1"/>
    </xf>
    <xf numFmtId="0" fontId="12" fillId="0" borderId="34" xfId="2" applyFont="1" applyBorder="1" applyAlignment="1">
      <alignment horizontal="center" vertical="center" wrapText="1"/>
    </xf>
    <xf numFmtId="0" fontId="12" fillId="0" borderId="35" xfId="3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3" fillId="0" borderId="5" xfId="3" applyFont="1" applyBorder="1" applyAlignment="1">
      <alignment horizontal="center" vertical="center"/>
    </xf>
    <xf numFmtId="0" fontId="13" fillId="0" borderId="36" xfId="3" applyFont="1" applyBorder="1" applyAlignment="1">
      <alignment horizontal="center" vertical="center"/>
    </xf>
    <xf numFmtId="0" fontId="13" fillId="0" borderId="32" xfId="3" applyFont="1" applyBorder="1" applyAlignment="1">
      <alignment horizontal="center" vertical="center"/>
    </xf>
    <xf numFmtId="0" fontId="13" fillId="0" borderId="35" xfId="3" applyFont="1" applyBorder="1" applyAlignment="1">
      <alignment horizontal="center" vertical="center"/>
    </xf>
    <xf numFmtId="0" fontId="0" fillId="0" borderId="15" xfId="2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/>
    </xf>
    <xf numFmtId="0" fontId="2" fillId="0" borderId="37" xfId="3" applyFont="1" applyBorder="1" applyAlignment="1">
      <alignment horizontal="center" vertical="center"/>
    </xf>
    <xf numFmtId="14" fontId="2" fillId="0" borderId="30" xfId="2" applyNumberFormat="1" applyFont="1" applyBorder="1" applyAlignment="1">
      <alignment horizontal="center" vertical="center"/>
    </xf>
    <xf numFmtId="14" fontId="2" fillId="0" borderId="14" xfId="2" applyNumberFormat="1" applyFont="1" applyBorder="1" applyAlignment="1">
      <alignment horizontal="center" vertical="center"/>
    </xf>
    <xf numFmtId="0" fontId="2" fillId="0" borderId="14" xfId="3" applyFont="1" applyBorder="1" applyAlignment="1">
      <alignment horizontal="center" vertical="center"/>
    </xf>
    <xf numFmtId="0" fontId="2" fillId="0" borderId="43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" fillId="0" borderId="44" xfId="3" applyFont="1" applyBorder="1" applyAlignment="1">
      <alignment horizontal="center" vertical="center"/>
    </xf>
    <xf numFmtId="0" fontId="2" fillId="3" borderId="20" xfId="2" applyFont="1" applyFill="1" applyBorder="1" applyAlignment="1">
      <alignment horizontal="center" vertical="center"/>
    </xf>
    <xf numFmtId="0" fontId="2" fillId="0" borderId="22" xfId="3" applyFont="1" applyBorder="1" applyAlignment="1">
      <alignment horizontal="center" vertical="center"/>
    </xf>
    <xf numFmtId="0" fontId="2" fillId="3" borderId="23" xfId="2" applyFont="1" applyFill="1" applyBorder="1" applyAlignment="1">
      <alignment horizontal="center" vertical="center"/>
    </xf>
    <xf numFmtId="0" fontId="13" fillId="30" borderId="24" xfId="2" applyFont="1" applyFill="1" applyBorder="1" applyAlignment="1">
      <alignment horizontal="center" vertical="center" wrapText="1"/>
    </xf>
    <xf numFmtId="0" fontId="13" fillId="30" borderId="21" xfId="3" applyFont="1" applyFill="1" applyBorder="1" applyAlignment="1">
      <alignment horizontal="center" vertical="center"/>
    </xf>
    <xf numFmtId="0" fontId="13" fillId="30" borderId="25" xfId="3" applyFont="1" applyFill="1" applyBorder="1" applyAlignment="1">
      <alignment horizontal="center" vertical="center"/>
    </xf>
    <xf numFmtId="0" fontId="2" fillId="3" borderId="22" xfId="2" applyFont="1" applyFill="1" applyBorder="1" applyAlignment="1">
      <alignment horizontal="center" vertical="center"/>
    </xf>
    <xf numFmtId="0" fontId="2" fillId="0" borderId="26" xfId="3" applyFont="1" applyBorder="1" applyAlignment="1">
      <alignment horizontal="center" vertical="center"/>
    </xf>
    <xf numFmtId="0" fontId="2" fillId="3" borderId="26" xfId="2" applyFont="1" applyFill="1" applyBorder="1" applyAlignment="1">
      <alignment horizontal="center" vertical="center"/>
    </xf>
    <xf numFmtId="0" fontId="11" fillId="3" borderId="38" xfId="2" applyFont="1" applyFill="1" applyBorder="1" applyAlignment="1">
      <alignment horizontal="center" vertical="center"/>
    </xf>
    <xf numFmtId="0" fontId="2" fillId="3" borderId="39" xfId="3" applyFont="1" applyFill="1" applyBorder="1" applyAlignment="1">
      <alignment horizontal="center" vertical="center"/>
    </xf>
    <xf numFmtId="0" fontId="2" fillId="3" borderId="45" xfId="3" applyFont="1" applyFill="1" applyBorder="1" applyAlignment="1">
      <alignment horizontal="center" vertical="center"/>
    </xf>
    <xf numFmtId="0" fontId="2" fillId="3" borderId="41" xfId="3" applyFont="1" applyFill="1" applyBorder="1" applyAlignment="1">
      <alignment horizontal="center" vertical="center"/>
    </xf>
    <xf numFmtId="0" fontId="2" fillId="3" borderId="0" xfId="3" applyFont="1" applyFill="1" applyBorder="1" applyAlignment="1">
      <alignment horizontal="center" vertical="center"/>
    </xf>
    <xf numFmtId="0" fontId="2" fillId="3" borderId="16" xfId="3" applyFont="1" applyFill="1" applyBorder="1" applyAlignment="1">
      <alignment horizontal="center" vertical="center"/>
    </xf>
    <xf numFmtId="0" fontId="2" fillId="3" borderId="47" xfId="3" applyFont="1" applyFill="1" applyBorder="1" applyAlignment="1">
      <alignment horizontal="center" vertical="center"/>
    </xf>
    <xf numFmtId="0" fontId="2" fillId="3" borderId="7" xfId="3" applyFont="1" applyFill="1" applyBorder="1" applyAlignment="1">
      <alignment horizontal="center" vertical="center"/>
    </xf>
    <xf numFmtId="0" fontId="2" fillId="3" borderId="48" xfId="3" applyFont="1" applyFill="1" applyBorder="1" applyAlignment="1">
      <alignment horizontal="center" vertical="center"/>
    </xf>
    <xf numFmtId="0" fontId="11" fillId="3" borderId="46" xfId="2" applyFont="1" applyFill="1" applyBorder="1" applyAlignment="1">
      <alignment horizontal="center" vertical="center"/>
    </xf>
    <xf numFmtId="0" fontId="2" fillId="3" borderId="12" xfId="3" applyFont="1" applyFill="1" applyBorder="1" applyAlignment="1">
      <alignment horizontal="center" vertical="center"/>
    </xf>
    <xf numFmtId="0" fontId="2" fillId="3" borderId="49" xfId="3" applyFont="1" applyFill="1" applyBorder="1" applyAlignment="1">
      <alignment horizontal="center" vertical="center"/>
    </xf>
    <xf numFmtId="0" fontId="2" fillId="3" borderId="40" xfId="3" applyFont="1" applyFill="1" applyBorder="1" applyAlignment="1">
      <alignment horizontal="center" vertical="center"/>
    </xf>
    <xf numFmtId="0" fontId="2" fillId="3" borderId="42" xfId="3" applyFont="1" applyFill="1" applyBorder="1" applyAlignment="1">
      <alignment horizontal="center" vertical="center"/>
    </xf>
    <xf numFmtId="0" fontId="2" fillId="3" borderId="50" xfId="3" applyFont="1" applyFill="1" applyBorder="1" applyAlignment="1">
      <alignment horizontal="center" vertical="center"/>
    </xf>
    <xf numFmtId="180" fontId="2" fillId="0" borderId="0" xfId="3" applyNumberFormat="1" applyFont="1" applyFill="1" applyBorder="1" applyAlignment="1">
      <alignment horizontal="center" vertical="center"/>
    </xf>
    <xf numFmtId="180" fontId="2" fillId="0" borderId="16" xfId="3" applyNumberFormat="1" applyFont="1" applyFill="1" applyBorder="1" applyAlignment="1">
      <alignment horizontal="center" vertical="center"/>
    </xf>
    <xf numFmtId="180" fontId="2" fillId="0" borderId="41" xfId="3" applyNumberFormat="1" applyFont="1" applyFill="1" applyBorder="1" applyAlignment="1">
      <alignment horizontal="center" vertical="center"/>
    </xf>
    <xf numFmtId="180" fontId="2" fillId="0" borderId="65" xfId="3" applyNumberFormat="1" applyFont="1" applyFill="1" applyBorder="1" applyAlignment="1">
      <alignment horizontal="center" vertical="center"/>
    </xf>
    <xf numFmtId="180" fontId="2" fillId="0" borderId="18" xfId="3" applyNumberFormat="1" applyFont="1" applyFill="1" applyBorder="1" applyAlignment="1">
      <alignment horizontal="center" vertical="center"/>
    </xf>
    <xf numFmtId="180" fontId="2" fillId="0" borderId="19" xfId="3" applyNumberFormat="1" applyFont="1" applyFill="1" applyBorder="1" applyAlignment="1">
      <alignment horizontal="center" vertical="center"/>
    </xf>
    <xf numFmtId="14" fontId="2" fillId="0" borderId="0" xfId="3" applyNumberFormat="1" applyFont="1" applyFill="1" applyBorder="1" applyAlignment="1">
      <alignment horizontal="center" vertical="center"/>
    </xf>
    <xf numFmtId="14" fontId="2" fillId="0" borderId="16" xfId="3" applyNumberFormat="1" applyFont="1" applyFill="1" applyBorder="1" applyAlignment="1">
      <alignment horizontal="center" vertical="center"/>
    </xf>
    <xf numFmtId="14" fontId="2" fillId="0" borderId="12" xfId="3" applyNumberFormat="1" applyFont="1" applyFill="1" applyBorder="1" applyAlignment="1">
      <alignment horizontal="center" vertical="center"/>
    </xf>
    <xf numFmtId="14" fontId="2" fillId="0" borderId="17" xfId="3" applyNumberFormat="1" applyFont="1" applyFill="1" applyBorder="1" applyAlignment="1">
      <alignment horizontal="center" vertical="center"/>
    </xf>
    <xf numFmtId="14" fontId="2" fillId="0" borderId="18" xfId="3" applyNumberFormat="1" applyFont="1" applyFill="1" applyBorder="1" applyAlignment="1">
      <alignment horizontal="center" vertical="center"/>
    </xf>
    <xf numFmtId="14" fontId="2" fillId="0" borderId="19" xfId="3" applyNumberFormat="1" applyFont="1" applyFill="1" applyBorder="1" applyAlignment="1">
      <alignment horizontal="center" vertical="center"/>
    </xf>
    <xf numFmtId="0" fontId="2" fillId="0" borderId="0" xfId="3" applyFont="1" applyFill="1" applyBorder="1" applyAlignment="1">
      <alignment vertical="center" wrapText="1"/>
    </xf>
    <xf numFmtId="0" fontId="2" fillId="0" borderId="16" xfId="3" applyFont="1" applyFill="1" applyBorder="1" applyAlignment="1">
      <alignment vertical="center" wrapText="1"/>
    </xf>
    <xf numFmtId="0" fontId="2" fillId="0" borderId="12" xfId="3" applyFont="1" applyFill="1" applyBorder="1" applyAlignment="1">
      <alignment vertical="center" wrapText="1"/>
    </xf>
    <xf numFmtId="0" fontId="2" fillId="0" borderId="17" xfId="3" applyFont="1" applyFill="1" applyBorder="1" applyAlignment="1">
      <alignment vertical="center" wrapText="1"/>
    </xf>
    <xf numFmtId="0" fontId="2" fillId="0" borderId="18" xfId="3" applyFont="1" applyFill="1" applyBorder="1" applyAlignment="1">
      <alignment vertical="center" wrapText="1"/>
    </xf>
    <xf numFmtId="0" fontId="2" fillId="0" borderId="19" xfId="3" applyFont="1" applyFill="1" applyBorder="1" applyAlignment="1">
      <alignment vertical="center" wrapText="1"/>
    </xf>
    <xf numFmtId="180" fontId="11" fillId="0" borderId="28" xfId="2" applyNumberFormat="1" applyFont="1" applyFill="1" applyBorder="1" applyAlignment="1">
      <alignment horizontal="center" vertical="center"/>
    </xf>
    <xf numFmtId="180" fontId="2" fillId="0" borderId="14" xfId="3" applyNumberFormat="1" applyFont="1" applyFill="1" applyBorder="1" applyAlignment="1">
      <alignment horizontal="center" vertical="center"/>
    </xf>
    <xf numFmtId="180" fontId="2" fillId="0" borderId="15" xfId="3" applyNumberFormat="1" applyFont="1" applyFill="1" applyBorder="1" applyAlignment="1">
      <alignment horizontal="center" vertical="center"/>
    </xf>
    <xf numFmtId="14" fontId="11" fillId="0" borderId="13" xfId="2" applyNumberFormat="1" applyFont="1" applyFill="1" applyBorder="1" applyAlignment="1">
      <alignment horizontal="center" vertical="center"/>
    </xf>
    <xf numFmtId="14" fontId="2" fillId="0" borderId="14" xfId="3" applyNumberFormat="1" applyFont="1" applyFill="1" applyBorder="1" applyAlignment="1">
      <alignment horizontal="center" vertical="center"/>
    </xf>
    <xf numFmtId="14" fontId="2" fillId="0" borderId="15" xfId="3" applyNumberFormat="1" applyFont="1" applyFill="1" applyBorder="1" applyAlignment="1">
      <alignment horizontal="center" vertical="center"/>
    </xf>
    <xf numFmtId="0" fontId="11" fillId="0" borderId="13" xfId="2" applyFont="1" applyFill="1" applyBorder="1" applyAlignment="1">
      <alignment vertical="center" wrapText="1"/>
    </xf>
    <xf numFmtId="0" fontId="2" fillId="0" borderId="14" xfId="3" applyFont="1" applyFill="1" applyBorder="1" applyAlignment="1">
      <alignment vertical="center" wrapText="1"/>
    </xf>
    <xf numFmtId="0" fontId="2" fillId="0" borderId="15" xfId="3" applyFont="1" applyFill="1" applyBorder="1" applyAlignment="1">
      <alignment vertical="center" wrapText="1"/>
    </xf>
    <xf numFmtId="0" fontId="11" fillId="0" borderId="9" xfId="2" applyNumberFormat="1" applyFont="1" applyFill="1" applyBorder="1" applyAlignment="1">
      <alignment vertical="center" wrapText="1"/>
    </xf>
    <xf numFmtId="0" fontId="2" fillId="0" borderId="10" xfId="3" applyNumberFormat="1" applyFont="1" applyFill="1" applyBorder="1" applyAlignment="1">
      <alignment vertical="center" wrapText="1"/>
    </xf>
    <xf numFmtId="0" fontId="2" fillId="0" borderId="11" xfId="3" applyNumberFormat="1" applyFont="1" applyFill="1" applyBorder="1" applyAlignment="1">
      <alignment vertical="center" wrapText="1"/>
    </xf>
    <xf numFmtId="0" fontId="2" fillId="0" borderId="9" xfId="3" applyNumberFormat="1" applyFont="1" applyFill="1" applyBorder="1" applyAlignment="1">
      <alignment vertical="center" wrapText="1"/>
    </xf>
    <xf numFmtId="0" fontId="63" fillId="0" borderId="67" xfId="2" applyNumberFormat="1" applyFont="1" applyFill="1" applyBorder="1" applyAlignment="1">
      <alignment horizontal="center" vertical="center"/>
    </xf>
    <xf numFmtId="0" fontId="62" fillId="0" borderId="10" xfId="3" applyNumberFormat="1" applyFont="1" applyFill="1" applyBorder="1" applyAlignment="1">
      <alignment horizontal="center" vertical="center"/>
    </xf>
    <xf numFmtId="0" fontId="62" fillId="0" borderId="11" xfId="3" applyNumberFormat="1" applyFont="1" applyFill="1" applyBorder="1" applyAlignment="1">
      <alignment horizontal="center" vertical="center"/>
    </xf>
    <xf numFmtId="0" fontId="62" fillId="0" borderId="67" xfId="3" applyNumberFormat="1" applyFont="1" applyFill="1" applyBorder="1" applyAlignment="1">
      <alignment horizontal="center" vertical="center"/>
    </xf>
    <xf numFmtId="14" fontId="63" fillId="0" borderId="9" xfId="2" applyNumberFormat="1" applyFont="1" applyFill="1" applyBorder="1" applyAlignment="1">
      <alignment horizontal="center" vertical="center"/>
    </xf>
    <xf numFmtId="14" fontId="62" fillId="0" borderId="10" xfId="3" applyNumberFormat="1" applyFont="1" applyFill="1" applyBorder="1" applyAlignment="1">
      <alignment horizontal="center" vertical="center"/>
    </xf>
    <xf numFmtId="14" fontId="62" fillId="0" borderId="11" xfId="3" applyNumberFormat="1" applyFont="1" applyFill="1" applyBorder="1" applyAlignment="1">
      <alignment horizontal="center" vertical="center"/>
    </xf>
    <xf numFmtId="14" fontId="62" fillId="0" borderId="9" xfId="3" applyNumberFormat="1" applyFont="1" applyFill="1" applyBorder="1" applyAlignment="1">
      <alignment horizontal="center" vertical="center"/>
    </xf>
    <xf numFmtId="0" fontId="63" fillId="0" borderId="13" xfId="2" applyFont="1" applyFill="1" applyBorder="1" applyAlignment="1">
      <alignment horizontal="center" vertical="center" wrapText="1"/>
    </xf>
    <xf numFmtId="0" fontId="62" fillId="0" borderId="14" xfId="3" applyFont="1" applyFill="1" applyBorder="1" applyAlignment="1">
      <alignment horizontal="center" vertical="center"/>
    </xf>
    <xf numFmtId="0" fontId="62" fillId="0" borderId="15" xfId="3" applyFont="1" applyFill="1" applyBorder="1" applyAlignment="1">
      <alignment horizontal="center" vertical="center"/>
    </xf>
    <xf numFmtId="0" fontId="63" fillId="0" borderId="12" xfId="2" applyFont="1" applyFill="1" applyBorder="1" applyAlignment="1">
      <alignment horizontal="center" vertical="center" wrapText="1"/>
    </xf>
    <xf numFmtId="0" fontId="62" fillId="0" borderId="0" xfId="3" applyFont="1" applyFill="1" applyBorder="1" applyAlignment="1">
      <alignment horizontal="center" vertical="center"/>
    </xf>
    <xf numFmtId="0" fontId="62" fillId="0" borderId="16" xfId="3" applyFont="1" applyFill="1" applyBorder="1" applyAlignment="1">
      <alignment horizontal="center" vertical="center"/>
    </xf>
    <xf numFmtId="0" fontId="62" fillId="0" borderId="12" xfId="3" applyFont="1" applyFill="1" applyBorder="1" applyAlignment="1">
      <alignment horizontal="center" vertical="center"/>
    </xf>
    <xf numFmtId="0" fontId="62" fillId="0" borderId="17" xfId="3" applyFont="1" applyFill="1" applyBorder="1" applyAlignment="1">
      <alignment horizontal="center" vertical="center"/>
    </xf>
    <xf numFmtId="0" fontId="62" fillId="0" borderId="18" xfId="3" applyFont="1" applyFill="1" applyBorder="1" applyAlignment="1">
      <alignment horizontal="center" vertical="center"/>
    </xf>
    <xf numFmtId="0" fontId="62" fillId="0" borderId="19" xfId="3" applyFont="1" applyFill="1" applyBorder="1" applyAlignment="1">
      <alignment horizontal="center" vertical="center"/>
    </xf>
    <xf numFmtId="0" fontId="63" fillId="0" borderId="9" xfId="2" applyNumberFormat="1" applyFont="1" applyFill="1" applyBorder="1" applyAlignment="1">
      <alignment vertical="center" wrapText="1"/>
    </xf>
    <xf numFmtId="0" fontId="62" fillId="0" borderId="10" xfId="3" applyNumberFormat="1" applyFont="1" applyFill="1" applyBorder="1" applyAlignment="1">
      <alignment vertical="center" wrapText="1"/>
    </xf>
    <xf numFmtId="0" fontId="62" fillId="0" borderId="11" xfId="3" applyNumberFormat="1" applyFont="1" applyFill="1" applyBorder="1" applyAlignment="1">
      <alignment vertical="center" wrapText="1"/>
    </xf>
    <xf numFmtId="0" fontId="62" fillId="0" borderId="9" xfId="3" applyNumberFormat="1" applyFont="1" applyFill="1" applyBorder="1" applyAlignment="1">
      <alignment vertical="center" wrapText="1"/>
    </xf>
    <xf numFmtId="0" fontId="63" fillId="0" borderId="9" xfId="2" applyNumberFormat="1" applyFont="1" applyFill="1" applyBorder="1" applyAlignment="1">
      <alignment horizontal="center" vertical="center"/>
    </xf>
    <xf numFmtId="0" fontId="62" fillId="0" borderId="51" xfId="3" applyNumberFormat="1" applyFont="1" applyFill="1" applyBorder="1" applyAlignment="1">
      <alignment horizontal="center" vertical="center"/>
    </xf>
    <xf numFmtId="0" fontId="62" fillId="0" borderId="9" xfId="3" applyNumberFormat="1" applyFont="1" applyFill="1" applyBorder="1" applyAlignment="1">
      <alignment horizontal="center" vertical="center"/>
    </xf>
    <xf numFmtId="0" fontId="11" fillId="0" borderId="14" xfId="2" applyFont="1" applyFill="1" applyBorder="1" applyAlignment="1">
      <alignment vertical="center" wrapText="1"/>
    </xf>
    <xf numFmtId="0" fontId="11" fillId="0" borderId="15" xfId="2" applyFont="1" applyFill="1" applyBorder="1" applyAlignment="1">
      <alignment vertical="center" wrapText="1"/>
    </xf>
    <xf numFmtId="180" fontId="2" fillId="0" borderId="31" xfId="3" applyNumberFormat="1" applyFont="1" applyFill="1" applyBorder="1" applyAlignment="1">
      <alignment horizontal="center" vertical="center"/>
    </xf>
    <xf numFmtId="180" fontId="2" fillId="0" borderId="32" xfId="3" applyNumberFormat="1" applyFont="1" applyFill="1" applyBorder="1" applyAlignment="1">
      <alignment horizontal="center" vertical="center"/>
    </xf>
    <xf numFmtId="180" fontId="2" fillId="0" borderId="33" xfId="3" applyNumberFormat="1" applyFont="1" applyFill="1" applyBorder="1" applyAlignment="1">
      <alignment horizontal="center" vertical="center"/>
    </xf>
    <xf numFmtId="14" fontId="2" fillId="0" borderId="34" xfId="3" applyNumberFormat="1" applyFont="1" applyFill="1" applyBorder="1" applyAlignment="1">
      <alignment horizontal="center" vertical="center"/>
    </xf>
    <xf numFmtId="14" fontId="2" fillId="0" borderId="32" xfId="3" applyNumberFormat="1" applyFont="1" applyFill="1" applyBorder="1" applyAlignment="1">
      <alignment horizontal="center" vertical="center"/>
    </xf>
    <xf numFmtId="14" fontId="2" fillId="0" borderId="33" xfId="3" applyNumberFormat="1" applyFont="1" applyFill="1" applyBorder="1" applyAlignment="1">
      <alignment horizontal="center" vertical="center"/>
    </xf>
    <xf numFmtId="0" fontId="2" fillId="0" borderId="34" xfId="3" applyFont="1" applyFill="1" applyBorder="1" applyAlignment="1">
      <alignment horizontal="center" vertical="center"/>
    </xf>
    <xf numFmtId="0" fontId="2" fillId="0" borderId="32" xfId="3" applyFont="1" applyFill="1" applyBorder="1" applyAlignment="1">
      <alignment horizontal="center" vertical="center"/>
    </xf>
    <xf numFmtId="0" fontId="2" fillId="0" borderId="33" xfId="3" applyFont="1" applyFill="1" applyBorder="1" applyAlignment="1">
      <alignment horizontal="center" vertical="center"/>
    </xf>
    <xf numFmtId="0" fontId="2" fillId="0" borderId="34" xfId="3" applyFont="1" applyFill="1" applyBorder="1" applyAlignment="1">
      <alignment vertical="center" wrapText="1"/>
    </xf>
    <xf numFmtId="0" fontId="2" fillId="0" borderId="32" xfId="3" applyFont="1" applyFill="1" applyBorder="1" applyAlignment="1">
      <alignment vertical="center" wrapText="1"/>
    </xf>
    <xf numFmtId="0" fontId="2" fillId="0" borderId="33" xfId="3" applyFont="1" applyFill="1" applyBorder="1" applyAlignment="1">
      <alignment vertical="center" wrapText="1"/>
    </xf>
    <xf numFmtId="0" fontId="2" fillId="0" borderId="44" xfId="3" applyFont="1" applyFill="1" applyBorder="1" applyAlignment="1">
      <alignment horizontal="center" vertical="center"/>
    </xf>
    <xf numFmtId="0" fontId="11" fillId="0" borderId="0" xfId="2" applyFont="1" applyFill="1" applyBorder="1" applyAlignment="1">
      <alignment horizontal="center" vertical="center"/>
    </xf>
    <xf numFmtId="0" fontId="11" fillId="0" borderId="0" xfId="2" applyNumberFormat="1" applyFont="1" applyFill="1" applyBorder="1" applyAlignment="1">
      <alignment horizontal="center" vertical="center"/>
    </xf>
    <xf numFmtId="0" fontId="2" fillId="0" borderId="0" xfId="3" applyNumberFormat="1" applyFont="1" applyFill="1" applyBorder="1" applyAlignment="1">
      <alignment horizontal="center" vertical="center"/>
    </xf>
    <xf numFmtId="0" fontId="11" fillId="0" borderId="0" xfId="2" applyNumberFormat="1" applyFont="1" applyFill="1" applyBorder="1" applyAlignment="1">
      <alignment horizontal="center" vertical="center" wrapText="1"/>
    </xf>
    <xf numFmtId="0" fontId="11" fillId="0" borderId="0" xfId="2" applyNumberFormat="1" applyFont="1" applyFill="1" applyBorder="1" applyAlignment="1">
      <alignment vertical="center" wrapText="1"/>
    </xf>
    <xf numFmtId="0" fontId="2" fillId="0" borderId="0" xfId="3" applyNumberFormat="1" applyFont="1" applyFill="1" applyBorder="1" applyAlignment="1">
      <alignment vertical="center" wrapText="1"/>
    </xf>
    <xf numFmtId="0" fontId="62" fillId="32" borderId="68" xfId="3" applyFont="1" applyFill="1" applyBorder="1" applyAlignment="1">
      <alignment horizontal="center" vertical="center"/>
    </xf>
    <xf numFmtId="0" fontId="62" fillId="32" borderId="9" xfId="3" applyFont="1" applyFill="1" applyBorder="1" applyAlignment="1">
      <alignment horizontal="center" vertical="center"/>
    </xf>
    <xf numFmtId="0" fontId="62" fillId="32" borderId="11" xfId="3" applyFont="1" applyFill="1" applyBorder="1" applyAlignment="1">
      <alignment horizontal="center" vertical="center"/>
    </xf>
    <xf numFmtId="0" fontId="62" fillId="0" borderId="9" xfId="3" applyFont="1" applyFill="1" applyBorder="1" applyAlignment="1">
      <alignment horizontal="left" vertical="center"/>
    </xf>
    <xf numFmtId="0" fontId="62" fillId="0" borderId="10" xfId="3" applyFont="1" applyFill="1" applyBorder="1" applyAlignment="1">
      <alignment horizontal="left" vertical="center"/>
    </xf>
    <xf numFmtId="0" fontId="62" fillId="0" borderId="11" xfId="3" applyFont="1" applyFill="1" applyBorder="1" applyAlignment="1">
      <alignment horizontal="left" vertical="center"/>
    </xf>
    <xf numFmtId="0" fontId="62" fillId="0" borderId="9" xfId="3" applyNumberFormat="1" applyFont="1" applyFill="1" applyBorder="1" applyAlignment="1">
      <alignment horizontal="left" vertical="center"/>
    </xf>
    <xf numFmtId="0" fontId="62" fillId="0" borderId="10" xfId="3" applyNumberFormat="1" applyFont="1" applyFill="1" applyBorder="1" applyAlignment="1">
      <alignment horizontal="left" vertical="center"/>
    </xf>
    <xf numFmtId="0" fontId="62" fillId="0" borderId="11" xfId="3" applyNumberFormat="1" applyFont="1" applyFill="1" applyBorder="1" applyAlignment="1">
      <alignment horizontal="left" vertical="center"/>
    </xf>
    <xf numFmtId="0" fontId="2" fillId="32" borderId="9" xfId="3" applyFont="1" applyFill="1" applyBorder="1" applyAlignment="1">
      <alignment horizontal="left" vertical="center"/>
    </xf>
    <xf numFmtId="0" fontId="2" fillId="32" borderId="10" xfId="3" applyFont="1" applyFill="1" applyBorder="1" applyAlignment="1">
      <alignment horizontal="left" vertical="center"/>
    </xf>
    <xf numFmtId="0" fontId="2" fillId="32" borderId="11" xfId="3" applyFont="1" applyFill="1" applyBorder="1" applyAlignment="1">
      <alignment horizontal="left" vertical="center"/>
    </xf>
    <xf numFmtId="0" fontId="2" fillId="32" borderId="68" xfId="3" applyFont="1" applyFill="1" applyBorder="1" applyAlignment="1">
      <alignment horizontal="center" vertical="center"/>
    </xf>
    <xf numFmtId="0" fontId="2" fillId="32" borderId="9" xfId="3" applyFont="1" applyFill="1" applyBorder="1" applyAlignment="1">
      <alignment horizontal="center" vertical="center"/>
    </xf>
    <xf numFmtId="0" fontId="2" fillId="32" borderId="11" xfId="3" applyFont="1" applyFill="1" applyBorder="1" applyAlignment="1">
      <alignment horizontal="center" vertical="center"/>
    </xf>
    <xf numFmtId="0" fontId="2" fillId="0" borderId="9" xfId="3" applyFont="1" applyFill="1" applyBorder="1" applyAlignment="1">
      <alignment horizontal="left" vertical="center"/>
    </xf>
    <xf numFmtId="0" fontId="2" fillId="0" borderId="10" xfId="3" applyFont="1" applyFill="1" applyBorder="1" applyAlignment="1">
      <alignment horizontal="left" vertical="center"/>
    </xf>
    <xf numFmtId="0" fontId="2" fillId="0" borderId="11" xfId="3" applyFont="1" applyFill="1" applyBorder="1" applyAlignment="1">
      <alignment horizontal="left" vertical="center"/>
    </xf>
    <xf numFmtId="0" fontId="2" fillId="0" borderId="68" xfId="3" applyFont="1" applyFill="1" applyBorder="1" applyAlignment="1">
      <alignment horizontal="center" vertical="center"/>
    </xf>
    <xf numFmtId="0" fontId="51" fillId="32" borderId="9" xfId="3" applyFont="1" applyFill="1" applyBorder="1" applyAlignment="1">
      <alignment horizontal="center" vertical="center"/>
    </xf>
    <xf numFmtId="0" fontId="51" fillId="32" borderId="11" xfId="3" applyFont="1" applyFill="1" applyBorder="1" applyAlignment="1">
      <alignment horizontal="center" vertical="center"/>
    </xf>
    <xf numFmtId="0" fontId="51" fillId="0" borderId="9" xfId="3" applyFont="1" applyFill="1" applyBorder="1" applyAlignment="1">
      <alignment horizontal="left" vertical="center"/>
    </xf>
    <xf numFmtId="0" fontId="51" fillId="0" borderId="10" xfId="3" applyFont="1" applyFill="1" applyBorder="1" applyAlignment="1">
      <alignment horizontal="left" vertical="center"/>
    </xf>
    <xf numFmtId="0" fontId="51" fillId="0" borderId="11" xfId="3" applyFont="1" applyFill="1" applyBorder="1" applyAlignment="1">
      <alignment horizontal="left" vertical="center"/>
    </xf>
    <xf numFmtId="0" fontId="51" fillId="32" borderId="68" xfId="3" applyFont="1" applyFill="1" applyBorder="1" applyAlignment="1">
      <alignment horizontal="center" vertical="center"/>
    </xf>
    <xf numFmtId="0" fontId="2" fillId="31" borderId="68" xfId="3" applyFont="1" applyFill="1" applyBorder="1" applyAlignment="1">
      <alignment horizontal="center" vertical="center"/>
    </xf>
    <xf numFmtId="0" fontId="51" fillId="0" borderId="9" xfId="3" applyFont="1" applyFill="1" applyBorder="1" applyAlignment="1">
      <alignment horizontal="center" vertical="center"/>
    </xf>
    <xf numFmtId="0" fontId="51" fillId="0" borderId="11" xfId="3" applyFont="1" applyFill="1" applyBorder="1" applyAlignment="1">
      <alignment horizontal="center" vertical="center"/>
    </xf>
    <xf numFmtId="0" fontId="2" fillId="0" borderId="17" xfId="3" applyFont="1" applyFill="1" applyBorder="1" applyAlignment="1">
      <alignment horizontal="left" vertical="center"/>
    </xf>
    <xf numFmtId="0" fontId="2" fillId="0" borderId="18" xfId="3" applyFont="1" applyFill="1" applyBorder="1" applyAlignment="1">
      <alignment horizontal="left" vertical="center"/>
    </xf>
    <xf numFmtId="0" fontId="2" fillId="0" borderId="19" xfId="3" applyFont="1" applyFill="1" applyBorder="1" applyAlignment="1">
      <alignment horizontal="left" vertical="center"/>
    </xf>
    <xf numFmtId="0" fontId="2" fillId="31" borderId="9" xfId="3" applyFont="1" applyFill="1" applyBorder="1" applyAlignment="1">
      <alignment horizontal="left" vertical="center"/>
    </xf>
    <xf numFmtId="0" fontId="2" fillId="31" borderId="10" xfId="3" applyFont="1" applyFill="1" applyBorder="1" applyAlignment="1">
      <alignment horizontal="left" vertical="center"/>
    </xf>
    <xf numFmtId="0" fontId="2" fillId="31" borderId="11" xfId="3" applyFont="1" applyFill="1" applyBorder="1" applyAlignment="1">
      <alignment horizontal="left" vertical="center"/>
    </xf>
    <xf numFmtId="0" fontId="2" fillId="0" borderId="13" xfId="3" applyFont="1" applyFill="1" applyBorder="1" applyAlignment="1">
      <alignment horizontal="left" vertical="top"/>
    </xf>
    <xf numFmtId="0" fontId="2" fillId="0" borderId="14" xfId="3" applyFont="1" applyFill="1" applyBorder="1" applyAlignment="1">
      <alignment horizontal="left" vertical="top"/>
    </xf>
    <xf numFmtId="0" fontId="2" fillId="0" borderId="15" xfId="3" applyFont="1" applyFill="1" applyBorder="1" applyAlignment="1">
      <alignment horizontal="left" vertical="top"/>
    </xf>
    <xf numFmtId="0" fontId="2" fillId="0" borderId="12" xfId="3" applyFont="1" applyFill="1" applyBorder="1" applyAlignment="1">
      <alignment horizontal="left" vertical="top"/>
    </xf>
    <xf numFmtId="0" fontId="2" fillId="0" borderId="0" xfId="3" applyFont="1" applyFill="1" applyBorder="1" applyAlignment="1">
      <alignment horizontal="left" vertical="top"/>
    </xf>
    <xf numFmtId="0" fontId="2" fillId="0" borderId="16" xfId="3" applyFont="1" applyFill="1" applyBorder="1" applyAlignment="1">
      <alignment horizontal="left" vertical="top"/>
    </xf>
    <xf numFmtId="0" fontId="2" fillId="0" borderId="17" xfId="3" applyFont="1" applyFill="1" applyBorder="1" applyAlignment="1">
      <alignment horizontal="left" vertical="top"/>
    </xf>
    <xf numFmtId="0" fontId="2" fillId="0" borderId="18" xfId="3" applyFont="1" applyFill="1" applyBorder="1" applyAlignment="1">
      <alignment horizontal="left" vertical="top"/>
    </xf>
    <xf numFmtId="0" fontId="2" fillId="0" borderId="19" xfId="3" applyFont="1" applyFill="1" applyBorder="1" applyAlignment="1">
      <alignment horizontal="left" vertical="top"/>
    </xf>
    <xf numFmtId="0" fontId="2" fillId="0" borderId="9" xfId="3" applyFont="1" applyFill="1" applyBorder="1" applyAlignment="1">
      <alignment horizontal="left" vertical="center" wrapText="1"/>
    </xf>
    <xf numFmtId="0" fontId="2" fillId="0" borderId="10" xfId="3" applyFont="1" applyFill="1" applyBorder="1" applyAlignment="1">
      <alignment horizontal="left" vertical="center" wrapText="1"/>
    </xf>
    <xf numFmtId="0" fontId="2" fillId="0" borderId="11" xfId="3" applyFont="1" applyFill="1" applyBorder="1" applyAlignment="1">
      <alignment horizontal="left" vertical="center" wrapText="1"/>
    </xf>
    <xf numFmtId="0" fontId="51" fillId="0" borderId="14" xfId="3" applyFont="1" applyFill="1" applyBorder="1" applyAlignment="1">
      <alignment horizontal="left" vertical="top"/>
    </xf>
    <xf numFmtId="0" fontId="51" fillId="0" borderId="15" xfId="3" applyFont="1" applyFill="1" applyBorder="1" applyAlignment="1">
      <alignment horizontal="left" vertical="top"/>
    </xf>
    <xf numFmtId="0" fontId="51" fillId="0" borderId="12" xfId="3" applyFont="1" applyFill="1" applyBorder="1" applyAlignment="1">
      <alignment horizontal="left" vertical="top"/>
    </xf>
    <xf numFmtId="0" fontId="51" fillId="0" borderId="0" xfId="3" applyFont="1" applyFill="1" applyBorder="1" applyAlignment="1">
      <alignment horizontal="left" vertical="top"/>
    </xf>
    <xf numFmtId="0" fontId="51" fillId="0" borderId="16" xfId="3" applyFont="1" applyFill="1" applyBorder="1" applyAlignment="1">
      <alignment horizontal="left" vertical="top"/>
    </xf>
    <xf numFmtId="0" fontId="51" fillId="0" borderId="17" xfId="3" applyFont="1" applyFill="1" applyBorder="1" applyAlignment="1">
      <alignment horizontal="left" vertical="top"/>
    </xf>
    <xf numFmtId="0" fontId="51" fillId="0" borderId="18" xfId="3" applyFont="1" applyFill="1" applyBorder="1" applyAlignment="1">
      <alignment horizontal="left" vertical="top"/>
    </xf>
    <xf numFmtId="0" fontId="51" fillId="0" borderId="19" xfId="3" applyFont="1" applyFill="1" applyBorder="1" applyAlignment="1">
      <alignment horizontal="left" vertical="top"/>
    </xf>
    <xf numFmtId="0" fontId="51" fillId="0" borderId="68" xfId="3" applyFont="1" applyFill="1" applyBorder="1" applyAlignment="1">
      <alignment horizontal="center" vertical="center"/>
    </xf>
    <xf numFmtId="0" fontId="51" fillId="0" borderId="13" xfId="3" applyFont="1" applyFill="1" applyBorder="1" applyAlignment="1">
      <alignment horizontal="center" vertical="center"/>
    </xf>
    <xf numFmtId="0" fontId="51" fillId="0" borderId="15" xfId="3" applyFont="1" applyFill="1" applyBorder="1" applyAlignment="1">
      <alignment horizontal="center" vertical="center"/>
    </xf>
    <xf numFmtId="0" fontId="51" fillId="0" borderId="13" xfId="3" applyFont="1" applyFill="1" applyBorder="1" applyAlignment="1">
      <alignment horizontal="left" vertical="center"/>
    </xf>
    <xf numFmtId="0" fontId="51" fillId="0" borderId="14" xfId="3" applyFont="1" applyFill="1" applyBorder="1" applyAlignment="1">
      <alignment horizontal="left" vertical="center"/>
    </xf>
    <xf numFmtId="0" fontId="51" fillId="0" borderId="15" xfId="3" applyFont="1" applyFill="1" applyBorder="1" applyAlignment="1">
      <alignment horizontal="left" vertical="center"/>
    </xf>
    <xf numFmtId="0" fontId="51" fillId="0" borderId="13" xfId="3" applyFont="1" applyFill="1" applyBorder="1" applyAlignment="1">
      <alignment horizontal="left" vertical="center" wrapText="1"/>
    </xf>
    <xf numFmtId="0" fontId="51" fillId="0" borderId="14" xfId="3" applyFont="1" applyFill="1" applyBorder="1" applyAlignment="1">
      <alignment horizontal="left" vertical="center" wrapText="1"/>
    </xf>
    <xf numFmtId="0" fontId="51" fillId="0" borderId="15" xfId="3" applyFont="1" applyFill="1" applyBorder="1" applyAlignment="1">
      <alignment horizontal="left" vertical="center" wrapText="1"/>
    </xf>
    <xf numFmtId="0" fontId="2" fillId="0" borderId="9" xfId="3" applyFont="1" applyFill="1" applyBorder="1" applyAlignment="1">
      <alignment horizontal="center" vertical="center"/>
    </xf>
    <xf numFmtId="0" fontId="2" fillId="0" borderId="11" xfId="3" applyFont="1" applyFill="1" applyBorder="1" applyAlignment="1">
      <alignment horizontal="center" vertical="center"/>
    </xf>
    <xf numFmtId="0" fontId="2" fillId="0" borderId="69" xfId="3" applyFont="1" applyFill="1" applyBorder="1" applyAlignment="1">
      <alignment horizontal="left" vertical="top" wrapText="1"/>
    </xf>
    <xf numFmtId="0" fontId="2" fillId="0" borderId="70" xfId="3" applyFont="1" applyFill="1" applyBorder="1" applyAlignment="1">
      <alignment horizontal="left" vertical="top" wrapText="1"/>
    </xf>
    <xf numFmtId="0" fontId="2" fillId="0" borderId="71" xfId="3" applyFont="1" applyFill="1" applyBorder="1" applyAlignment="1">
      <alignment horizontal="left" vertical="top" wrapText="1"/>
    </xf>
    <xf numFmtId="0" fontId="2" fillId="0" borderId="12" xfId="3" applyFont="1" applyFill="1" applyBorder="1" applyAlignment="1">
      <alignment horizontal="left" vertical="top" wrapText="1"/>
    </xf>
    <xf numFmtId="0" fontId="2" fillId="0" borderId="0" xfId="3" applyFont="1" applyFill="1" applyBorder="1" applyAlignment="1">
      <alignment horizontal="left" vertical="top" wrapText="1"/>
    </xf>
    <xf numFmtId="0" fontId="2" fillId="0" borderId="16" xfId="3" applyFont="1" applyFill="1" applyBorder="1" applyAlignment="1">
      <alignment horizontal="left" vertical="top" wrapText="1"/>
    </xf>
    <xf numFmtId="0" fontId="2" fillId="0" borderId="17" xfId="3" applyFont="1" applyFill="1" applyBorder="1" applyAlignment="1">
      <alignment horizontal="left" vertical="top" wrapText="1"/>
    </xf>
    <xf numFmtId="0" fontId="2" fillId="0" borderId="18" xfId="3" applyFont="1" applyFill="1" applyBorder="1" applyAlignment="1">
      <alignment horizontal="left" vertical="top" wrapText="1"/>
    </xf>
    <xf numFmtId="0" fontId="2" fillId="0" borderId="19" xfId="3" applyFont="1" applyFill="1" applyBorder="1" applyAlignment="1">
      <alignment horizontal="left" vertical="top" wrapText="1"/>
    </xf>
    <xf numFmtId="0" fontId="51" fillId="33" borderId="9" xfId="3" applyFont="1" applyFill="1" applyBorder="1" applyAlignment="1">
      <alignment horizontal="left" vertical="center"/>
    </xf>
    <xf numFmtId="0" fontId="51" fillId="33" borderId="10" xfId="3" applyFont="1" applyFill="1" applyBorder="1" applyAlignment="1">
      <alignment horizontal="left" vertical="center"/>
    </xf>
    <xf numFmtId="0" fontId="51" fillId="33" borderId="11" xfId="3" applyFont="1" applyFill="1" applyBorder="1" applyAlignment="1">
      <alignment horizontal="left" vertical="center"/>
    </xf>
    <xf numFmtId="0" fontId="51" fillId="33" borderId="68" xfId="3" applyFont="1" applyFill="1" applyBorder="1" applyAlignment="1">
      <alignment horizontal="center" vertical="center"/>
    </xf>
    <xf numFmtId="0" fontId="51" fillId="33" borderId="9" xfId="3" applyFont="1" applyFill="1" applyBorder="1" applyAlignment="1">
      <alignment horizontal="center" vertical="center"/>
    </xf>
    <xf numFmtId="0" fontId="51" fillId="33" borderId="11" xfId="3" applyFont="1" applyFill="1" applyBorder="1" applyAlignment="1">
      <alignment horizontal="center" vertical="center"/>
    </xf>
    <xf numFmtId="0" fontId="51" fillId="32" borderId="13" xfId="3" applyFont="1" applyFill="1" applyBorder="1" applyAlignment="1">
      <alignment horizontal="center" vertical="center"/>
    </xf>
    <xf numFmtId="0" fontId="51" fillId="32" borderId="15" xfId="3" applyFont="1" applyFill="1" applyBorder="1" applyAlignment="1">
      <alignment horizontal="center" vertical="center"/>
    </xf>
    <xf numFmtId="0" fontId="51" fillId="3" borderId="68" xfId="3" applyFont="1" applyFill="1" applyBorder="1" applyAlignment="1">
      <alignment horizontal="center" vertical="center"/>
    </xf>
    <xf numFmtId="0" fontId="51" fillId="3" borderId="46" xfId="3" applyFont="1" applyFill="1" applyBorder="1" applyAlignment="1">
      <alignment horizontal="center" vertical="center"/>
    </xf>
    <xf numFmtId="0" fontId="51" fillId="3" borderId="39" xfId="3" applyFont="1" applyFill="1" applyBorder="1" applyAlignment="1">
      <alignment horizontal="center" vertical="center"/>
    </xf>
    <xf numFmtId="0" fontId="51" fillId="3" borderId="45" xfId="3" applyFont="1" applyFill="1" applyBorder="1" applyAlignment="1">
      <alignment horizontal="center" vertical="center"/>
    </xf>
    <xf numFmtId="0" fontId="51" fillId="3" borderId="17" xfId="3" applyFont="1" applyFill="1" applyBorder="1" applyAlignment="1">
      <alignment horizontal="center" vertical="center"/>
    </xf>
    <xf numFmtId="0" fontId="51" fillId="3" borderId="18" xfId="3" applyFont="1" applyFill="1" applyBorder="1" applyAlignment="1">
      <alignment horizontal="center" vertical="center"/>
    </xf>
    <xf numFmtId="0" fontId="51" fillId="3" borderId="19" xfId="3" applyFont="1" applyFill="1" applyBorder="1" applyAlignment="1">
      <alignment horizontal="center" vertical="center"/>
    </xf>
    <xf numFmtId="0" fontId="51" fillId="3" borderId="21" xfId="2" applyFont="1" applyFill="1" applyBorder="1" applyAlignment="1">
      <alignment horizontal="center" vertical="center"/>
    </xf>
    <xf numFmtId="0" fontId="51" fillId="0" borderId="21" xfId="3" applyFont="1" applyBorder="1" applyAlignment="1">
      <alignment horizontal="center" vertical="center"/>
    </xf>
    <xf numFmtId="0" fontId="51" fillId="0" borderId="27" xfId="3" applyFont="1" applyBorder="1" applyAlignment="1">
      <alignment horizontal="center" vertical="center"/>
    </xf>
    <xf numFmtId="0" fontId="52" fillId="0" borderId="0" xfId="3" applyFont="1" applyAlignment="1">
      <alignment horizontal="center" vertical="center"/>
    </xf>
    <xf numFmtId="0" fontId="52" fillId="0" borderId="5" xfId="3" applyFont="1" applyBorder="1" applyAlignment="1">
      <alignment horizontal="center" vertical="center"/>
    </xf>
    <xf numFmtId="0" fontId="52" fillId="0" borderId="36" xfId="3" applyFont="1" applyBorder="1" applyAlignment="1">
      <alignment horizontal="center" vertical="center"/>
    </xf>
    <xf numFmtId="0" fontId="52" fillId="0" borderId="32" xfId="3" applyFont="1" applyBorder="1" applyAlignment="1">
      <alignment horizontal="center" vertical="center"/>
    </xf>
    <xf numFmtId="0" fontId="52" fillId="0" borderId="35" xfId="3" applyFont="1" applyBorder="1" applyAlignment="1">
      <alignment horizontal="center" vertical="center"/>
    </xf>
    <xf numFmtId="0" fontId="51" fillId="0" borderId="30" xfId="3" applyFont="1" applyBorder="1" applyAlignment="1">
      <alignment horizontal="center" vertical="center"/>
    </xf>
    <xf numFmtId="0" fontId="51" fillId="0" borderId="33" xfId="3" applyFont="1" applyBorder="1" applyAlignment="1">
      <alignment horizontal="center" vertical="center"/>
    </xf>
    <xf numFmtId="0" fontId="51" fillId="0" borderId="37" xfId="3" applyFont="1" applyBorder="1" applyAlignment="1">
      <alignment horizontal="center" vertical="center"/>
    </xf>
    <xf numFmtId="14" fontId="51" fillId="0" borderId="30" xfId="2" applyNumberFormat="1" applyFont="1" applyBorder="1" applyAlignment="1">
      <alignment horizontal="center" vertical="center"/>
    </xf>
    <xf numFmtId="0" fontId="51" fillId="3" borderId="20" xfId="2" applyFont="1" applyFill="1" applyBorder="1" applyAlignment="1">
      <alignment horizontal="center" vertical="center"/>
    </xf>
    <xf numFmtId="0" fontId="51" fillId="0" borderId="22" xfId="3" applyFont="1" applyBorder="1" applyAlignment="1">
      <alignment horizontal="center" vertical="center"/>
    </xf>
    <xf numFmtId="0" fontId="51" fillId="3" borderId="23" xfId="2" applyFont="1" applyFill="1" applyBorder="1" applyAlignment="1">
      <alignment horizontal="center" vertical="center"/>
    </xf>
    <xf numFmtId="0" fontId="52" fillId="30" borderId="24" xfId="2" applyFont="1" applyFill="1" applyBorder="1" applyAlignment="1">
      <alignment horizontal="center" vertical="center" wrapText="1"/>
    </xf>
    <xf numFmtId="0" fontId="52" fillId="30" borderId="21" xfId="3" applyFont="1" applyFill="1" applyBorder="1" applyAlignment="1">
      <alignment horizontal="center" vertical="center"/>
    </xf>
    <xf numFmtId="0" fontId="52" fillId="30" borderId="25" xfId="3" applyFont="1" applyFill="1" applyBorder="1" applyAlignment="1">
      <alignment horizontal="center" vertical="center"/>
    </xf>
    <xf numFmtId="0" fontId="51" fillId="3" borderId="22" xfId="2" applyFont="1" applyFill="1" applyBorder="1" applyAlignment="1">
      <alignment horizontal="center" vertical="center"/>
    </xf>
    <xf numFmtId="0" fontId="51" fillId="0" borderId="26" xfId="3" applyFont="1" applyBorder="1" applyAlignment="1">
      <alignment horizontal="center" vertical="center"/>
    </xf>
    <xf numFmtId="0" fontId="51" fillId="3" borderId="26" xfId="2" applyFont="1" applyFill="1" applyBorder="1" applyAlignment="1">
      <alignment horizontal="center" vertical="center"/>
    </xf>
    <xf numFmtId="0" fontId="53" fillId="3" borderId="13" xfId="2" applyFont="1" applyFill="1" applyBorder="1" applyAlignment="1">
      <alignment horizontal="center" vertical="center"/>
    </xf>
    <xf numFmtId="0" fontId="53" fillId="3" borderId="15" xfId="2" applyFont="1" applyFill="1" applyBorder="1" applyAlignment="1">
      <alignment horizontal="center" vertical="center"/>
    </xf>
    <xf numFmtId="0" fontId="53" fillId="3" borderId="17" xfId="2" applyFont="1" applyFill="1" applyBorder="1" applyAlignment="1">
      <alignment horizontal="center" vertical="center"/>
    </xf>
    <xf numFmtId="0" fontId="53" fillId="3" borderId="19" xfId="2" applyFont="1" applyFill="1" applyBorder="1" applyAlignment="1">
      <alignment horizontal="center" vertical="center"/>
    </xf>
    <xf numFmtId="0" fontId="2" fillId="3" borderId="46" xfId="3" applyFont="1" applyFill="1" applyBorder="1" applyAlignment="1">
      <alignment horizontal="center" vertical="center"/>
    </xf>
    <xf numFmtId="0" fontId="0" fillId="30" borderId="46" xfId="0" applyFont="1" applyFill="1" applyBorder="1" applyAlignment="1">
      <alignment horizontal="center" vertical="center"/>
    </xf>
    <xf numFmtId="0" fontId="54" fillId="30" borderId="39" xfId="0" applyFont="1" applyFill="1" applyBorder="1" applyAlignment="1">
      <alignment horizontal="center" vertical="center"/>
    </xf>
    <xf numFmtId="0" fontId="54" fillId="30" borderId="45" xfId="0" applyFont="1" applyFill="1" applyBorder="1" applyAlignment="1">
      <alignment horizontal="center" vertical="center"/>
    </xf>
    <xf numFmtId="0" fontId="54" fillId="30" borderId="17" xfId="0" applyFont="1" applyFill="1" applyBorder="1" applyAlignment="1">
      <alignment horizontal="center" vertical="center"/>
    </xf>
    <xf numFmtId="0" fontId="54" fillId="30" borderId="18" xfId="0" applyFont="1" applyFill="1" applyBorder="1" applyAlignment="1">
      <alignment horizontal="center" vertical="center"/>
    </xf>
    <xf numFmtId="0" fontId="54" fillId="30" borderId="19" xfId="0" applyFont="1" applyFill="1" applyBorder="1" applyAlignment="1">
      <alignment horizontal="center" vertical="center"/>
    </xf>
    <xf numFmtId="0" fontId="2" fillId="0" borderId="13" xfId="3" applyFont="1" applyFill="1" applyBorder="1" applyAlignment="1">
      <alignment horizontal="left" vertical="center"/>
    </xf>
    <xf numFmtId="0" fontId="2" fillId="0" borderId="14" xfId="3" applyFont="1" applyFill="1" applyBorder="1" applyAlignment="1">
      <alignment horizontal="left" vertical="center"/>
    </xf>
    <xf numFmtId="0" fontId="2" fillId="0" borderId="15" xfId="3" applyFont="1" applyFill="1" applyBorder="1" applyAlignment="1">
      <alignment horizontal="left" vertical="center"/>
    </xf>
    <xf numFmtId="0" fontId="2" fillId="0" borderId="12" xfId="3" applyFont="1" applyFill="1" applyBorder="1" applyAlignment="1">
      <alignment horizontal="left" vertical="center"/>
    </xf>
    <xf numFmtId="0" fontId="2" fillId="0" borderId="0" xfId="3" applyFont="1" applyFill="1" applyBorder="1" applyAlignment="1">
      <alignment horizontal="left" vertical="center"/>
    </xf>
    <xf numFmtId="0" fontId="2" fillId="0" borderId="16" xfId="3" applyFont="1" applyFill="1" applyBorder="1" applyAlignment="1">
      <alignment horizontal="left" vertical="center"/>
    </xf>
    <xf numFmtId="0" fontId="51" fillId="3" borderId="23" xfId="3" applyFont="1" applyFill="1" applyBorder="1" applyAlignment="1">
      <alignment horizontal="center" vertical="center"/>
    </xf>
    <xf numFmtId="0" fontId="51" fillId="3" borderId="21" xfId="3" applyFont="1" applyFill="1" applyBorder="1" applyAlignment="1">
      <alignment horizontal="center" vertical="center"/>
    </xf>
    <xf numFmtId="0" fontId="51" fillId="3" borderId="22" xfId="3" applyFont="1" applyFill="1" applyBorder="1" applyAlignment="1">
      <alignment horizontal="center" vertical="center"/>
    </xf>
    <xf numFmtId="0" fontId="53" fillId="0" borderId="0" xfId="2" applyNumberFormat="1" applyFont="1" applyFill="1" applyBorder="1" applyAlignment="1">
      <alignment horizontal="center" vertical="center"/>
    </xf>
    <xf numFmtId="0" fontId="51" fillId="0" borderId="0" xfId="3" applyNumberFormat="1" applyFont="1" applyFill="1" applyBorder="1" applyAlignment="1">
      <alignment horizontal="center" vertical="center"/>
    </xf>
    <xf numFmtId="0" fontId="2" fillId="33" borderId="9" xfId="3" applyFont="1" applyFill="1" applyBorder="1" applyAlignment="1">
      <alignment horizontal="left" vertical="center"/>
    </xf>
    <xf numFmtId="14" fontId="53" fillId="0" borderId="0" xfId="2" applyNumberFormat="1" applyFont="1" applyFill="1" applyBorder="1" applyAlignment="1">
      <alignment horizontal="center" vertical="center"/>
    </xf>
    <xf numFmtId="14" fontId="51" fillId="0" borderId="0" xfId="3" applyNumberFormat="1" applyFont="1" applyFill="1" applyBorder="1" applyAlignment="1">
      <alignment horizontal="center" vertical="center"/>
    </xf>
    <xf numFmtId="0" fontId="53" fillId="0" borderId="0" xfId="2" applyNumberFormat="1" applyFont="1" applyFill="1" applyBorder="1" applyAlignment="1">
      <alignment horizontal="center" vertical="center" wrapText="1"/>
    </xf>
    <xf numFmtId="0" fontId="53" fillId="0" borderId="0" xfId="2" applyNumberFormat="1" applyFont="1" applyFill="1" applyBorder="1" applyAlignment="1">
      <alignment vertical="center" wrapText="1"/>
    </xf>
    <xf numFmtId="0" fontId="51" fillId="0" borderId="0" xfId="3" applyNumberFormat="1" applyFont="1" applyFill="1" applyBorder="1" applyAlignment="1">
      <alignment vertical="center" wrapText="1"/>
    </xf>
    <xf numFmtId="0" fontId="62" fillId="0" borderId="13" xfId="3" applyFont="1" applyFill="1" applyBorder="1" applyAlignment="1">
      <alignment horizontal="center" vertical="center"/>
    </xf>
    <xf numFmtId="0" fontId="62" fillId="0" borderId="9" xfId="3" applyFont="1" applyFill="1" applyBorder="1" applyAlignment="1">
      <alignment horizontal="center" vertical="center"/>
    </xf>
    <xf numFmtId="0" fontId="62" fillId="0" borderId="11" xfId="3" applyFont="1" applyFill="1" applyBorder="1" applyAlignment="1">
      <alignment horizontal="center" vertical="center"/>
    </xf>
    <xf numFmtId="0" fontId="62" fillId="0" borderId="69" xfId="3" applyFont="1" applyFill="1" applyBorder="1" applyAlignment="1">
      <alignment horizontal="left" vertical="top"/>
    </xf>
    <xf numFmtId="0" fontId="62" fillId="0" borderId="70" xfId="3" applyFont="1" applyFill="1" applyBorder="1" applyAlignment="1">
      <alignment horizontal="left" vertical="top"/>
    </xf>
    <xf numFmtId="0" fontId="62" fillId="0" borderId="71" xfId="3" applyFont="1" applyFill="1" applyBorder="1" applyAlignment="1">
      <alignment horizontal="left" vertical="top"/>
    </xf>
    <xf numFmtId="0" fontId="62" fillId="0" borderId="12" xfId="3" applyFont="1" applyFill="1" applyBorder="1" applyAlignment="1">
      <alignment horizontal="left" vertical="top"/>
    </xf>
    <xf numFmtId="0" fontId="62" fillId="0" borderId="0" xfId="3" applyFont="1" applyFill="1" applyBorder="1" applyAlignment="1">
      <alignment horizontal="left" vertical="top"/>
    </xf>
    <xf numFmtId="0" fontId="62" fillId="0" borderId="16" xfId="3" applyFont="1" applyFill="1" applyBorder="1" applyAlignment="1">
      <alignment horizontal="left" vertical="top"/>
    </xf>
    <xf numFmtId="0" fontId="62" fillId="0" borderId="17" xfId="3" applyFont="1" applyFill="1" applyBorder="1" applyAlignment="1">
      <alignment horizontal="left" vertical="top"/>
    </xf>
    <xf numFmtId="0" fontId="62" fillId="0" borderId="18" xfId="3" applyFont="1" applyFill="1" applyBorder="1" applyAlignment="1">
      <alignment horizontal="left" vertical="top"/>
    </xf>
    <xf numFmtId="0" fontId="62" fillId="0" borderId="19" xfId="3" applyFont="1" applyFill="1" applyBorder="1" applyAlignment="1">
      <alignment horizontal="left" vertical="top"/>
    </xf>
    <xf numFmtId="0" fontId="2" fillId="0" borderId="13" xfId="3" applyFont="1" applyFill="1" applyBorder="1" applyAlignment="1">
      <alignment horizontal="left" vertical="top" wrapText="1"/>
    </xf>
    <xf numFmtId="0" fontId="2" fillId="32" borderId="13" xfId="3" applyFont="1" applyFill="1" applyBorder="1" applyAlignment="1">
      <alignment horizontal="center" vertical="center"/>
    </xf>
    <xf numFmtId="0" fontId="2" fillId="32" borderId="15" xfId="3" applyFont="1" applyFill="1" applyBorder="1" applyAlignment="1">
      <alignment horizontal="center" vertical="center"/>
    </xf>
  </cellXfs>
  <cellStyles count="143">
    <cellStyle name="20% - Accent1" xfId="4" xr:uid="{00000000-0005-0000-0000-000000000000}"/>
    <cellStyle name="20% - Accent2" xfId="5" xr:uid="{00000000-0005-0000-0000-000001000000}"/>
    <cellStyle name="20% - Accent3" xfId="6" xr:uid="{00000000-0005-0000-0000-000002000000}"/>
    <cellStyle name="20% - Accent4" xfId="7" xr:uid="{00000000-0005-0000-0000-000003000000}"/>
    <cellStyle name="20% - Accent5" xfId="8" xr:uid="{00000000-0005-0000-0000-000004000000}"/>
    <cellStyle name="20% - Accent6" xfId="9" xr:uid="{00000000-0005-0000-0000-000005000000}"/>
    <cellStyle name="20% - アクセント 1 2" xfId="10" xr:uid="{00000000-0005-0000-0000-000006000000}"/>
    <cellStyle name="20% - アクセント 2 2" xfId="11" xr:uid="{00000000-0005-0000-0000-000007000000}"/>
    <cellStyle name="20% - アクセント 3 2" xfId="12" xr:uid="{00000000-0005-0000-0000-000008000000}"/>
    <cellStyle name="20% - アクセント 4 2" xfId="13" xr:uid="{00000000-0005-0000-0000-000009000000}"/>
    <cellStyle name="20% - アクセント 5 2" xfId="14" xr:uid="{00000000-0005-0000-0000-00000A000000}"/>
    <cellStyle name="20% - アクセント 6 2" xfId="15" xr:uid="{00000000-0005-0000-0000-00000B000000}"/>
    <cellStyle name="40% - Accent1" xfId="16" xr:uid="{00000000-0005-0000-0000-00000C000000}"/>
    <cellStyle name="40% - Accent2" xfId="17" xr:uid="{00000000-0005-0000-0000-00000D000000}"/>
    <cellStyle name="40% - Accent3" xfId="18" xr:uid="{00000000-0005-0000-0000-00000E000000}"/>
    <cellStyle name="40% - Accent4" xfId="19" xr:uid="{00000000-0005-0000-0000-00000F000000}"/>
    <cellStyle name="40% - Accent5" xfId="20" xr:uid="{00000000-0005-0000-0000-000010000000}"/>
    <cellStyle name="40% - Accent6" xfId="21" xr:uid="{00000000-0005-0000-0000-000011000000}"/>
    <cellStyle name="40% - アクセント 1 2" xfId="22" xr:uid="{00000000-0005-0000-0000-000012000000}"/>
    <cellStyle name="40% - アクセント 2 2" xfId="23" xr:uid="{00000000-0005-0000-0000-000013000000}"/>
    <cellStyle name="40% - アクセント 3 2" xfId="24" xr:uid="{00000000-0005-0000-0000-000014000000}"/>
    <cellStyle name="40% - アクセント 4 2" xfId="25" xr:uid="{00000000-0005-0000-0000-000015000000}"/>
    <cellStyle name="40% - アクセント 5 2" xfId="26" xr:uid="{00000000-0005-0000-0000-000016000000}"/>
    <cellStyle name="40% - アクセント 6 2" xfId="27" xr:uid="{00000000-0005-0000-0000-000017000000}"/>
    <cellStyle name="60% - Accent1" xfId="28" xr:uid="{00000000-0005-0000-0000-000018000000}"/>
    <cellStyle name="60% - Accent2" xfId="29" xr:uid="{00000000-0005-0000-0000-000019000000}"/>
    <cellStyle name="60% - Accent3" xfId="30" xr:uid="{00000000-0005-0000-0000-00001A000000}"/>
    <cellStyle name="60% - Accent4" xfId="31" xr:uid="{00000000-0005-0000-0000-00001B000000}"/>
    <cellStyle name="60% - Accent5" xfId="32" xr:uid="{00000000-0005-0000-0000-00001C000000}"/>
    <cellStyle name="60% - Accent6" xfId="33" xr:uid="{00000000-0005-0000-0000-00001D000000}"/>
    <cellStyle name="60% - アクセント 1 2" xfId="34" xr:uid="{00000000-0005-0000-0000-00001E000000}"/>
    <cellStyle name="60% - アクセント 2 2" xfId="35" xr:uid="{00000000-0005-0000-0000-00001F000000}"/>
    <cellStyle name="60% - アクセント 3 2" xfId="36" xr:uid="{00000000-0005-0000-0000-000020000000}"/>
    <cellStyle name="60% - アクセント 4 2" xfId="37" xr:uid="{00000000-0005-0000-0000-000021000000}"/>
    <cellStyle name="60% - アクセント 5 2" xfId="38" xr:uid="{00000000-0005-0000-0000-000022000000}"/>
    <cellStyle name="60% - アクセント 6 2" xfId="39" xr:uid="{00000000-0005-0000-0000-000023000000}"/>
    <cellStyle name="Accent1" xfId="40" xr:uid="{00000000-0005-0000-0000-000024000000}"/>
    <cellStyle name="Accent2" xfId="41" xr:uid="{00000000-0005-0000-0000-000025000000}"/>
    <cellStyle name="Accent3" xfId="42" xr:uid="{00000000-0005-0000-0000-000026000000}"/>
    <cellStyle name="Accent4" xfId="43" xr:uid="{00000000-0005-0000-0000-000027000000}"/>
    <cellStyle name="Accent5" xfId="44" xr:uid="{00000000-0005-0000-0000-000028000000}"/>
    <cellStyle name="Accent6" xfId="45" xr:uid="{00000000-0005-0000-0000-000029000000}"/>
    <cellStyle name="Background" xfId="46" xr:uid="{00000000-0005-0000-0000-00002A000000}"/>
    <cellStyle name="Bad" xfId="47" xr:uid="{00000000-0005-0000-0000-00002B000000}"/>
    <cellStyle name="Calculation" xfId="48" xr:uid="{00000000-0005-0000-0000-00002C000000}"/>
    <cellStyle name="Calculation 2" xfId="131" xr:uid="{00000000-0005-0000-0000-00002D000000}"/>
    <cellStyle name="Check Cell" xfId="49" xr:uid="{00000000-0005-0000-0000-00002D000000}"/>
    <cellStyle name="Comma [0]_FON95-03" xfId="50" xr:uid="{00000000-0005-0000-0000-00002E000000}"/>
    <cellStyle name="Comma_FON95-03" xfId="51" xr:uid="{00000000-0005-0000-0000-00002F000000}"/>
    <cellStyle name="Currency [0]_FON95-03" xfId="52" xr:uid="{00000000-0005-0000-0000-000030000000}"/>
    <cellStyle name="Currency_FON95-03" xfId="53" xr:uid="{00000000-0005-0000-0000-000031000000}"/>
    <cellStyle name="date" xfId="54" xr:uid="{00000000-0005-0000-0000-000032000000}"/>
    <cellStyle name="Explanatory Text" xfId="55" xr:uid="{00000000-0005-0000-0000-000033000000}"/>
    <cellStyle name="Good" xfId="56" xr:uid="{00000000-0005-0000-0000-000034000000}"/>
    <cellStyle name="Heading 1" xfId="57" xr:uid="{00000000-0005-0000-0000-000035000000}"/>
    <cellStyle name="Heading 2" xfId="58" xr:uid="{00000000-0005-0000-0000-000036000000}"/>
    <cellStyle name="Heading 3" xfId="59" xr:uid="{00000000-0005-0000-0000-000037000000}"/>
    <cellStyle name="Heading 4" xfId="60" xr:uid="{00000000-0005-0000-0000-000038000000}"/>
    <cellStyle name="IBM(401K)" xfId="61" xr:uid="{00000000-0005-0000-0000-000039000000}"/>
    <cellStyle name="Input" xfId="62" xr:uid="{00000000-0005-0000-0000-00003A000000}"/>
    <cellStyle name="Input 2" xfId="132" xr:uid="{00000000-0005-0000-0000-00003C000000}"/>
    <cellStyle name="J401K" xfId="63" xr:uid="{00000000-0005-0000-0000-00003B000000}"/>
    <cellStyle name="Linked Cell" xfId="64" xr:uid="{00000000-0005-0000-0000-00003C000000}"/>
    <cellStyle name="Milliers [0]_AR1194" xfId="65" xr:uid="{00000000-0005-0000-0000-00003D000000}"/>
    <cellStyle name="Milliers_AR1194" xfId="66" xr:uid="{00000000-0005-0000-0000-00003E000000}"/>
    <cellStyle name="Mon騁aire [0]_AR1194" xfId="67" xr:uid="{00000000-0005-0000-0000-00003F000000}"/>
    <cellStyle name="Mon騁aire_AR1194" xfId="68" xr:uid="{00000000-0005-0000-0000-000040000000}"/>
    <cellStyle name="Neutral" xfId="69" xr:uid="{00000000-0005-0000-0000-000041000000}"/>
    <cellStyle name="Normal_AR1194" xfId="70" xr:uid="{00000000-0005-0000-0000-000042000000}"/>
    <cellStyle name="Note" xfId="71" xr:uid="{00000000-0005-0000-0000-000043000000}"/>
    <cellStyle name="Note 2" xfId="133" xr:uid="{00000000-0005-0000-0000-000046000000}"/>
    <cellStyle name="Output" xfId="72" xr:uid="{00000000-0005-0000-0000-000044000000}"/>
    <cellStyle name="Output 2" xfId="134" xr:uid="{00000000-0005-0000-0000-000048000000}"/>
    <cellStyle name="Title" xfId="73" xr:uid="{00000000-0005-0000-0000-000045000000}"/>
    <cellStyle name="Total" xfId="74" xr:uid="{00000000-0005-0000-0000-000046000000}"/>
    <cellStyle name="Total 2" xfId="135" xr:uid="{00000000-0005-0000-0000-00004B000000}"/>
    <cellStyle name="Warning Text" xfId="75" xr:uid="{00000000-0005-0000-0000-000047000000}"/>
    <cellStyle name="アクセント 1 2" xfId="76" xr:uid="{00000000-0005-0000-0000-000048000000}"/>
    <cellStyle name="アクセント 2 2" xfId="77" xr:uid="{00000000-0005-0000-0000-000049000000}"/>
    <cellStyle name="アクセント 3 2" xfId="78" xr:uid="{00000000-0005-0000-0000-00004A000000}"/>
    <cellStyle name="アクセント 4 2" xfId="79" xr:uid="{00000000-0005-0000-0000-00004B000000}"/>
    <cellStyle name="アクセント 5 2" xfId="80" xr:uid="{00000000-0005-0000-0000-00004C000000}"/>
    <cellStyle name="アクセント 6 2" xfId="81" xr:uid="{00000000-0005-0000-0000-00004D000000}"/>
    <cellStyle name="タイトル 2" xfId="82" xr:uid="{00000000-0005-0000-0000-00004E000000}"/>
    <cellStyle name="チェック セル 2" xfId="83" xr:uid="{00000000-0005-0000-0000-00004F000000}"/>
    <cellStyle name="データパイロットの数値" xfId="84" xr:uid="{00000000-0005-0000-0000-000050000000}"/>
    <cellStyle name="データパイロットの分類項目" xfId="85" xr:uid="{00000000-0005-0000-0000-000051000000}"/>
    <cellStyle name="どちらでもない 2" xfId="86" xr:uid="{00000000-0005-0000-0000-000052000000}"/>
    <cellStyle name="ハイパーリンク 2" xfId="108" xr:uid="{00000000-0005-0000-0000-000058000000}"/>
    <cellStyle name="ハイパーリンク 3" xfId="109" xr:uid="{00000000-0005-0000-0000-000059000000}"/>
    <cellStyle name="フェンスチャート" xfId="87" xr:uid="{00000000-0005-0000-0000-000053000000}"/>
    <cellStyle name="メモ 2" xfId="88" xr:uid="{00000000-0005-0000-0000-000054000000}"/>
    <cellStyle name="メモ 2 2" xfId="136" xr:uid="{00000000-0005-0000-0000-00005C000000}"/>
    <cellStyle name="リンク セル 2" xfId="89" xr:uid="{00000000-0005-0000-0000-000055000000}"/>
    <cellStyle name="悪い 2" xfId="90" xr:uid="{00000000-0005-0000-0000-000056000000}"/>
    <cellStyle name="計算 2" xfId="91" xr:uid="{00000000-0005-0000-0000-000057000000}"/>
    <cellStyle name="計算 2 2" xfId="137" xr:uid="{00000000-0005-0000-0000-000060000000}"/>
    <cellStyle name="警告文 2" xfId="92" xr:uid="{00000000-0005-0000-0000-000058000000}"/>
    <cellStyle name="桁区切り 2" xfId="110" xr:uid="{00000000-0005-0000-0000-000062000000}"/>
    <cellStyle name="桁区切り 2 2" xfId="141" xr:uid="{00000000-0005-0000-0000-000063000000}"/>
    <cellStyle name="桁区切り 3" xfId="111" xr:uid="{00000000-0005-0000-0000-000064000000}"/>
    <cellStyle name="桁区切り 4" xfId="112" xr:uid="{00000000-0005-0000-0000-000065000000}"/>
    <cellStyle name="見出し 1 2" xfId="93" xr:uid="{00000000-0005-0000-0000-000059000000}"/>
    <cellStyle name="見出し 2 2" xfId="94" xr:uid="{00000000-0005-0000-0000-00005A000000}"/>
    <cellStyle name="見出し 3 2" xfId="95" xr:uid="{00000000-0005-0000-0000-00005B000000}"/>
    <cellStyle name="見出し 4 2" xfId="96" xr:uid="{00000000-0005-0000-0000-00005C000000}"/>
    <cellStyle name="集計 2" xfId="97" xr:uid="{00000000-0005-0000-0000-00005D000000}"/>
    <cellStyle name="集計 2 2" xfId="138" xr:uid="{00000000-0005-0000-0000-00006B000000}"/>
    <cellStyle name="出力 2" xfId="98" xr:uid="{00000000-0005-0000-0000-00005E000000}"/>
    <cellStyle name="出力 2 2" xfId="139" xr:uid="{00000000-0005-0000-0000-00006D000000}"/>
    <cellStyle name="状態遷移図" xfId="99" xr:uid="{00000000-0005-0000-0000-00005F000000}"/>
    <cellStyle name="説明文 2" xfId="100" xr:uid="{00000000-0005-0000-0000-000060000000}"/>
    <cellStyle name="入力 2" xfId="101" xr:uid="{00000000-0005-0000-0000-000061000000}"/>
    <cellStyle name="入力 2 2" xfId="140" xr:uid="{00000000-0005-0000-0000-000071000000}"/>
    <cellStyle name="標準" xfId="0" builtinId="0"/>
    <cellStyle name="標準 10" xfId="113" xr:uid="{00000000-0005-0000-0000-000073000000}"/>
    <cellStyle name="標準 11" xfId="114" xr:uid="{00000000-0005-0000-0000-000074000000}"/>
    <cellStyle name="標準 11 2" xfId="130" xr:uid="{00000000-0005-0000-0000-000075000000}"/>
    <cellStyle name="標準 2" xfId="3" xr:uid="{00000000-0005-0000-0000-000063000000}"/>
    <cellStyle name="標準 2 2" xfId="102" xr:uid="{00000000-0005-0000-0000-000064000000}"/>
    <cellStyle name="標準 2 2 2" xfId="116" xr:uid="{00000000-0005-0000-0000-000078000000}"/>
    <cellStyle name="標準 2 2 3" xfId="117" xr:uid="{00000000-0005-0000-0000-000079000000}"/>
    <cellStyle name="標準 2 2 4" xfId="115" xr:uid="{00000000-0005-0000-0000-000077000000}"/>
    <cellStyle name="標準 2 3" xfId="118" xr:uid="{00000000-0005-0000-0000-00007A000000}"/>
    <cellStyle name="標準 2 4" xfId="119" xr:uid="{00000000-0005-0000-0000-00007B000000}"/>
    <cellStyle name="標準 2 5" xfId="120" xr:uid="{00000000-0005-0000-0000-00007C000000}"/>
    <cellStyle name="標準 2 6" xfId="142" xr:uid="{08CE95BF-9ED1-4830-B756-EB167C6EA1B8}"/>
    <cellStyle name="標準 2_デモ／空メールエントリーシステム＿メモ" xfId="103" xr:uid="{00000000-0005-0000-0000-000065000000}"/>
    <cellStyle name="標準 3" xfId="104" xr:uid="{00000000-0005-0000-0000-000066000000}"/>
    <cellStyle name="標準 3 2" xfId="121" xr:uid="{00000000-0005-0000-0000-00007F000000}"/>
    <cellStyle name="標準 4" xfId="105" xr:uid="{00000000-0005-0000-0000-000067000000}"/>
    <cellStyle name="標準 4 2" xfId="123" xr:uid="{00000000-0005-0000-0000-000081000000}"/>
    <cellStyle name="標準 4 3" xfId="122" xr:uid="{00000000-0005-0000-0000-000080000000}"/>
    <cellStyle name="標準 5" xfId="124" xr:uid="{00000000-0005-0000-0000-000082000000}"/>
    <cellStyle name="標準 5 2" xfId="125" xr:uid="{00000000-0005-0000-0000-000083000000}"/>
    <cellStyle name="標準 6" xfId="126" xr:uid="{00000000-0005-0000-0000-000084000000}"/>
    <cellStyle name="標準 7" xfId="127" xr:uid="{00000000-0005-0000-0000-000085000000}"/>
    <cellStyle name="標準 8" xfId="128" xr:uid="{00000000-0005-0000-0000-000086000000}"/>
    <cellStyle name="標準 9" xfId="129" xr:uid="{00000000-0005-0000-0000-000087000000}"/>
    <cellStyle name="標準_開発計画_110720_v11" xfId="2" xr:uid="{00000000-0005-0000-0000-000068000000}"/>
    <cellStyle name="標準_朝日生命_バースデーキャンペーン_DB設計書_080415_社内_情報活用セミナー_Createテキストデータ設計書_081107-2" xfId="1" xr:uid="{00000000-0005-0000-0000-000069000000}"/>
    <cellStyle name="未定義" xfId="106" xr:uid="{00000000-0005-0000-0000-00006A000000}"/>
    <cellStyle name="良い 2" xfId="107" xr:uid="{00000000-0005-0000-0000-00006B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FF"/>
      <color rgb="FF99FFCC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38</xdr:row>
      <xdr:rowOff>19050</xdr:rowOff>
    </xdr:from>
    <xdr:to>
      <xdr:col>52</xdr:col>
      <xdr:colOff>142875</xdr:colOff>
      <xdr:row>38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8199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0</xdr:row>
      <xdr:rowOff>114300</xdr:rowOff>
    </xdr:from>
    <xdr:to>
      <xdr:col>52</xdr:col>
      <xdr:colOff>133350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19050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6:BB40"/>
  <sheetViews>
    <sheetView tabSelected="1" view="pageBreakPreview" zoomScaleSheetLayoutView="100" workbookViewId="0"/>
  </sheetViews>
  <sheetFormatPr defaultColWidth="2.625" defaultRowHeight="13.5"/>
  <cols>
    <col min="1" max="1" width="2.625" style="1" customWidth="1"/>
    <col min="2" max="16384" width="2.625" style="1"/>
  </cols>
  <sheetData>
    <row r="6" spans="14:41" ht="14.25" thickBot="1"/>
    <row r="7" spans="14:41" ht="14.25" thickTop="1"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</row>
    <row r="8" spans="14:41" ht="18.75">
      <c r="N8" s="5"/>
      <c r="O8" s="66" t="s">
        <v>270</v>
      </c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"/>
    </row>
    <row r="9" spans="14:41" ht="18.75">
      <c r="N9" s="5"/>
      <c r="O9" s="66" t="s">
        <v>282</v>
      </c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"/>
    </row>
    <row r="10" spans="14:41" ht="18.75">
      <c r="N10" s="5"/>
      <c r="O10" s="66" t="s">
        <v>271</v>
      </c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"/>
    </row>
    <row r="11" spans="14:41"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</row>
    <row r="12" spans="14:41" ht="18.75">
      <c r="N12" s="5"/>
      <c r="O12" s="7"/>
      <c r="P12" s="7"/>
      <c r="Q12" s="7"/>
      <c r="R12" s="7"/>
      <c r="S12" s="67" t="s">
        <v>190</v>
      </c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7"/>
      <c r="AL12" s="7"/>
      <c r="AM12" s="7"/>
      <c r="AN12" s="7"/>
      <c r="AO12" s="6"/>
    </row>
    <row r="13" spans="14:41"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</row>
    <row r="14" spans="14:41" ht="14.25" thickBot="1"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</row>
    <row r="15" spans="14:41" ht="14.25" thickTop="1">
      <c r="X15" s="11"/>
      <c r="AA15" s="68"/>
      <c r="AB15" s="68"/>
      <c r="AC15" s="68"/>
      <c r="AD15" s="68"/>
      <c r="AE15" s="68"/>
      <c r="AF15" s="68"/>
    </row>
    <row r="16" spans="14:41">
      <c r="X16" s="11"/>
      <c r="AA16" s="12"/>
      <c r="AB16" s="12"/>
      <c r="AC16" s="12"/>
      <c r="AD16" s="12"/>
      <c r="AE16" s="12"/>
      <c r="AF16" s="12"/>
    </row>
    <row r="17" spans="18:38">
      <c r="R17" s="7"/>
      <c r="S17" s="7"/>
      <c r="T17" s="7"/>
      <c r="U17" s="7"/>
      <c r="V17" s="7"/>
      <c r="X17" s="7" t="str">
        <f>"第"&amp;TEXT(MAX(更新履歴!A8:J172),"#0.0")&amp;"版"</f>
        <v>第1.7版</v>
      </c>
      <c r="Y17" s="35"/>
      <c r="Z17" s="35"/>
      <c r="AA17" s="64">
        <f>MAX(更新履歴!K8:T172)</f>
        <v>43759</v>
      </c>
      <c r="AB17" s="64"/>
      <c r="AC17" s="64"/>
      <c r="AD17" s="64"/>
      <c r="AE17" s="64"/>
      <c r="AF17" s="64"/>
      <c r="AG17" s="7"/>
      <c r="AH17" s="7"/>
      <c r="AI17" s="7"/>
      <c r="AJ17" s="7"/>
      <c r="AK17" s="7"/>
      <c r="AL17" s="7"/>
    </row>
    <row r="18" spans="18:38"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</row>
    <row r="19" spans="18:38">
      <c r="X19" s="11"/>
      <c r="Y19" s="7"/>
      <c r="Z19" s="7"/>
      <c r="AA19" s="64"/>
      <c r="AB19" s="64"/>
      <c r="AC19" s="64"/>
      <c r="AD19" s="64"/>
      <c r="AE19" s="64"/>
      <c r="AF19" s="64"/>
      <c r="AG19" s="14"/>
    </row>
    <row r="20" spans="18:38">
      <c r="U20" s="69" t="s">
        <v>242</v>
      </c>
      <c r="V20" s="70"/>
      <c r="W20" s="70"/>
      <c r="X20" s="70"/>
      <c r="Y20" s="71"/>
      <c r="Z20" s="72" t="s">
        <v>243</v>
      </c>
      <c r="AA20" s="73"/>
      <c r="AB20" s="73"/>
      <c r="AC20" s="73"/>
      <c r="AD20" s="74"/>
      <c r="AE20" s="69" t="s">
        <v>244</v>
      </c>
      <c r="AF20" s="70"/>
      <c r="AG20" s="70"/>
      <c r="AH20" s="70"/>
      <c r="AI20" s="71"/>
    </row>
    <row r="21" spans="18:38">
      <c r="U21" s="15"/>
      <c r="V21" s="7"/>
      <c r="W21" s="7"/>
      <c r="X21" s="7"/>
      <c r="Y21" s="7"/>
      <c r="Z21" s="16"/>
      <c r="AA21" s="17"/>
      <c r="AB21" s="17"/>
      <c r="AC21" s="17"/>
      <c r="AD21" s="18"/>
      <c r="AE21" s="7"/>
      <c r="AF21" s="7"/>
      <c r="AG21" s="7"/>
      <c r="AH21" s="7"/>
      <c r="AI21" s="19"/>
    </row>
    <row r="22" spans="18:38">
      <c r="U22" s="15"/>
      <c r="V22" s="7"/>
      <c r="W22" s="7"/>
      <c r="X22" s="7"/>
      <c r="Y22" s="7"/>
      <c r="Z22" s="15"/>
      <c r="AA22" s="7"/>
      <c r="AB22" s="7"/>
      <c r="AC22" s="7"/>
      <c r="AD22" s="19"/>
      <c r="AE22" s="7"/>
      <c r="AF22" s="7"/>
      <c r="AG22" s="7"/>
      <c r="AH22" s="7"/>
      <c r="AI22" s="19"/>
    </row>
    <row r="23" spans="18:38">
      <c r="U23" s="15"/>
      <c r="V23" s="7"/>
      <c r="W23" s="7"/>
      <c r="X23" s="7"/>
      <c r="Y23" s="7"/>
      <c r="Z23" s="15"/>
      <c r="AA23" s="7"/>
      <c r="AB23" s="7"/>
      <c r="AC23" s="7"/>
      <c r="AD23" s="19"/>
      <c r="AE23" s="7"/>
      <c r="AF23" s="7"/>
      <c r="AG23" s="7"/>
      <c r="AH23" s="7"/>
      <c r="AI23" s="19"/>
    </row>
    <row r="24" spans="18:38">
      <c r="U24" s="20"/>
      <c r="V24" s="21"/>
      <c r="W24" s="21"/>
      <c r="X24" s="21"/>
      <c r="Y24" s="21"/>
      <c r="Z24" s="20"/>
      <c r="AA24" s="21"/>
      <c r="AB24" s="21"/>
      <c r="AC24" s="21"/>
      <c r="AD24" s="22"/>
      <c r="AE24" s="21"/>
      <c r="AF24" s="21"/>
      <c r="AG24" s="21"/>
      <c r="AH24" s="21"/>
      <c r="AI24" s="22"/>
    </row>
    <row r="25" spans="18:38">
      <c r="S25" s="7"/>
      <c r="T25" s="7"/>
      <c r="U25" s="7"/>
      <c r="V25" s="7"/>
      <c r="W25" s="7"/>
      <c r="X25" s="7"/>
      <c r="Y25" s="7"/>
    </row>
    <row r="26" spans="18:38">
      <c r="S26" s="7"/>
      <c r="T26" s="7"/>
      <c r="U26" s="7"/>
      <c r="V26" s="7"/>
      <c r="W26" s="7"/>
      <c r="X26" s="7"/>
      <c r="Y26" s="7"/>
    </row>
    <row r="27" spans="18:38">
      <c r="S27" s="7"/>
      <c r="T27" s="7"/>
      <c r="U27" s="7"/>
      <c r="V27" s="7"/>
      <c r="W27" s="7"/>
      <c r="X27" s="7"/>
      <c r="Y27" s="7"/>
    </row>
    <row r="28" spans="18:38">
      <c r="S28" s="7"/>
      <c r="T28" s="7"/>
      <c r="U28" s="7"/>
      <c r="V28" s="7"/>
      <c r="W28" s="7"/>
      <c r="X28" s="7"/>
      <c r="Y28" s="7"/>
    </row>
    <row r="31" spans="18:38">
      <c r="S31" s="7"/>
      <c r="T31" s="7"/>
      <c r="U31" s="7"/>
      <c r="V31" s="7"/>
      <c r="W31" s="7"/>
      <c r="X31" s="7"/>
      <c r="Y31" s="7"/>
    </row>
    <row r="32" spans="18:38">
      <c r="S32" s="7"/>
      <c r="T32" s="7"/>
      <c r="U32" s="7"/>
      <c r="V32" s="7"/>
      <c r="W32" s="7"/>
      <c r="X32" s="7"/>
      <c r="Y32" s="7"/>
    </row>
    <row r="34" spans="1:54" s="7" customFormat="1"/>
    <row r="35" spans="1:54"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</row>
    <row r="36" spans="1:54"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</row>
    <row r="37" spans="1:54"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</row>
    <row r="39" spans="1:54" ht="14.25">
      <c r="A39" s="23"/>
      <c r="BA39" s="24"/>
    </row>
    <row r="40" spans="1:54">
      <c r="BB40" s="24"/>
    </row>
  </sheetData>
  <mergeCells count="12">
    <mergeCell ref="AA19:AF19"/>
    <mergeCell ref="S35:AJ35"/>
    <mergeCell ref="S36:AJ37"/>
    <mergeCell ref="O8:AN8"/>
    <mergeCell ref="O9:AN9"/>
    <mergeCell ref="S12:AJ12"/>
    <mergeCell ref="AA15:AF15"/>
    <mergeCell ref="AA17:AF17"/>
    <mergeCell ref="O10:AN10"/>
    <mergeCell ref="U20:Y20"/>
    <mergeCell ref="Z20:AD20"/>
    <mergeCell ref="AE20:AI20"/>
  </mergeCells>
  <phoneticPr fontId="1"/>
  <printOptions horizontalCentered="1"/>
  <pageMargins left="0.39370078740157483" right="0.39370078740157483" top="0.39370078740157483" bottom="0.59055118110236227" header="0.19685039370078741" footer="0.51181102362204722"/>
  <pageSetup paperSize="9" fitToHeight="0" orientation="landscape" r:id="rId1"/>
  <headerFooter alignWithMargins="0">
    <oddFooter>&amp;C&amp;9&amp;P/&amp;N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V173"/>
  <sheetViews>
    <sheetView showGridLines="0" view="pageBreakPreview" zoomScaleNormal="85" zoomScaleSheetLayoutView="100" workbookViewId="0">
      <selection sqref="A1:J1"/>
    </sheetView>
  </sheetViews>
  <sheetFormatPr defaultColWidth="2.75" defaultRowHeight="14.25" customHeight="1"/>
  <cols>
    <col min="1" max="64" width="2.625" style="34" customWidth="1"/>
    <col min="65" max="256" width="2.75" style="34"/>
    <col min="257" max="320" width="2.625" style="34" customWidth="1"/>
    <col min="321" max="512" width="2.75" style="34"/>
    <col min="513" max="576" width="2.625" style="34" customWidth="1"/>
    <col min="577" max="768" width="2.75" style="34"/>
    <col min="769" max="832" width="2.625" style="34" customWidth="1"/>
    <col min="833" max="1024" width="2.75" style="34"/>
    <col min="1025" max="1088" width="2.625" style="34" customWidth="1"/>
    <col min="1089" max="1280" width="2.75" style="34"/>
    <col min="1281" max="1344" width="2.625" style="34" customWidth="1"/>
    <col min="1345" max="1536" width="2.75" style="34"/>
    <col min="1537" max="1600" width="2.625" style="34" customWidth="1"/>
    <col min="1601" max="1792" width="2.75" style="34"/>
    <col min="1793" max="1856" width="2.625" style="34" customWidth="1"/>
    <col min="1857" max="2048" width="2.75" style="34"/>
    <col min="2049" max="2112" width="2.625" style="34" customWidth="1"/>
    <col min="2113" max="2304" width="2.75" style="34"/>
    <col min="2305" max="2368" width="2.625" style="34" customWidth="1"/>
    <col min="2369" max="2560" width="2.75" style="34"/>
    <col min="2561" max="2624" width="2.625" style="34" customWidth="1"/>
    <col min="2625" max="2816" width="2.75" style="34"/>
    <col min="2817" max="2880" width="2.625" style="34" customWidth="1"/>
    <col min="2881" max="3072" width="2.75" style="34"/>
    <col min="3073" max="3136" width="2.625" style="34" customWidth="1"/>
    <col min="3137" max="3328" width="2.75" style="34"/>
    <col min="3329" max="3392" width="2.625" style="34" customWidth="1"/>
    <col min="3393" max="3584" width="2.75" style="34"/>
    <col min="3585" max="3648" width="2.625" style="34" customWidth="1"/>
    <col min="3649" max="3840" width="2.75" style="34"/>
    <col min="3841" max="3904" width="2.625" style="34" customWidth="1"/>
    <col min="3905" max="4096" width="2.75" style="34"/>
    <col min="4097" max="4160" width="2.625" style="34" customWidth="1"/>
    <col min="4161" max="4352" width="2.75" style="34"/>
    <col min="4353" max="4416" width="2.625" style="34" customWidth="1"/>
    <col min="4417" max="4608" width="2.75" style="34"/>
    <col min="4609" max="4672" width="2.625" style="34" customWidth="1"/>
    <col min="4673" max="4864" width="2.75" style="34"/>
    <col min="4865" max="4928" width="2.625" style="34" customWidth="1"/>
    <col min="4929" max="5120" width="2.75" style="34"/>
    <col min="5121" max="5184" width="2.625" style="34" customWidth="1"/>
    <col min="5185" max="5376" width="2.75" style="34"/>
    <col min="5377" max="5440" width="2.625" style="34" customWidth="1"/>
    <col min="5441" max="5632" width="2.75" style="34"/>
    <col min="5633" max="5696" width="2.625" style="34" customWidth="1"/>
    <col min="5697" max="5888" width="2.75" style="34"/>
    <col min="5889" max="5952" width="2.625" style="34" customWidth="1"/>
    <col min="5953" max="6144" width="2.75" style="34"/>
    <col min="6145" max="6208" width="2.625" style="34" customWidth="1"/>
    <col min="6209" max="6400" width="2.75" style="34"/>
    <col min="6401" max="6464" width="2.625" style="34" customWidth="1"/>
    <col min="6465" max="6656" width="2.75" style="34"/>
    <col min="6657" max="6720" width="2.625" style="34" customWidth="1"/>
    <col min="6721" max="6912" width="2.75" style="34"/>
    <col min="6913" max="6976" width="2.625" style="34" customWidth="1"/>
    <col min="6977" max="7168" width="2.75" style="34"/>
    <col min="7169" max="7232" width="2.625" style="34" customWidth="1"/>
    <col min="7233" max="7424" width="2.75" style="34"/>
    <col min="7425" max="7488" width="2.625" style="34" customWidth="1"/>
    <col min="7489" max="7680" width="2.75" style="34"/>
    <col min="7681" max="7744" width="2.625" style="34" customWidth="1"/>
    <col min="7745" max="7936" width="2.75" style="34"/>
    <col min="7937" max="8000" width="2.625" style="34" customWidth="1"/>
    <col min="8001" max="8192" width="2.75" style="34"/>
    <col min="8193" max="8256" width="2.625" style="34" customWidth="1"/>
    <col min="8257" max="8448" width="2.75" style="34"/>
    <col min="8449" max="8512" width="2.625" style="34" customWidth="1"/>
    <col min="8513" max="8704" width="2.75" style="34"/>
    <col min="8705" max="8768" width="2.625" style="34" customWidth="1"/>
    <col min="8769" max="8960" width="2.75" style="34"/>
    <col min="8961" max="9024" width="2.625" style="34" customWidth="1"/>
    <col min="9025" max="9216" width="2.75" style="34"/>
    <col min="9217" max="9280" width="2.625" style="34" customWidth="1"/>
    <col min="9281" max="9472" width="2.75" style="34"/>
    <col min="9473" max="9536" width="2.625" style="34" customWidth="1"/>
    <col min="9537" max="9728" width="2.75" style="34"/>
    <col min="9729" max="9792" width="2.625" style="34" customWidth="1"/>
    <col min="9793" max="9984" width="2.75" style="34"/>
    <col min="9985" max="10048" width="2.625" style="34" customWidth="1"/>
    <col min="10049" max="10240" width="2.75" style="34"/>
    <col min="10241" max="10304" width="2.625" style="34" customWidth="1"/>
    <col min="10305" max="10496" width="2.75" style="34"/>
    <col min="10497" max="10560" width="2.625" style="34" customWidth="1"/>
    <col min="10561" max="10752" width="2.75" style="34"/>
    <col min="10753" max="10816" width="2.625" style="34" customWidth="1"/>
    <col min="10817" max="11008" width="2.75" style="34"/>
    <col min="11009" max="11072" width="2.625" style="34" customWidth="1"/>
    <col min="11073" max="11264" width="2.75" style="34"/>
    <col min="11265" max="11328" width="2.625" style="34" customWidth="1"/>
    <col min="11329" max="11520" width="2.75" style="34"/>
    <col min="11521" max="11584" width="2.625" style="34" customWidth="1"/>
    <col min="11585" max="11776" width="2.75" style="34"/>
    <col min="11777" max="11840" width="2.625" style="34" customWidth="1"/>
    <col min="11841" max="12032" width="2.75" style="34"/>
    <col min="12033" max="12096" width="2.625" style="34" customWidth="1"/>
    <col min="12097" max="12288" width="2.75" style="34"/>
    <col min="12289" max="12352" width="2.625" style="34" customWidth="1"/>
    <col min="12353" max="12544" width="2.75" style="34"/>
    <col min="12545" max="12608" width="2.625" style="34" customWidth="1"/>
    <col min="12609" max="12800" width="2.75" style="34"/>
    <col min="12801" max="12864" width="2.625" style="34" customWidth="1"/>
    <col min="12865" max="13056" width="2.75" style="34"/>
    <col min="13057" max="13120" width="2.625" style="34" customWidth="1"/>
    <col min="13121" max="13312" width="2.75" style="34"/>
    <col min="13313" max="13376" width="2.625" style="34" customWidth="1"/>
    <col min="13377" max="13568" width="2.75" style="34"/>
    <col min="13569" max="13632" width="2.625" style="34" customWidth="1"/>
    <col min="13633" max="13824" width="2.75" style="34"/>
    <col min="13825" max="13888" width="2.625" style="34" customWidth="1"/>
    <col min="13889" max="14080" width="2.75" style="34"/>
    <col min="14081" max="14144" width="2.625" style="34" customWidth="1"/>
    <col min="14145" max="14336" width="2.75" style="34"/>
    <col min="14337" max="14400" width="2.625" style="34" customWidth="1"/>
    <col min="14401" max="14592" width="2.75" style="34"/>
    <col min="14593" max="14656" width="2.625" style="34" customWidth="1"/>
    <col min="14657" max="14848" width="2.75" style="34"/>
    <col min="14849" max="14912" width="2.625" style="34" customWidth="1"/>
    <col min="14913" max="15104" width="2.75" style="34"/>
    <col min="15105" max="15168" width="2.625" style="34" customWidth="1"/>
    <col min="15169" max="15360" width="2.75" style="34"/>
    <col min="15361" max="15424" width="2.625" style="34" customWidth="1"/>
    <col min="15425" max="15616" width="2.75" style="34"/>
    <col min="15617" max="15680" width="2.625" style="34" customWidth="1"/>
    <col min="15681" max="15872" width="2.75" style="34"/>
    <col min="15873" max="15936" width="2.625" style="34" customWidth="1"/>
    <col min="15937" max="16128" width="2.75" style="34"/>
    <col min="16129" max="16192" width="2.625" style="34" customWidth="1"/>
    <col min="16193" max="16384" width="2.75" style="34"/>
  </cols>
  <sheetData>
    <row r="1" spans="1:74" s="25" customFormat="1" ht="15" customHeight="1">
      <c r="A1" s="148" t="s">
        <v>0</v>
      </c>
      <c r="B1" s="117"/>
      <c r="C1" s="117"/>
      <c r="D1" s="117"/>
      <c r="E1" s="117"/>
      <c r="F1" s="118"/>
      <c r="G1" s="118"/>
      <c r="H1" s="118"/>
      <c r="I1" s="118"/>
      <c r="J1" s="149"/>
      <c r="K1" s="150" t="s">
        <v>1</v>
      </c>
      <c r="L1" s="117"/>
      <c r="M1" s="117"/>
      <c r="N1" s="117"/>
      <c r="O1" s="117"/>
      <c r="P1" s="118"/>
      <c r="Q1" s="118"/>
      <c r="R1" s="118"/>
      <c r="S1" s="118"/>
      <c r="T1" s="118"/>
      <c r="U1" s="151" t="str">
        <f>表紙!S12</f>
        <v>機能一覧</v>
      </c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3"/>
      <c r="AO1" s="154" t="s">
        <v>2</v>
      </c>
      <c r="AP1" s="155"/>
      <c r="AQ1" s="155"/>
      <c r="AR1" s="155"/>
      <c r="AS1" s="155"/>
      <c r="AT1" s="155"/>
      <c r="AU1" s="156" t="s">
        <v>3</v>
      </c>
      <c r="AV1" s="155"/>
      <c r="AW1" s="155"/>
      <c r="AX1" s="155"/>
      <c r="AY1" s="155"/>
      <c r="AZ1" s="155"/>
      <c r="BA1" s="156" t="s">
        <v>4</v>
      </c>
      <c r="BB1" s="155"/>
      <c r="BC1" s="155"/>
      <c r="BD1" s="155"/>
      <c r="BE1" s="155"/>
      <c r="BF1" s="155"/>
      <c r="BG1" s="117" t="s">
        <v>5</v>
      </c>
      <c r="BH1" s="118"/>
      <c r="BI1" s="118"/>
      <c r="BJ1" s="118"/>
      <c r="BK1" s="118"/>
      <c r="BL1" s="119"/>
    </row>
    <row r="2" spans="1:74" s="25" customFormat="1" ht="15" customHeight="1">
      <c r="A2" s="120" t="str">
        <f>表紙!O9</f>
        <v>13期12月対応</v>
      </c>
      <c r="B2" s="121"/>
      <c r="C2" s="121"/>
      <c r="D2" s="121"/>
      <c r="E2" s="121"/>
      <c r="F2" s="122"/>
      <c r="G2" s="122"/>
      <c r="H2" s="122"/>
      <c r="I2" s="122"/>
      <c r="J2" s="123"/>
      <c r="K2" s="128" t="str">
        <f>表紙!O8</f>
        <v>LMS学習管理システム</v>
      </c>
      <c r="L2" s="121"/>
      <c r="M2" s="121"/>
      <c r="N2" s="121"/>
      <c r="O2" s="121"/>
      <c r="P2" s="122"/>
      <c r="Q2" s="122"/>
      <c r="R2" s="122"/>
      <c r="S2" s="122"/>
      <c r="T2" s="129"/>
      <c r="U2" s="132" t="s">
        <v>6</v>
      </c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4"/>
      <c r="AO2" s="138" t="s">
        <v>191</v>
      </c>
      <c r="AP2" s="139"/>
      <c r="AQ2" s="139"/>
      <c r="AR2" s="139"/>
      <c r="AS2" s="139"/>
      <c r="AT2" s="139"/>
      <c r="AU2" s="142">
        <v>42907</v>
      </c>
      <c r="AV2" s="139"/>
      <c r="AW2" s="139"/>
      <c r="AX2" s="139"/>
      <c r="AY2" s="139"/>
      <c r="AZ2" s="139"/>
      <c r="BA2" s="138" t="s">
        <v>272</v>
      </c>
      <c r="BB2" s="139"/>
      <c r="BC2" s="139"/>
      <c r="BD2" s="139"/>
      <c r="BE2" s="139"/>
      <c r="BF2" s="139"/>
      <c r="BG2" s="143">
        <v>43759</v>
      </c>
      <c r="BH2" s="144"/>
      <c r="BI2" s="144"/>
      <c r="BJ2" s="144"/>
      <c r="BK2" s="144"/>
      <c r="BL2" s="145"/>
    </row>
    <row r="3" spans="1:74" s="25" customFormat="1" ht="15" customHeight="1" thickBot="1">
      <c r="A3" s="124"/>
      <c r="B3" s="125"/>
      <c r="C3" s="125"/>
      <c r="D3" s="125"/>
      <c r="E3" s="125"/>
      <c r="F3" s="126"/>
      <c r="G3" s="126"/>
      <c r="H3" s="126"/>
      <c r="I3" s="126"/>
      <c r="J3" s="127"/>
      <c r="K3" s="130"/>
      <c r="L3" s="125"/>
      <c r="M3" s="125"/>
      <c r="N3" s="125"/>
      <c r="O3" s="125"/>
      <c r="P3" s="126"/>
      <c r="Q3" s="126"/>
      <c r="R3" s="126"/>
      <c r="S3" s="126"/>
      <c r="T3" s="131"/>
      <c r="U3" s="135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7"/>
      <c r="AO3" s="140"/>
      <c r="AP3" s="141"/>
      <c r="AQ3" s="141"/>
      <c r="AR3" s="141"/>
      <c r="AS3" s="141"/>
      <c r="AT3" s="141"/>
      <c r="AU3" s="141"/>
      <c r="AV3" s="141"/>
      <c r="AW3" s="141"/>
      <c r="AX3" s="141"/>
      <c r="AY3" s="141"/>
      <c r="AZ3" s="141"/>
      <c r="BA3" s="140"/>
      <c r="BB3" s="141"/>
      <c r="BC3" s="141"/>
      <c r="BD3" s="141"/>
      <c r="BE3" s="141"/>
      <c r="BF3" s="141"/>
      <c r="BG3" s="146"/>
      <c r="BH3" s="146"/>
      <c r="BI3" s="146"/>
      <c r="BJ3" s="146"/>
      <c r="BK3" s="146"/>
      <c r="BL3" s="147"/>
    </row>
    <row r="4" spans="1:74" ht="13.5" customHeight="1" thickBo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9"/>
      <c r="N4" s="29"/>
      <c r="O4" s="29"/>
      <c r="P4" s="29"/>
      <c r="Q4" s="29"/>
      <c r="R4" s="29"/>
      <c r="S4" s="30"/>
      <c r="T4" s="31"/>
      <c r="U4" s="31"/>
      <c r="V4" s="31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29"/>
      <c r="AW4" s="29"/>
      <c r="AX4" s="29"/>
      <c r="AY4" s="29"/>
      <c r="AZ4" s="29"/>
      <c r="BA4" s="29"/>
      <c r="BB4" s="30"/>
      <c r="BC4" s="30"/>
      <c r="BD4" s="30"/>
      <c r="BE4" s="30"/>
      <c r="BF4" s="32"/>
      <c r="BG4" s="30"/>
      <c r="BH4" s="30"/>
      <c r="BI4" s="32"/>
      <c r="BJ4" s="32"/>
      <c r="BK4" s="32"/>
      <c r="BL4" s="28"/>
      <c r="BM4" s="28"/>
      <c r="BN4" s="28"/>
      <c r="BO4" s="28"/>
      <c r="BP4" s="28"/>
      <c r="BQ4" s="33"/>
      <c r="BR4" s="33"/>
      <c r="BS4" s="33"/>
      <c r="BT4" s="33"/>
      <c r="BU4" s="33"/>
      <c r="BV4" s="33"/>
    </row>
    <row r="5" spans="1:74" s="26" customFormat="1" ht="14.25" customHeight="1">
      <c r="A5" s="157" t="s">
        <v>7</v>
      </c>
      <c r="B5" s="158"/>
      <c r="C5" s="158"/>
      <c r="D5" s="158"/>
      <c r="E5" s="158"/>
      <c r="F5" s="158"/>
      <c r="G5" s="158"/>
      <c r="H5" s="158"/>
      <c r="I5" s="158"/>
      <c r="J5" s="159"/>
      <c r="K5" s="166" t="s">
        <v>8</v>
      </c>
      <c r="L5" s="158"/>
      <c r="M5" s="158"/>
      <c r="N5" s="158"/>
      <c r="O5" s="158"/>
      <c r="P5" s="158"/>
      <c r="Q5" s="158"/>
      <c r="R5" s="158"/>
      <c r="S5" s="158"/>
      <c r="T5" s="159"/>
      <c r="U5" s="166" t="s">
        <v>9</v>
      </c>
      <c r="V5" s="158"/>
      <c r="W5" s="158"/>
      <c r="X5" s="159"/>
      <c r="Y5" s="166" t="s">
        <v>10</v>
      </c>
      <c r="Z5" s="158"/>
      <c r="AA5" s="158"/>
      <c r="AB5" s="158"/>
      <c r="AC5" s="158"/>
      <c r="AD5" s="158"/>
      <c r="AE5" s="158"/>
      <c r="AF5" s="158"/>
      <c r="AG5" s="158"/>
      <c r="AH5" s="158"/>
      <c r="AI5" s="158"/>
      <c r="AJ5" s="158"/>
      <c r="AK5" s="158"/>
      <c r="AL5" s="158"/>
      <c r="AM5" s="158"/>
      <c r="AN5" s="158"/>
      <c r="AO5" s="158"/>
      <c r="AP5" s="158"/>
      <c r="AQ5" s="158"/>
      <c r="AR5" s="158"/>
      <c r="AS5" s="158"/>
      <c r="AT5" s="158"/>
      <c r="AU5" s="158"/>
      <c r="AV5" s="158"/>
      <c r="AW5" s="158"/>
      <c r="AX5" s="158"/>
      <c r="AY5" s="158"/>
      <c r="AZ5" s="159"/>
      <c r="BA5" s="166" t="s">
        <v>11</v>
      </c>
      <c r="BB5" s="158"/>
      <c r="BC5" s="158"/>
      <c r="BD5" s="158"/>
      <c r="BE5" s="158"/>
      <c r="BF5" s="158"/>
      <c r="BG5" s="158"/>
      <c r="BH5" s="158"/>
      <c r="BI5" s="158"/>
      <c r="BJ5" s="158"/>
      <c r="BK5" s="158"/>
      <c r="BL5" s="169"/>
    </row>
    <row r="6" spans="1:74" s="27" customFormat="1" ht="14.25" customHeight="1">
      <c r="A6" s="160"/>
      <c r="B6" s="161"/>
      <c r="C6" s="161"/>
      <c r="D6" s="161"/>
      <c r="E6" s="161"/>
      <c r="F6" s="161"/>
      <c r="G6" s="161"/>
      <c r="H6" s="161"/>
      <c r="I6" s="161"/>
      <c r="J6" s="162"/>
      <c r="K6" s="167"/>
      <c r="L6" s="161"/>
      <c r="M6" s="161"/>
      <c r="N6" s="161"/>
      <c r="O6" s="161"/>
      <c r="P6" s="161"/>
      <c r="Q6" s="161"/>
      <c r="R6" s="161"/>
      <c r="S6" s="161"/>
      <c r="T6" s="162"/>
      <c r="U6" s="167"/>
      <c r="V6" s="161"/>
      <c r="W6" s="161"/>
      <c r="X6" s="162"/>
      <c r="Y6" s="167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2"/>
      <c r="BA6" s="167"/>
      <c r="BB6" s="161"/>
      <c r="BC6" s="161"/>
      <c r="BD6" s="161"/>
      <c r="BE6" s="161"/>
      <c r="BF6" s="161"/>
      <c r="BG6" s="161"/>
      <c r="BH6" s="161"/>
      <c r="BI6" s="161"/>
      <c r="BJ6" s="161"/>
      <c r="BK6" s="161"/>
      <c r="BL6" s="170"/>
    </row>
    <row r="7" spans="1:74" s="27" customFormat="1" ht="14.25" customHeight="1" thickBot="1">
      <c r="A7" s="163"/>
      <c r="B7" s="164"/>
      <c r="C7" s="164"/>
      <c r="D7" s="164"/>
      <c r="E7" s="164"/>
      <c r="F7" s="164"/>
      <c r="G7" s="164"/>
      <c r="H7" s="164"/>
      <c r="I7" s="164"/>
      <c r="J7" s="165"/>
      <c r="K7" s="168"/>
      <c r="L7" s="164"/>
      <c r="M7" s="164"/>
      <c r="N7" s="164"/>
      <c r="O7" s="164"/>
      <c r="P7" s="164"/>
      <c r="Q7" s="164"/>
      <c r="R7" s="164"/>
      <c r="S7" s="164"/>
      <c r="T7" s="165"/>
      <c r="U7" s="168"/>
      <c r="V7" s="164"/>
      <c r="W7" s="164"/>
      <c r="X7" s="165"/>
      <c r="Y7" s="168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5"/>
      <c r="BA7" s="168"/>
      <c r="BB7" s="164"/>
      <c r="BC7" s="164"/>
      <c r="BD7" s="164"/>
      <c r="BE7" s="164"/>
      <c r="BF7" s="164"/>
      <c r="BG7" s="164"/>
      <c r="BH7" s="164"/>
      <c r="BI7" s="164"/>
      <c r="BJ7" s="164"/>
      <c r="BK7" s="164"/>
      <c r="BL7" s="171"/>
    </row>
    <row r="8" spans="1:74" s="27" customFormat="1" ht="14.25" customHeight="1" thickTop="1">
      <c r="A8" s="111">
        <v>1</v>
      </c>
      <c r="B8" s="172"/>
      <c r="C8" s="172"/>
      <c r="D8" s="172"/>
      <c r="E8" s="172"/>
      <c r="F8" s="172"/>
      <c r="G8" s="172"/>
      <c r="H8" s="172"/>
      <c r="I8" s="172"/>
      <c r="J8" s="173"/>
      <c r="K8" s="102">
        <v>42907</v>
      </c>
      <c r="L8" s="178"/>
      <c r="M8" s="178"/>
      <c r="N8" s="178"/>
      <c r="O8" s="178"/>
      <c r="P8" s="178"/>
      <c r="Q8" s="178"/>
      <c r="R8" s="178"/>
      <c r="S8" s="178"/>
      <c r="T8" s="179"/>
      <c r="U8" s="78" t="s">
        <v>12</v>
      </c>
      <c r="V8" s="79"/>
      <c r="W8" s="79"/>
      <c r="X8" s="97"/>
      <c r="Y8" s="88" t="s">
        <v>192</v>
      </c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5"/>
      <c r="BA8" s="78" t="s">
        <v>66</v>
      </c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80"/>
    </row>
    <row r="9" spans="1:74" s="27" customFormat="1" ht="14.25" customHeight="1">
      <c r="A9" s="174"/>
      <c r="B9" s="172"/>
      <c r="C9" s="172"/>
      <c r="D9" s="172"/>
      <c r="E9" s="172"/>
      <c r="F9" s="172"/>
      <c r="G9" s="172"/>
      <c r="H9" s="172"/>
      <c r="I9" s="172"/>
      <c r="J9" s="173"/>
      <c r="K9" s="180"/>
      <c r="L9" s="178"/>
      <c r="M9" s="178"/>
      <c r="N9" s="178"/>
      <c r="O9" s="178"/>
      <c r="P9" s="178"/>
      <c r="Q9" s="178"/>
      <c r="R9" s="178"/>
      <c r="S9" s="178"/>
      <c r="T9" s="179"/>
      <c r="U9" s="81"/>
      <c r="V9" s="79"/>
      <c r="W9" s="79"/>
      <c r="X9" s="97"/>
      <c r="Y9" s="186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4"/>
      <c r="AM9" s="184"/>
      <c r="AN9" s="184"/>
      <c r="AO9" s="184"/>
      <c r="AP9" s="184"/>
      <c r="AQ9" s="184"/>
      <c r="AR9" s="184"/>
      <c r="AS9" s="184"/>
      <c r="AT9" s="184"/>
      <c r="AU9" s="184"/>
      <c r="AV9" s="184"/>
      <c r="AW9" s="184"/>
      <c r="AX9" s="184"/>
      <c r="AY9" s="184"/>
      <c r="AZ9" s="185"/>
      <c r="BA9" s="81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80"/>
    </row>
    <row r="10" spans="1:74" s="27" customFormat="1" ht="14.25" customHeight="1">
      <c r="A10" s="175"/>
      <c r="B10" s="176"/>
      <c r="C10" s="176"/>
      <c r="D10" s="176"/>
      <c r="E10" s="176"/>
      <c r="F10" s="176"/>
      <c r="G10" s="176"/>
      <c r="H10" s="176"/>
      <c r="I10" s="176"/>
      <c r="J10" s="177"/>
      <c r="K10" s="181"/>
      <c r="L10" s="182"/>
      <c r="M10" s="182"/>
      <c r="N10" s="182"/>
      <c r="O10" s="182"/>
      <c r="P10" s="182"/>
      <c r="Q10" s="182"/>
      <c r="R10" s="182"/>
      <c r="S10" s="182"/>
      <c r="T10" s="183"/>
      <c r="U10" s="82"/>
      <c r="V10" s="83"/>
      <c r="W10" s="83"/>
      <c r="X10" s="98"/>
      <c r="Y10" s="187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8"/>
      <c r="AU10" s="188"/>
      <c r="AV10" s="188"/>
      <c r="AW10" s="188"/>
      <c r="AX10" s="188"/>
      <c r="AY10" s="188"/>
      <c r="AZ10" s="189"/>
      <c r="BA10" s="82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4"/>
    </row>
    <row r="11" spans="1:74" s="27" customFormat="1" ht="14.25" customHeight="1">
      <c r="A11" s="190">
        <v>1.1000000000000001</v>
      </c>
      <c r="B11" s="191"/>
      <c r="C11" s="191"/>
      <c r="D11" s="191"/>
      <c r="E11" s="191"/>
      <c r="F11" s="191"/>
      <c r="G11" s="191"/>
      <c r="H11" s="191"/>
      <c r="I11" s="191"/>
      <c r="J11" s="192"/>
      <c r="K11" s="193">
        <v>43097</v>
      </c>
      <c r="L11" s="194"/>
      <c r="M11" s="194"/>
      <c r="N11" s="194"/>
      <c r="O11" s="194"/>
      <c r="P11" s="194"/>
      <c r="Q11" s="194"/>
      <c r="R11" s="194"/>
      <c r="S11" s="194"/>
      <c r="T11" s="195"/>
      <c r="U11" s="75" t="s">
        <v>245</v>
      </c>
      <c r="V11" s="76"/>
      <c r="W11" s="76"/>
      <c r="X11" s="95"/>
      <c r="Y11" s="196" t="s">
        <v>241</v>
      </c>
      <c r="Z11" s="197"/>
      <c r="AA11" s="197"/>
      <c r="AB11" s="197"/>
      <c r="AC11" s="197"/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97"/>
      <c r="AS11" s="197"/>
      <c r="AT11" s="197"/>
      <c r="AU11" s="197"/>
      <c r="AV11" s="197"/>
      <c r="AW11" s="197"/>
      <c r="AX11" s="197"/>
      <c r="AY11" s="197"/>
      <c r="AZ11" s="198"/>
      <c r="BA11" s="78" t="s">
        <v>237</v>
      </c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80"/>
    </row>
    <row r="12" spans="1:74" s="27" customFormat="1" ht="14.25" customHeight="1">
      <c r="A12" s="111"/>
      <c r="B12" s="172"/>
      <c r="C12" s="172"/>
      <c r="D12" s="172"/>
      <c r="E12" s="172"/>
      <c r="F12" s="172"/>
      <c r="G12" s="172"/>
      <c r="H12" s="172"/>
      <c r="I12" s="172"/>
      <c r="J12" s="173"/>
      <c r="K12" s="102"/>
      <c r="L12" s="178"/>
      <c r="M12" s="178"/>
      <c r="N12" s="178"/>
      <c r="O12" s="178"/>
      <c r="P12" s="178"/>
      <c r="Q12" s="178"/>
      <c r="R12" s="178"/>
      <c r="S12" s="178"/>
      <c r="T12" s="179"/>
      <c r="U12" s="78"/>
      <c r="V12" s="79"/>
      <c r="W12" s="79"/>
      <c r="X12" s="97"/>
      <c r="Y12" s="88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  <c r="AO12" s="184"/>
      <c r="AP12" s="184"/>
      <c r="AQ12" s="184"/>
      <c r="AR12" s="184"/>
      <c r="AS12" s="184"/>
      <c r="AT12" s="184"/>
      <c r="AU12" s="184"/>
      <c r="AV12" s="184"/>
      <c r="AW12" s="184"/>
      <c r="AX12" s="184"/>
      <c r="AY12" s="184"/>
      <c r="AZ12" s="185"/>
      <c r="BA12" s="78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80"/>
    </row>
    <row r="13" spans="1:74" s="27" customFormat="1" ht="13.9" customHeight="1">
      <c r="A13" s="111"/>
      <c r="B13" s="172"/>
      <c r="C13" s="172"/>
      <c r="D13" s="172"/>
      <c r="E13" s="172"/>
      <c r="F13" s="172"/>
      <c r="G13" s="172"/>
      <c r="H13" s="172"/>
      <c r="I13" s="172"/>
      <c r="J13" s="173"/>
      <c r="K13" s="102"/>
      <c r="L13" s="178"/>
      <c r="M13" s="178"/>
      <c r="N13" s="178"/>
      <c r="O13" s="178"/>
      <c r="P13" s="178"/>
      <c r="Q13" s="178"/>
      <c r="R13" s="178"/>
      <c r="S13" s="178"/>
      <c r="T13" s="179"/>
      <c r="U13" s="78"/>
      <c r="V13" s="79"/>
      <c r="W13" s="79"/>
      <c r="X13" s="97"/>
      <c r="Y13" s="88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  <c r="AO13" s="184"/>
      <c r="AP13" s="184"/>
      <c r="AQ13" s="184"/>
      <c r="AR13" s="184"/>
      <c r="AS13" s="184"/>
      <c r="AT13" s="184"/>
      <c r="AU13" s="184"/>
      <c r="AV13" s="184"/>
      <c r="AW13" s="184"/>
      <c r="AX13" s="184"/>
      <c r="AY13" s="184"/>
      <c r="AZ13" s="185"/>
      <c r="BA13" s="78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80"/>
    </row>
    <row r="14" spans="1:74" s="27" customFormat="1" ht="14.25" customHeight="1">
      <c r="A14" s="111"/>
      <c r="B14" s="172"/>
      <c r="C14" s="172"/>
      <c r="D14" s="172"/>
      <c r="E14" s="172"/>
      <c r="F14" s="172"/>
      <c r="G14" s="172"/>
      <c r="H14" s="172"/>
      <c r="I14" s="172"/>
      <c r="J14" s="173"/>
      <c r="K14" s="102"/>
      <c r="L14" s="178"/>
      <c r="M14" s="178"/>
      <c r="N14" s="178"/>
      <c r="O14" s="178"/>
      <c r="P14" s="178"/>
      <c r="Q14" s="178"/>
      <c r="R14" s="178"/>
      <c r="S14" s="178"/>
      <c r="T14" s="179"/>
      <c r="U14" s="78"/>
      <c r="V14" s="79"/>
      <c r="W14" s="79"/>
      <c r="X14" s="97"/>
      <c r="Y14" s="88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4"/>
      <c r="AT14" s="184"/>
      <c r="AU14" s="184"/>
      <c r="AV14" s="184"/>
      <c r="AW14" s="184"/>
      <c r="AX14" s="184"/>
      <c r="AY14" s="184"/>
      <c r="AZ14" s="185"/>
      <c r="BA14" s="78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80"/>
    </row>
    <row r="15" spans="1:74" s="27" customFormat="1" ht="14.25" customHeight="1">
      <c r="A15" s="111"/>
      <c r="B15" s="172"/>
      <c r="C15" s="172"/>
      <c r="D15" s="172"/>
      <c r="E15" s="172"/>
      <c r="F15" s="172"/>
      <c r="G15" s="172"/>
      <c r="H15" s="172"/>
      <c r="I15" s="172"/>
      <c r="J15" s="173"/>
      <c r="K15" s="102"/>
      <c r="L15" s="178"/>
      <c r="M15" s="178"/>
      <c r="N15" s="178"/>
      <c r="O15" s="178"/>
      <c r="P15" s="178"/>
      <c r="Q15" s="178"/>
      <c r="R15" s="178"/>
      <c r="S15" s="178"/>
      <c r="T15" s="179"/>
      <c r="U15" s="78"/>
      <c r="V15" s="79"/>
      <c r="W15" s="79"/>
      <c r="X15" s="97"/>
      <c r="Y15" s="88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184"/>
      <c r="AR15" s="184"/>
      <c r="AS15" s="184"/>
      <c r="AT15" s="184"/>
      <c r="AU15" s="184"/>
      <c r="AV15" s="184"/>
      <c r="AW15" s="184"/>
      <c r="AX15" s="184"/>
      <c r="AY15" s="184"/>
      <c r="AZ15" s="185"/>
      <c r="BA15" s="78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80"/>
    </row>
    <row r="16" spans="1:74" s="27" customFormat="1" ht="14.25" customHeight="1">
      <c r="A16" s="174"/>
      <c r="B16" s="172"/>
      <c r="C16" s="172"/>
      <c r="D16" s="172"/>
      <c r="E16" s="172"/>
      <c r="F16" s="172"/>
      <c r="G16" s="172"/>
      <c r="H16" s="172"/>
      <c r="I16" s="172"/>
      <c r="J16" s="173"/>
      <c r="K16" s="180"/>
      <c r="L16" s="178"/>
      <c r="M16" s="178"/>
      <c r="N16" s="178"/>
      <c r="O16" s="178"/>
      <c r="P16" s="178"/>
      <c r="Q16" s="178"/>
      <c r="R16" s="178"/>
      <c r="S16" s="178"/>
      <c r="T16" s="179"/>
      <c r="U16" s="81"/>
      <c r="V16" s="79"/>
      <c r="W16" s="79"/>
      <c r="X16" s="97"/>
      <c r="Y16" s="186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184"/>
      <c r="AR16" s="184"/>
      <c r="AS16" s="184"/>
      <c r="AT16" s="184"/>
      <c r="AU16" s="184"/>
      <c r="AV16" s="184"/>
      <c r="AW16" s="184"/>
      <c r="AX16" s="184"/>
      <c r="AY16" s="184"/>
      <c r="AZ16" s="185"/>
      <c r="BA16" s="81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80"/>
    </row>
    <row r="17" spans="1:64" s="27" customFormat="1" ht="14.25" customHeight="1">
      <c r="A17" s="175"/>
      <c r="B17" s="176"/>
      <c r="C17" s="176"/>
      <c r="D17" s="176"/>
      <c r="E17" s="176"/>
      <c r="F17" s="176"/>
      <c r="G17" s="176"/>
      <c r="H17" s="176"/>
      <c r="I17" s="176"/>
      <c r="J17" s="177"/>
      <c r="K17" s="181"/>
      <c r="L17" s="182"/>
      <c r="M17" s="182"/>
      <c r="N17" s="182"/>
      <c r="O17" s="182"/>
      <c r="P17" s="182"/>
      <c r="Q17" s="182"/>
      <c r="R17" s="182"/>
      <c r="S17" s="182"/>
      <c r="T17" s="183"/>
      <c r="U17" s="82"/>
      <c r="V17" s="83"/>
      <c r="W17" s="83"/>
      <c r="X17" s="98"/>
      <c r="Y17" s="187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  <c r="AJ17" s="188"/>
      <c r="AK17" s="188"/>
      <c r="AL17" s="188"/>
      <c r="AM17" s="188"/>
      <c r="AN17" s="188"/>
      <c r="AO17" s="188"/>
      <c r="AP17" s="188"/>
      <c r="AQ17" s="188"/>
      <c r="AR17" s="188"/>
      <c r="AS17" s="188"/>
      <c r="AT17" s="188"/>
      <c r="AU17" s="188"/>
      <c r="AV17" s="188"/>
      <c r="AW17" s="188"/>
      <c r="AX17" s="188"/>
      <c r="AY17" s="188"/>
      <c r="AZ17" s="189"/>
      <c r="BA17" s="82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4"/>
    </row>
    <row r="18" spans="1:64" s="27" customFormat="1" ht="14.25" customHeight="1">
      <c r="A18" s="190">
        <v>1.2</v>
      </c>
      <c r="B18" s="191"/>
      <c r="C18" s="191"/>
      <c r="D18" s="191"/>
      <c r="E18" s="191"/>
      <c r="F18" s="191"/>
      <c r="G18" s="191"/>
      <c r="H18" s="191"/>
      <c r="I18" s="191"/>
      <c r="J18" s="192"/>
      <c r="K18" s="193">
        <v>43412</v>
      </c>
      <c r="L18" s="194"/>
      <c r="M18" s="194"/>
      <c r="N18" s="194"/>
      <c r="O18" s="194"/>
      <c r="P18" s="194"/>
      <c r="Q18" s="194"/>
      <c r="R18" s="194"/>
      <c r="S18" s="194"/>
      <c r="T18" s="195"/>
      <c r="U18" s="75" t="s">
        <v>245</v>
      </c>
      <c r="V18" s="76"/>
      <c r="W18" s="76"/>
      <c r="X18" s="95"/>
      <c r="Y18" s="196" t="s">
        <v>249</v>
      </c>
      <c r="Z18" s="197"/>
      <c r="AA18" s="197"/>
      <c r="AB18" s="197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97"/>
      <c r="AN18" s="197"/>
      <c r="AO18" s="197"/>
      <c r="AP18" s="197"/>
      <c r="AQ18" s="197"/>
      <c r="AR18" s="197"/>
      <c r="AS18" s="197"/>
      <c r="AT18" s="197"/>
      <c r="AU18" s="197"/>
      <c r="AV18" s="197"/>
      <c r="AW18" s="197"/>
      <c r="AX18" s="197"/>
      <c r="AY18" s="197"/>
      <c r="AZ18" s="198"/>
      <c r="BA18" s="75" t="s">
        <v>66</v>
      </c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7"/>
    </row>
    <row r="19" spans="1:64" s="27" customFormat="1" ht="14.25" customHeight="1">
      <c r="A19" s="174"/>
      <c r="B19" s="172"/>
      <c r="C19" s="172"/>
      <c r="D19" s="172"/>
      <c r="E19" s="172"/>
      <c r="F19" s="172"/>
      <c r="G19" s="172"/>
      <c r="H19" s="172"/>
      <c r="I19" s="172"/>
      <c r="J19" s="173"/>
      <c r="K19" s="180"/>
      <c r="L19" s="178"/>
      <c r="M19" s="178"/>
      <c r="N19" s="178"/>
      <c r="O19" s="178"/>
      <c r="P19" s="178"/>
      <c r="Q19" s="178"/>
      <c r="R19" s="178"/>
      <c r="S19" s="178"/>
      <c r="T19" s="179"/>
      <c r="U19" s="81"/>
      <c r="V19" s="79"/>
      <c r="W19" s="79"/>
      <c r="X19" s="97"/>
      <c r="Y19" s="186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  <c r="AR19" s="184"/>
      <c r="AS19" s="184"/>
      <c r="AT19" s="184"/>
      <c r="AU19" s="184"/>
      <c r="AV19" s="184"/>
      <c r="AW19" s="184"/>
      <c r="AX19" s="184"/>
      <c r="AY19" s="184"/>
      <c r="AZ19" s="185"/>
      <c r="BA19" s="81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80"/>
    </row>
    <row r="20" spans="1:64" s="27" customFormat="1" ht="13.5">
      <c r="A20" s="175"/>
      <c r="B20" s="176"/>
      <c r="C20" s="176"/>
      <c r="D20" s="176"/>
      <c r="E20" s="176"/>
      <c r="F20" s="176"/>
      <c r="G20" s="176"/>
      <c r="H20" s="176"/>
      <c r="I20" s="176"/>
      <c r="J20" s="177"/>
      <c r="K20" s="181"/>
      <c r="L20" s="182"/>
      <c r="M20" s="182"/>
      <c r="N20" s="182"/>
      <c r="O20" s="182"/>
      <c r="P20" s="182"/>
      <c r="Q20" s="182"/>
      <c r="R20" s="182"/>
      <c r="S20" s="182"/>
      <c r="T20" s="183"/>
      <c r="U20" s="82"/>
      <c r="V20" s="83"/>
      <c r="W20" s="83"/>
      <c r="X20" s="98"/>
      <c r="Y20" s="187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8"/>
      <c r="AU20" s="188"/>
      <c r="AV20" s="188"/>
      <c r="AW20" s="188"/>
      <c r="AX20" s="188"/>
      <c r="AY20" s="188"/>
      <c r="AZ20" s="189"/>
      <c r="BA20" s="82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4"/>
    </row>
    <row r="21" spans="1:64" s="27" customFormat="1" ht="14.25" customHeight="1">
      <c r="A21" s="190">
        <v>1.3</v>
      </c>
      <c r="B21" s="191"/>
      <c r="C21" s="191"/>
      <c r="D21" s="191"/>
      <c r="E21" s="191"/>
      <c r="F21" s="191"/>
      <c r="G21" s="191"/>
      <c r="H21" s="191"/>
      <c r="I21" s="191"/>
      <c r="J21" s="192"/>
      <c r="K21" s="193">
        <v>43514</v>
      </c>
      <c r="L21" s="194"/>
      <c r="M21" s="194"/>
      <c r="N21" s="194"/>
      <c r="O21" s="194"/>
      <c r="P21" s="194"/>
      <c r="Q21" s="194"/>
      <c r="R21" s="194"/>
      <c r="S21" s="194"/>
      <c r="T21" s="195"/>
      <c r="U21" s="94" t="s">
        <v>250</v>
      </c>
      <c r="V21" s="76"/>
      <c r="W21" s="76"/>
      <c r="X21" s="95"/>
      <c r="Y21" s="196" t="s">
        <v>253</v>
      </c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98"/>
      <c r="BA21" s="75" t="s">
        <v>251</v>
      </c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7"/>
    </row>
    <row r="22" spans="1:64" s="27" customFormat="1" ht="14.25" customHeight="1">
      <c r="A22" s="174"/>
      <c r="B22" s="172"/>
      <c r="C22" s="172"/>
      <c r="D22" s="172"/>
      <c r="E22" s="172"/>
      <c r="F22" s="172"/>
      <c r="G22" s="172"/>
      <c r="H22" s="172"/>
      <c r="I22" s="172"/>
      <c r="J22" s="173"/>
      <c r="K22" s="180"/>
      <c r="L22" s="178"/>
      <c r="M22" s="178"/>
      <c r="N22" s="178"/>
      <c r="O22" s="178"/>
      <c r="P22" s="178"/>
      <c r="Q22" s="178"/>
      <c r="R22" s="178"/>
      <c r="S22" s="178"/>
      <c r="T22" s="179"/>
      <c r="U22" s="81"/>
      <c r="V22" s="79"/>
      <c r="W22" s="79"/>
      <c r="X22" s="97"/>
      <c r="Y22" s="186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184"/>
      <c r="AR22" s="184"/>
      <c r="AS22" s="184"/>
      <c r="AT22" s="184"/>
      <c r="AU22" s="184"/>
      <c r="AV22" s="184"/>
      <c r="AW22" s="184"/>
      <c r="AX22" s="184"/>
      <c r="AY22" s="184"/>
      <c r="AZ22" s="185"/>
      <c r="BA22" s="81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80"/>
    </row>
    <row r="23" spans="1:64" s="27" customFormat="1" ht="14.25" customHeight="1">
      <c r="A23" s="175"/>
      <c r="B23" s="176"/>
      <c r="C23" s="176"/>
      <c r="D23" s="176"/>
      <c r="E23" s="176"/>
      <c r="F23" s="176"/>
      <c r="G23" s="176"/>
      <c r="H23" s="176"/>
      <c r="I23" s="176"/>
      <c r="J23" s="177"/>
      <c r="K23" s="181"/>
      <c r="L23" s="182"/>
      <c r="M23" s="182"/>
      <c r="N23" s="182"/>
      <c r="O23" s="182"/>
      <c r="P23" s="182"/>
      <c r="Q23" s="182"/>
      <c r="R23" s="182"/>
      <c r="S23" s="182"/>
      <c r="T23" s="183"/>
      <c r="U23" s="82"/>
      <c r="V23" s="83"/>
      <c r="W23" s="83"/>
      <c r="X23" s="98"/>
      <c r="Y23" s="187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188"/>
      <c r="AW23" s="188"/>
      <c r="AX23" s="188"/>
      <c r="AY23" s="188"/>
      <c r="AZ23" s="189"/>
      <c r="BA23" s="82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4"/>
    </row>
    <row r="24" spans="1:64" s="27" customFormat="1" ht="14.25" customHeight="1">
      <c r="A24" s="108">
        <v>1.4</v>
      </c>
      <c r="B24" s="109"/>
      <c r="C24" s="109"/>
      <c r="D24" s="109"/>
      <c r="E24" s="109"/>
      <c r="F24" s="109"/>
      <c r="G24" s="109"/>
      <c r="H24" s="109"/>
      <c r="I24" s="109"/>
      <c r="J24" s="110"/>
      <c r="K24" s="99">
        <v>43651</v>
      </c>
      <c r="L24" s="100"/>
      <c r="M24" s="100"/>
      <c r="N24" s="100"/>
      <c r="O24" s="100"/>
      <c r="P24" s="100"/>
      <c r="Q24" s="100"/>
      <c r="R24" s="100"/>
      <c r="S24" s="100"/>
      <c r="T24" s="101"/>
      <c r="U24" s="94" t="s">
        <v>245</v>
      </c>
      <c r="V24" s="76"/>
      <c r="W24" s="76"/>
      <c r="X24" s="95"/>
      <c r="Y24" s="85" t="s">
        <v>267</v>
      </c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7"/>
      <c r="BA24" s="75" t="s">
        <v>66</v>
      </c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7"/>
    </row>
    <row r="25" spans="1:64" s="27" customFormat="1" ht="14.25" customHeight="1">
      <c r="A25" s="111"/>
      <c r="B25" s="112"/>
      <c r="C25" s="112"/>
      <c r="D25" s="112"/>
      <c r="E25" s="112"/>
      <c r="F25" s="112"/>
      <c r="G25" s="112"/>
      <c r="H25" s="112"/>
      <c r="I25" s="112"/>
      <c r="J25" s="113"/>
      <c r="K25" s="102"/>
      <c r="L25" s="103"/>
      <c r="M25" s="103"/>
      <c r="N25" s="103"/>
      <c r="O25" s="103"/>
      <c r="P25" s="103"/>
      <c r="Q25" s="103"/>
      <c r="R25" s="103"/>
      <c r="S25" s="103"/>
      <c r="T25" s="104"/>
      <c r="U25" s="96"/>
      <c r="V25" s="79"/>
      <c r="W25" s="79"/>
      <c r="X25" s="97"/>
      <c r="Y25" s="88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90"/>
      <c r="BA25" s="78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80"/>
    </row>
    <row r="26" spans="1:64" s="27" customFormat="1" ht="14.25" customHeight="1">
      <c r="A26" s="111"/>
      <c r="B26" s="112"/>
      <c r="C26" s="112"/>
      <c r="D26" s="112"/>
      <c r="E26" s="112"/>
      <c r="F26" s="112"/>
      <c r="G26" s="112"/>
      <c r="H26" s="112"/>
      <c r="I26" s="112"/>
      <c r="J26" s="113"/>
      <c r="K26" s="102"/>
      <c r="L26" s="103"/>
      <c r="M26" s="103"/>
      <c r="N26" s="103"/>
      <c r="O26" s="103"/>
      <c r="P26" s="103"/>
      <c r="Q26" s="103"/>
      <c r="R26" s="103"/>
      <c r="S26" s="103"/>
      <c r="T26" s="104"/>
      <c r="U26" s="81"/>
      <c r="V26" s="79"/>
      <c r="W26" s="79"/>
      <c r="X26" s="97"/>
      <c r="Y26" s="88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90"/>
      <c r="BA26" s="81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80"/>
    </row>
    <row r="27" spans="1:64" s="27" customFormat="1" ht="14.25" customHeight="1">
      <c r="A27" s="114"/>
      <c r="B27" s="115"/>
      <c r="C27" s="115"/>
      <c r="D27" s="115"/>
      <c r="E27" s="115"/>
      <c r="F27" s="115"/>
      <c r="G27" s="115"/>
      <c r="H27" s="115"/>
      <c r="I27" s="115"/>
      <c r="J27" s="116"/>
      <c r="K27" s="105"/>
      <c r="L27" s="106"/>
      <c r="M27" s="106"/>
      <c r="N27" s="106"/>
      <c r="O27" s="106"/>
      <c r="P27" s="106"/>
      <c r="Q27" s="106"/>
      <c r="R27" s="106"/>
      <c r="S27" s="106"/>
      <c r="T27" s="107"/>
      <c r="U27" s="82"/>
      <c r="V27" s="83"/>
      <c r="W27" s="83"/>
      <c r="X27" s="98"/>
      <c r="Y27" s="91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3"/>
      <c r="BA27" s="82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4"/>
    </row>
    <row r="28" spans="1:64" s="27" customFormat="1" ht="14.25" customHeight="1">
      <c r="A28" s="190">
        <v>1.5</v>
      </c>
      <c r="B28" s="191"/>
      <c r="C28" s="191"/>
      <c r="D28" s="191"/>
      <c r="E28" s="191"/>
      <c r="F28" s="191"/>
      <c r="G28" s="191"/>
      <c r="H28" s="191"/>
      <c r="I28" s="191"/>
      <c r="J28" s="192"/>
      <c r="K28" s="193">
        <v>43669</v>
      </c>
      <c r="L28" s="194"/>
      <c r="M28" s="194"/>
      <c r="N28" s="194"/>
      <c r="O28" s="194"/>
      <c r="P28" s="194"/>
      <c r="Q28" s="194"/>
      <c r="R28" s="194"/>
      <c r="S28" s="194"/>
      <c r="T28" s="195"/>
      <c r="U28" s="94" t="s">
        <v>245</v>
      </c>
      <c r="V28" s="76"/>
      <c r="W28" s="76"/>
      <c r="X28" s="95"/>
      <c r="Y28" s="196" t="s">
        <v>268</v>
      </c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  <c r="AS28" s="197"/>
      <c r="AT28" s="197"/>
      <c r="AU28" s="197"/>
      <c r="AV28" s="197"/>
      <c r="AW28" s="197"/>
      <c r="AX28" s="197"/>
      <c r="AY28" s="197"/>
      <c r="AZ28" s="198"/>
      <c r="BA28" s="75" t="s">
        <v>66</v>
      </c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7"/>
    </row>
    <row r="29" spans="1:64" s="27" customFormat="1" ht="14.25" customHeight="1">
      <c r="A29" s="111"/>
      <c r="B29" s="172"/>
      <c r="C29" s="172"/>
      <c r="D29" s="172"/>
      <c r="E29" s="172"/>
      <c r="F29" s="172"/>
      <c r="G29" s="172"/>
      <c r="H29" s="172"/>
      <c r="I29" s="172"/>
      <c r="J29" s="173"/>
      <c r="K29" s="102"/>
      <c r="L29" s="178"/>
      <c r="M29" s="178"/>
      <c r="N29" s="178"/>
      <c r="O29" s="178"/>
      <c r="P29" s="178"/>
      <c r="Q29" s="178"/>
      <c r="R29" s="178"/>
      <c r="S29" s="178"/>
      <c r="T29" s="179"/>
      <c r="U29" s="96"/>
      <c r="V29" s="79"/>
      <c r="W29" s="79"/>
      <c r="X29" s="97"/>
      <c r="Y29" s="88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  <c r="AP29" s="184"/>
      <c r="AQ29" s="184"/>
      <c r="AR29" s="184"/>
      <c r="AS29" s="184"/>
      <c r="AT29" s="184"/>
      <c r="AU29" s="184"/>
      <c r="AV29" s="184"/>
      <c r="AW29" s="184"/>
      <c r="AX29" s="184"/>
      <c r="AY29" s="184"/>
      <c r="AZ29" s="185"/>
      <c r="BA29" s="78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80"/>
    </row>
    <row r="30" spans="1:64" s="27" customFormat="1" ht="14.25" customHeight="1">
      <c r="A30" s="174"/>
      <c r="B30" s="172"/>
      <c r="C30" s="172"/>
      <c r="D30" s="172"/>
      <c r="E30" s="172"/>
      <c r="F30" s="172"/>
      <c r="G30" s="172"/>
      <c r="H30" s="172"/>
      <c r="I30" s="172"/>
      <c r="J30" s="173"/>
      <c r="K30" s="180"/>
      <c r="L30" s="178"/>
      <c r="M30" s="178"/>
      <c r="N30" s="178"/>
      <c r="O30" s="178"/>
      <c r="P30" s="178"/>
      <c r="Q30" s="178"/>
      <c r="R30" s="178"/>
      <c r="S30" s="178"/>
      <c r="T30" s="179"/>
      <c r="U30" s="81"/>
      <c r="V30" s="79"/>
      <c r="W30" s="79"/>
      <c r="X30" s="97"/>
      <c r="Y30" s="186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  <c r="AO30" s="184"/>
      <c r="AP30" s="184"/>
      <c r="AQ30" s="184"/>
      <c r="AR30" s="184"/>
      <c r="AS30" s="184"/>
      <c r="AT30" s="184"/>
      <c r="AU30" s="184"/>
      <c r="AV30" s="184"/>
      <c r="AW30" s="184"/>
      <c r="AX30" s="184"/>
      <c r="AY30" s="184"/>
      <c r="AZ30" s="185"/>
      <c r="BA30" s="81"/>
      <c r="BB30" s="79"/>
      <c r="BC30" s="79"/>
      <c r="BD30" s="79"/>
      <c r="BE30" s="79"/>
      <c r="BF30" s="79"/>
      <c r="BG30" s="79"/>
      <c r="BH30" s="79"/>
      <c r="BI30" s="79"/>
      <c r="BJ30" s="79"/>
      <c r="BK30" s="79"/>
      <c r="BL30" s="80"/>
    </row>
    <row r="31" spans="1:64" s="27" customFormat="1" ht="14.25" customHeight="1">
      <c r="A31" s="175"/>
      <c r="B31" s="176"/>
      <c r="C31" s="176"/>
      <c r="D31" s="176"/>
      <c r="E31" s="176"/>
      <c r="F31" s="176"/>
      <c r="G31" s="176"/>
      <c r="H31" s="176"/>
      <c r="I31" s="176"/>
      <c r="J31" s="177"/>
      <c r="K31" s="181"/>
      <c r="L31" s="182"/>
      <c r="M31" s="182"/>
      <c r="N31" s="182"/>
      <c r="O31" s="182"/>
      <c r="P31" s="182"/>
      <c r="Q31" s="182"/>
      <c r="R31" s="182"/>
      <c r="S31" s="182"/>
      <c r="T31" s="183"/>
      <c r="U31" s="82"/>
      <c r="V31" s="83"/>
      <c r="W31" s="83"/>
      <c r="X31" s="98"/>
      <c r="Y31" s="187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88"/>
      <c r="AU31" s="188"/>
      <c r="AV31" s="188"/>
      <c r="AW31" s="188"/>
      <c r="AX31" s="188"/>
      <c r="AY31" s="188"/>
      <c r="AZ31" s="189"/>
      <c r="BA31" s="82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4"/>
    </row>
    <row r="32" spans="1:64" s="27" customFormat="1" ht="14.25" customHeight="1">
      <c r="A32" s="190">
        <v>1.6</v>
      </c>
      <c r="B32" s="191"/>
      <c r="C32" s="191"/>
      <c r="D32" s="191"/>
      <c r="E32" s="191"/>
      <c r="F32" s="191"/>
      <c r="G32" s="191"/>
      <c r="H32" s="191"/>
      <c r="I32" s="191"/>
      <c r="J32" s="192"/>
      <c r="K32" s="193">
        <v>43676</v>
      </c>
      <c r="L32" s="194"/>
      <c r="M32" s="194"/>
      <c r="N32" s="194"/>
      <c r="O32" s="194"/>
      <c r="P32" s="194"/>
      <c r="Q32" s="194"/>
      <c r="R32" s="194"/>
      <c r="S32" s="194"/>
      <c r="T32" s="195"/>
      <c r="U32" s="94" t="s">
        <v>245</v>
      </c>
      <c r="V32" s="76"/>
      <c r="W32" s="76"/>
      <c r="X32" s="95"/>
      <c r="Y32" s="199" t="s">
        <v>269</v>
      </c>
      <c r="Z32" s="200"/>
      <c r="AA32" s="200"/>
      <c r="AB32" s="200"/>
      <c r="AC32" s="200"/>
      <c r="AD32" s="200"/>
      <c r="AE32" s="200"/>
      <c r="AF32" s="200"/>
      <c r="AG32" s="200"/>
      <c r="AH32" s="200"/>
      <c r="AI32" s="200"/>
      <c r="AJ32" s="200"/>
      <c r="AK32" s="200"/>
      <c r="AL32" s="200"/>
      <c r="AM32" s="200"/>
      <c r="AN32" s="200"/>
      <c r="AO32" s="200"/>
      <c r="AP32" s="200"/>
      <c r="AQ32" s="200"/>
      <c r="AR32" s="200"/>
      <c r="AS32" s="200"/>
      <c r="AT32" s="200"/>
      <c r="AU32" s="200"/>
      <c r="AV32" s="200"/>
      <c r="AW32" s="200"/>
      <c r="AX32" s="200"/>
      <c r="AY32" s="200"/>
      <c r="AZ32" s="201"/>
      <c r="BA32" s="75" t="s">
        <v>259</v>
      </c>
      <c r="BB32" s="76"/>
      <c r="BC32" s="76"/>
      <c r="BD32" s="76"/>
      <c r="BE32" s="76"/>
      <c r="BF32" s="76"/>
      <c r="BG32" s="76"/>
      <c r="BH32" s="76"/>
      <c r="BI32" s="76"/>
      <c r="BJ32" s="76"/>
      <c r="BK32" s="76"/>
      <c r="BL32" s="77"/>
    </row>
    <row r="33" spans="1:64" s="27" customFormat="1" ht="14.25" customHeight="1">
      <c r="A33" s="174"/>
      <c r="B33" s="172"/>
      <c r="C33" s="172"/>
      <c r="D33" s="172"/>
      <c r="E33" s="172"/>
      <c r="F33" s="172"/>
      <c r="G33" s="172"/>
      <c r="H33" s="172"/>
      <c r="I33" s="172"/>
      <c r="J33" s="173"/>
      <c r="K33" s="180"/>
      <c r="L33" s="178"/>
      <c r="M33" s="178"/>
      <c r="N33" s="178"/>
      <c r="O33" s="178"/>
      <c r="P33" s="178"/>
      <c r="Q33" s="178"/>
      <c r="R33" s="178"/>
      <c r="S33" s="178"/>
      <c r="T33" s="179"/>
      <c r="U33" s="81"/>
      <c r="V33" s="79"/>
      <c r="W33" s="79"/>
      <c r="X33" s="97"/>
      <c r="Y33" s="202"/>
      <c r="Z33" s="200"/>
      <c r="AA33" s="200"/>
      <c r="AB33" s="200"/>
      <c r="AC33" s="200"/>
      <c r="AD33" s="200"/>
      <c r="AE33" s="200"/>
      <c r="AF33" s="200"/>
      <c r="AG33" s="200"/>
      <c r="AH33" s="200"/>
      <c r="AI33" s="200"/>
      <c r="AJ33" s="200"/>
      <c r="AK33" s="200"/>
      <c r="AL33" s="200"/>
      <c r="AM33" s="200"/>
      <c r="AN33" s="200"/>
      <c r="AO33" s="200"/>
      <c r="AP33" s="200"/>
      <c r="AQ33" s="200"/>
      <c r="AR33" s="200"/>
      <c r="AS33" s="200"/>
      <c r="AT33" s="200"/>
      <c r="AU33" s="200"/>
      <c r="AV33" s="200"/>
      <c r="AW33" s="200"/>
      <c r="AX33" s="200"/>
      <c r="AY33" s="200"/>
      <c r="AZ33" s="201"/>
      <c r="BA33" s="81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80"/>
    </row>
    <row r="34" spans="1:64" s="27" customFormat="1" ht="14.25" customHeight="1">
      <c r="A34" s="175"/>
      <c r="B34" s="176"/>
      <c r="C34" s="176"/>
      <c r="D34" s="176"/>
      <c r="E34" s="176"/>
      <c r="F34" s="176"/>
      <c r="G34" s="176"/>
      <c r="H34" s="176"/>
      <c r="I34" s="176"/>
      <c r="J34" s="177"/>
      <c r="K34" s="181"/>
      <c r="L34" s="182"/>
      <c r="M34" s="182"/>
      <c r="N34" s="182"/>
      <c r="O34" s="182"/>
      <c r="P34" s="182"/>
      <c r="Q34" s="182"/>
      <c r="R34" s="182"/>
      <c r="S34" s="182"/>
      <c r="T34" s="183"/>
      <c r="U34" s="82"/>
      <c r="V34" s="83"/>
      <c r="W34" s="83"/>
      <c r="X34" s="98"/>
      <c r="Y34" s="202"/>
      <c r="Z34" s="200"/>
      <c r="AA34" s="200"/>
      <c r="AB34" s="200"/>
      <c r="AC34" s="200"/>
      <c r="AD34" s="200"/>
      <c r="AE34" s="200"/>
      <c r="AF34" s="200"/>
      <c r="AG34" s="200"/>
      <c r="AH34" s="200"/>
      <c r="AI34" s="200"/>
      <c r="AJ34" s="200"/>
      <c r="AK34" s="200"/>
      <c r="AL34" s="200"/>
      <c r="AM34" s="200"/>
      <c r="AN34" s="200"/>
      <c r="AO34" s="200"/>
      <c r="AP34" s="200"/>
      <c r="AQ34" s="200"/>
      <c r="AR34" s="200"/>
      <c r="AS34" s="200"/>
      <c r="AT34" s="200"/>
      <c r="AU34" s="200"/>
      <c r="AV34" s="200"/>
      <c r="AW34" s="200"/>
      <c r="AX34" s="200"/>
      <c r="AY34" s="200"/>
      <c r="AZ34" s="201"/>
      <c r="BA34" s="82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4"/>
    </row>
    <row r="35" spans="1:64" s="27" customFormat="1" ht="14.25" customHeight="1">
      <c r="A35" s="203">
        <v>1.7</v>
      </c>
      <c r="B35" s="204"/>
      <c r="C35" s="204"/>
      <c r="D35" s="204"/>
      <c r="E35" s="204"/>
      <c r="F35" s="204"/>
      <c r="G35" s="204"/>
      <c r="H35" s="204"/>
      <c r="I35" s="204"/>
      <c r="J35" s="205"/>
      <c r="K35" s="207">
        <v>43759</v>
      </c>
      <c r="L35" s="208"/>
      <c r="M35" s="208"/>
      <c r="N35" s="208"/>
      <c r="O35" s="208"/>
      <c r="P35" s="208"/>
      <c r="Q35" s="208"/>
      <c r="R35" s="208"/>
      <c r="S35" s="208"/>
      <c r="T35" s="209"/>
      <c r="U35" s="211" t="s">
        <v>245</v>
      </c>
      <c r="V35" s="212"/>
      <c r="W35" s="212"/>
      <c r="X35" s="213"/>
      <c r="Y35" s="221" t="s">
        <v>281</v>
      </c>
      <c r="Z35" s="222"/>
      <c r="AA35" s="222"/>
      <c r="AB35" s="222"/>
      <c r="AC35" s="222"/>
      <c r="AD35" s="222"/>
      <c r="AE35" s="222"/>
      <c r="AF35" s="222"/>
      <c r="AG35" s="222"/>
      <c r="AH35" s="222"/>
      <c r="AI35" s="222"/>
      <c r="AJ35" s="222"/>
      <c r="AK35" s="222"/>
      <c r="AL35" s="222"/>
      <c r="AM35" s="222"/>
      <c r="AN35" s="222"/>
      <c r="AO35" s="222"/>
      <c r="AP35" s="222"/>
      <c r="AQ35" s="222"/>
      <c r="AR35" s="222"/>
      <c r="AS35" s="222"/>
      <c r="AT35" s="222"/>
      <c r="AU35" s="222"/>
      <c r="AV35" s="222"/>
      <c r="AW35" s="222"/>
      <c r="AX35" s="222"/>
      <c r="AY35" s="222"/>
      <c r="AZ35" s="223"/>
      <c r="BA35" s="225" t="s">
        <v>272</v>
      </c>
      <c r="BB35" s="204"/>
      <c r="BC35" s="204"/>
      <c r="BD35" s="204"/>
      <c r="BE35" s="204"/>
      <c r="BF35" s="204"/>
      <c r="BG35" s="204"/>
      <c r="BH35" s="204"/>
      <c r="BI35" s="204"/>
      <c r="BJ35" s="204"/>
      <c r="BK35" s="204"/>
      <c r="BL35" s="226"/>
    </row>
    <row r="36" spans="1:64" s="27" customFormat="1" ht="14.25" customHeight="1">
      <c r="A36" s="203"/>
      <c r="B36" s="204"/>
      <c r="C36" s="204"/>
      <c r="D36" s="204"/>
      <c r="E36" s="204"/>
      <c r="F36" s="204"/>
      <c r="G36" s="204"/>
      <c r="H36" s="204"/>
      <c r="I36" s="204"/>
      <c r="J36" s="205"/>
      <c r="K36" s="207"/>
      <c r="L36" s="208"/>
      <c r="M36" s="208"/>
      <c r="N36" s="208"/>
      <c r="O36" s="208"/>
      <c r="P36" s="208"/>
      <c r="Q36" s="208"/>
      <c r="R36" s="208"/>
      <c r="S36" s="208"/>
      <c r="T36" s="209"/>
      <c r="U36" s="214"/>
      <c r="V36" s="215"/>
      <c r="W36" s="215"/>
      <c r="X36" s="216"/>
      <c r="Y36" s="221"/>
      <c r="Z36" s="222"/>
      <c r="AA36" s="222"/>
      <c r="AB36" s="222"/>
      <c r="AC36" s="222"/>
      <c r="AD36" s="222"/>
      <c r="AE36" s="222"/>
      <c r="AF36" s="222"/>
      <c r="AG36" s="222"/>
      <c r="AH36" s="222"/>
      <c r="AI36" s="222"/>
      <c r="AJ36" s="222"/>
      <c r="AK36" s="222"/>
      <c r="AL36" s="222"/>
      <c r="AM36" s="222"/>
      <c r="AN36" s="222"/>
      <c r="AO36" s="222"/>
      <c r="AP36" s="222"/>
      <c r="AQ36" s="222"/>
      <c r="AR36" s="222"/>
      <c r="AS36" s="222"/>
      <c r="AT36" s="222"/>
      <c r="AU36" s="222"/>
      <c r="AV36" s="222"/>
      <c r="AW36" s="222"/>
      <c r="AX36" s="222"/>
      <c r="AY36" s="222"/>
      <c r="AZ36" s="223"/>
      <c r="BA36" s="225"/>
      <c r="BB36" s="204"/>
      <c r="BC36" s="204"/>
      <c r="BD36" s="204"/>
      <c r="BE36" s="204"/>
      <c r="BF36" s="204"/>
      <c r="BG36" s="204"/>
      <c r="BH36" s="204"/>
      <c r="BI36" s="204"/>
      <c r="BJ36" s="204"/>
      <c r="BK36" s="204"/>
      <c r="BL36" s="226"/>
    </row>
    <row r="37" spans="1:64" s="27" customFormat="1" ht="14.25" customHeight="1">
      <c r="A37" s="203"/>
      <c r="B37" s="204"/>
      <c r="C37" s="204"/>
      <c r="D37" s="204"/>
      <c r="E37" s="204"/>
      <c r="F37" s="204"/>
      <c r="G37" s="204"/>
      <c r="H37" s="204"/>
      <c r="I37" s="204"/>
      <c r="J37" s="205"/>
      <c r="K37" s="207"/>
      <c r="L37" s="208"/>
      <c r="M37" s="208"/>
      <c r="N37" s="208"/>
      <c r="O37" s="208"/>
      <c r="P37" s="208"/>
      <c r="Q37" s="208"/>
      <c r="R37" s="208"/>
      <c r="S37" s="208"/>
      <c r="T37" s="209"/>
      <c r="U37" s="214"/>
      <c r="V37" s="215"/>
      <c r="W37" s="215"/>
      <c r="X37" s="216"/>
      <c r="Y37" s="221"/>
      <c r="Z37" s="222"/>
      <c r="AA37" s="222"/>
      <c r="AB37" s="222"/>
      <c r="AC37" s="222"/>
      <c r="AD37" s="222"/>
      <c r="AE37" s="222"/>
      <c r="AF37" s="222"/>
      <c r="AG37" s="222"/>
      <c r="AH37" s="222"/>
      <c r="AI37" s="222"/>
      <c r="AJ37" s="222"/>
      <c r="AK37" s="222"/>
      <c r="AL37" s="222"/>
      <c r="AM37" s="222"/>
      <c r="AN37" s="222"/>
      <c r="AO37" s="222"/>
      <c r="AP37" s="222"/>
      <c r="AQ37" s="222"/>
      <c r="AR37" s="222"/>
      <c r="AS37" s="222"/>
      <c r="AT37" s="222"/>
      <c r="AU37" s="222"/>
      <c r="AV37" s="222"/>
      <c r="AW37" s="222"/>
      <c r="AX37" s="222"/>
      <c r="AY37" s="222"/>
      <c r="AZ37" s="223"/>
      <c r="BA37" s="225"/>
      <c r="BB37" s="204"/>
      <c r="BC37" s="204"/>
      <c r="BD37" s="204"/>
      <c r="BE37" s="204"/>
      <c r="BF37" s="204"/>
      <c r="BG37" s="204"/>
      <c r="BH37" s="204"/>
      <c r="BI37" s="204"/>
      <c r="BJ37" s="204"/>
      <c r="BK37" s="204"/>
      <c r="BL37" s="226"/>
    </row>
    <row r="38" spans="1:64" s="27" customFormat="1" ht="14.25" customHeight="1">
      <c r="A38" s="203"/>
      <c r="B38" s="204"/>
      <c r="C38" s="204"/>
      <c r="D38" s="204"/>
      <c r="E38" s="204"/>
      <c r="F38" s="204"/>
      <c r="G38" s="204"/>
      <c r="H38" s="204"/>
      <c r="I38" s="204"/>
      <c r="J38" s="205"/>
      <c r="K38" s="207"/>
      <c r="L38" s="208"/>
      <c r="M38" s="208"/>
      <c r="N38" s="208"/>
      <c r="O38" s="208"/>
      <c r="P38" s="208"/>
      <c r="Q38" s="208"/>
      <c r="R38" s="208"/>
      <c r="S38" s="208"/>
      <c r="T38" s="209"/>
      <c r="U38" s="214"/>
      <c r="V38" s="215"/>
      <c r="W38" s="215"/>
      <c r="X38" s="216"/>
      <c r="Y38" s="221"/>
      <c r="Z38" s="222"/>
      <c r="AA38" s="222"/>
      <c r="AB38" s="222"/>
      <c r="AC38" s="222"/>
      <c r="AD38" s="222"/>
      <c r="AE38" s="222"/>
      <c r="AF38" s="222"/>
      <c r="AG38" s="222"/>
      <c r="AH38" s="222"/>
      <c r="AI38" s="222"/>
      <c r="AJ38" s="222"/>
      <c r="AK38" s="222"/>
      <c r="AL38" s="222"/>
      <c r="AM38" s="222"/>
      <c r="AN38" s="222"/>
      <c r="AO38" s="222"/>
      <c r="AP38" s="222"/>
      <c r="AQ38" s="222"/>
      <c r="AR38" s="222"/>
      <c r="AS38" s="222"/>
      <c r="AT38" s="222"/>
      <c r="AU38" s="222"/>
      <c r="AV38" s="222"/>
      <c r="AW38" s="222"/>
      <c r="AX38" s="222"/>
      <c r="AY38" s="222"/>
      <c r="AZ38" s="223"/>
      <c r="BA38" s="225"/>
      <c r="BB38" s="204"/>
      <c r="BC38" s="204"/>
      <c r="BD38" s="204"/>
      <c r="BE38" s="204"/>
      <c r="BF38" s="204"/>
      <c r="BG38" s="204"/>
      <c r="BH38" s="204"/>
      <c r="BI38" s="204"/>
      <c r="BJ38" s="204"/>
      <c r="BK38" s="204"/>
      <c r="BL38" s="226"/>
    </row>
    <row r="39" spans="1:64" s="27" customFormat="1" ht="14.25" customHeight="1">
      <c r="A39" s="206"/>
      <c r="B39" s="204"/>
      <c r="C39" s="204"/>
      <c r="D39" s="204"/>
      <c r="E39" s="204"/>
      <c r="F39" s="204"/>
      <c r="G39" s="204"/>
      <c r="H39" s="204"/>
      <c r="I39" s="204"/>
      <c r="J39" s="205"/>
      <c r="K39" s="210"/>
      <c r="L39" s="208"/>
      <c r="M39" s="208"/>
      <c r="N39" s="208"/>
      <c r="O39" s="208"/>
      <c r="P39" s="208"/>
      <c r="Q39" s="208"/>
      <c r="R39" s="208"/>
      <c r="S39" s="208"/>
      <c r="T39" s="209"/>
      <c r="U39" s="217"/>
      <c r="V39" s="215"/>
      <c r="W39" s="215"/>
      <c r="X39" s="216"/>
      <c r="Y39" s="224"/>
      <c r="Z39" s="222"/>
      <c r="AA39" s="222"/>
      <c r="AB39" s="222"/>
      <c r="AC39" s="222"/>
      <c r="AD39" s="222"/>
      <c r="AE39" s="222"/>
      <c r="AF39" s="222"/>
      <c r="AG39" s="222"/>
      <c r="AH39" s="222"/>
      <c r="AI39" s="222"/>
      <c r="AJ39" s="222"/>
      <c r="AK39" s="222"/>
      <c r="AL39" s="222"/>
      <c r="AM39" s="222"/>
      <c r="AN39" s="222"/>
      <c r="AO39" s="222"/>
      <c r="AP39" s="222"/>
      <c r="AQ39" s="222"/>
      <c r="AR39" s="222"/>
      <c r="AS39" s="222"/>
      <c r="AT39" s="222"/>
      <c r="AU39" s="222"/>
      <c r="AV39" s="222"/>
      <c r="AW39" s="222"/>
      <c r="AX39" s="222"/>
      <c r="AY39" s="222"/>
      <c r="AZ39" s="223"/>
      <c r="BA39" s="227"/>
      <c r="BB39" s="204"/>
      <c r="BC39" s="204"/>
      <c r="BD39" s="204"/>
      <c r="BE39" s="204"/>
      <c r="BF39" s="204"/>
      <c r="BG39" s="204"/>
      <c r="BH39" s="204"/>
      <c r="BI39" s="204"/>
      <c r="BJ39" s="204"/>
      <c r="BK39" s="204"/>
      <c r="BL39" s="226"/>
    </row>
    <row r="40" spans="1:64" s="27" customFormat="1" ht="14.25" customHeight="1">
      <c r="A40" s="206"/>
      <c r="B40" s="204"/>
      <c r="C40" s="204"/>
      <c r="D40" s="204"/>
      <c r="E40" s="204"/>
      <c r="F40" s="204"/>
      <c r="G40" s="204"/>
      <c r="H40" s="204"/>
      <c r="I40" s="204"/>
      <c r="J40" s="205"/>
      <c r="K40" s="210"/>
      <c r="L40" s="208"/>
      <c r="M40" s="208"/>
      <c r="N40" s="208"/>
      <c r="O40" s="208"/>
      <c r="P40" s="208"/>
      <c r="Q40" s="208"/>
      <c r="R40" s="208"/>
      <c r="S40" s="208"/>
      <c r="T40" s="209"/>
      <c r="U40" s="218"/>
      <c r="V40" s="219"/>
      <c r="W40" s="219"/>
      <c r="X40" s="220"/>
      <c r="Y40" s="224"/>
      <c r="Z40" s="222"/>
      <c r="AA40" s="222"/>
      <c r="AB40" s="222"/>
      <c r="AC40" s="222"/>
      <c r="AD40" s="222"/>
      <c r="AE40" s="222"/>
      <c r="AF40" s="222"/>
      <c r="AG40" s="222"/>
      <c r="AH40" s="222"/>
      <c r="AI40" s="222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2"/>
      <c r="AU40" s="222"/>
      <c r="AV40" s="222"/>
      <c r="AW40" s="222"/>
      <c r="AX40" s="222"/>
      <c r="AY40" s="222"/>
      <c r="AZ40" s="223"/>
      <c r="BA40" s="227"/>
      <c r="BB40" s="204"/>
      <c r="BC40" s="204"/>
      <c r="BD40" s="204"/>
      <c r="BE40" s="204"/>
      <c r="BF40" s="204"/>
      <c r="BG40" s="204"/>
      <c r="BH40" s="204"/>
      <c r="BI40" s="204"/>
      <c r="BJ40" s="204"/>
      <c r="BK40" s="204"/>
      <c r="BL40" s="226"/>
    </row>
    <row r="41" spans="1:64" s="27" customFormat="1" ht="14.25" customHeight="1">
      <c r="A41" s="190"/>
      <c r="B41" s="191"/>
      <c r="C41" s="191"/>
      <c r="D41" s="191"/>
      <c r="E41" s="191"/>
      <c r="F41" s="191"/>
      <c r="G41" s="191"/>
      <c r="H41" s="191"/>
      <c r="I41" s="191"/>
      <c r="J41" s="192"/>
      <c r="K41" s="193"/>
      <c r="L41" s="194"/>
      <c r="M41" s="194"/>
      <c r="N41" s="194"/>
      <c r="O41" s="194"/>
      <c r="P41" s="194"/>
      <c r="Q41" s="194"/>
      <c r="R41" s="194"/>
      <c r="S41" s="194"/>
      <c r="T41" s="195"/>
      <c r="U41" s="75"/>
      <c r="V41" s="76"/>
      <c r="W41" s="76"/>
      <c r="X41" s="95"/>
      <c r="Y41" s="196"/>
      <c r="Z41" s="228"/>
      <c r="AA41" s="228"/>
      <c r="AB41" s="228"/>
      <c r="AC41" s="228"/>
      <c r="AD41" s="228"/>
      <c r="AE41" s="228"/>
      <c r="AF41" s="228"/>
      <c r="AG41" s="228"/>
      <c r="AH41" s="228"/>
      <c r="AI41" s="228"/>
      <c r="AJ41" s="228"/>
      <c r="AK41" s="228"/>
      <c r="AL41" s="228"/>
      <c r="AM41" s="228"/>
      <c r="AN41" s="228"/>
      <c r="AO41" s="228"/>
      <c r="AP41" s="228"/>
      <c r="AQ41" s="228"/>
      <c r="AR41" s="228"/>
      <c r="AS41" s="228"/>
      <c r="AT41" s="228"/>
      <c r="AU41" s="228"/>
      <c r="AV41" s="228"/>
      <c r="AW41" s="228"/>
      <c r="AX41" s="228"/>
      <c r="AY41" s="228"/>
      <c r="AZ41" s="229"/>
      <c r="BA41" s="75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7"/>
    </row>
    <row r="42" spans="1:64" s="27" customFormat="1" ht="14.25" customHeight="1">
      <c r="A42" s="174"/>
      <c r="B42" s="172"/>
      <c r="C42" s="172"/>
      <c r="D42" s="172"/>
      <c r="E42" s="172"/>
      <c r="F42" s="172"/>
      <c r="G42" s="172"/>
      <c r="H42" s="172"/>
      <c r="I42" s="172"/>
      <c r="J42" s="173"/>
      <c r="K42" s="180"/>
      <c r="L42" s="178"/>
      <c r="M42" s="178"/>
      <c r="N42" s="178"/>
      <c r="O42" s="178"/>
      <c r="P42" s="178"/>
      <c r="Q42" s="178"/>
      <c r="R42" s="178"/>
      <c r="S42" s="178"/>
      <c r="T42" s="179"/>
      <c r="U42" s="81"/>
      <c r="V42" s="79"/>
      <c r="W42" s="79"/>
      <c r="X42" s="97"/>
      <c r="Y42" s="88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90"/>
      <c r="BA42" s="81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80"/>
    </row>
    <row r="43" spans="1:64" s="27" customFormat="1" ht="14.25" customHeight="1">
      <c r="A43" s="175"/>
      <c r="B43" s="176"/>
      <c r="C43" s="176"/>
      <c r="D43" s="176"/>
      <c r="E43" s="176"/>
      <c r="F43" s="176"/>
      <c r="G43" s="176"/>
      <c r="H43" s="176"/>
      <c r="I43" s="176"/>
      <c r="J43" s="177"/>
      <c r="K43" s="181"/>
      <c r="L43" s="182"/>
      <c r="M43" s="182"/>
      <c r="N43" s="182"/>
      <c r="O43" s="182"/>
      <c r="P43" s="182"/>
      <c r="Q43" s="182"/>
      <c r="R43" s="182"/>
      <c r="S43" s="182"/>
      <c r="T43" s="183"/>
      <c r="U43" s="82"/>
      <c r="V43" s="83"/>
      <c r="W43" s="83"/>
      <c r="X43" s="98"/>
      <c r="Y43" s="91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3"/>
      <c r="BA43" s="82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4"/>
    </row>
    <row r="44" spans="1:64" s="27" customFormat="1" ht="14.25" customHeight="1">
      <c r="A44" s="190"/>
      <c r="B44" s="191"/>
      <c r="C44" s="191"/>
      <c r="D44" s="191"/>
      <c r="E44" s="191"/>
      <c r="F44" s="191"/>
      <c r="G44" s="191"/>
      <c r="H44" s="191"/>
      <c r="I44" s="191"/>
      <c r="J44" s="192"/>
      <c r="K44" s="193"/>
      <c r="L44" s="194"/>
      <c r="M44" s="194"/>
      <c r="N44" s="194"/>
      <c r="O44" s="194"/>
      <c r="P44" s="194"/>
      <c r="Q44" s="194"/>
      <c r="R44" s="194"/>
      <c r="S44" s="194"/>
      <c r="T44" s="195"/>
      <c r="U44" s="75"/>
      <c r="V44" s="76"/>
      <c r="W44" s="76"/>
      <c r="X44" s="95"/>
      <c r="Y44" s="196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197"/>
      <c r="AT44" s="197"/>
      <c r="AU44" s="197"/>
      <c r="AV44" s="197"/>
      <c r="AW44" s="197"/>
      <c r="AX44" s="197"/>
      <c r="AY44" s="197"/>
      <c r="AZ44" s="198"/>
      <c r="BA44" s="75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7"/>
    </row>
    <row r="45" spans="1:64" s="27" customFormat="1" ht="14.25" customHeight="1">
      <c r="A45" s="174"/>
      <c r="B45" s="172"/>
      <c r="C45" s="172"/>
      <c r="D45" s="172"/>
      <c r="E45" s="172"/>
      <c r="F45" s="172"/>
      <c r="G45" s="172"/>
      <c r="H45" s="172"/>
      <c r="I45" s="172"/>
      <c r="J45" s="173"/>
      <c r="K45" s="180"/>
      <c r="L45" s="178"/>
      <c r="M45" s="178"/>
      <c r="N45" s="178"/>
      <c r="O45" s="178"/>
      <c r="P45" s="178"/>
      <c r="Q45" s="178"/>
      <c r="R45" s="178"/>
      <c r="S45" s="178"/>
      <c r="T45" s="179"/>
      <c r="U45" s="81"/>
      <c r="V45" s="79"/>
      <c r="W45" s="79"/>
      <c r="X45" s="97"/>
      <c r="Y45" s="186"/>
      <c r="Z45" s="184"/>
      <c r="AA45" s="184"/>
      <c r="AB45" s="184"/>
      <c r="AC45" s="184"/>
      <c r="AD45" s="184"/>
      <c r="AE45" s="184"/>
      <c r="AF45" s="184"/>
      <c r="AG45" s="184"/>
      <c r="AH45" s="184"/>
      <c r="AI45" s="184"/>
      <c r="AJ45" s="184"/>
      <c r="AK45" s="184"/>
      <c r="AL45" s="184"/>
      <c r="AM45" s="184"/>
      <c r="AN45" s="184"/>
      <c r="AO45" s="184"/>
      <c r="AP45" s="184"/>
      <c r="AQ45" s="184"/>
      <c r="AR45" s="184"/>
      <c r="AS45" s="184"/>
      <c r="AT45" s="184"/>
      <c r="AU45" s="184"/>
      <c r="AV45" s="184"/>
      <c r="AW45" s="184"/>
      <c r="AX45" s="184"/>
      <c r="AY45" s="184"/>
      <c r="AZ45" s="185"/>
      <c r="BA45" s="81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80"/>
    </row>
    <row r="46" spans="1:64" s="27" customFormat="1" ht="14.25" customHeight="1" thickBot="1">
      <c r="A46" s="230"/>
      <c r="B46" s="231"/>
      <c r="C46" s="231"/>
      <c r="D46" s="231"/>
      <c r="E46" s="231"/>
      <c r="F46" s="231"/>
      <c r="G46" s="231"/>
      <c r="H46" s="231"/>
      <c r="I46" s="231"/>
      <c r="J46" s="232"/>
      <c r="K46" s="233"/>
      <c r="L46" s="234"/>
      <c r="M46" s="234"/>
      <c r="N46" s="234"/>
      <c r="O46" s="234"/>
      <c r="P46" s="234"/>
      <c r="Q46" s="234"/>
      <c r="R46" s="234"/>
      <c r="S46" s="234"/>
      <c r="T46" s="235"/>
      <c r="U46" s="236"/>
      <c r="V46" s="237"/>
      <c r="W46" s="237"/>
      <c r="X46" s="238"/>
      <c r="Y46" s="239"/>
      <c r="Z46" s="240"/>
      <c r="AA46" s="240"/>
      <c r="AB46" s="240"/>
      <c r="AC46" s="240"/>
      <c r="AD46" s="240"/>
      <c r="AE46" s="240"/>
      <c r="AF46" s="240"/>
      <c r="AG46" s="240"/>
      <c r="AH46" s="240"/>
      <c r="AI46" s="240"/>
      <c r="AJ46" s="240"/>
      <c r="AK46" s="240"/>
      <c r="AL46" s="240"/>
      <c r="AM46" s="240"/>
      <c r="AN46" s="240"/>
      <c r="AO46" s="240"/>
      <c r="AP46" s="240"/>
      <c r="AQ46" s="240"/>
      <c r="AR46" s="240"/>
      <c r="AS46" s="240"/>
      <c r="AT46" s="240"/>
      <c r="AU46" s="240"/>
      <c r="AV46" s="240"/>
      <c r="AW46" s="240"/>
      <c r="AX46" s="240"/>
      <c r="AY46" s="240"/>
      <c r="AZ46" s="241"/>
      <c r="BA46" s="236"/>
      <c r="BB46" s="237"/>
      <c r="BC46" s="237"/>
      <c r="BD46" s="237"/>
      <c r="BE46" s="237"/>
      <c r="BF46" s="237"/>
      <c r="BG46" s="237"/>
      <c r="BH46" s="237"/>
      <c r="BI46" s="237"/>
      <c r="BJ46" s="237"/>
      <c r="BK46" s="237"/>
      <c r="BL46" s="242"/>
    </row>
    <row r="47" spans="1:64" s="27" customFormat="1" ht="14.25" customHeight="1">
      <c r="A47" s="112"/>
      <c r="B47" s="172"/>
      <c r="C47" s="172"/>
      <c r="D47" s="172"/>
      <c r="E47" s="172"/>
      <c r="F47" s="172"/>
      <c r="G47" s="172"/>
      <c r="H47" s="172"/>
      <c r="I47" s="172"/>
      <c r="J47" s="172"/>
      <c r="K47" s="103"/>
      <c r="L47" s="178"/>
      <c r="M47" s="178"/>
      <c r="N47" s="178"/>
      <c r="O47" s="178"/>
      <c r="P47" s="178"/>
      <c r="Q47" s="178"/>
      <c r="R47" s="178"/>
      <c r="S47" s="178"/>
      <c r="T47" s="178"/>
      <c r="U47" s="243"/>
      <c r="V47" s="79"/>
      <c r="W47" s="79"/>
      <c r="X47" s="79"/>
      <c r="Y47" s="89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  <c r="AO47" s="184"/>
      <c r="AP47" s="184"/>
      <c r="AQ47" s="184"/>
      <c r="AR47" s="184"/>
      <c r="AS47" s="184"/>
      <c r="AT47" s="184"/>
      <c r="AU47" s="184"/>
      <c r="AV47" s="184"/>
      <c r="AW47" s="184"/>
      <c r="AX47" s="184"/>
      <c r="AY47" s="184"/>
      <c r="AZ47" s="184"/>
      <c r="BA47" s="243"/>
      <c r="BB47" s="79"/>
      <c r="BC47" s="79"/>
      <c r="BD47" s="79"/>
      <c r="BE47" s="79"/>
      <c r="BF47" s="79"/>
      <c r="BG47" s="79"/>
      <c r="BH47" s="79"/>
      <c r="BI47" s="79"/>
      <c r="BJ47" s="79"/>
      <c r="BK47" s="79"/>
      <c r="BL47" s="79"/>
    </row>
    <row r="48" spans="1:64" s="27" customFormat="1" ht="14.25" customHeight="1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8"/>
      <c r="L48" s="178"/>
      <c r="M48" s="178"/>
      <c r="N48" s="178"/>
      <c r="O48" s="178"/>
      <c r="P48" s="178"/>
      <c r="Q48" s="178"/>
      <c r="R48" s="178"/>
      <c r="S48" s="178"/>
      <c r="T48" s="178"/>
      <c r="U48" s="79"/>
      <c r="V48" s="79"/>
      <c r="W48" s="79"/>
      <c r="X48" s="79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4"/>
      <c r="AX48" s="184"/>
      <c r="AY48" s="184"/>
      <c r="AZ48" s="184"/>
      <c r="BA48" s="79"/>
      <c r="BB48" s="79"/>
      <c r="BC48" s="79"/>
      <c r="BD48" s="79"/>
      <c r="BE48" s="79"/>
      <c r="BF48" s="79"/>
      <c r="BG48" s="79"/>
      <c r="BH48" s="79"/>
      <c r="BI48" s="79"/>
      <c r="BJ48" s="79"/>
      <c r="BK48" s="79"/>
      <c r="BL48" s="79"/>
    </row>
    <row r="49" spans="1:64" s="27" customFormat="1" ht="14.25" customHeight="1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79"/>
      <c r="V49" s="79"/>
      <c r="W49" s="79"/>
      <c r="X49" s="79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  <c r="AK49" s="184"/>
      <c r="AL49" s="184"/>
      <c r="AM49" s="184"/>
      <c r="AN49" s="184"/>
      <c r="AO49" s="184"/>
      <c r="AP49" s="184"/>
      <c r="AQ49" s="184"/>
      <c r="AR49" s="184"/>
      <c r="AS49" s="184"/>
      <c r="AT49" s="184"/>
      <c r="AU49" s="184"/>
      <c r="AV49" s="184"/>
      <c r="AW49" s="184"/>
      <c r="AX49" s="184"/>
      <c r="AY49" s="184"/>
      <c r="AZ49" s="184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79"/>
      <c r="BL49" s="79"/>
    </row>
    <row r="50" spans="1:64" s="27" customFormat="1" ht="14.25" customHeight="1">
      <c r="A50" s="244"/>
      <c r="B50" s="245"/>
      <c r="C50" s="245"/>
      <c r="D50" s="245"/>
      <c r="E50" s="245"/>
      <c r="F50" s="245"/>
      <c r="G50" s="245"/>
      <c r="H50" s="245"/>
      <c r="I50" s="245"/>
      <c r="J50" s="245"/>
      <c r="K50" s="103"/>
      <c r="L50" s="178"/>
      <c r="M50" s="178"/>
      <c r="N50" s="178"/>
      <c r="O50" s="178"/>
      <c r="P50" s="178"/>
      <c r="Q50" s="178"/>
      <c r="R50" s="178"/>
      <c r="S50" s="178"/>
      <c r="T50" s="178"/>
      <c r="U50" s="246"/>
      <c r="V50" s="245"/>
      <c r="W50" s="245"/>
      <c r="X50" s="245"/>
      <c r="Y50" s="247"/>
      <c r="Z50" s="248"/>
      <c r="AA50" s="248"/>
      <c r="AB50" s="248"/>
      <c r="AC50" s="248"/>
      <c r="AD50" s="248"/>
      <c r="AE50" s="248"/>
      <c r="AF50" s="248"/>
      <c r="AG50" s="248"/>
      <c r="AH50" s="248"/>
      <c r="AI50" s="248"/>
      <c r="AJ50" s="248"/>
      <c r="AK50" s="248"/>
      <c r="AL50" s="248"/>
      <c r="AM50" s="248"/>
      <c r="AN50" s="248"/>
      <c r="AO50" s="248"/>
      <c r="AP50" s="248"/>
      <c r="AQ50" s="248"/>
      <c r="AR50" s="248"/>
      <c r="AS50" s="248"/>
      <c r="AT50" s="248"/>
      <c r="AU50" s="248"/>
      <c r="AV50" s="248"/>
      <c r="AW50" s="248"/>
      <c r="AX50" s="248"/>
      <c r="AY50" s="248"/>
      <c r="AZ50" s="248"/>
      <c r="BA50" s="244"/>
      <c r="BB50" s="245"/>
      <c r="BC50" s="245"/>
      <c r="BD50" s="245"/>
      <c r="BE50" s="245"/>
      <c r="BF50" s="245"/>
      <c r="BG50" s="245"/>
      <c r="BH50" s="245"/>
      <c r="BI50" s="245"/>
      <c r="BJ50" s="245"/>
      <c r="BK50" s="245"/>
      <c r="BL50" s="245"/>
    </row>
    <row r="51" spans="1:64" s="27" customFormat="1" ht="14.25" customHeight="1">
      <c r="A51" s="245"/>
      <c r="B51" s="245"/>
      <c r="C51" s="245"/>
      <c r="D51" s="245"/>
      <c r="E51" s="245"/>
      <c r="F51" s="245"/>
      <c r="G51" s="245"/>
      <c r="H51" s="245"/>
      <c r="I51" s="245"/>
      <c r="J51" s="245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245"/>
      <c r="V51" s="245"/>
      <c r="W51" s="245"/>
      <c r="X51" s="245"/>
      <c r="Y51" s="248"/>
      <c r="Z51" s="248"/>
      <c r="AA51" s="248"/>
      <c r="AB51" s="248"/>
      <c r="AC51" s="248"/>
      <c r="AD51" s="248"/>
      <c r="AE51" s="248"/>
      <c r="AF51" s="248"/>
      <c r="AG51" s="248"/>
      <c r="AH51" s="248"/>
      <c r="AI51" s="248"/>
      <c r="AJ51" s="248"/>
      <c r="AK51" s="248"/>
      <c r="AL51" s="248"/>
      <c r="AM51" s="248"/>
      <c r="AN51" s="248"/>
      <c r="AO51" s="248"/>
      <c r="AP51" s="248"/>
      <c r="AQ51" s="248"/>
      <c r="AR51" s="248"/>
      <c r="AS51" s="248"/>
      <c r="AT51" s="248"/>
      <c r="AU51" s="248"/>
      <c r="AV51" s="248"/>
      <c r="AW51" s="248"/>
      <c r="AX51" s="248"/>
      <c r="AY51" s="248"/>
      <c r="AZ51" s="248"/>
      <c r="BA51" s="245"/>
      <c r="BB51" s="245"/>
      <c r="BC51" s="245"/>
      <c r="BD51" s="245"/>
      <c r="BE51" s="245"/>
      <c r="BF51" s="245"/>
      <c r="BG51" s="245"/>
      <c r="BH51" s="245"/>
      <c r="BI51" s="245"/>
      <c r="BJ51" s="245"/>
      <c r="BK51" s="245"/>
      <c r="BL51" s="245"/>
    </row>
    <row r="52" spans="1:64" s="27" customFormat="1" ht="14.25" customHeight="1">
      <c r="A52" s="245"/>
      <c r="B52" s="245"/>
      <c r="C52" s="245"/>
      <c r="D52" s="245"/>
      <c r="E52" s="245"/>
      <c r="F52" s="245"/>
      <c r="G52" s="245"/>
      <c r="H52" s="245"/>
      <c r="I52" s="245"/>
      <c r="J52" s="245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245"/>
      <c r="V52" s="245"/>
      <c r="W52" s="245"/>
      <c r="X52" s="245"/>
      <c r="Y52" s="248"/>
      <c r="Z52" s="248"/>
      <c r="AA52" s="248"/>
      <c r="AB52" s="248"/>
      <c r="AC52" s="248"/>
      <c r="AD52" s="248"/>
      <c r="AE52" s="248"/>
      <c r="AF52" s="248"/>
      <c r="AG52" s="248"/>
      <c r="AH52" s="248"/>
      <c r="AI52" s="248"/>
      <c r="AJ52" s="248"/>
      <c r="AK52" s="248"/>
      <c r="AL52" s="248"/>
      <c r="AM52" s="248"/>
      <c r="AN52" s="248"/>
      <c r="AO52" s="248"/>
      <c r="AP52" s="248"/>
      <c r="AQ52" s="248"/>
      <c r="AR52" s="248"/>
      <c r="AS52" s="248"/>
      <c r="AT52" s="248"/>
      <c r="AU52" s="248"/>
      <c r="AV52" s="248"/>
      <c r="AW52" s="248"/>
      <c r="AX52" s="248"/>
      <c r="AY52" s="248"/>
      <c r="AZ52" s="248"/>
      <c r="BA52" s="245"/>
      <c r="BB52" s="245"/>
      <c r="BC52" s="245"/>
      <c r="BD52" s="245"/>
      <c r="BE52" s="245"/>
      <c r="BF52" s="245"/>
      <c r="BG52" s="245"/>
      <c r="BH52" s="245"/>
      <c r="BI52" s="245"/>
      <c r="BJ52" s="245"/>
      <c r="BK52" s="245"/>
      <c r="BL52" s="245"/>
    </row>
    <row r="53" spans="1:64" s="27" customFormat="1" ht="14.25" customHeight="1">
      <c r="A53" s="244"/>
      <c r="B53" s="245"/>
      <c r="C53" s="245"/>
      <c r="D53" s="245"/>
      <c r="E53" s="245"/>
      <c r="F53" s="245"/>
      <c r="G53" s="245"/>
      <c r="H53" s="245"/>
      <c r="I53" s="245"/>
      <c r="J53" s="245"/>
      <c r="K53" s="103"/>
      <c r="L53" s="178"/>
      <c r="M53" s="178"/>
      <c r="N53" s="178"/>
      <c r="O53" s="178"/>
      <c r="P53" s="178"/>
      <c r="Q53" s="178"/>
      <c r="R53" s="178"/>
      <c r="S53" s="178"/>
      <c r="T53" s="178"/>
      <c r="U53" s="246"/>
      <c r="V53" s="245"/>
      <c r="W53" s="245"/>
      <c r="X53" s="245"/>
      <c r="Y53" s="247"/>
      <c r="Z53" s="248"/>
      <c r="AA53" s="248"/>
      <c r="AB53" s="248"/>
      <c r="AC53" s="248"/>
      <c r="AD53" s="248"/>
      <c r="AE53" s="248"/>
      <c r="AF53" s="248"/>
      <c r="AG53" s="248"/>
      <c r="AH53" s="248"/>
      <c r="AI53" s="248"/>
      <c r="AJ53" s="248"/>
      <c r="AK53" s="248"/>
      <c r="AL53" s="248"/>
      <c r="AM53" s="248"/>
      <c r="AN53" s="248"/>
      <c r="AO53" s="248"/>
      <c r="AP53" s="248"/>
      <c r="AQ53" s="248"/>
      <c r="AR53" s="248"/>
      <c r="AS53" s="248"/>
      <c r="AT53" s="248"/>
      <c r="AU53" s="248"/>
      <c r="AV53" s="248"/>
      <c r="AW53" s="248"/>
      <c r="AX53" s="248"/>
      <c r="AY53" s="248"/>
      <c r="AZ53" s="248"/>
      <c r="BA53" s="244"/>
      <c r="BB53" s="245"/>
      <c r="BC53" s="245"/>
      <c r="BD53" s="245"/>
      <c r="BE53" s="245"/>
      <c r="BF53" s="245"/>
      <c r="BG53" s="245"/>
      <c r="BH53" s="245"/>
      <c r="BI53" s="245"/>
      <c r="BJ53" s="245"/>
      <c r="BK53" s="245"/>
      <c r="BL53" s="245"/>
    </row>
    <row r="54" spans="1:64" s="27" customFormat="1" ht="14.25" customHeight="1">
      <c r="A54" s="245"/>
      <c r="B54" s="245"/>
      <c r="C54" s="245"/>
      <c r="D54" s="245"/>
      <c r="E54" s="245"/>
      <c r="F54" s="245"/>
      <c r="G54" s="245"/>
      <c r="H54" s="245"/>
      <c r="I54" s="245"/>
      <c r="J54" s="245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245"/>
      <c r="V54" s="245"/>
      <c r="W54" s="245"/>
      <c r="X54" s="245"/>
      <c r="Y54" s="248"/>
      <c r="Z54" s="248"/>
      <c r="AA54" s="248"/>
      <c r="AB54" s="248"/>
      <c r="AC54" s="248"/>
      <c r="AD54" s="248"/>
      <c r="AE54" s="248"/>
      <c r="AF54" s="248"/>
      <c r="AG54" s="248"/>
      <c r="AH54" s="248"/>
      <c r="AI54" s="248"/>
      <c r="AJ54" s="248"/>
      <c r="AK54" s="248"/>
      <c r="AL54" s="248"/>
      <c r="AM54" s="248"/>
      <c r="AN54" s="248"/>
      <c r="AO54" s="248"/>
      <c r="AP54" s="248"/>
      <c r="AQ54" s="248"/>
      <c r="AR54" s="248"/>
      <c r="AS54" s="248"/>
      <c r="AT54" s="248"/>
      <c r="AU54" s="248"/>
      <c r="AV54" s="248"/>
      <c r="AW54" s="248"/>
      <c r="AX54" s="248"/>
      <c r="AY54" s="248"/>
      <c r="AZ54" s="248"/>
      <c r="BA54" s="245"/>
      <c r="BB54" s="245"/>
      <c r="BC54" s="245"/>
      <c r="BD54" s="245"/>
      <c r="BE54" s="245"/>
      <c r="BF54" s="245"/>
      <c r="BG54" s="245"/>
      <c r="BH54" s="245"/>
      <c r="BI54" s="245"/>
      <c r="BJ54" s="245"/>
      <c r="BK54" s="245"/>
      <c r="BL54" s="245"/>
    </row>
    <row r="55" spans="1:64" s="27" customFormat="1" ht="14.25" customHeight="1">
      <c r="A55" s="245"/>
      <c r="B55" s="245"/>
      <c r="C55" s="245"/>
      <c r="D55" s="245"/>
      <c r="E55" s="245"/>
      <c r="F55" s="245"/>
      <c r="G55" s="245"/>
      <c r="H55" s="245"/>
      <c r="I55" s="245"/>
      <c r="J55" s="245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245"/>
      <c r="V55" s="245"/>
      <c r="W55" s="245"/>
      <c r="X55" s="245"/>
      <c r="Y55" s="248"/>
      <c r="Z55" s="248"/>
      <c r="AA55" s="248"/>
      <c r="AB55" s="248"/>
      <c r="AC55" s="248"/>
      <c r="AD55" s="248"/>
      <c r="AE55" s="248"/>
      <c r="AF55" s="248"/>
      <c r="AG55" s="248"/>
      <c r="AH55" s="248"/>
      <c r="AI55" s="248"/>
      <c r="AJ55" s="248"/>
      <c r="AK55" s="248"/>
      <c r="AL55" s="248"/>
      <c r="AM55" s="248"/>
      <c r="AN55" s="248"/>
      <c r="AO55" s="248"/>
      <c r="AP55" s="248"/>
      <c r="AQ55" s="248"/>
      <c r="AR55" s="248"/>
      <c r="AS55" s="248"/>
      <c r="AT55" s="248"/>
      <c r="AU55" s="248"/>
      <c r="AV55" s="248"/>
      <c r="AW55" s="248"/>
      <c r="AX55" s="248"/>
      <c r="AY55" s="248"/>
      <c r="AZ55" s="248"/>
      <c r="BA55" s="245"/>
      <c r="BB55" s="245"/>
      <c r="BC55" s="245"/>
      <c r="BD55" s="245"/>
      <c r="BE55" s="245"/>
      <c r="BF55" s="245"/>
      <c r="BG55" s="245"/>
      <c r="BH55" s="245"/>
      <c r="BI55" s="245"/>
      <c r="BJ55" s="245"/>
      <c r="BK55" s="245"/>
      <c r="BL55" s="245"/>
    </row>
    <row r="56" spans="1:64" s="27" customFormat="1" ht="14.25" customHeight="1">
      <c r="A56" s="244"/>
      <c r="B56" s="245"/>
      <c r="C56" s="245"/>
      <c r="D56" s="245"/>
      <c r="E56" s="245"/>
      <c r="F56" s="245"/>
      <c r="G56" s="245"/>
      <c r="H56" s="245"/>
      <c r="I56" s="245"/>
      <c r="J56" s="245"/>
      <c r="K56" s="103"/>
      <c r="L56" s="178"/>
      <c r="M56" s="178"/>
      <c r="N56" s="178"/>
      <c r="O56" s="178"/>
      <c r="P56" s="178"/>
      <c r="Q56" s="178"/>
      <c r="R56" s="178"/>
      <c r="S56" s="178"/>
      <c r="T56" s="178"/>
      <c r="U56" s="246"/>
      <c r="V56" s="245"/>
      <c r="W56" s="245"/>
      <c r="X56" s="245"/>
      <c r="Y56" s="247"/>
      <c r="Z56" s="248"/>
      <c r="AA56" s="248"/>
      <c r="AB56" s="248"/>
      <c r="AC56" s="248"/>
      <c r="AD56" s="248"/>
      <c r="AE56" s="248"/>
      <c r="AF56" s="248"/>
      <c r="AG56" s="248"/>
      <c r="AH56" s="248"/>
      <c r="AI56" s="248"/>
      <c r="AJ56" s="248"/>
      <c r="AK56" s="248"/>
      <c r="AL56" s="248"/>
      <c r="AM56" s="248"/>
      <c r="AN56" s="248"/>
      <c r="AO56" s="248"/>
      <c r="AP56" s="248"/>
      <c r="AQ56" s="248"/>
      <c r="AR56" s="248"/>
      <c r="AS56" s="248"/>
      <c r="AT56" s="248"/>
      <c r="AU56" s="248"/>
      <c r="AV56" s="248"/>
      <c r="AW56" s="248"/>
      <c r="AX56" s="248"/>
      <c r="AY56" s="248"/>
      <c r="AZ56" s="248"/>
      <c r="BA56" s="244"/>
      <c r="BB56" s="245"/>
      <c r="BC56" s="245"/>
      <c r="BD56" s="245"/>
      <c r="BE56" s="245"/>
      <c r="BF56" s="245"/>
      <c r="BG56" s="245"/>
      <c r="BH56" s="245"/>
      <c r="BI56" s="245"/>
      <c r="BJ56" s="245"/>
      <c r="BK56" s="245"/>
      <c r="BL56" s="245"/>
    </row>
    <row r="57" spans="1:64" s="27" customFormat="1" ht="14.25" customHeight="1">
      <c r="A57" s="245"/>
      <c r="B57" s="245"/>
      <c r="C57" s="245"/>
      <c r="D57" s="245"/>
      <c r="E57" s="245"/>
      <c r="F57" s="245"/>
      <c r="G57" s="245"/>
      <c r="H57" s="245"/>
      <c r="I57" s="245"/>
      <c r="J57" s="245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245"/>
      <c r="V57" s="245"/>
      <c r="W57" s="245"/>
      <c r="X57" s="245"/>
      <c r="Y57" s="248"/>
      <c r="Z57" s="248"/>
      <c r="AA57" s="248"/>
      <c r="AB57" s="248"/>
      <c r="AC57" s="248"/>
      <c r="AD57" s="248"/>
      <c r="AE57" s="248"/>
      <c r="AF57" s="248"/>
      <c r="AG57" s="248"/>
      <c r="AH57" s="248"/>
      <c r="AI57" s="248"/>
      <c r="AJ57" s="248"/>
      <c r="AK57" s="248"/>
      <c r="AL57" s="248"/>
      <c r="AM57" s="248"/>
      <c r="AN57" s="248"/>
      <c r="AO57" s="248"/>
      <c r="AP57" s="248"/>
      <c r="AQ57" s="248"/>
      <c r="AR57" s="248"/>
      <c r="AS57" s="248"/>
      <c r="AT57" s="248"/>
      <c r="AU57" s="248"/>
      <c r="AV57" s="248"/>
      <c r="AW57" s="248"/>
      <c r="AX57" s="248"/>
      <c r="AY57" s="248"/>
      <c r="AZ57" s="248"/>
      <c r="BA57" s="245"/>
      <c r="BB57" s="245"/>
      <c r="BC57" s="245"/>
      <c r="BD57" s="245"/>
      <c r="BE57" s="245"/>
      <c r="BF57" s="245"/>
      <c r="BG57" s="245"/>
      <c r="BH57" s="245"/>
      <c r="BI57" s="245"/>
      <c r="BJ57" s="245"/>
      <c r="BK57" s="245"/>
      <c r="BL57" s="245"/>
    </row>
    <row r="58" spans="1:64" s="27" customFormat="1" ht="14.25" customHeight="1">
      <c r="A58" s="245"/>
      <c r="B58" s="245"/>
      <c r="C58" s="245"/>
      <c r="D58" s="245"/>
      <c r="E58" s="245"/>
      <c r="F58" s="245"/>
      <c r="G58" s="245"/>
      <c r="H58" s="245"/>
      <c r="I58" s="245"/>
      <c r="J58" s="245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245"/>
      <c r="V58" s="245"/>
      <c r="W58" s="245"/>
      <c r="X58" s="245"/>
      <c r="Y58" s="248"/>
      <c r="Z58" s="248"/>
      <c r="AA58" s="248"/>
      <c r="AB58" s="248"/>
      <c r="AC58" s="248"/>
      <c r="AD58" s="248"/>
      <c r="AE58" s="248"/>
      <c r="AF58" s="248"/>
      <c r="AG58" s="248"/>
      <c r="AH58" s="248"/>
      <c r="AI58" s="248"/>
      <c r="AJ58" s="248"/>
      <c r="AK58" s="248"/>
      <c r="AL58" s="248"/>
      <c r="AM58" s="248"/>
      <c r="AN58" s="248"/>
      <c r="AO58" s="248"/>
      <c r="AP58" s="248"/>
      <c r="AQ58" s="248"/>
      <c r="AR58" s="248"/>
      <c r="AS58" s="248"/>
      <c r="AT58" s="248"/>
      <c r="AU58" s="248"/>
      <c r="AV58" s="248"/>
      <c r="AW58" s="248"/>
      <c r="AX58" s="248"/>
      <c r="AY58" s="248"/>
      <c r="AZ58" s="248"/>
      <c r="BA58" s="245"/>
      <c r="BB58" s="245"/>
      <c r="BC58" s="245"/>
      <c r="BD58" s="245"/>
      <c r="BE58" s="245"/>
      <c r="BF58" s="245"/>
      <c r="BG58" s="245"/>
      <c r="BH58" s="245"/>
      <c r="BI58" s="245"/>
      <c r="BJ58" s="245"/>
      <c r="BK58" s="245"/>
      <c r="BL58" s="245"/>
    </row>
    <row r="59" spans="1:64" s="27" customFormat="1" ht="14.25" customHeight="1">
      <c r="A59" s="244"/>
      <c r="B59" s="245"/>
      <c r="C59" s="245"/>
      <c r="D59" s="245"/>
      <c r="E59" s="245"/>
      <c r="F59" s="245"/>
      <c r="G59" s="245"/>
      <c r="H59" s="245"/>
      <c r="I59" s="245"/>
      <c r="J59" s="245"/>
      <c r="K59" s="103"/>
      <c r="L59" s="178"/>
      <c r="M59" s="178"/>
      <c r="N59" s="178"/>
      <c r="O59" s="178"/>
      <c r="P59" s="178"/>
      <c r="Q59" s="178"/>
      <c r="R59" s="178"/>
      <c r="S59" s="178"/>
      <c r="T59" s="178"/>
      <c r="U59" s="246"/>
      <c r="V59" s="245"/>
      <c r="W59" s="245"/>
      <c r="X59" s="245"/>
      <c r="Y59" s="247"/>
      <c r="Z59" s="248"/>
      <c r="AA59" s="248"/>
      <c r="AB59" s="248"/>
      <c r="AC59" s="248"/>
      <c r="AD59" s="248"/>
      <c r="AE59" s="248"/>
      <c r="AF59" s="248"/>
      <c r="AG59" s="248"/>
      <c r="AH59" s="248"/>
      <c r="AI59" s="248"/>
      <c r="AJ59" s="248"/>
      <c r="AK59" s="248"/>
      <c r="AL59" s="248"/>
      <c r="AM59" s="248"/>
      <c r="AN59" s="248"/>
      <c r="AO59" s="248"/>
      <c r="AP59" s="248"/>
      <c r="AQ59" s="248"/>
      <c r="AR59" s="248"/>
      <c r="AS59" s="248"/>
      <c r="AT59" s="248"/>
      <c r="AU59" s="248"/>
      <c r="AV59" s="248"/>
      <c r="AW59" s="248"/>
      <c r="AX59" s="248"/>
      <c r="AY59" s="248"/>
      <c r="AZ59" s="248"/>
      <c r="BA59" s="244"/>
      <c r="BB59" s="245"/>
      <c r="BC59" s="245"/>
      <c r="BD59" s="245"/>
      <c r="BE59" s="245"/>
      <c r="BF59" s="245"/>
      <c r="BG59" s="245"/>
      <c r="BH59" s="245"/>
      <c r="BI59" s="245"/>
      <c r="BJ59" s="245"/>
      <c r="BK59" s="245"/>
      <c r="BL59" s="245"/>
    </row>
    <row r="60" spans="1:64" s="27" customFormat="1" ht="14.25" customHeight="1">
      <c r="A60" s="245"/>
      <c r="B60" s="245"/>
      <c r="C60" s="245"/>
      <c r="D60" s="245"/>
      <c r="E60" s="245"/>
      <c r="F60" s="245"/>
      <c r="G60" s="245"/>
      <c r="H60" s="245"/>
      <c r="I60" s="245"/>
      <c r="J60" s="245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245"/>
      <c r="V60" s="245"/>
      <c r="W60" s="245"/>
      <c r="X60" s="245"/>
      <c r="Y60" s="248"/>
      <c r="Z60" s="248"/>
      <c r="AA60" s="248"/>
      <c r="AB60" s="248"/>
      <c r="AC60" s="248"/>
      <c r="AD60" s="248"/>
      <c r="AE60" s="248"/>
      <c r="AF60" s="248"/>
      <c r="AG60" s="248"/>
      <c r="AH60" s="248"/>
      <c r="AI60" s="248"/>
      <c r="AJ60" s="248"/>
      <c r="AK60" s="248"/>
      <c r="AL60" s="248"/>
      <c r="AM60" s="248"/>
      <c r="AN60" s="248"/>
      <c r="AO60" s="248"/>
      <c r="AP60" s="248"/>
      <c r="AQ60" s="248"/>
      <c r="AR60" s="248"/>
      <c r="AS60" s="248"/>
      <c r="AT60" s="248"/>
      <c r="AU60" s="248"/>
      <c r="AV60" s="248"/>
      <c r="AW60" s="248"/>
      <c r="AX60" s="248"/>
      <c r="AY60" s="248"/>
      <c r="AZ60" s="248"/>
      <c r="BA60" s="245"/>
      <c r="BB60" s="245"/>
      <c r="BC60" s="245"/>
      <c r="BD60" s="245"/>
      <c r="BE60" s="245"/>
      <c r="BF60" s="245"/>
      <c r="BG60" s="245"/>
      <c r="BH60" s="245"/>
      <c r="BI60" s="245"/>
      <c r="BJ60" s="245"/>
      <c r="BK60" s="245"/>
      <c r="BL60" s="245"/>
    </row>
    <row r="61" spans="1:64" s="27" customFormat="1" ht="14.25" customHeight="1">
      <c r="A61" s="245"/>
      <c r="B61" s="245"/>
      <c r="C61" s="245"/>
      <c r="D61" s="245"/>
      <c r="E61" s="245"/>
      <c r="F61" s="245"/>
      <c r="G61" s="245"/>
      <c r="H61" s="245"/>
      <c r="I61" s="245"/>
      <c r="J61" s="245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245"/>
      <c r="V61" s="245"/>
      <c r="W61" s="245"/>
      <c r="X61" s="245"/>
      <c r="Y61" s="248"/>
      <c r="Z61" s="248"/>
      <c r="AA61" s="248"/>
      <c r="AB61" s="248"/>
      <c r="AC61" s="248"/>
      <c r="AD61" s="248"/>
      <c r="AE61" s="248"/>
      <c r="AF61" s="248"/>
      <c r="AG61" s="248"/>
      <c r="AH61" s="248"/>
      <c r="AI61" s="248"/>
      <c r="AJ61" s="248"/>
      <c r="AK61" s="248"/>
      <c r="AL61" s="248"/>
      <c r="AM61" s="248"/>
      <c r="AN61" s="248"/>
      <c r="AO61" s="248"/>
      <c r="AP61" s="248"/>
      <c r="AQ61" s="248"/>
      <c r="AR61" s="248"/>
      <c r="AS61" s="248"/>
      <c r="AT61" s="248"/>
      <c r="AU61" s="248"/>
      <c r="AV61" s="248"/>
      <c r="AW61" s="248"/>
      <c r="AX61" s="248"/>
      <c r="AY61" s="248"/>
      <c r="AZ61" s="248"/>
      <c r="BA61" s="245"/>
      <c r="BB61" s="245"/>
      <c r="BC61" s="245"/>
      <c r="BD61" s="245"/>
      <c r="BE61" s="245"/>
      <c r="BF61" s="245"/>
      <c r="BG61" s="245"/>
      <c r="BH61" s="245"/>
      <c r="BI61" s="245"/>
      <c r="BJ61" s="245"/>
      <c r="BK61" s="245"/>
      <c r="BL61" s="245"/>
    </row>
    <row r="62" spans="1:64" s="27" customFormat="1" ht="14.25" customHeight="1">
      <c r="A62" s="244"/>
      <c r="B62" s="245"/>
      <c r="C62" s="245"/>
      <c r="D62" s="245"/>
      <c r="E62" s="245"/>
      <c r="F62" s="245"/>
      <c r="G62" s="245"/>
      <c r="H62" s="245"/>
      <c r="I62" s="245"/>
      <c r="J62" s="245"/>
      <c r="K62" s="103"/>
      <c r="L62" s="178"/>
      <c r="M62" s="178"/>
      <c r="N62" s="178"/>
      <c r="O62" s="178"/>
      <c r="P62" s="178"/>
      <c r="Q62" s="178"/>
      <c r="R62" s="178"/>
      <c r="S62" s="178"/>
      <c r="T62" s="178"/>
      <c r="U62" s="246"/>
      <c r="V62" s="245"/>
      <c r="W62" s="245"/>
      <c r="X62" s="245"/>
      <c r="Y62" s="247"/>
      <c r="Z62" s="248"/>
      <c r="AA62" s="248"/>
      <c r="AB62" s="248"/>
      <c r="AC62" s="248"/>
      <c r="AD62" s="248"/>
      <c r="AE62" s="248"/>
      <c r="AF62" s="248"/>
      <c r="AG62" s="248"/>
      <c r="AH62" s="248"/>
      <c r="AI62" s="248"/>
      <c r="AJ62" s="248"/>
      <c r="AK62" s="248"/>
      <c r="AL62" s="248"/>
      <c r="AM62" s="248"/>
      <c r="AN62" s="248"/>
      <c r="AO62" s="248"/>
      <c r="AP62" s="248"/>
      <c r="AQ62" s="248"/>
      <c r="AR62" s="248"/>
      <c r="AS62" s="248"/>
      <c r="AT62" s="248"/>
      <c r="AU62" s="248"/>
      <c r="AV62" s="248"/>
      <c r="AW62" s="248"/>
      <c r="AX62" s="248"/>
      <c r="AY62" s="248"/>
      <c r="AZ62" s="248"/>
      <c r="BA62" s="244"/>
      <c r="BB62" s="245"/>
      <c r="BC62" s="245"/>
      <c r="BD62" s="245"/>
      <c r="BE62" s="245"/>
      <c r="BF62" s="245"/>
      <c r="BG62" s="245"/>
      <c r="BH62" s="245"/>
      <c r="BI62" s="245"/>
      <c r="BJ62" s="245"/>
      <c r="BK62" s="245"/>
      <c r="BL62" s="245"/>
    </row>
    <row r="63" spans="1:64" s="27" customFormat="1" ht="14.25" customHeight="1">
      <c r="A63" s="245"/>
      <c r="B63" s="245"/>
      <c r="C63" s="245"/>
      <c r="D63" s="245"/>
      <c r="E63" s="245"/>
      <c r="F63" s="245"/>
      <c r="G63" s="245"/>
      <c r="H63" s="245"/>
      <c r="I63" s="245"/>
      <c r="J63" s="245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245"/>
      <c r="V63" s="245"/>
      <c r="W63" s="245"/>
      <c r="X63" s="245"/>
      <c r="Y63" s="248"/>
      <c r="Z63" s="248"/>
      <c r="AA63" s="248"/>
      <c r="AB63" s="248"/>
      <c r="AC63" s="248"/>
      <c r="AD63" s="248"/>
      <c r="AE63" s="248"/>
      <c r="AF63" s="248"/>
      <c r="AG63" s="248"/>
      <c r="AH63" s="248"/>
      <c r="AI63" s="248"/>
      <c r="AJ63" s="248"/>
      <c r="AK63" s="248"/>
      <c r="AL63" s="248"/>
      <c r="AM63" s="248"/>
      <c r="AN63" s="248"/>
      <c r="AO63" s="248"/>
      <c r="AP63" s="248"/>
      <c r="AQ63" s="248"/>
      <c r="AR63" s="248"/>
      <c r="AS63" s="248"/>
      <c r="AT63" s="248"/>
      <c r="AU63" s="248"/>
      <c r="AV63" s="248"/>
      <c r="AW63" s="248"/>
      <c r="AX63" s="248"/>
      <c r="AY63" s="248"/>
      <c r="AZ63" s="248"/>
      <c r="BA63" s="245"/>
      <c r="BB63" s="245"/>
      <c r="BC63" s="245"/>
      <c r="BD63" s="245"/>
      <c r="BE63" s="245"/>
      <c r="BF63" s="245"/>
      <c r="BG63" s="245"/>
      <c r="BH63" s="245"/>
      <c r="BI63" s="245"/>
      <c r="BJ63" s="245"/>
      <c r="BK63" s="245"/>
      <c r="BL63" s="245"/>
    </row>
    <row r="64" spans="1:64" s="27" customFormat="1" ht="14.25" customHeight="1">
      <c r="A64" s="245"/>
      <c r="B64" s="245"/>
      <c r="C64" s="245"/>
      <c r="D64" s="245"/>
      <c r="E64" s="245"/>
      <c r="F64" s="245"/>
      <c r="G64" s="245"/>
      <c r="H64" s="245"/>
      <c r="I64" s="245"/>
      <c r="J64" s="245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245"/>
      <c r="V64" s="245"/>
      <c r="W64" s="245"/>
      <c r="X64" s="245"/>
      <c r="Y64" s="248"/>
      <c r="Z64" s="248"/>
      <c r="AA64" s="248"/>
      <c r="AB64" s="248"/>
      <c r="AC64" s="248"/>
      <c r="AD64" s="248"/>
      <c r="AE64" s="248"/>
      <c r="AF64" s="248"/>
      <c r="AG64" s="248"/>
      <c r="AH64" s="248"/>
      <c r="AI64" s="248"/>
      <c r="AJ64" s="248"/>
      <c r="AK64" s="248"/>
      <c r="AL64" s="248"/>
      <c r="AM64" s="248"/>
      <c r="AN64" s="248"/>
      <c r="AO64" s="248"/>
      <c r="AP64" s="248"/>
      <c r="AQ64" s="248"/>
      <c r="AR64" s="248"/>
      <c r="AS64" s="248"/>
      <c r="AT64" s="248"/>
      <c r="AU64" s="248"/>
      <c r="AV64" s="248"/>
      <c r="AW64" s="248"/>
      <c r="AX64" s="248"/>
      <c r="AY64" s="248"/>
      <c r="AZ64" s="248"/>
      <c r="BA64" s="245"/>
      <c r="BB64" s="245"/>
      <c r="BC64" s="245"/>
      <c r="BD64" s="245"/>
      <c r="BE64" s="245"/>
      <c r="BF64" s="245"/>
      <c r="BG64" s="245"/>
      <c r="BH64" s="245"/>
      <c r="BI64" s="245"/>
      <c r="BJ64" s="245"/>
      <c r="BK64" s="245"/>
      <c r="BL64" s="245"/>
    </row>
    <row r="65" spans="1:64" s="27" customFormat="1" ht="14.25" customHeight="1">
      <c r="A65" s="244"/>
      <c r="B65" s="245"/>
      <c r="C65" s="245"/>
      <c r="D65" s="245"/>
      <c r="E65" s="245"/>
      <c r="F65" s="245"/>
      <c r="G65" s="245"/>
      <c r="H65" s="245"/>
      <c r="I65" s="245"/>
      <c r="J65" s="245"/>
      <c r="K65" s="103"/>
      <c r="L65" s="178"/>
      <c r="M65" s="178"/>
      <c r="N65" s="178"/>
      <c r="O65" s="178"/>
      <c r="P65" s="178"/>
      <c r="Q65" s="178"/>
      <c r="R65" s="178"/>
      <c r="S65" s="178"/>
      <c r="T65" s="178"/>
      <c r="U65" s="243"/>
      <c r="V65" s="79"/>
      <c r="W65" s="79"/>
      <c r="X65" s="79"/>
      <c r="Y65" s="247"/>
      <c r="Z65" s="248"/>
      <c r="AA65" s="248"/>
      <c r="AB65" s="248"/>
      <c r="AC65" s="248"/>
      <c r="AD65" s="248"/>
      <c r="AE65" s="248"/>
      <c r="AF65" s="248"/>
      <c r="AG65" s="248"/>
      <c r="AH65" s="248"/>
      <c r="AI65" s="248"/>
      <c r="AJ65" s="248"/>
      <c r="AK65" s="248"/>
      <c r="AL65" s="248"/>
      <c r="AM65" s="248"/>
      <c r="AN65" s="248"/>
      <c r="AO65" s="248"/>
      <c r="AP65" s="248"/>
      <c r="AQ65" s="248"/>
      <c r="AR65" s="248"/>
      <c r="AS65" s="248"/>
      <c r="AT65" s="248"/>
      <c r="AU65" s="248"/>
      <c r="AV65" s="248"/>
      <c r="AW65" s="248"/>
      <c r="AX65" s="248"/>
      <c r="AY65" s="248"/>
      <c r="AZ65" s="248"/>
      <c r="BA65" s="244"/>
      <c r="BB65" s="245"/>
      <c r="BC65" s="245"/>
      <c r="BD65" s="245"/>
      <c r="BE65" s="245"/>
      <c r="BF65" s="245"/>
      <c r="BG65" s="245"/>
      <c r="BH65" s="245"/>
      <c r="BI65" s="245"/>
      <c r="BJ65" s="245"/>
      <c r="BK65" s="245"/>
      <c r="BL65" s="245"/>
    </row>
    <row r="66" spans="1:64" s="27" customFormat="1" ht="14.25" customHeight="1">
      <c r="A66" s="245"/>
      <c r="B66" s="245"/>
      <c r="C66" s="245"/>
      <c r="D66" s="245"/>
      <c r="E66" s="245"/>
      <c r="F66" s="245"/>
      <c r="G66" s="245"/>
      <c r="H66" s="245"/>
      <c r="I66" s="245"/>
      <c r="J66" s="245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79"/>
      <c r="V66" s="79"/>
      <c r="W66" s="79"/>
      <c r="X66" s="79"/>
      <c r="Y66" s="248"/>
      <c r="Z66" s="248"/>
      <c r="AA66" s="248"/>
      <c r="AB66" s="248"/>
      <c r="AC66" s="248"/>
      <c r="AD66" s="248"/>
      <c r="AE66" s="248"/>
      <c r="AF66" s="248"/>
      <c r="AG66" s="248"/>
      <c r="AH66" s="248"/>
      <c r="AI66" s="248"/>
      <c r="AJ66" s="248"/>
      <c r="AK66" s="248"/>
      <c r="AL66" s="248"/>
      <c r="AM66" s="248"/>
      <c r="AN66" s="248"/>
      <c r="AO66" s="248"/>
      <c r="AP66" s="248"/>
      <c r="AQ66" s="248"/>
      <c r="AR66" s="248"/>
      <c r="AS66" s="248"/>
      <c r="AT66" s="248"/>
      <c r="AU66" s="248"/>
      <c r="AV66" s="248"/>
      <c r="AW66" s="248"/>
      <c r="AX66" s="248"/>
      <c r="AY66" s="248"/>
      <c r="AZ66" s="248"/>
      <c r="BA66" s="245"/>
      <c r="BB66" s="245"/>
      <c r="BC66" s="245"/>
      <c r="BD66" s="245"/>
      <c r="BE66" s="245"/>
      <c r="BF66" s="245"/>
      <c r="BG66" s="245"/>
      <c r="BH66" s="245"/>
      <c r="BI66" s="245"/>
      <c r="BJ66" s="245"/>
      <c r="BK66" s="245"/>
      <c r="BL66" s="245"/>
    </row>
    <row r="67" spans="1:64" s="27" customFormat="1" ht="14.25" customHeight="1">
      <c r="A67" s="245"/>
      <c r="B67" s="245"/>
      <c r="C67" s="245"/>
      <c r="D67" s="245"/>
      <c r="E67" s="245"/>
      <c r="F67" s="245"/>
      <c r="G67" s="245"/>
      <c r="H67" s="245"/>
      <c r="I67" s="245"/>
      <c r="J67" s="245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79"/>
      <c r="V67" s="79"/>
      <c r="W67" s="79"/>
      <c r="X67" s="79"/>
      <c r="Y67" s="248"/>
      <c r="Z67" s="248"/>
      <c r="AA67" s="248"/>
      <c r="AB67" s="248"/>
      <c r="AC67" s="248"/>
      <c r="AD67" s="248"/>
      <c r="AE67" s="248"/>
      <c r="AF67" s="248"/>
      <c r="AG67" s="248"/>
      <c r="AH67" s="248"/>
      <c r="AI67" s="248"/>
      <c r="AJ67" s="248"/>
      <c r="AK67" s="248"/>
      <c r="AL67" s="248"/>
      <c r="AM67" s="248"/>
      <c r="AN67" s="248"/>
      <c r="AO67" s="248"/>
      <c r="AP67" s="248"/>
      <c r="AQ67" s="248"/>
      <c r="AR67" s="248"/>
      <c r="AS67" s="248"/>
      <c r="AT67" s="248"/>
      <c r="AU67" s="248"/>
      <c r="AV67" s="248"/>
      <c r="AW67" s="248"/>
      <c r="AX67" s="248"/>
      <c r="AY67" s="248"/>
      <c r="AZ67" s="248"/>
      <c r="BA67" s="245"/>
      <c r="BB67" s="245"/>
      <c r="BC67" s="245"/>
      <c r="BD67" s="245"/>
      <c r="BE67" s="245"/>
      <c r="BF67" s="245"/>
      <c r="BG67" s="245"/>
      <c r="BH67" s="245"/>
      <c r="BI67" s="245"/>
      <c r="BJ67" s="245"/>
      <c r="BK67" s="245"/>
      <c r="BL67" s="245"/>
    </row>
    <row r="68" spans="1:64" s="27" customFormat="1" ht="14.25" customHeight="1">
      <c r="A68" s="244"/>
      <c r="B68" s="245"/>
      <c r="C68" s="245"/>
      <c r="D68" s="245"/>
      <c r="E68" s="245"/>
      <c r="F68" s="245"/>
      <c r="G68" s="245"/>
      <c r="H68" s="245"/>
      <c r="I68" s="245"/>
      <c r="J68" s="245"/>
      <c r="K68" s="103"/>
      <c r="L68" s="178"/>
      <c r="M68" s="178"/>
      <c r="N68" s="178"/>
      <c r="O68" s="178"/>
      <c r="P68" s="178"/>
      <c r="Q68" s="178"/>
      <c r="R68" s="178"/>
      <c r="S68" s="178"/>
      <c r="T68" s="178"/>
      <c r="U68" s="246"/>
      <c r="V68" s="245"/>
      <c r="W68" s="245"/>
      <c r="X68" s="245"/>
      <c r="Y68" s="247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8"/>
      <c r="AP68" s="248"/>
      <c r="AQ68" s="248"/>
      <c r="AR68" s="248"/>
      <c r="AS68" s="248"/>
      <c r="AT68" s="248"/>
      <c r="AU68" s="248"/>
      <c r="AV68" s="248"/>
      <c r="AW68" s="248"/>
      <c r="AX68" s="248"/>
      <c r="AY68" s="248"/>
      <c r="AZ68" s="248"/>
      <c r="BA68" s="244"/>
      <c r="BB68" s="245"/>
      <c r="BC68" s="245"/>
      <c r="BD68" s="245"/>
      <c r="BE68" s="245"/>
      <c r="BF68" s="245"/>
      <c r="BG68" s="245"/>
      <c r="BH68" s="245"/>
      <c r="BI68" s="245"/>
      <c r="BJ68" s="245"/>
      <c r="BK68" s="245"/>
      <c r="BL68" s="245"/>
    </row>
    <row r="69" spans="1:64" s="27" customFormat="1" ht="14.25" customHeight="1">
      <c r="A69" s="245"/>
      <c r="B69" s="245"/>
      <c r="C69" s="245"/>
      <c r="D69" s="245"/>
      <c r="E69" s="245"/>
      <c r="F69" s="245"/>
      <c r="G69" s="245"/>
      <c r="H69" s="245"/>
      <c r="I69" s="245"/>
      <c r="J69" s="245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245"/>
      <c r="V69" s="245"/>
      <c r="W69" s="245"/>
      <c r="X69" s="245"/>
      <c r="Y69" s="248"/>
      <c r="Z69" s="248"/>
      <c r="AA69" s="248"/>
      <c r="AB69" s="248"/>
      <c r="AC69" s="248"/>
      <c r="AD69" s="248"/>
      <c r="AE69" s="248"/>
      <c r="AF69" s="248"/>
      <c r="AG69" s="248"/>
      <c r="AH69" s="248"/>
      <c r="AI69" s="248"/>
      <c r="AJ69" s="248"/>
      <c r="AK69" s="248"/>
      <c r="AL69" s="248"/>
      <c r="AM69" s="248"/>
      <c r="AN69" s="248"/>
      <c r="AO69" s="248"/>
      <c r="AP69" s="248"/>
      <c r="AQ69" s="248"/>
      <c r="AR69" s="248"/>
      <c r="AS69" s="248"/>
      <c r="AT69" s="248"/>
      <c r="AU69" s="248"/>
      <c r="AV69" s="248"/>
      <c r="AW69" s="248"/>
      <c r="AX69" s="248"/>
      <c r="AY69" s="248"/>
      <c r="AZ69" s="248"/>
      <c r="BA69" s="245"/>
      <c r="BB69" s="245"/>
      <c r="BC69" s="245"/>
      <c r="BD69" s="245"/>
      <c r="BE69" s="245"/>
      <c r="BF69" s="245"/>
      <c r="BG69" s="245"/>
      <c r="BH69" s="245"/>
      <c r="BI69" s="245"/>
      <c r="BJ69" s="245"/>
      <c r="BK69" s="245"/>
      <c r="BL69" s="245"/>
    </row>
    <row r="70" spans="1:64" s="27" customFormat="1" ht="14.25" customHeight="1">
      <c r="A70" s="245"/>
      <c r="B70" s="245"/>
      <c r="C70" s="245"/>
      <c r="D70" s="245"/>
      <c r="E70" s="245"/>
      <c r="F70" s="245"/>
      <c r="G70" s="245"/>
      <c r="H70" s="245"/>
      <c r="I70" s="245"/>
      <c r="J70" s="245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245"/>
      <c r="V70" s="245"/>
      <c r="W70" s="245"/>
      <c r="X70" s="245"/>
      <c r="Y70" s="248"/>
      <c r="Z70" s="248"/>
      <c r="AA70" s="248"/>
      <c r="AB70" s="248"/>
      <c r="AC70" s="248"/>
      <c r="AD70" s="248"/>
      <c r="AE70" s="248"/>
      <c r="AF70" s="248"/>
      <c r="AG70" s="248"/>
      <c r="AH70" s="248"/>
      <c r="AI70" s="248"/>
      <c r="AJ70" s="248"/>
      <c r="AK70" s="248"/>
      <c r="AL70" s="248"/>
      <c r="AM70" s="248"/>
      <c r="AN70" s="248"/>
      <c r="AO70" s="248"/>
      <c r="AP70" s="248"/>
      <c r="AQ70" s="248"/>
      <c r="AR70" s="248"/>
      <c r="AS70" s="248"/>
      <c r="AT70" s="248"/>
      <c r="AU70" s="248"/>
      <c r="AV70" s="248"/>
      <c r="AW70" s="248"/>
      <c r="AX70" s="248"/>
      <c r="AY70" s="248"/>
      <c r="AZ70" s="248"/>
      <c r="BA70" s="245"/>
      <c r="BB70" s="245"/>
      <c r="BC70" s="245"/>
      <c r="BD70" s="245"/>
      <c r="BE70" s="245"/>
      <c r="BF70" s="245"/>
      <c r="BG70" s="245"/>
      <c r="BH70" s="245"/>
      <c r="BI70" s="245"/>
      <c r="BJ70" s="245"/>
      <c r="BK70" s="245"/>
      <c r="BL70" s="245"/>
    </row>
    <row r="71" spans="1:64" s="27" customFormat="1" ht="14.25" customHeight="1">
      <c r="A71" s="244"/>
      <c r="B71" s="245"/>
      <c r="C71" s="245"/>
      <c r="D71" s="245"/>
      <c r="E71" s="245"/>
      <c r="F71" s="245"/>
      <c r="G71" s="245"/>
      <c r="H71" s="245"/>
      <c r="I71" s="245"/>
      <c r="J71" s="245"/>
      <c r="K71" s="103"/>
      <c r="L71" s="178"/>
      <c r="M71" s="178"/>
      <c r="N71" s="178"/>
      <c r="O71" s="178"/>
      <c r="P71" s="178"/>
      <c r="Q71" s="178"/>
      <c r="R71" s="178"/>
      <c r="S71" s="178"/>
      <c r="T71" s="178"/>
      <c r="U71" s="246"/>
      <c r="V71" s="245"/>
      <c r="W71" s="245"/>
      <c r="X71" s="245"/>
      <c r="Y71" s="247"/>
      <c r="Z71" s="248"/>
      <c r="AA71" s="248"/>
      <c r="AB71" s="248"/>
      <c r="AC71" s="248"/>
      <c r="AD71" s="248"/>
      <c r="AE71" s="248"/>
      <c r="AF71" s="248"/>
      <c r="AG71" s="248"/>
      <c r="AH71" s="248"/>
      <c r="AI71" s="248"/>
      <c r="AJ71" s="248"/>
      <c r="AK71" s="248"/>
      <c r="AL71" s="248"/>
      <c r="AM71" s="248"/>
      <c r="AN71" s="248"/>
      <c r="AO71" s="248"/>
      <c r="AP71" s="248"/>
      <c r="AQ71" s="248"/>
      <c r="AR71" s="248"/>
      <c r="AS71" s="248"/>
      <c r="AT71" s="248"/>
      <c r="AU71" s="248"/>
      <c r="AV71" s="248"/>
      <c r="AW71" s="248"/>
      <c r="AX71" s="248"/>
      <c r="AY71" s="248"/>
      <c r="AZ71" s="248"/>
      <c r="BA71" s="244"/>
      <c r="BB71" s="245"/>
      <c r="BC71" s="245"/>
      <c r="BD71" s="245"/>
      <c r="BE71" s="245"/>
      <c r="BF71" s="245"/>
      <c r="BG71" s="245"/>
      <c r="BH71" s="245"/>
      <c r="BI71" s="245"/>
      <c r="BJ71" s="245"/>
      <c r="BK71" s="245"/>
      <c r="BL71" s="245"/>
    </row>
    <row r="72" spans="1:64" s="27" customFormat="1" ht="14.25" customHeight="1">
      <c r="A72" s="245"/>
      <c r="B72" s="245"/>
      <c r="C72" s="245"/>
      <c r="D72" s="245"/>
      <c r="E72" s="245"/>
      <c r="F72" s="245"/>
      <c r="G72" s="245"/>
      <c r="H72" s="245"/>
      <c r="I72" s="245"/>
      <c r="J72" s="245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245"/>
      <c r="V72" s="245"/>
      <c r="W72" s="245"/>
      <c r="X72" s="245"/>
      <c r="Y72" s="248"/>
      <c r="Z72" s="248"/>
      <c r="AA72" s="248"/>
      <c r="AB72" s="248"/>
      <c r="AC72" s="248"/>
      <c r="AD72" s="248"/>
      <c r="AE72" s="248"/>
      <c r="AF72" s="248"/>
      <c r="AG72" s="248"/>
      <c r="AH72" s="248"/>
      <c r="AI72" s="248"/>
      <c r="AJ72" s="248"/>
      <c r="AK72" s="248"/>
      <c r="AL72" s="248"/>
      <c r="AM72" s="248"/>
      <c r="AN72" s="248"/>
      <c r="AO72" s="248"/>
      <c r="AP72" s="248"/>
      <c r="AQ72" s="248"/>
      <c r="AR72" s="248"/>
      <c r="AS72" s="248"/>
      <c r="AT72" s="248"/>
      <c r="AU72" s="248"/>
      <c r="AV72" s="248"/>
      <c r="AW72" s="248"/>
      <c r="AX72" s="248"/>
      <c r="AY72" s="248"/>
      <c r="AZ72" s="248"/>
      <c r="BA72" s="245"/>
      <c r="BB72" s="245"/>
      <c r="BC72" s="245"/>
      <c r="BD72" s="245"/>
      <c r="BE72" s="245"/>
      <c r="BF72" s="245"/>
      <c r="BG72" s="245"/>
      <c r="BH72" s="245"/>
      <c r="BI72" s="245"/>
      <c r="BJ72" s="245"/>
      <c r="BK72" s="245"/>
      <c r="BL72" s="245"/>
    </row>
    <row r="73" spans="1:64" s="27" customFormat="1" ht="14.25" customHeight="1">
      <c r="A73" s="245"/>
      <c r="B73" s="245"/>
      <c r="C73" s="245"/>
      <c r="D73" s="245"/>
      <c r="E73" s="245"/>
      <c r="F73" s="245"/>
      <c r="G73" s="245"/>
      <c r="H73" s="245"/>
      <c r="I73" s="245"/>
      <c r="J73" s="245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245"/>
      <c r="V73" s="245"/>
      <c r="W73" s="245"/>
      <c r="X73" s="245"/>
      <c r="Y73" s="248"/>
      <c r="Z73" s="248"/>
      <c r="AA73" s="248"/>
      <c r="AB73" s="248"/>
      <c r="AC73" s="248"/>
      <c r="AD73" s="248"/>
      <c r="AE73" s="248"/>
      <c r="AF73" s="248"/>
      <c r="AG73" s="248"/>
      <c r="AH73" s="248"/>
      <c r="AI73" s="248"/>
      <c r="AJ73" s="248"/>
      <c r="AK73" s="248"/>
      <c r="AL73" s="248"/>
      <c r="AM73" s="248"/>
      <c r="AN73" s="248"/>
      <c r="AO73" s="248"/>
      <c r="AP73" s="248"/>
      <c r="AQ73" s="248"/>
      <c r="AR73" s="248"/>
      <c r="AS73" s="248"/>
      <c r="AT73" s="248"/>
      <c r="AU73" s="248"/>
      <c r="AV73" s="248"/>
      <c r="AW73" s="248"/>
      <c r="AX73" s="248"/>
      <c r="AY73" s="248"/>
      <c r="AZ73" s="248"/>
      <c r="BA73" s="245"/>
      <c r="BB73" s="245"/>
      <c r="BC73" s="245"/>
      <c r="BD73" s="245"/>
      <c r="BE73" s="245"/>
      <c r="BF73" s="245"/>
      <c r="BG73" s="245"/>
      <c r="BH73" s="245"/>
      <c r="BI73" s="245"/>
      <c r="BJ73" s="245"/>
      <c r="BK73" s="245"/>
      <c r="BL73" s="245"/>
    </row>
    <row r="74" spans="1:64" s="27" customFormat="1" ht="14.25" customHeight="1">
      <c r="A74" s="244"/>
      <c r="B74" s="245"/>
      <c r="C74" s="245"/>
      <c r="D74" s="245"/>
      <c r="E74" s="245"/>
      <c r="F74" s="245"/>
      <c r="G74" s="245"/>
      <c r="H74" s="245"/>
      <c r="I74" s="245"/>
      <c r="J74" s="245"/>
      <c r="K74" s="103"/>
      <c r="L74" s="178"/>
      <c r="M74" s="178"/>
      <c r="N74" s="178"/>
      <c r="O74" s="178"/>
      <c r="P74" s="178"/>
      <c r="Q74" s="178"/>
      <c r="R74" s="178"/>
      <c r="S74" s="178"/>
      <c r="T74" s="178"/>
      <c r="U74" s="246"/>
      <c r="V74" s="245"/>
      <c r="W74" s="245"/>
      <c r="X74" s="245"/>
      <c r="Y74" s="247"/>
      <c r="Z74" s="248"/>
      <c r="AA74" s="248"/>
      <c r="AB74" s="248"/>
      <c r="AC74" s="248"/>
      <c r="AD74" s="248"/>
      <c r="AE74" s="248"/>
      <c r="AF74" s="248"/>
      <c r="AG74" s="248"/>
      <c r="AH74" s="248"/>
      <c r="AI74" s="248"/>
      <c r="AJ74" s="248"/>
      <c r="AK74" s="248"/>
      <c r="AL74" s="248"/>
      <c r="AM74" s="248"/>
      <c r="AN74" s="248"/>
      <c r="AO74" s="248"/>
      <c r="AP74" s="248"/>
      <c r="AQ74" s="248"/>
      <c r="AR74" s="248"/>
      <c r="AS74" s="248"/>
      <c r="AT74" s="248"/>
      <c r="AU74" s="248"/>
      <c r="AV74" s="248"/>
      <c r="AW74" s="248"/>
      <c r="AX74" s="248"/>
      <c r="AY74" s="248"/>
      <c r="AZ74" s="248"/>
      <c r="BA74" s="244"/>
      <c r="BB74" s="245"/>
      <c r="BC74" s="245"/>
      <c r="BD74" s="245"/>
      <c r="BE74" s="245"/>
      <c r="BF74" s="245"/>
      <c r="BG74" s="245"/>
      <c r="BH74" s="245"/>
      <c r="BI74" s="245"/>
      <c r="BJ74" s="245"/>
      <c r="BK74" s="245"/>
      <c r="BL74" s="245"/>
    </row>
    <row r="75" spans="1:64" s="27" customFormat="1" ht="14.25" customHeight="1">
      <c r="A75" s="245"/>
      <c r="B75" s="245"/>
      <c r="C75" s="245"/>
      <c r="D75" s="245"/>
      <c r="E75" s="245"/>
      <c r="F75" s="245"/>
      <c r="G75" s="245"/>
      <c r="H75" s="245"/>
      <c r="I75" s="245"/>
      <c r="J75" s="245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245"/>
      <c r="V75" s="245"/>
      <c r="W75" s="245"/>
      <c r="X75" s="245"/>
      <c r="Y75" s="248"/>
      <c r="Z75" s="248"/>
      <c r="AA75" s="248"/>
      <c r="AB75" s="248"/>
      <c r="AC75" s="248"/>
      <c r="AD75" s="248"/>
      <c r="AE75" s="248"/>
      <c r="AF75" s="248"/>
      <c r="AG75" s="248"/>
      <c r="AH75" s="248"/>
      <c r="AI75" s="248"/>
      <c r="AJ75" s="248"/>
      <c r="AK75" s="248"/>
      <c r="AL75" s="248"/>
      <c r="AM75" s="248"/>
      <c r="AN75" s="248"/>
      <c r="AO75" s="248"/>
      <c r="AP75" s="248"/>
      <c r="AQ75" s="248"/>
      <c r="AR75" s="248"/>
      <c r="AS75" s="248"/>
      <c r="AT75" s="248"/>
      <c r="AU75" s="248"/>
      <c r="AV75" s="248"/>
      <c r="AW75" s="248"/>
      <c r="AX75" s="248"/>
      <c r="AY75" s="248"/>
      <c r="AZ75" s="248"/>
      <c r="BA75" s="245"/>
      <c r="BB75" s="245"/>
      <c r="BC75" s="245"/>
      <c r="BD75" s="245"/>
      <c r="BE75" s="245"/>
      <c r="BF75" s="245"/>
      <c r="BG75" s="245"/>
      <c r="BH75" s="245"/>
      <c r="BI75" s="245"/>
      <c r="BJ75" s="245"/>
      <c r="BK75" s="245"/>
      <c r="BL75" s="245"/>
    </row>
    <row r="76" spans="1:64" s="27" customFormat="1" ht="14.25" customHeight="1">
      <c r="A76" s="245"/>
      <c r="B76" s="245"/>
      <c r="C76" s="245"/>
      <c r="D76" s="245"/>
      <c r="E76" s="245"/>
      <c r="F76" s="245"/>
      <c r="G76" s="245"/>
      <c r="H76" s="245"/>
      <c r="I76" s="245"/>
      <c r="J76" s="245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245"/>
      <c r="V76" s="245"/>
      <c r="W76" s="245"/>
      <c r="X76" s="245"/>
      <c r="Y76" s="248"/>
      <c r="Z76" s="248"/>
      <c r="AA76" s="248"/>
      <c r="AB76" s="248"/>
      <c r="AC76" s="248"/>
      <c r="AD76" s="248"/>
      <c r="AE76" s="248"/>
      <c r="AF76" s="248"/>
      <c r="AG76" s="248"/>
      <c r="AH76" s="248"/>
      <c r="AI76" s="248"/>
      <c r="AJ76" s="248"/>
      <c r="AK76" s="248"/>
      <c r="AL76" s="248"/>
      <c r="AM76" s="248"/>
      <c r="AN76" s="248"/>
      <c r="AO76" s="248"/>
      <c r="AP76" s="248"/>
      <c r="AQ76" s="248"/>
      <c r="AR76" s="248"/>
      <c r="AS76" s="248"/>
      <c r="AT76" s="248"/>
      <c r="AU76" s="248"/>
      <c r="AV76" s="248"/>
      <c r="AW76" s="248"/>
      <c r="AX76" s="248"/>
      <c r="AY76" s="248"/>
      <c r="AZ76" s="248"/>
      <c r="BA76" s="245"/>
      <c r="BB76" s="245"/>
      <c r="BC76" s="245"/>
      <c r="BD76" s="245"/>
      <c r="BE76" s="245"/>
      <c r="BF76" s="245"/>
      <c r="BG76" s="245"/>
      <c r="BH76" s="245"/>
      <c r="BI76" s="245"/>
      <c r="BJ76" s="245"/>
      <c r="BK76" s="245"/>
      <c r="BL76" s="245"/>
    </row>
    <row r="77" spans="1:64" s="27" customFormat="1" ht="14.25" customHeight="1">
      <c r="A77" s="244"/>
      <c r="B77" s="245"/>
      <c r="C77" s="245"/>
      <c r="D77" s="245"/>
      <c r="E77" s="245"/>
      <c r="F77" s="245"/>
      <c r="G77" s="245"/>
      <c r="H77" s="245"/>
      <c r="I77" s="245"/>
      <c r="J77" s="245"/>
      <c r="K77" s="103"/>
      <c r="L77" s="178"/>
      <c r="M77" s="178"/>
      <c r="N77" s="178"/>
      <c r="O77" s="178"/>
      <c r="P77" s="178"/>
      <c r="Q77" s="178"/>
      <c r="R77" s="178"/>
      <c r="S77" s="178"/>
      <c r="T77" s="178"/>
      <c r="U77" s="246"/>
      <c r="V77" s="245"/>
      <c r="W77" s="245"/>
      <c r="X77" s="245"/>
      <c r="Y77" s="247"/>
      <c r="Z77" s="248"/>
      <c r="AA77" s="248"/>
      <c r="AB77" s="248"/>
      <c r="AC77" s="248"/>
      <c r="AD77" s="248"/>
      <c r="AE77" s="248"/>
      <c r="AF77" s="248"/>
      <c r="AG77" s="248"/>
      <c r="AH77" s="248"/>
      <c r="AI77" s="248"/>
      <c r="AJ77" s="248"/>
      <c r="AK77" s="248"/>
      <c r="AL77" s="248"/>
      <c r="AM77" s="248"/>
      <c r="AN77" s="248"/>
      <c r="AO77" s="248"/>
      <c r="AP77" s="248"/>
      <c r="AQ77" s="248"/>
      <c r="AR77" s="248"/>
      <c r="AS77" s="248"/>
      <c r="AT77" s="248"/>
      <c r="AU77" s="248"/>
      <c r="AV77" s="248"/>
      <c r="AW77" s="248"/>
      <c r="AX77" s="248"/>
      <c r="AY77" s="248"/>
      <c r="AZ77" s="248"/>
      <c r="BA77" s="244"/>
      <c r="BB77" s="245"/>
      <c r="BC77" s="245"/>
      <c r="BD77" s="245"/>
      <c r="BE77" s="245"/>
      <c r="BF77" s="245"/>
      <c r="BG77" s="245"/>
      <c r="BH77" s="245"/>
      <c r="BI77" s="245"/>
      <c r="BJ77" s="245"/>
      <c r="BK77" s="245"/>
      <c r="BL77" s="245"/>
    </row>
    <row r="78" spans="1:64" s="27" customFormat="1" ht="14.25" customHeight="1">
      <c r="A78" s="245"/>
      <c r="B78" s="245"/>
      <c r="C78" s="245"/>
      <c r="D78" s="245"/>
      <c r="E78" s="245"/>
      <c r="F78" s="245"/>
      <c r="G78" s="245"/>
      <c r="H78" s="245"/>
      <c r="I78" s="245"/>
      <c r="J78" s="245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245"/>
      <c r="V78" s="245"/>
      <c r="W78" s="245"/>
      <c r="X78" s="245"/>
      <c r="Y78" s="248"/>
      <c r="Z78" s="248"/>
      <c r="AA78" s="248"/>
      <c r="AB78" s="248"/>
      <c r="AC78" s="248"/>
      <c r="AD78" s="248"/>
      <c r="AE78" s="248"/>
      <c r="AF78" s="248"/>
      <c r="AG78" s="248"/>
      <c r="AH78" s="248"/>
      <c r="AI78" s="248"/>
      <c r="AJ78" s="248"/>
      <c r="AK78" s="248"/>
      <c r="AL78" s="248"/>
      <c r="AM78" s="248"/>
      <c r="AN78" s="248"/>
      <c r="AO78" s="248"/>
      <c r="AP78" s="248"/>
      <c r="AQ78" s="248"/>
      <c r="AR78" s="248"/>
      <c r="AS78" s="248"/>
      <c r="AT78" s="248"/>
      <c r="AU78" s="248"/>
      <c r="AV78" s="248"/>
      <c r="AW78" s="248"/>
      <c r="AX78" s="248"/>
      <c r="AY78" s="248"/>
      <c r="AZ78" s="248"/>
      <c r="BA78" s="245"/>
      <c r="BB78" s="245"/>
      <c r="BC78" s="245"/>
      <c r="BD78" s="245"/>
      <c r="BE78" s="245"/>
      <c r="BF78" s="245"/>
      <c r="BG78" s="245"/>
      <c r="BH78" s="245"/>
      <c r="BI78" s="245"/>
      <c r="BJ78" s="245"/>
      <c r="BK78" s="245"/>
      <c r="BL78" s="245"/>
    </row>
    <row r="79" spans="1:64" s="27" customFormat="1" ht="54.75" customHeight="1">
      <c r="A79" s="245"/>
      <c r="B79" s="245"/>
      <c r="C79" s="245"/>
      <c r="D79" s="245"/>
      <c r="E79" s="245"/>
      <c r="F79" s="245"/>
      <c r="G79" s="245"/>
      <c r="H79" s="245"/>
      <c r="I79" s="245"/>
      <c r="J79" s="245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245"/>
      <c r="V79" s="245"/>
      <c r="W79" s="245"/>
      <c r="X79" s="245"/>
      <c r="Y79" s="248"/>
      <c r="Z79" s="248"/>
      <c r="AA79" s="248"/>
      <c r="AB79" s="248"/>
      <c r="AC79" s="248"/>
      <c r="AD79" s="248"/>
      <c r="AE79" s="248"/>
      <c r="AF79" s="248"/>
      <c r="AG79" s="248"/>
      <c r="AH79" s="248"/>
      <c r="AI79" s="248"/>
      <c r="AJ79" s="248"/>
      <c r="AK79" s="248"/>
      <c r="AL79" s="248"/>
      <c r="AM79" s="248"/>
      <c r="AN79" s="248"/>
      <c r="AO79" s="248"/>
      <c r="AP79" s="248"/>
      <c r="AQ79" s="248"/>
      <c r="AR79" s="248"/>
      <c r="AS79" s="248"/>
      <c r="AT79" s="248"/>
      <c r="AU79" s="248"/>
      <c r="AV79" s="248"/>
      <c r="AW79" s="248"/>
      <c r="AX79" s="248"/>
      <c r="AY79" s="248"/>
      <c r="AZ79" s="248"/>
      <c r="BA79" s="245"/>
      <c r="BB79" s="245"/>
      <c r="BC79" s="245"/>
      <c r="BD79" s="245"/>
      <c r="BE79" s="245"/>
      <c r="BF79" s="245"/>
      <c r="BG79" s="245"/>
      <c r="BH79" s="245"/>
      <c r="BI79" s="245"/>
      <c r="BJ79" s="245"/>
      <c r="BK79" s="245"/>
      <c r="BL79" s="245"/>
    </row>
    <row r="80" spans="1:64" s="27" customFormat="1" ht="14.25" customHeight="1">
      <c r="A80" s="244"/>
      <c r="B80" s="245"/>
      <c r="C80" s="245"/>
      <c r="D80" s="245"/>
      <c r="E80" s="245"/>
      <c r="F80" s="245"/>
      <c r="G80" s="245"/>
      <c r="H80" s="245"/>
      <c r="I80" s="245"/>
      <c r="J80" s="245"/>
      <c r="K80" s="103"/>
      <c r="L80" s="178"/>
      <c r="M80" s="178"/>
      <c r="N80" s="178"/>
      <c r="O80" s="178"/>
      <c r="P80" s="178"/>
      <c r="Q80" s="178"/>
      <c r="R80" s="178"/>
      <c r="S80" s="178"/>
      <c r="T80" s="178"/>
      <c r="U80" s="246"/>
      <c r="V80" s="245"/>
      <c r="W80" s="245"/>
      <c r="X80" s="245"/>
      <c r="Y80" s="247"/>
      <c r="Z80" s="248"/>
      <c r="AA80" s="248"/>
      <c r="AB80" s="248"/>
      <c r="AC80" s="248"/>
      <c r="AD80" s="248"/>
      <c r="AE80" s="248"/>
      <c r="AF80" s="248"/>
      <c r="AG80" s="248"/>
      <c r="AH80" s="248"/>
      <c r="AI80" s="248"/>
      <c r="AJ80" s="248"/>
      <c r="AK80" s="248"/>
      <c r="AL80" s="248"/>
      <c r="AM80" s="248"/>
      <c r="AN80" s="248"/>
      <c r="AO80" s="248"/>
      <c r="AP80" s="248"/>
      <c r="AQ80" s="248"/>
      <c r="AR80" s="248"/>
      <c r="AS80" s="248"/>
      <c r="AT80" s="248"/>
      <c r="AU80" s="248"/>
      <c r="AV80" s="248"/>
      <c r="AW80" s="248"/>
      <c r="AX80" s="248"/>
      <c r="AY80" s="248"/>
      <c r="AZ80" s="248"/>
      <c r="BA80" s="244"/>
      <c r="BB80" s="245"/>
      <c r="BC80" s="245"/>
      <c r="BD80" s="245"/>
      <c r="BE80" s="245"/>
      <c r="BF80" s="245"/>
      <c r="BG80" s="245"/>
      <c r="BH80" s="245"/>
      <c r="BI80" s="245"/>
      <c r="BJ80" s="245"/>
      <c r="BK80" s="245"/>
      <c r="BL80" s="245"/>
    </row>
    <row r="81" spans="1:64" s="27" customFormat="1" ht="14.25" customHeight="1">
      <c r="A81" s="245"/>
      <c r="B81" s="245"/>
      <c r="C81" s="245"/>
      <c r="D81" s="245"/>
      <c r="E81" s="245"/>
      <c r="F81" s="245"/>
      <c r="G81" s="245"/>
      <c r="H81" s="245"/>
      <c r="I81" s="245"/>
      <c r="J81" s="245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245"/>
      <c r="V81" s="245"/>
      <c r="W81" s="245"/>
      <c r="X81" s="245"/>
      <c r="Y81" s="248"/>
      <c r="Z81" s="248"/>
      <c r="AA81" s="248"/>
      <c r="AB81" s="248"/>
      <c r="AC81" s="248"/>
      <c r="AD81" s="248"/>
      <c r="AE81" s="248"/>
      <c r="AF81" s="248"/>
      <c r="AG81" s="248"/>
      <c r="AH81" s="248"/>
      <c r="AI81" s="248"/>
      <c r="AJ81" s="248"/>
      <c r="AK81" s="248"/>
      <c r="AL81" s="248"/>
      <c r="AM81" s="248"/>
      <c r="AN81" s="248"/>
      <c r="AO81" s="248"/>
      <c r="AP81" s="248"/>
      <c r="AQ81" s="248"/>
      <c r="AR81" s="248"/>
      <c r="AS81" s="248"/>
      <c r="AT81" s="248"/>
      <c r="AU81" s="248"/>
      <c r="AV81" s="248"/>
      <c r="AW81" s="248"/>
      <c r="AX81" s="248"/>
      <c r="AY81" s="248"/>
      <c r="AZ81" s="248"/>
      <c r="BA81" s="245"/>
      <c r="BB81" s="245"/>
      <c r="BC81" s="245"/>
      <c r="BD81" s="245"/>
      <c r="BE81" s="245"/>
      <c r="BF81" s="245"/>
      <c r="BG81" s="245"/>
      <c r="BH81" s="245"/>
      <c r="BI81" s="245"/>
      <c r="BJ81" s="245"/>
      <c r="BK81" s="245"/>
      <c r="BL81" s="245"/>
    </row>
    <row r="82" spans="1:64" s="27" customFormat="1" ht="14.25" customHeight="1">
      <c r="A82" s="245"/>
      <c r="B82" s="245"/>
      <c r="C82" s="245"/>
      <c r="D82" s="245"/>
      <c r="E82" s="245"/>
      <c r="F82" s="245"/>
      <c r="G82" s="245"/>
      <c r="H82" s="245"/>
      <c r="I82" s="245"/>
      <c r="J82" s="245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245"/>
      <c r="V82" s="245"/>
      <c r="W82" s="245"/>
      <c r="X82" s="245"/>
      <c r="Y82" s="248"/>
      <c r="Z82" s="248"/>
      <c r="AA82" s="248"/>
      <c r="AB82" s="248"/>
      <c r="AC82" s="248"/>
      <c r="AD82" s="248"/>
      <c r="AE82" s="248"/>
      <c r="AF82" s="248"/>
      <c r="AG82" s="248"/>
      <c r="AH82" s="248"/>
      <c r="AI82" s="248"/>
      <c r="AJ82" s="248"/>
      <c r="AK82" s="248"/>
      <c r="AL82" s="248"/>
      <c r="AM82" s="248"/>
      <c r="AN82" s="248"/>
      <c r="AO82" s="248"/>
      <c r="AP82" s="248"/>
      <c r="AQ82" s="248"/>
      <c r="AR82" s="248"/>
      <c r="AS82" s="248"/>
      <c r="AT82" s="248"/>
      <c r="AU82" s="248"/>
      <c r="AV82" s="248"/>
      <c r="AW82" s="248"/>
      <c r="AX82" s="248"/>
      <c r="AY82" s="248"/>
      <c r="AZ82" s="248"/>
      <c r="BA82" s="245"/>
      <c r="BB82" s="245"/>
      <c r="BC82" s="245"/>
      <c r="BD82" s="245"/>
      <c r="BE82" s="245"/>
      <c r="BF82" s="245"/>
      <c r="BG82" s="245"/>
      <c r="BH82" s="245"/>
      <c r="BI82" s="245"/>
      <c r="BJ82" s="245"/>
      <c r="BK82" s="245"/>
      <c r="BL82" s="245"/>
    </row>
    <row r="83" spans="1:64" s="27" customFormat="1" ht="14.25" customHeight="1">
      <c r="A83" s="244"/>
      <c r="B83" s="245"/>
      <c r="C83" s="245"/>
      <c r="D83" s="245"/>
      <c r="E83" s="245"/>
      <c r="F83" s="245"/>
      <c r="G83" s="245"/>
      <c r="H83" s="245"/>
      <c r="I83" s="245"/>
      <c r="J83" s="245"/>
      <c r="K83" s="103"/>
      <c r="L83" s="178"/>
      <c r="M83" s="178"/>
      <c r="N83" s="178"/>
      <c r="O83" s="178"/>
      <c r="P83" s="178"/>
      <c r="Q83" s="178"/>
      <c r="R83" s="178"/>
      <c r="S83" s="178"/>
      <c r="T83" s="178"/>
      <c r="U83" s="246"/>
      <c r="V83" s="245"/>
      <c r="W83" s="245"/>
      <c r="X83" s="245"/>
      <c r="Y83" s="247"/>
      <c r="Z83" s="248"/>
      <c r="AA83" s="248"/>
      <c r="AB83" s="248"/>
      <c r="AC83" s="248"/>
      <c r="AD83" s="248"/>
      <c r="AE83" s="248"/>
      <c r="AF83" s="248"/>
      <c r="AG83" s="248"/>
      <c r="AH83" s="248"/>
      <c r="AI83" s="248"/>
      <c r="AJ83" s="248"/>
      <c r="AK83" s="248"/>
      <c r="AL83" s="248"/>
      <c r="AM83" s="248"/>
      <c r="AN83" s="248"/>
      <c r="AO83" s="248"/>
      <c r="AP83" s="248"/>
      <c r="AQ83" s="248"/>
      <c r="AR83" s="248"/>
      <c r="AS83" s="248"/>
      <c r="AT83" s="248"/>
      <c r="AU83" s="248"/>
      <c r="AV83" s="248"/>
      <c r="AW83" s="248"/>
      <c r="AX83" s="248"/>
      <c r="AY83" s="248"/>
      <c r="AZ83" s="248"/>
      <c r="BA83" s="244"/>
      <c r="BB83" s="245"/>
      <c r="BC83" s="245"/>
      <c r="BD83" s="245"/>
      <c r="BE83" s="245"/>
      <c r="BF83" s="245"/>
      <c r="BG83" s="245"/>
      <c r="BH83" s="245"/>
      <c r="BI83" s="245"/>
      <c r="BJ83" s="245"/>
      <c r="BK83" s="245"/>
      <c r="BL83" s="245"/>
    </row>
    <row r="84" spans="1:64" s="27" customFormat="1" ht="14.25" customHeight="1">
      <c r="A84" s="245"/>
      <c r="B84" s="245"/>
      <c r="C84" s="245"/>
      <c r="D84" s="245"/>
      <c r="E84" s="245"/>
      <c r="F84" s="245"/>
      <c r="G84" s="245"/>
      <c r="H84" s="245"/>
      <c r="I84" s="245"/>
      <c r="J84" s="245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245"/>
      <c r="V84" s="245"/>
      <c r="W84" s="245"/>
      <c r="X84" s="245"/>
      <c r="Y84" s="248"/>
      <c r="Z84" s="248"/>
      <c r="AA84" s="248"/>
      <c r="AB84" s="248"/>
      <c r="AC84" s="248"/>
      <c r="AD84" s="248"/>
      <c r="AE84" s="248"/>
      <c r="AF84" s="248"/>
      <c r="AG84" s="248"/>
      <c r="AH84" s="248"/>
      <c r="AI84" s="248"/>
      <c r="AJ84" s="248"/>
      <c r="AK84" s="248"/>
      <c r="AL84" s="248"/>
      <c r="AM84" s="248"/>
      <c r="AN84" s="248"/>
      <c r="AO84" s="248"/>
      <c r="AP84" s="248"/>
      <c r="AQ84" s="248"/>
      <c r="AR84" s="248"/>
      <c r="AS84" s="248"/>
      <c r="AT84" s="248"/>
      <c r="AU84" s="248"/>
      <c r="AV84" s="248"/>
      <c r="AW84" s="248"/>
      <c r="AX84" s="248"/>
      <c r="AY84" s="248"/>
      <c r="AZ84" s="248"/>
      <c r="BA84" s="245"/>
      <c r="BB84" s="245"/>
      <c r="BC84" s="245"/>
      <c r="BD84" s="245"/>
      <c r="BE84" s="245"/>
      <c r="BF84" s="245"/>
      <c r="BG84" s="245"/>
      <c r="BH84" s="245"/>
      <c r="BI84" s="245"/>
      <c r="BJ84" s="245"/>
      <c r="BK84" s="245"/>
      <c r="BL84" s="245"/>
    </row>
    <row r="85" spans="1:64" s="27" customFormat="1" ht="14.25" customHeight="1">
      <c r="A85" s="245"/>
      <c r="B85" s="245"/>
      <c r="C85" s="245"/>
      <c r="D85" s="245"/>
      <c r="E85" s="245"/>
      <c r="F85" s="245"/>
      <c r="G85" s="245"/>
      <c r="H85" s="245"/>
      <c r="I85" s="245"/>
      <c r="J85" s="245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245"/>
      <c r="V85" s="245"/>
      <c r="W85" s="245"/>
      <c r="X85" s="245"/>
      <c r="Y85" s="248"/>
      <c r="Z85" s="248"/>
      <c r="AA85" s="248"/>
      <c r="AB85" s="248"/>
      <c r="AC85" s="248"/>
      <c r="AD85" s="248"/>
      <c r="AE85" s="248"/>
      <c r="AF85" s="248"/>
      <c r="AG85" s="248"/>
      <c r="AH85" s="248"/>
      <c r="AI85" s="248"/>
      <c r="AJ85" s="248"/>
      <c r="AK85" s="248"/>
      <c r="AL85" s="248"/>
      <c r="AM85" s="248"/>
      <c r="AN85" s="248"/>
      <c r="AO85" s="248"/>
      <c r="AP85" s="248"/>
      <c r="AQ85" s="248"/>
      <c r="AR85" s="248"/>
      <c r="AS85" s="248"/>
      <c r="AT85" s="248"/>
      <c r="AU85" s="248"/>
      <c r="AV85" s="248"/>
      <c r="AW85" s="248"/>
      <c r="AX85" s="248"/>
      <c r="AY85" s="248"/>
      <c r="AZ85" s="248"/>
      <c r="BA85" s="245"/>
      <c r="BB85" s="245"/>
      <c r="BC85" s="245"/>
      <c r="BD85" s="245"/>
      <c r="BE85" s="245"/>
      <c r="BF85" s="245"/>
      <c r="BG85" s="245"/>
      <c r="BH85" s="245"/>
      <c r="BI85" s="245"/>
      <c r="BJ85" s="245"/>
      <c r="BK85" s="245"/>
      <c r="BL85" s="245"/>
    </row>
    <row r="86" spans="1:64" s="27" customFormat="1" ht="14.25" customHeight="1">
      <c r="A86" s="244"/>
      <c r="B86" s="245"/>
      <c r="C86" s="245"/>
      <c r="D86" s="245"/>
      <c r="E86" s="245"/>
      <c r="F86" s="245"/>
      <c r="G86" s="245"/>
      <c r="H86" s="245"/>
      <c r="I86" s="245"/>
      <c r="J86" s="245"/>
      <c r="K86" s="103"/>
      <c r="L86" s="178"/>
      <c r="M86" s="178"/>
      <c r="N86" s="178"/>
      <c r="O86" s="178"/>
      <c r="P86" s="178"/>
      <c r="Q86" s="178"/>
      <c r="R86" s="178"/>
      <c r="S86" s="178"/>
      <c r="T86" s="178"/>
      <c r="U86" s="246"/>
      <c r="V86" s="245"/>
      <c r="W86" s="245"/>
      <c r="X86" s="245"/>
      <c r="Y86" s="247"/>
      <c r="Z86" s="248"/>
      <c r="AA86" s="248"/>
      <c r="AB86" s="248"/>
      <c r="AC86" s="248"/>
      <c r="AD86" s="248"/>
      <c r="AE86" s="248"/>
      <c r="AF86" s="248"/>
      <c r="AG86" s="248"/>
      <c r="AH86" s="248"/>
      <c r="AI86" s="248"/>
      <c r="AJ86" s="248"/>
      <c r="AK86" s="248"/>
      <c r="AL86" s="248"/>
      <c r="AM86" s="248"/>
      <c r="AN86" s="248"/>
      <c r="AO86" s="248"/>
      <c r="AP86" s="248"/>
      <c r="AQ86" s="248"/>
      <c r="AR86" s="248"/>
      <c r="AS86" s="248"/>
      <c r="AT86" s="248"/>
      <c r="AU86" s="248"/>
      <c r="AV86" s="248"/>
      <c r="AW86" s="248"/>
      <c r="AX86" s="248"/>
      <c r="AY86" s="248"/>
      <c r="AZ86" s="248"/>
      <c r="BA86" s="244"/>
      <c r="BB86" s="245"/>
      <c r="BC86" s="245"/>
      <c r="BD86" s="245"/>
      <c r="BE86" s="245"/>
      <c r="BF86" s="245"/>
      <c r="BG86" s="245"/>
      <c r="BH86" s="245"/>
      <c r="BI86" s="245"/>
      <c r="BJ86" s="245"/>
      <c r="BK86" s="245"/>
      <c r="BL86" s="245"/>
    </row>
    <row r="87" spans="1:64" s="27" customFormat="1" ht="14.25" customHeight="1">
      <c r="A87" s="245"/>
      <c r="B87" s="245"/>
      <c r="C87" s="245"/>
      <c r="D87" s="245"/>
      <c r="E87" s="245"/>
      <c r="F87" s="245"/>
      <c r="G87" s="245"/>
      <c r="H87" s="245"/>
      <c r="I87" s="245"/>
      <c r="J87" s="245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245"/>
      <c r="V87" s="245"/>
      <c r="W87" s="245"/>
      <c r="X87" s="245"/>
      <c r="Y87" s="248"/>
      <c r="Z87" s="248"/>
      <c r="AA87" s="248"/>
      <c r="AB87" s="248"/>
      <c r="AC87" s="248"/>
      <c r="AD87" s="248"/>
      <c r="AE87" s="248"/>
      <c r="AF87" s="248"/>
      <c r="AG87" s="248"/>
      <c r="AH87" s="248"/>
      <c r="AI87" s="248"/>
      <c r="AJ87" s="248"/>
      <c r="AK87" s="248"/>
      <c r="AL87" s="248"/>
      <c r="AM87" s="248"/>
      <c r="AN87" s="248"/>
      <c r="AO87" s="248"/>
      <c r="AP87" s="248"/>
      <c r="AQ87" s="248"/>
      <c r="AR87" s="248"/>
      <c r="AS87" s="248"/>
      <c r="AT87" s="248"/>
      <c r="AU87" s="248"/>
      <c r="AV87" s="248"/>
      <c r="AW87" s="248"/>
      <c r="AX87" s="248"/>
      <c r="AY87" s="248"/>
      <c r="AZ87" s="248"/>
      <c r="BA87" s="245"/>
      <c r="BB87" s="245"/>
      <c r="BC87" s="245"/>
      <c r="BD87" s="245"/>
      <c r="BE87" s="245"/>
      <c r="BF87" s="245"/>
      <c r="BG87" s="245"/>
      <c r="BH87" s="245"/>
      <c r="BI87" s="245"/>
      <c r="BJ87" s="245"/>
      <c r="BK87" s="245"/>
      <c r="BL87" s="245"/>
    </row>
    <row r="88" spans="1:64" s="27" customFormat="1" ht="14.25" customHeight="1">
      <c r="A88" s="245"/>
      <c r="B88" s="245"/>
      <c r="C88" s="245"/>
      <c r="D88" s="245"/>
      <c r="E88" s="245"/>
      <c r="F88" s="245"/>
      <c r="G88" s="245"/>
      <c r="H88" s="245"/>
      <c r="I88" s="245"/>
      <c r="J88" s="245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245"/>
      <c r="V88" s="245"/>
      <c r="W88" s="245"/>
      <c r="X88" s="245"/>
      <c r="Y88" s="248"/>
      <c r="Z88" s="248"/>
      <c r="AA88" s="248"/>
      <c r="AB88" s="248"/>
      <c r="AC88" s="248"/>
      <c r="AD88" s="248"/>
      <c r="AE88" s="248"/>
      <c r="AF88" s="248"/>
      <c r="AG88" s="248"/>
      <c r="AH88" s="248"/>
      <c r="AI88" s="248"/>
      <c r="AJ88" s="248"/>
      <c r="AK88" s="248"/>
      <c r="AL88" s="248"/>
      <c r="AM88" s="248"/>
      <c r="AN88" s="248"/>
      <c r="AO88" s="248"/>
      <c r="AP88" s="248"/>
      <c r="AQ88" s="248"/>
      <c r="AR88" s="248"/>
      <c r="AS88" s="248"/>
      <c r="AT88" s="248"/>
      <c r="AU88" s="248"/>
      <c r="AV88" s="248"/>
      <c r="AW88" s="248"/>
      <c r="AX88" s="248"/>
      <c r="AY88" s="248"/>
      <c r="AZ88" s="248"/>
      <c r="BA88" s="245"/>
      <c r="BB88" s="245"/>
      <c r="BC88" s="245"/>
      <c r="BD88" s="245"/>
      <c r="BE88" s="245"/>
      <c r="BF88" s="245"/>
      <c r="BG88" s="245"/>
      <c r="BH88" s="245"/>
      <c r="BI88" s="245"/>
      <c r="BJ88" s="245"/>
      <c r="BK88" s="245"/>
      <c r="BL88" s="245"/>
    </row>
    <row r="89" spans="1:64" s="27" customFormat="1" ht="14.25" customHeight="1">
      <c r="A89" s="244"/>
      <c r="B89" s="245"/>
      <c r="C89" s="245"/>
      <c r="D89" s="245"/>
      <c r="E89" s="245"/>
      <c r="F89" s="245"/>
      <c r="G89" s="245"/>
      <c r="H89" s="245"/>
      <c r="I89" s="245"/>
      <c r="J89" s="245"/>
      <c r="K89" s="103"/>
      <c r="L89" s="178"/>
      <c r="M89" s="178"/>
      <c r="N89" s="178"/>
      <c r="O89" s="178"/>
      <c r="P89" s="178"/>
      <c r="Q89" s="178"/>
      <c r="R89" s="178"/>
      <c r="S89" s="178"/>
      <c r="T89" s="178"/>
      <c r="U89" s="246"/>
      <c r="V89" s="245"/>
      <c r="W89" s="245"/>
      <c r="X89" s="245"/>
      <c r="Y89" s="247"/>
      <c r="Z89" s="248"/>
      <c r="AA89" s="248"/>
      <c r="AB89" s="248"/>
      <c r="AC89" s="248"/>
      <c r="AD89" s="248"/>
      <c r="AE89" s="248"/>
      <c r="AF89" s="248"/>
      <c r="AG89" s="248"/>
      <c r="AH89" s="248"/>
      <c r="AI89" s="248"/>
      <c r="AJ89" s="248"/>
      <c r="AK89" s="248"/>
      <c r="AL89" s="248"/>
      <c r="AM89" s="248"/>
      <c r="AN89" s="248"/>
      <c r="AO89" s="248"/>
      <c r="AP89" s="248"/>
      <c r="AQ89" s="248"/>
      <c r="AR89" s="248"/>
      <c r="AS89" s="248"/>
      <c r="AT89" s="248"/>
      <c r="AU89" s="248"/>
      <c r="AV89" s="248"/>
      <c r="AW89" s="248"/>
      <c r="AX89" s="248"/>
      <c r="AY89" s="248"/>
      <c r="AZ89" s="248"/>
      <c r="BA89" s="244"/>
      <c r="BB89" s="245"/>
      <c r="BC89" s="245"/>
      <c r="BD89" s="245"/>
      <c r="BE89" s="245"/>
      <c r="BF89" s="245"/>
      <c r="BG89" s="245"/>
      <c r="BH89" s="245"/>
      <c r="BI89" s="245"/>
      <c r="BJ89" s="245"/>
      <c r="BK89" s="245"/>
      <c r="BL89" s="245"/>
    </row>
    <row r="90" spans="1:64" s="27" customFormat="1" ht="14.25" customHeight="1">
      <c r="A90" s="245"/>
      <c r="B90" s="245"/>
      <c r="C90" s="245"/>
      <c r="D90" s="245"/>
      <c r="E90" s="245"/>
      <c r="F90" s="245"/>
      <c r="G90" s="245"/>
      <c r="H90" s="245"/>
      <c r="I90" s="245"/>
      <c r="J90" s="245"/>
      <c r="K90" s="178"/>
      <c r="L90" s="178"/>
      <c r="M90" s="178"/>
      <c r="N90" s="178"/>
      <c r="O90" s="178"/>
      <c r="P90" s="178"/>
      <c r="Q90" s="178"/>
      <c r="R90" s="178"/>
      <c r="S90" s="178"/>
      <c r="T90" s="178"/>
      <c r="U90" s="245"/>
      <c r="V90" s="245"/>
      <c r="W90" s="245"/>
      <c r="X90" s="245"/>
      <c r="Y90" s="248"/>
      <c r="Z90" s="248"/>
      <c r="AA90" s="248"/>
      <c r="AB90" s="248"/>
      <c r="AC90" s="248"/>
      <c r="AD90" s="248"/>
      <c r="AE90" s="248"/>
      <c r="AF90" s="248"/>
      <c r="AG90" s="248"/>
      <c r="AH90" s="248"/>
      <c r="AI90" s="248"/>
      <c r="AJ90" s="248"/>
      <c r="AK90" s="248"/>
      <c r="AL90" s="248"/>
      <c r="AM90" s="248"/>
      <c r="AN90" s="248"/>
      <c r="AO90" s="248"/>
      <c r="AP90" s="248"/>
      <c r="AQ90" s="248"/>
      <c r="AR90" s="248"/>
      <c r="AS90" s="248"/>
      <c r="AT90" s="248"/>
      <c r="AU90" s="248"/>
      <c r="AV90" s="248"/>
      <c r="AW90" s="248"/>
      <c r="AX90" s="248"/>
      <c r="AY90" s="248"/>
      <c r="AZ90" s="248"/>
      <c r="BA90" s="245"/>
      <c r="BB90" s="245"/>
      <c r="BC90" s="245"/>
      <c r="BD90" s="245"/>
      <c r="BE90" s="245"/>
      <c r="BF90" s="245"/>
      <c r="BG90" s="245"/>
      <c r="BH90" s="245"/>
      <c r="BI90" s="245"/>
      <c r="BJ90" s="245"/>
      <c r="BK90" s="245"/>
      <c r="BL90" s="245"/>
    </row>
    <row r="91" spans="1:64" s="27" customFormat="1" ht="14.25" customHeight="1">
      <c r="A91" s="245"/>
      <c r="B91" s="245"/>
      <c r="C91" s="245"/>
      <c r="D91" s="245"/>
      <c r="E91" s="245"/>
      <c r="F91" s="245"/>
      <c r="G91" s="245"/>
      <c r="H91" s="245"/>
      <c r="I91" s="245"/>
      <c r="J91" s="245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245"/>
      <c r="V91" s="245"/>
      <c r="W91" s="245"/>
      <c r="X91" s="245"/>
      <c r="Y91" s="248"/>
      <c r="Z91" s="248"/>
      <c r="AA91" s="248"/>
      <c r="AB91" s="248"/>
      <c r="AC91" s="248"/>
      <c r="AD91" s="248"/>
      <c r="AE91" s="248"/>
      <c r="AF91" s="248"/>
      <c r="AG91" s="248"/>
      <c r="AH91" s="248"/>
      <c r="AI91" s="248"/>
      <c r="AJ91" s="248"/>
      <c r="AK91" s="248"/>
      <c r="AL91" s="248"/>
      <c r="AM91" s="248"/>
      <c r="AN91" s="248"/>
      <c r="AO91" s="248"/>
      <c r="AP91" s="248"/>
      <c r="AQ91" s="248"/>
      <c r="AR91" s="248"/>
      <c r="AS91" s="248"/>
      <c r="AT91" s="248"/>
      <c r="AU91" s="248"/>
      <c r="AV91" s="248"/>
      <c r="AW91" s="248"/>
      <c r="AX91" s="248"/>
      <c r="AY91" s="248"/>
      <c r="AZ91" s="248"/>
      <c r="BA91" s="245"/>
      <c r="BB91" s="245"/>
      <c r="BC91" s="245"/>
      <c r="BD91" s="245"/>
      <c r="BE91" s="245"/>
      <c r="BF91" s="245"/>
      <c r="BG91" s="245"/>
      <c r="BH91" s="245"/>
      <c r="BI91" s="245"/>
      <c r="BJ91" s="245"/>
      <c r="BK91" s="245"/>
      <c r="BL91" s="245"/>
    </row>
    <row r="92" spans="1:64" s="27" customFormat="1" ht="14.25" customHeight="1">
      <c r="A92" s="244"/>
      <c r="B92" s="245"/>
      <c r="C92" s="245"/>
      <c r="D92" s="245"/>
      <c r="E92" s="245"/>
      <c r="F92" s="245"/>
      <c r="G92" s="245"/>
      <c r="H92" s="245"/>
      <c r="I92" s="245"/>
      <c r="J92" s="245"/>
      <c r="K92" s="103"/>
      <c r="L92" s="178"/>
      <c r="M92" s="178"/>
      <c r="N92" s="178"/>
      <c r="O92" s="178"/>
      <c r="P92" s="178"/>
      <c r="Q92" s="178"/>
      <c r="R92" s="178"/>
      <c r="S92" s="178"/>
      <c r="T92" s="178"/>
      <c r="U92" s="246"/>
      <c r="V92" s="245"/>
      <c r="W92" s="245"/>
      <c r="X92" s="245"/>
      <c r="Y92" s="247"/>
      <c r="Z92" s="248"/>
      <c r="AA92" s="248"/>
      <c r="AB92" s="248"/>
      <c r="AC92" s="248"/>
      <c r="AD92" s="248"/>
      <c r="AE92" s="248"/>
      <c r="AF92" s="248"/>
      <c r="AG92" s="248"/>
      <c r="AH92" s="248"/>
      <c r="AI92" s="248"/>
      <c r="AJ92" s="248"/>
      <c r="AK92" s="248"/>
      <c r="AL92" s="248"/>
      <c r="AM92" s="248"/>
      <c r="AN92" s="248"/>
      <c r="AO92" s="248"/>
      <c r="AP92" s="248"/>
      <c r="AQ92" s="248"/>
      <c r="AR92" s="248"/>
      <c r="AS92" s="248"/>
      <c r="AT92" s="248"/>
      <c r="AU92" s="248"/>
      <c r="AV92" s="248"/>
      <c r="AW92" s="248"/>
      <c r="AX92" s="248"/>
      <c r="AY92" s="248"/>
      <c r="AZ92" s="248"/>
      <c r="BA92" s="244"/>
      <c r="BB92" s="245"/>
      <c r="BC92" s="245"/>
      <c r="BD92" s="245"/>
      <c r="BE92" s="245"/>
      <c r="BF92" s="245"/>
      <c r="BG92" s="245"/>
      <c r="BH92" s="245"/>
      <c r="BI92" s="245"/>
      <c r="BJ92" s="245"/>
      <c r="BK92" s="245"/>
      <c r="BL92" s="245"/>
    </row>
    <row r="93" spans="1:64" s="27" customFormat="1" ht="14.25" customHeight="1">
      <c r="A93" s="245"/>
      <c r="B93" s="245"/>
      <c r="C93" s="245"/>
      <c r="D93" s="245"/>
      <c r="E93" s="245"/>
      <c r="F93" s="245"/>
      <c r="G93" s="245"/>
      <c r="H93" s="245"/>
      <c r="I93" s="245"/>
      <c r="J93" s="245"/>
      <c r="K93" s="178"/>
      <c r="L93" s="178"/>
      <c r="M93" s="178"/>
      <c r="N93" s="178"/>
      <c r="O93" s="178"/>
      <c r="P93" s="178"/>
      <c r="Q93" s="178"/>
      <c r="R93" s="178"/>
      <c r="S93" s="178"/>
      <c r="T93" s="178"/>
      <c r="U93" s="245"/>
      <c r="V93" s="245"/>
      <c r="W93" s="245"/>
      <c r="X93" s="245"/>
      <c r="Y93" s="248"/>
      <c r="Z93" s="248"/>
      <c r="AA93" s="248"/>
      <c r="AB93" s="248"/>
      <c r="AC93" s="248"/>
      <c r="AD93" s="248"/>
      <c r="AE93" s="248"/>
      <c r="AF93" s="248"/>
      <c r="AG93" s="248"/>
      <c r="AH93" s="248"/>
      <c r="AI93" s="248"/>
      <c r="AJ93" s="248"/>
      <c r="AK93" s="248"/>
      <c r="AL93" s="248"/>
      <c r="AM93" s="248"/>
      <c r="AN93" s="248"/>
      <c r="AO93" s="248"/>
      <c r="AP93" s="248"/>
      <c r="AQ93" s="248"/>
      <c r="AR93" s="248"/>
      <c r="AS93" s="248"/>
      <c r="AT93" s="248"/>
      <c r="AU93" s="248"/>
      <c r="AV93" s="248"/>
      <c r="AW93" s="248"/>
      <c r="AX93" s="248"/>
      <c r="AY93" s="248"/>
      <c r="AZ93" s="248"/>
      <c r="BA93" s="245"/>
      <c r="BB93" s="245"/>
      <c r="BC93" s="245"/>
      <c r="BD93" s="245"/>
      <c r="BE93" s="245"/>
      <c r="BF93" s="245"/>
      <c r="BG93" s="245"/>
      <c r="BH93" s="245"/>
      <c r="BI93" s="245"/>
      <c r="BJ93" s="245"/>
      <c r="BK93" s="245"/>
      <c r="BL93" s="245"/>
    </row>
    <row r="94" spans="1:64" s="27" customFormat="1" ht="14.25" customHeight="1">
      <c r="A94" s="245"/>
      <c r="B94" s="245"/>
      <c r="C94" s="245"/>
      <c r="D94" s="245"/>
      <c r="E94" s="245"/>
      <c r="F94" s="245"/>
      <c r="G94" s="245"/>
      <c r="H94" s="245"/>
      <c r="I94" s="245"/>
      <c r="J94" s="245"/>
      <c r="K94" s="178"/>
      <c r="L94" s="178"/>
      <c r="M94" s="178"/>
      <c r="N94" s="178"/>
      <c r="O94" s="178"/>
      <c r="P94" s="178"/>
      <c r="Q94" s="178"/>
      <c r="R94" s="178"/>
      <c r="S94" s="178"/>
      <c r="T94" s="178"/>
      <c r="U94" s="245"/>
      <c r="V94" s="245"/>
      <c r="W94" s="245"/>
      <c r="X94" s="245"/>
      <c r="Y94" s="248"/>
      <c r="Z94" s="248"/>
      <c r="AA94" s="248"/>
      <c r="AB94" s="248"/>
      <c r="AC94" s="248"/>
      <c r="AD94" s="248"/>
      <c r="AE94" s="248"/>
      <c r="AF94" s="248"/>
      <c r="AG94" s="248"/>
      <c r="AH94" s="248"/>
      <c r="AI94" s="248"/>
      <c r="AJ94" s="248"/>
      <c r="AK94" s="248"/>
      <c r="AL94" s="248"/>
      <c r="AM94" s="248"/>
      <c r="AN94" s="248"/>
      <c r="AO94" s="248"/>
      <c r="AP94" s="248"/>
      <c r="AQ94" s="248"/>
      <c r="AR94" s="248"/>
      <c r="AS94" s="248"/>
      <c r="AT94" s="248"/>
      <c r="AU94" s="248"/>
      <c r="AV94" s="248"/>
      <c r="AW94" s="248"/>
      <c r="AX94" s="248"/>
      <c r="AY94" s="248"/>
      <c r="AZ94" s="248"/>
      <c r="BA94" s="245"/>
      <c r="BB94" s="245"/>
      <c r="BC94" s="245"/>
      <c r="BD94" s="245"/>
      <c r="BE94" s="245"/>
      <c r="BF94" s="245"/>
      <c r="BG94" s="245"/>
      <c r="BH94" s="245"/>
      <c r="BI94" s="245"/>
      <c r="BJ94" s="245"/>
      <c r="BK94" s="245"/>
      <c r="BL94" s="245"/>
    </row>
    <row r="95" spans="1:64" s="27" customFormat="1" ht="14.25" customHeight="1">
      <c r="A95" s="244"/>
      <c r="B95" s="245"/>
      <c r="C95" s="245"/>
      <c r="D95" s="245"/>
      <c r="E95" s="245"/>
      <c r="F95" s="245"/>
      <c r="G95" s="245"/>
      <c r="H95" s="245"/>
      <c r="I95" s="245"/>
      <c r="J95" s="245"/>
      <c r="K95" s="103"/>
      <c r="L95" s="178"/>
      <c r="M95" s="178"/>
      <c r="N95" s="178"/>
      <c r="O95" s="178"/>
      <c r="P95" s="178"/>
      <c r="Q95" s="178"/>
      <c r="R95" s="178"/>
      <c r="S95" s="178"/>
      <c r="T95" s="178"/>
      <c r="U95" s="246"/>
      <c r="V95" s="245"/>
      <c r="W95" s="245"/>
      <c r="X95" s="245"/>
      <c r="Y95" s="247"/>
      <c r="Z95" s="248"/>
      <c r="AA95" s="248"/>
      <c r="AB95" s="248"/>
      <c r="AC95" s="248"/>
      <c r="AD95" s="248"/>
      <c r="AE95" s="248"/>
      <c r="AF95" s="248"/>
      <c r="AG95" s="248"/>
      <c r="AH95" s="248"/>
      <c r="AI95" s="248"/>
      <c r="AJ95" s="248"/>
      <c r="AK95" s="248"/>
      <c r="AL95" s="248"/>
      <c r="AM95" s="248"/>
      <c r="AN95" s="248"/>
      <c r="AO95" s="248"/>
      <c r="AP95" s="248"/>
      <c r="AQ95" s="248"/>
      <c r="AR95" s="248"/>
      <c r="AS95" s="248"/>
      <c r="AT95" s="248"/>
      <c r="AU95" s="248"/>
      <c r="AV95" s="248"/>
      <c r="AW95" s="248"/>
      <c r="AX95" s="248"/>
      <c r="AY95" s="248"/>
      <c r="AZ95" s="248"/>
      <c r="BA95" s="244"/>
      <c r="BB95" s="245"/>
      <c r="BC95" s="245"/>
      <c r="BD95" s="245"/>
      <c r="BE95" s="245"/>
      <c r="BF95" s="245"/>
      <c r="BG95" s="245"/>
      <c r="BH95" s="245"/>
      <c r="BI95" s="245"/>
      <c r="BJ95" s="245"/>
      <c r="BK95" s="245"/>
      <c r="BL95" s="245"/>
    </row>
    <row r="96" spans="1:64" s="27" customFormat="1" ht="14.25" customHeight="1">
      <c r="A96" s="245"/>
      <c r="B96" s="245"/>
      <c r="C96" s="245"/>
      <c r="D96" s="245"/>
      <c r="E96" s="245"/>
      <c r="F96" s="245"/>
      <c r="G96" s="245"/>
      <c r="H96" s="245"/>
      <c r="I96" s="245"/>
      <c r="J96" s="245"/>
      <c r="K96" s="178"/>
      <c r="L96" s="178"/>
      <c r="M96" s="178"/>
      <c r="N96" s="178"/>
      <c r="O96" s="178"/>
      <c r="P96" s="178"/>
      <c r="Q96" s="178"/>
      <c r="R96" s="178"/>
      <c r="S96" s="178"/>
      <c r="T96" s="178"/>
      <c r="U96" s="245"/>
      <c r="V96" s="245"/>
      <c r="W96" s="245"/>
      <c r="X96" s="245"/>
      <c r="Y96" s="248"/>
      <c r="Z96" s="248"/>
      <c r="AA96" s="248"/>
      <c r="AB96" s="248"/>
      <c r="AC96" s="248"/>
      <c r="AD96" s="248"/>
      <c r="AE96" s="248"/>
      <c r="AF96" s="248"/>
      <c r="AG96" s="248"/>
      <c r="AH96" s="248"/>
      <c r="AI96" s="248"/>
      <c r="AJ96" s="248"/>
      <c r="AK96" s="248"/>
      <c r="AL96" s="248"/>
      <c r="AM96" s="248"/>
      <c r="AN96" s="248"/>
      <c r="AO96" s="248"/>
      <c r="AP96" s="248"/>
      <c r="AQ96" s="248"/>
      <c r="AR96" s="248"/>
      <c r="AS96" s="248"/>
      <c r="AT96" s="248"/>
      <c r="AU96" s="248"/>
      <c r="AV96" s="248"/>
      <c r="AW96" s="248"/>
      <c r="AX96" s="248"/>
      <c r="AY96" s="248"/>
      <c r="AZ96" s="248"/>
      <c r="BA96" s="245"/>
      <c r="BB96" s="245"/>
      <c r="BC96" s="245"/>
      <c r="BD96" s="245"/>
      <c r="BE96" s="245"/>
      <c r="BF96" s="245"/>
      <c r="BG96" s="245"/>
      <c r="BH96" s="245"/>
      <c r="BI96" s="245"/>
      <c r="BJ96" s="245"/>
      <c r="BK96" s="245"/>
      <c r="BL96" s="245"/>
    </row>
    <row r="97" spans="1:64" s="27" customFormat="1" ht="14.25" customHeight="1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178"/>
      <c r="L97" s="178"/>
      <c r="M97" s="178"/>
      <c r="N97" s="178"/>
      <c r="O97" s="178"/>
      <c r="P97" s="178"/>
      <c r="Q97" s="178"/>
      <c r="R97" s="178"/>
      <c r="S97" s="178"/>
      <c r="T97" s="178"/>
      <c r="U97" s="245"/>
      <c r="V97" s="245"/>
      <c r="W97" s="245"/>
      <c r="X97" s="245"/>
      <c r="Y97" s="248"/>
      <c r="Z97" s="248"/>
      <c r="AA97" s="248"/>
      <c r="AB97" s="248"/>
      <c r="AC97" s="248"/>
      <c r="AD97" s="248"/>
      <c r="AE97" s="248"/>
      <c r="AF97" s="248"/>
      <c r="AG97" s="248"/>
      <c r="AH97" s="248"/>
      <c r="AI97" s="248"/>
      <c r="AJ97" s="248"/>
      <c r="AK97" s="248"/>
      <c r="AL97" s="248"/>
      <c r="AM97" s="248"/>
      <c r="AN97" s="248"/>
      <c r="AO97" s="248"/>
      <c r="AP97" s="248"/>
      <c r="AQ97" s="248"/>
      <c r="AR97" s="248"/>
      <c r="AS97" s="248"/>
      <c r="AT97" s="248"/>
      <c r="AU97" s="248"/>
      <c r="AV97" s="248"/>
      <c r="AW97" s="248"/>
      <c r="AX97" s="248"/>
      <c r="AY97" s="248"/>
      <c r="AZ97" s="248"/>
      <c r="BA97" s="245"/>
      <c r="BB97" s="245"/>
      <c r="BC97" s="245"/>
      <c r="BD97" s="245"/>
      <c r="BE97" s="245"/>
      <c r="BF97" s="245"/>
      <c r="BG97" s="245"/>
      <c r="BH97" s="245"/>
      <c r="BI97" s="245"/>
      <c r="BJ97" s="245"/>
      <c r="BK97" s="245"/>
      <c r="BL97" s="245"/>
    </row>
    <row r="98" spans="1:64" s="27" customFormat="1" ht="14.25" customHeight="1">
      <c r="A98" s="244"/>
      <c r="B98" s="245"/>
      <c r="C98" s="245"/>
      <c r="D98" s="245"/>
      <c r="E98" s="245"/>
      <c r="F98" s="245"/>
      <c r="G98" s="245"/>
      <c r="H98" s="245"/>
      <c r="I98" s="245"/>
      <c r="J98" s="245"/>
      <c r="K98" s="103"/>
      <c r="L98" s="178"/>
      <c r="M98" s="178"/>
      <c r="N98" s="178"/>
      <c r="O98" s="178"/>
      <c r="P98" s="178"/>
      <c r="Q98" s="178"/>
      <c r="R98" s="178"/>
      <c r="S98" s="178"/>
      <c r="T98" s="178"/>
      <c r="U98" s="246"/>
      <c r="V98" s="245"/>
      <c r="W98" s="245"/>
      <c r="X98" s="245"/>
      <c r="Y98" s="247"/>
      <c r="Z98" s="248"/>
      <c r="AA98" s="248"/>
      <c r="AB98" s="248"/>
      <c r="AC98" s="248"/>
      <c r="AD98" s="248"/>
      <c r="AE98" s="248"/>
      <c r="AF98" s="248"/>
      <c r="AG98" s="248"/>
      <c r="AH98" s="248"/>
      <c r="AI98" s="248"/>
      <c r="AJ98" s="248"/>
      <c r="AK98" s="248"/>
      <c r="AL98" s="248"/>
      <c r="AM98" s="248"/>
      <c r="AN98" s="248"/>
      <c r="AO98" s="248"/>
      <c r="AP98" s="248"/>
      <c r="AQ98" s="248"/>
      <c r="AR98" s="248"/>
      <c r="AS98" s="248"/>
      <c r="AT98" s="248"/>
      <c r="AU98" s="248"/>
      <c r="AV98" s="248"/>
      <c r="AW98" s="248"/>
      <c r="AX98" s="248"/>
      <c r="AY98" s="248"/>
      <c r="AZ98" s="248"/>
      <c r="BA98" s="244"/>
      <c r="BB98" s="245"/>
      <c r="BC98" s="245"/>
      <c r="BD98" s="245"/>
      <c r="BE98" s="245"/>
      <c r="BF98" s="245"/>
      <c r="BG98" s="245"/>
      <c r="BH98" s="245"/>
      <c r="BI98" s="245"/>
      <c r="BJ98" s="245"/>
      <c r="BK98" s="245"/>
      <c r="BL98" s="245"/>
    </row>
    <row r="99" spans="1:64" s="27" customFormat="1" ht="14.25" customHeight="1">
      <c r="A99" s="245"/>
      <c r="B99" s="245"/>
      <c r="C99" s="245"/>
      <c r="D99" s="245"/>
      <c r="E99" s="245"/>
      <c r="F99" s="245"/>
      <c r="G99" s="245"/>
      <c r="H99" s="245"/>
      <c r="I99" s="245"/>
      <c r="J99" s="245"/>
      <c r="K99" s="178"/>
      <c r="L99" s="178"/>
      <c r="M99" s="178"/>
      <c r="N99" s="178"/>
      <c r="O99" s="178"/>
      <c r="P99" s="178"/>
      <c r="Q99" s="178"/>
      <c r="R99" s="178"/>
      <c r="S99" s="178"/>
      <c r="T99" s="178"/>
      <c r="U99" s="245"/>
      <c r="V99" s="245"/>
      <c r="W99" s="245"/>
      <c r="X99" s="245"/>
      <c r="Y99" s="248"/>
      <c r="Z99" s="248"/>
      <c r="AA99" s="248"/>
      <c r="AB99" s="248"/>
      <c r="AC99" s="248"/>
      <c r="AD99" s="248"/>
      <c r="AE99" s="248"/>
      <c r="AF99" s="248"/>
      <c r="AG99" s="248"/>
      <c r="AH99" s="248"/>
      <c r="AI99" s="248"/>
      <c r="AJ99" s="248"/>
      <c r="AK99" s="248"/>
      <c r="AL99" s="248"/>
      <c r="AM99" s="248"/>
      <c r="AN99" s="248"/>
      <c r="AO99" s="248"/>
      <c r="AP99" s="248"/>
      <c r="AQ99" s="248"/>
      <c r="AR99" s="248"/>
      <c r="AS99" s="248"/>
      <c r="AT99" s="248"/>
      <c r="AU99" s="248"/>
      <c r="AV99" s="248"/>
      <c r="AW99" s="248"/>
      <c r="AX99" s="248"/>
      <c r="AY99" s="248"/>
      <c r="AZ99" s="248"/>
      <c r="BA99" s="245"/>
      <c r="BB99" s="245"/>
      <c r="BC99" s="245"/>
      <c r="BD99" s="245"/>
      <c r="BE99" s="245"/>
      <c r="BF99" s="245"/>
      <c r="BG99" s="245"/>
      <c r="BH99" s="245"/>
      <c r="BI99" s="245"/>
      <c r="BJ99" s="245"/>
      <c r="BK99" s="245"/>
      <c r="BL99" s="245"/>
    </row>
    <row r="100" spans="1:64" s="27" customFormat="1" ht="29.1" customHeight="1">
      <c r="A100" s="245"/>
      <c r="B100" s="245"/>
      <c r="C100" s="245"/>
      <c r="D100" s="245"/>
      <c r="E100" s="245"/>
      <c r="F100" s="245"/>
      <c r="G100" s="245"/>
      <c r="H100" s="245"/>
      <c r="I100" s="245"/>
      <c r="J100" s="245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  <c r="U100" s="245"/>
      <c r="V100" s="245"/>
      <c r="W100" s="245"/>
      <c r="X100" s="245"/>
      <c r="Y100" s="248"/>
      <c r="Z100" s="248"/>
      <c r="AA100" s="248"/>
      <c r="AB100" s="248"/>
      <c r="AC100" s="248"/>
      <c r="AD100" s="248"/>
      <c r="AE100" s="248"/>
      <c r="AF100" s="248"/>
      <c r="AG100" s="248"/>
      <c r="AH100" s="248"/>
      <c r="AI100" s="248"/>
      <c r="AJ100" s="248"/>
      <c r="AK100" s="248"/>
      <c r="AL100" s="248"/>
      <c r="AM100" s="248"/>
      <c r="AN100" s="248"/>
      <c r="AO100" s="248"/>
      <c r="AP100" s="248"/>
      <c r="AQ100" s="248"/>
      <c r="AR100" s="248"/>
      <c r="AS100" s="248"/>
      <c r="AT100" s="248"/>
      <c r="AU100" s="248"/>
      <c r="AV100" s="248"/>
      <c r="AW100" s="248"/>
      <c r="AX100" s="248"/>
      <c r="AY100" s="248"/>
      <c r="AZ100" s="248"/>
      <c r="BA100" s="245"/>
      <c r="BB100" s="245"/>
      <c r="BC100" s="245"/>
      <c r="BD100" s="245"/>
      <c r="BE100" s="245"/>
      <c r="BF100" s="245"/>
      <c r="BG100" s="245"/>
      <c r="BH100" s="245"/>
      <c r="BI100" s="245"/>
      <c r="BJ100" s="245"/>
      <c r="BK100" s="245"/>
      <c r="BL100" s="245"/>
    </row>
    <row r="101" spans="1:64" s="27" customFormat="1" ht="14.25" customHeight="1">
      <c r="A101" s="244"/>
      <c r="B101" s="245"/>
      <c r="C101" s="245"/>
      <c r="D101" s="245"/>
      <c r="E101" s="245"/>
      <c r="F101" s="245"/>
      <c r="G101" s="245"/>
      <c r="H101" s="245"/>
      <c r="I101" s="245"/>
      <c r="J101" s="245"/>
      <c r="K101" s="103"/>
      <c r="L101" s="178"/>
      <c r="M101" s="178"/>
      <c r="N101" s="178"/>
      <c r="O101" s="178"/>
      <c r="P101" s="178"/>
      <c r="Q101" s="178"/>
      <c r="R101" s="178"/>
      <c r="S101" s="178"/>
      <c r="T101" s="178"/>
      <c r="U101" s="246"/>
      <c r="V101" s="245"/>
      <c r="W101" s="245"/>
      <c r="X101" s="245"/>
      <c r="Y101" s="247"/>
      <c r="Z101" s="248"/>
      <c r="AA101" s="248"/>
      <c r="AB101" s="248"/>
      <c r="AC101" s="248"/>
      <c r="AD101" s="248"/>
      <c r="AE101" s="248"/>
      <c r="AF101" s="248"/>
      <c r="AG101" s="248"/>
      <c r="AH101" s="248"/>
      <c r="AI101" s="248"/>
      <c r="AJ101" s="248"/>
      <c r="AK101" s="248"/>
      <c r="AL101" s="248"/>
      <c r="AM101" s="248"/>
      <c r="AN101" s="248"/>
      <c r="AO101" s="248"/>
      <c r="AP101" s="248"/>
      <c r="AQ101" s="248"/>
      <c r="AR101" s="248"/>
      <c r="AS101" s="248"/>
      <c r="AT101" s="248"/>
      <c r="AU101" s="248"/>
      <c r="AV101" s="248"/>
      <c r="AW101" s="248"/>
      <c r="AX101" s="248"/>
      <c r="AY101" s="248"/>
      <c r="AZ101" s="248"/>
      <c r="BA101" s="244"/>
      <c r="BB101" s="245"/>
      <c r="BC101" s="245"/>
      <c r="BD101" s="245"/>
      <c r="BE101" s="245"/>
      <c r="BF101" s="245"/>
      <c r="BG101" s="245"/>
      <c r="BH101" s="245"/>
      <c r="BI101" s="245"/>
      <c r="BJ101" s="245"/>
      <c r="BK101" s="245"/>
      <c r="BL101" s="245"/>
    </row>
    <row r="102" spans="1:64" s="27" customFormat="1" ht="14.25" customHeight="1">
      <c r="A102" s="245"/>
      <c r="B102" s="245"/>
      <c r="C102" s="245"/>
      <c r="D102" s="245"/>
      <c r="E102" s="245"/>
      <c r="F102" s="245"/>
      <c r="G102" s="245"/>
      <c r="H102" s="245"/>
      <c r="I102" s="245"/>
      <c r="J102" s="245"/>
      <c r="K102" s="178"/>
      <c r="L102" s="178"/>
      <c r="M102" s="178"/>
      <c r="N102" s="178"/>
      <c r="O102" s="178"/>
      <c r="P102" s="178"/>
      <c r="Q102" s="178"/>
      <c r="R102" s="178"/>
      <c r="S102" s="178"/>
      <c r="T102" s="178"/>
      <c r="U102" s="245"/>
      <c r="V102" s="245"/>
      <c r="W102" s="245"/>
      <c r="X102" s="245"/>
      <c r="Y102" s="248"/>
      <c r="Z102" s="248"/>
      <c r="AA102" s="248"/>
      <c r="AB102" s="248"/>
      <c r="AC102" s="248"/>
      <c r="AD102" s="248"/>
      <c r="AE102" s="248"/>
      <c r="AF102" s="248"/>
      <c r="AG102" s="248"/>
      <c r="AH102" s="248"/>
      <c r="AI102" s="248"/>
      <c r="AJ102" s="248"/>
      <c r="AK102" s="248"/>
      <c r="AL102" s="248"/>
      <c r="AM102" s="248"/>
      <c r="AN102" s="248"/>
      <c r="AO102" s="248"/>
      <c r="AP102" s="248"/>
      <c r="AQ102" s="248"/>
      <c r="AR102" s="248"/>
      <c r="AS102" s="248"/>
      <c r="AT102" s="248"/>
      <c r="AU102" s="248"/>
      <c r="AV102" s="248"/>
      <c r="AW102" s="248"/>
      <c r="AX102" s="248"/>
      <c r="AY102" s="248"/>
      <c r="AZ102" s="248"/>
      <c r="BA102" s="245"/>
      <c r="BB102" s="245"/>
      <c r="BC102" s="245"/>
      <c r="BD102" s="245"/>
      <c r="BE102" s="245"/>
      <c r="BF102" s="245"/>
      <c r="BG102" s="245"/>
      <c r="BH102" s="245"/>
      <c r="BI102" s="245"/>
      <c r="BJ102" s="245"/>
      <c r="BK102" s="245"/>
      <c r="BL102" s="245"/>
    </row>
    <row r="103" spans="1:64" s="27" customFormat="1" ht="14.25" customHeight="1">
      <c r="A103" s="245"/>
      <c r="B103" s="245"/>
      <c r="C103" s="245"/>
      <c r="D103" s="245"/>
      <c r="E103" s="245"/>
      <c r="F103" s="245"/>
      <c r="G103" s="245"/>
      <c r="H103" s="245"/>
      <c r="I103" s="245"/>
      <c r="J103" s="245"/>
      <c r="K103" s="178"/>
      <c r="L103" s="178"/>
      <c r="M103" s="178"/>
      <c r="N103" s="178"/>
      <c r="O103" s="178"/>
      <c r="P103" s="178"/>
      <c r="Q103" s="178"/>
      <c r="R103" s="178"/>
      <c r="S103" s="178"/>
      <c r="T103" s="178"/>
      <c r="U103" s="245"/>
      <c r="V103" s="245"/>
      <c r="W103" s="245"/>
      <c r="X103" s="245"/>
      <c r="Y103" s="248"/>
      <c r="Z103" s="248"/>
      <c r="AA103" s="248"/>
      <c r="AB103" s="248"/>
      <c r="AC103" s="248"/>
      <c r="AD103" s="248"/>
      <c r="AE103" s="248"/>
      <c r="AF103" s="248"/>
      <c r="AG103" s="248"/>
      <c r="AH103" s="248"/>
      <c r="AI103" s="248"/>
      <c r="AJ103" s="248"/>
      <c r="AK103" s="248"/>
      <c r="AL103" s="248"/>
      <c r="AM103" s="248"/>
      <c r="AN103" s="248"/>
      <c r="AO103" s="248"/>
      <c r="AP103" s="248"/>
      <c r="AQ103" s="248"/>
      <c r="AR103" s="248"/>
      <c r="AS103" s="248"/>
      <c r="AT103" s="248"/>
      <c r="AU103" s="248"/>
      <c r="AV103" s="248"/>
      <c r="AW103" s="248"/>
      <c r="AX103" s="248"/>
      <c r="AY103" s="248"/>
      <c r="AZ103" s="248"/>
      <c r="BA103" s="245"/>
      <c r="BB103" s="245"/>
      <c r="BC103" s="245"/>
      <c r="BD103" s="245"/>
      <c r="BE103" s="245"/>
      <c r="BF103" s="245"/>
      <c r="BG103" s="245"/>
      <c r="BH103" s="245"/>
      <c r="BI103" s="245"/>
      <c r="BJ103" s="245"/>
      <c r="BK103" s="245"/>
      <c r="BL103" s="245"/>
    </row>
    <row r="104" spans="1:64" s="27" customFormat="1" ht="14.25" customHeight="1">
      <c r="A104" s="244"/>
      <c r="B104" s="245"/>
      <c r="C104" s="245"/>
      <c r="D104" s="245"/>
      <c r="E104" s="245"/>
      <c r="F104" s="245"/>
      <c r="G104" s="245"/>
      <c r="H104" s="245"/>
      <c r="I104" s="245"/>
      <c r="J104" s="245"/>
      <c r="K104" s="103"/>
      <c r="L104" s="178"/>
      <c r="M104" s="178"/>
      <c r="N104" s="178"/>
      <c r="O104" s="178"/>
      <c r="P104" s="178"/>
      <c r="Q104" s="178"/>
      <c r="R104" s="178"/>
      <c r="S104" s="178"/>
      <c r="T104" s="178"/>
      <c r="U104" s="246"/>
      <c r="V104" s="245"/>
      <c r="W104" s="245"/>
      <c r="X104" s="245"/>
      <c r="Y104" s="247"/>
      <c r="Z104" s="248"/>
      <c r="AA104" s="248"/>
      <c r="AB104" s="248"/>
      <c r="AC104" s="248"/>
      <c r="AD104" s="248"/>
      <c r="AE104" s="248"/>
      <c r="AF104" s="248"/>
      <c r="AG104" s="248"/>
      <c r="AH104" s="248"/>
      <c r="AI104" s="248"/>
      <c r="AJ104" s="248"/>
      <c r="AK104" s="248"/>
      <c r="AL104" s="248"/>
      <c r="AM104" s="248"/>
      <c r="AN104" s="248"/>
      <c r="AO104" s="248"/>
      <c r="AP104" s="248"/>
      <c r="AQ104" s="248"/>
      <c r="AR104" s="248"/>
      <c r="AS104" s="248"/>
      <c r="AT104" s="248"/>
      <c r="AU104" s="248"/>
      <c r="AV104" s="248"/>
      <c r="AW104" s="248"/>
      <c r="AX104" s="248"/>
      <c r="AY104" s="248"/>
      <c r="AZ104" s="248"/>
      <c r="BA104" s="244"/>
      <c r="BB104" s="245"/>
      <c r="BC104" s="245"/>
      <c r="BD104" s="245"/>
      <c r="BE104" s="245"/>
      <c r="BF104" s="245"/>
      <c r="BG104" s="245"/>
      <c r="BH104" s="245"/>
      <c r="BI104" s="245"/>
      <c r="BJ104" s="245"/>
      <c r="BK104" s="245"/>
      <c r="BL104" s="245"/>
    </row>
    <row r="105" spans="1:64" s="27" customFormat="1" ht="14.25" customHeight="1">
      <c r="A105" s="245"/>
      <c r="B105" s="245"/>
      <c r="C105" s="245"/>
      <c r="D105" s="245"/>
      <c r="E105" s="245"/>
      <c r="F105" s="245"/>
      <c r="G105" s="245"/>
      <c r="H105" s="245"/>
      <c r="I105" s="245"/>
      <c r="J105" s="245"/>
      <c r="K105" s="178"/>
      <c r="L105" s="178"/>
      <c r="M105" s="178"/>
      <c r="N105" s="178"/>
      <c r="O105" s="178"/>
      <c r="P105" s="178"/>
      <c r="Q105" s="178"/>
      <c r="R105" s="178"/>
      <c r="S105" s="178"/>
      <c r="T105" s="178"/>
      <c r="U105" s="245"/>
      <c r="V105" s="245"/>
      <c r="W105" s="245"/>
      <c r="X105" s="245"/>
      <c r="Y105" s="248"/>
      <c r="Z105" s="248"/>
      <c r="AA105" s="248"/>
      <c r="AB105" s="248"/>
      <c r="AC105" s="248"/>
      <c r="AD105" s="248"/>
      <c r="AE105" s="248"/>
      <c r="AF105" s="248"/>
      <c r="AG105" s="248"/>
      <c r="AH105" s="248"/>
      <c r="AI105" s="248"/>
      <c r="AJ105" s="248"/>
      <c r="AK105" s="248"/>
      <c r="AL105" s="248"/>
      <c r="AM105" s="248"/>
      <c r="AN105" s="248"/>
      <c r="AO105" s="248"/>
      <c r="AP105" s="248"/>
      <c r="AQ105" s="248"/>
      <c r="AR105" s="248"/>
      <c r="AS105" s="248"/>
      <c r="AT105" s="248"/>
      <c r="AU105" s="248"/>
      <c r="AV105" s="248"/>
      <c r="AW105" s="248"/>
      <c r="AX105" s="248"/>
      <c r="AY105" s="248"/>
      <c r="AZ105" s="248"/>
      <c r="BA105" s="245"/>
      <c r="BB105" s="245"/>
      <c r="BC105" s="245"/>
      <c r="BD105" s="245"/>
      <c r="BE105" s="245"/>
      <c r="BF105" s="245"/>
      <c r="BG105" s="245"/>
      <c r="BH105" s="245"/>
      <c r="BI105" s="245"/>
      <c r="BJ105" s="245"/>
      <c r="BK105" s="245"/>
      <c r="BL105" s="245"/>
    </row>
    <row r="106" spans="1:64" s="27" customFormat="1" ht="14.25" customHeight="1">
      <c r="A106" s="245"/>
      <c r="B106" s="245"/>
      <c r="C106" s="245"/>
      <c r="D106" s="245"/>
      <c r="E106" s="245"/>
      <c r="F106" s="245"/>
      <c r="G106" s="245"/>
      <c r="H106" s="245"/>
      <c r="I106" s="245"/>
      <c r="J106" s="245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  <c r="U106" s="245"/>
      <c r="V106" s="245"/>
      <c r="W106" s="245"/>
      <c r="X106" s="245"/>
      <c r="Y106" s="248"/>
      <c r="Z106" s="248"/>
      <c r="AA106" s="248"/>
      <c r="AB106" s="248"/>
      <c r="AC106" s="248"/>
      <c r="AD106" s="248"/>
      <c r="AE106" s="248"/>
      <c r="AF106" s="248"/>
      <c r="AG106" s="248"/>
      <c r="AH106" s="248"/>
      <c r="AI106" s="248"/>
      <c r="AJ106" s="248"/>
      <c r="AK106" s="248"/>
      <c r="AL106" s="248"/>
      <c r="AM106" s="248"/>
      <c r="AN106" s="248"/>
      <c r="AO106" s="248"/>
      <c r="AP106" s="248"/>
      <c r="AQ106" s="248"/>
      <c r="AR106" s="248"/>
      <c r="AS106" s="248"/>
      <c r="AT106" s="248"/>
      <c r="AU106" s="248"/>
      <c r="AV106" s="248"/>
      <c r="AW106" s="248"/>
      <c r="AX106" s="248"/>
      <c r="AY106" s="248"/>
      <c r="AZ106" s="248"/>
      <c r="BA106" s="245"/>
      <c r="BB106" s="245"/>
      <c r="BC106" s="245"/>
      <c r="BD106" s="245"/>
      <c r="BE106" s="245"/>
      <c r="BF106" s="245"/>
      <c r="BG106" s="245"/>
      <c r="BH106" s="245"/>
      <c r="BI106" s="245"/>
      <c r="BJ106" s="245"/>
      <c r="BK106" s="245"/>
      <c r="BL106" s="245"/>
    </row>
    <row r="107" spans="1:64" s="27" customFormat="1" ht="14.25" customHeight="1">
      <c r="A107" s="244"/>
      <c r="B107" s="245"/>
      <c r="C107" s="245"/>
      <c r="D107" s="245"/>
      <c r="E107" s="245"/>
      <c r="F107" s="245"/>
      <c r="G107" s="245"/>
      <c r="H107" s="245"/>
      <c r="I107" s="245"/>
      <c r="J107" s="245"/>
      <c r="K107" s="103"/>
      <c r="L107" s="178"/>
      <c r="M107" s="178"/>
      <c r="N107" s="178"/>
      <c r="O107" s="178"/>
      <c r="P107" s="178"/>
      <c r="Q107" s="178"/>
      <c r="R107" s="178"/>
      <c r="S107" s="178"/>
      <c r="T107" s="178"/>
      <c r="U107" s="246"/>
      <c r="V107" s="245"/>
      <c r="W107" s="245"/>
      <c r="X107" s="245"/>
      <c r="Y107" s="247"/>
      <c r="Z107" s="248"/>
      <c r="AA107" s="248"/>
      <c r="AB107" s="248"/>
      <c r="AC107" s="248"/>
      <c r="AD107" s="248"/>
      <c r="AE107" s="248"/>
      <c r="AF107" s="248"/>
      <c r="AG107" s="248"/>
      <c r="AH107" s="248"/>
      <c r="AI107" s="248"/>
      <c r="AJ107" s="248"/>
      <c r="AK107" s="248"/>
      <c r="AL107" s="248"/>
      <c r="AM107" s="248"/>
      <c r="AN107" s="248"/>
      <c r="AO107" s="248"/>
      <c r="AP107" s="248"/>
      <c r="AQ107" s="248"/>
      <c r="AR107" s="248"/>
      <c r="AS107" s="248"/>
      <c r="AT107" s="248"/>
      <c r="AU107" s="248"/>
      <c r="AV107" s="248"/>
      <c r="AW107" s="248"/>
      <c r="AX107" s="248"/>
      <c r="AY107" s="248"/>
      <c r="AZ107" s="248"/>
      <c r="BA107" s="244"/>
      <c r="BB107" s="245"/>
      <c r="BC107" s="245"/>
      <c r="BD107" s="245"/>
      <c r="BE107" s="245"/>
      <c r="BF107" s="245"/>
      <c r="BG107" s="245"/>
      <c r="BH107" s="245"/>
      <c r="BI107" s="245"/>
      <c r="BJ107" s="245"/>
      <c r="BK107" s="245"/>
      <c r="BL107" s="245"/>
    </row>
    <row r="108" spans="1:64" s="27" customFormat="1" ht="14.25" customHeight="1">
      <c r="A108" s="245"/>
      <c r="B108" s="245"/>
      <c r="C108" s="245"/>
      <c r="D108" s="245"/>
      <c r="E108" s="245"/>
      <c r="F108" s="245"/>
      <c r="G108" s="245"/>
      <c r="H108" s="245"/>
      <c r="I108" s="245"/>
      <c r="J108" s="245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245"/>
      <c r="V108" s="245"/>
      <c r="W108" s="245"/>
      <c r="X108" s="245"/>
      <c r="Y108" s="248"/>
      <c r="Z108" s="248"/>
      <c r="AA108" s="248"/>
      <c r="AB108" s="248"/>
      <c r="AC108" s="248"/>
      <c r="AD108" s="248"/>
      <c r="AE108" s="248"/>
      <c r="AF108" s="248"/>
      <c r="AG108" s="248"/>
      <c r="AH108" s="248"/>
      <c r="AI108" s="248"/>
      <c r="AJ108" s="248"/>
      <c r="AK108" s="248"/>
      <c r="AL108" s="248"/>
      <c r="AM108" s="248"/>
      <c r="AN108" s="248"/>
      <c r="AO108" s="248"/>
      <c r="AP108" s="248"/>
      <c r="AQ108" s="248"/>
      <c r="AR108" s="248"/>
      <c r="AS108" s="248"/>
      <c r="AT108" s="248"/>
      <c r="AU108" s="248"/>
      <c r="AV108" s="248"/>
      <c r="AW108" s="248"/>
      <c r="AX108" s="248"/>
      <c r="AY108" s="248"/>
      <c r="AZ108" s="248"/>
      <c r="BA108" s="245"/>
      <c r="BB108" s="245"/>
      <c r="BC108" s="245"/>
      <c r="BD108" s="245"/>
      <c r="BE108" s="245"/>
      <c r="BF108" s="245"/>
      <c r="BG108" s="245"/>
      <c r="BH108" s="245"/>
      <c r="BI108" s="245"/>
      <c r="BJ108" s="245"/>
      <c r="BK108" s="245"/>
      <c r="BL108" s="245"/>
    </row>
    <row r="109" spans="1:64" s="27" customFormat="1" ht="14.25" customHeight="1">
      <c r="A109" s="245"/>
      <c r="B109" s="245"/>
      <c r="C109" s="245"/>
      <c r="D109" s="245"/>
      <c r="E109" s="245"/>
      <c r="F109" s="245"/>
      <c r="G109" s="245"/>
      <c r="H109" s="245"/>
      <c r="I109" s="245"/>
      <c r="J109" s="245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  <c r="U109" s="245"/>
      <c r="V109" s="245"/>
      <c r="W109" s="245"/>
      <c r="X109" s="245"/>
      <c r="Y109" s="248"/>
      <c r="Z109" s="248"/>
      <c r="AA109" s="248"/>
      <c r="AB109" s="248"/>
      <c r="AC109" s="248"/>
      <c r="AD109" s="248"/>
      <c r="AE109" s="248"/>
      <c r="AF109" s="248"/>
      <c r="AG109" s="248"/>
      <c r="AH109" s="248"/>
      <c r="AI109" s="248"/>
      <c r="AJ109" s="248"/>
      <c r="AK109" s="248"/>
      <c r="AL109" s="248"/>
      <c r="AM109" s="248"/>
      <c r="AN109" s="248"/>
      <c r="AO109" s="248"/>
      <c r="AP109" s="248"/>
      <c r="AQ109" s="248"/>
      <c r="AR109" s="248"/>
      <c r="AS109" s="248"/>
      <c r="AT109" s="248"/>
      <c r="AU109" s="248"/>
      <c r="AV109" s="248"/>
      <c r="AW109" s="248"/>
      <c r="AX109" s="248"/>
      <c r="AY109" s="248"/>
      <c r="AZ109" s="248"/>
      <c r="BA109" s="245"/>
      <c r="BB109" s="245"/>
      <c r="BC109" s="245"/>
      <c r="BD109" s="245"/>
      <c r="BE109" s="245"/>
      <c r="BF109" s="245"/>
      <c r="BG109" s="245"/>
      <c r="BH109" s="245"/>
      <c r="BI109" s="245"/>
      <c r="BJ109" s="245"/>
      <c r="BK109" s="245"/>
      <c r="BL109" s="245"/>
    </row>
    <row r="110" spans="1:64" s="27" customFormat="1" ht="14.25" customHeight="1">
      <c r="A110" s="244"/>
      <c r="B110" s="245"/>
      <c r="C110" s="245"/>
      <c r="D110" s="245"/>
      <c r="E110" s="245"/>
      <c r="F110" s="245"/>
      <c r="G110" s="245"/>
      <c r="H110" s="245"/>
      <c r="I110" s="245"/>
      <c r="J110" s="245"/>
      <c r="K110" s="103"/>
      <c r="L110" s="178"/>
      <c r="M110" s="178"/>
      <c r="N110" s="178"/>
      <c r="O110" s="178"/>
      <c r="P110" s="178"/>
      <c r="Q110" s="178"/>
      <c r="R110" s="178"/>
      <c r="S110" s="178"/>
      <c r="T110" s="178"/>
      <c r="U110" s="246"/>
      <c r="V110" s="245"/>
      <c r="W110" s="245"/>
      <c r="X110" s="245"/>
      <c r="Y110" s="247"/>
      <c r="Z110" s="248"/>
      <c r="AA110" s="248"/>
      <c r="AB110" s="248"/>
      <c r="AC110" s="248"/>
      <c r="AD110" s="248"/>
      <c r="AE110" s="248"/>
      <c r="AF110" s="248"/>
      <c r="AG110" s="248"/>
      <c r="AH110" s="248"/>
      <c r="AI110" s="248"/>
      <c r="AJ110" s="248"/>
      <c r="AK110" s="248"/>
      <c r="AL110" s="248"/>
      <c r="AM110" s="248"/>
      <c r="AN110" s="248"/>
      <c r="AO110" s="248"/>
      <c r="AP110" s="248"/>
      <c r="AQ110" s="248"/>
      <c r="AR110" s="248"/>
      <c r="AS110" s="248"/>
      <c r="AT110" s="248"/>
      <c r="AU110" s="248"/>
      <c r="AV110" s="248"/>
      <c r="AW110" s="248"/>
      <c r="AX110" s="248"/>
      <c r="AY110" s="248"/>
      <c r="AZ110" s="248"/>
      <c r="BA110" s="244"/>
      <c r="BB110" s="245"/>
      <c r="BC110" s="245"/>
      <c r="BD110" s="245"/>
      <c r="BE110" s="245"/>
      <c r="BF110" s="245"/>
      <c r="BG110" s="245"/>
      <c r="BH110" s="245"/>
      <c r="BI110" s="245"/>
      <c r="BJ110" s="245"/>
      <c r="BK110" s="245"/>
      <c r="BL110" s="245"/>
    </row>
    <row r="111" spans="1:64" s="27" customFormat="1" ht="14.25" customHeight="1">
      <c r="A111" s="245"/>
      <c r="B111" s="245"/>
      <c r="C111" s="245"/>
      <c r="D111" s="245"/>
      <c r="E111" s="245"/>
      <c r="F111" s="245"/>
      <c r="G111" s="245"/>
      <c r="H111" s="245"/>
      <c r="I111" s="245"/>
      <c r="J111" s="245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245"/>
      <c r="V111" s="245"/>
      <c r="W111" s="245"/>
      <c r="X111" s="245"/>
      <c r="Y111" s="248"/>
      <c r="Z111" s="248"/>
      <c r="AA111" s="248"/>
      <c r="AB111" s="248"/>
      <c r="AC111" s="248"/>
      <c r="AD111" s="248"/>
      <c r="AE111" s="248"/>
      <c r="AF111" s="248"/>
      <c r="AG111" s="248"/>
      <c r="AH111" s="248"/>
      <c r="AI111" s="248"/>
      <c r="AJ111" s="248"/>
      <c r="AK111" s="248"/>
      <c r="AL111" s="248"/>
      <c r="AM111" s="248"/>
      <c r="AN111" s="248"/>
      <c r="AO111" s="248"/>
      <c r="AP111" s="248"/>
      <c r="AQ111" s="248"/>
      <c r="AR111" s="248"/>
      <c r="AS111" s="248"/>
      <c r="AT111" s="248"/>
      <c r="AU111" s="248"/>
      <c r="AV111" s="248"/>
      <c r="AW111" s="248"/>
      <c r="AX111" s="248"/>
      <c r="AY111" s="248"/>
      <c r="AZ111" s="248"/>
      <c r="BA111" s="245"/>
      <c r="BB111" s="245"/>
      <c r="BC111" s="245"/>
      <c r="BD111" s="245"/>
      <c r="BE111" s="245"/>
      <c r="BF111" s="245"/>
      <c r="BG111" s="245"/>
      <c r="BH111" s="245"/>
      <c r="BI111" s="245"/>
      <c r="BJ111" s="245"/>
      <c r="BK111" s="245"/>
      <c r="BL111" s="245"/>
    </row>
    <row r="112" spans="1:64" s="27" customFormat="1" ht="14.25" customHeight="1">
      <c r="A112" s="245"/>
      <c r="B112" s="245"/>
      <c r="C112" s="245"/>
      <c r="D112" s="245"/>
      <c r="E112" s="245"/>
      <c r="F112" s="245"/>
      <c r="G112" s="245"/>
      <c r="H112" s="245"/>
      <c r="I112" s="245"/>
      <c r="J112" s="245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  <c r="U112" s="245"/>
      <c r="V112" s="245"/>
      <c r="W112" s="245"/>
      <c r="X112" s="245"/>
      <c r="Y112" s="248"/>
      <c r="Z112" s="248"/>
      <c r="AA112" s="248"/>
      <c r="AB112" s="248"/>
      <c r="AC112" s="248"/>
      <c r="AD112" s="248"/>
      <c r="AE112" s="248"/>
      <c r="AF112" s="248"/>
      <c r="AG112" s="248"/>
      <c r="AH112" s="248"/>
      <c r="AI112" s="248"/>
      <c r="AJ112" s="248"/>
      <c r="AK112" s="248"/>
      <c r="AL112" s="248"/>
      <c r="AM112" s="248"/>
      <c r="AN112" s="248"/>
      <c r="AO112" s="248"/>
      <c r="AP112" s="248"/>
      <c r="AQ112" s="248"/>
      <c r="AR112" s="248"/>
      <c r="AS112" s="248"/>
      <c r="AT112" s="248"/>
      <c r="AU112" s="248"/>
      <c r="AV112" s="248"/>
      <c r="AW112" s="248"/>
      <c r="AX112" s="248"/>
      <c r="AY112" s="248"/>
      <c r="AZ112" s="248"/>
      <c r="BA112" s="245"/>
      <c r="BB112" s="245"/>
      <c r="BC112" s="245"/>
      <c r="BD112" s="245"/>
      <c r="BE112" s="245"/>
      <c r="BF112" s="245"/>
      <c r="BG112" s="245"/>
      <c r="BH112" s="245"/>
      <c r="BI112" s="245"/>
      <c r="BJ112" s="245"/>
      <c r="BK112" s="245"/>
      <c r="BL112" s="245"/>
    </row>
    <row r="113" spans="1:64" s="27" customFormat="1" ht="14.25" customHeight="1">
      <c r="A113" s="244"/>
      <c r="B113" s="245"/>
      <c r="C113" s="245"/>
      <c r="D113" s="245"/>
      <c r="E113" s="245"/>
      <c r="F113" s="245"/>
      <c r="G113" s="245"/>
      <c r="H113" s="245"/>
      <c r="I113" s="245"/>
      <c r="J113" s="245"/>
      <c r="K113" s="103"/>
      <c r="L113" s="178"/>
      <c r="M113" s="178"/>
      <c r="N113" s="178"/>
      <c r="O113" s="178"/>
      <c r="P113" s="178"/>
      <c r="Q113" s="178"/>
      <c r="R113" s="178"/>
      <c r="S113" s="178"/>
      <c r="T113" s="178"/>
      <c r="U113" s="246"/>
      <c r="V113" s="245"/>
      <c r="W113" s="245"/>
      <c r="X113" s="245"/>
      <c r="Y113" s="247"/>
      <c r="Z113" s="248"/>
      <c r="AA113" s="248"/>
      <c r="AB113" s="248"/>
      <c r="AC113" s="248"/>
      <c r="AD113" s="248"/>
      <c r="AE113" s="248"/>
      <c r="AF113" s="248"/>
      <c r="AG113" s="248"/>
      <c r="AH113" s="248"/>
      <c r="AI113" s="248"/>
      <c r="AJ113" s="248"/>
      <c r="AK113" s="248"/>
      <c r="AL113" s="248"/>
      <c r="AM113" s="248"/>
      <c r="AN113" s="248"/>
      <c r="AO113" s="248"/>
      <c r="AP113" s="248"/>
      <c r="AQ113" s="248"/>
      <c r="AR113" s="248"/>
      <c r="AS113" s="248"/>
      <c r="AT113" s="248"/>
      <c r="AU113" s="248"/>
      <c r="AV113" s="248"/>
      <c r="AW113" s="248"/>
      <c r="AX113" s="248"/>
      <c r="AY113" s="248"/>
      <c r="AZ113" s="248"/>
      <c r="BA113" s="244"/>
      <c r="BB113" s="245"/>
      <c r="BC113" s="245"/>
      <c r="BD113" s="245"/>
      <c r="BE113" s="245"/>
      <c r="BF113" s="245"/>
      <c r="BG113" s="245"/>
      <c r="BH113" s="245"/>
      <c r="BI113" s="245"/>
      <c r="BJ113" s="245"/>
      <c r="BK113" s="245"/>
      <c r="BL113" s="245"/>
    </row>
    <row r="114" spans="1:64" s="27" customFormat="1" ht="14.25" customHeight="1">
      <c r="A114" s="245"/>
      <c r="B114" s="245"/>
      <c r="C114" s="245"/>
      <c r="D114" s="245"/>
      <c r="E114" s="245"/>
      <c r="F114" s="245"/>
      <c r="G114" s="245"/>
      <c r="H114" s="245"/>
      <c r="I114" s="245"/>
      <c r="J114" s="245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  <c r="U114" s="245"/>
      <c r="V114" s="245"/>
      <c r="W114" s="245"/>
      <c r="X114" s="245"/>
      <c r="Y114" s="248"/>
      <c r="Z114" s="248"/>
      <c r="AA114" s="248"/>
      <c r="AB114" s="248"/>
      <c r="AC114" s="248"/>
      <c r="AD114" s="248"/>
      <c r="AE114" s="248"/>
      <c r="AF114" s="248"/>
      <c r="AG114" s="248"/>
      <c r="AH114" s="248"/>
      <c r="AI114" s="248"/>
      <c r="AJ114" s="248"/>
      <c r="AK114" s="248"/>
      <c r="AL114" s="248"/>
      <c r="AM114" s="248"/>
      <c r="AN114" s="248"/>
      <c r="AO114" s="248"/>
      <c r="AP114" s="248"/>
      <c r="AQ114" s="248"/>
      <c r="AR114" s="248"/>
      <c r="AS114" s="248"/>
      <c r="AT114" s="248"/>
      <c r="AU114" s="248"/>
      <c r="AV114" s="248"/>
      <c r="AW114" s="248"/>
      <c r="AX114" s="248"/>
      <c r="AY114" s="248"/>
      <c r="AZ114" s="248"/>
      <c r="BA114" s="245"/>
      <c r="BB114" s="245"/>
      <c r="BC114" s="245"/>
      <c r="BD114" s="245"/>
      <c r="BE114" s="245"/>
      <c r="BF114" s="245"/>
      <c r="BG114" s="245"/>
      <c r="BH114" s="245"/>
      <c r="BI114" s="245"/>
      <c r="BJ114" s="245"/>
      <c r="BK114" s="245"/>
      <c r="BL114" s="245"/>
    </row>
    <row r="115" spans="1:64" s="27" customFormat="1" ht="14.25" customHeight="1">
      <c r="A115" s="245"/>
      <c r="B115" s="245"/>
      <c r="C115" s="245"/>
      <c r="D115" s="245"/>
      <c r="E115" s="245"/>
      <c r="F115" s="245"/>
      <c r="G115" s="245"/>
      <c r="H115" s="245"/>
      <c r="I115" s="245"/>
      <c r="J115" s="245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  <c r="U115" s="245"/>
      <c r="V115" s="245"/>
      <c r="W115" s="245"/>
      <c r="X115" s="245"/>
      <c r="Y115" s="248"/>
      <c r="Z115" s="248"/>
      <c r="AA115" s="248"/>
      <c r="AB115" s="248"/>
      <c r="AC115" s="248"/>
      <c r="AD115" s="248"/>
      <c r="AE115" s="248"/>
      <c r="AF115" s="248"/>
      <c r="AG115" s="248"/>
      <c r="AH115" s="248"/>
      <c r="AI115" s="248"/>
      <c r="AJ115" s="248"/>
      <c r="AK115" s="248"/>
      <c r="AL115" s="248"/>
      <c r="AM115" s="248"/>
      <c r="AN115" s="248"/>
      <c r="AO115" s="248"/>
      <c r="AP115" s="248"/>
      <c r="AQ115" s="248"/>
      <c r="AR115" s="248"/>
      <c r="AS115" s="248"/>
      <c r="AT115" s="248"/>
      <c r="AU115" s="248"/>
      <c r="AV115" s="248"/>
      <c r="AW115" s="248"/>
      <c r="AX115" s="248"/>
      <c r="AY115" s="248"/>
      <c r="AZ115" s="248"/>
      <c r="BA115" s="245"/>
      <c r="BB115" s="245"/>
      <c r="BC115" s="245"/>
      <c r="BD115" s="245"/>
      <c r="BE115" s="245"/>
      <c r="BF115" s="245"/>
      <c r="BG115" s="245"/>
      <c r="BH115" s="245"/>
      <c r="BI115" s="245"/>
      <c r="BJ115" s="245"/>
      <c r="BK115" s="245"/>
      <c r="BL115" s="245"/>
    </row>
    <row r="116" spans="1:64" s="27" customFormat="1" ht="14.25" customHeight="1">
      <c r="A116" s="244"/>
      <c r="B116" s="245"/>
      <c r="C116" s="245"/>
      <c r="D116" s="245"/>
      <c r="E116" s="245"/>
      <c r="F116" s="245"/>
      <c r="G116" s="245"/>
      <c r="H116" s="245"/>
      <c r="I116" s="245"/>
      <c r="J116" s="245"/>
      <c r="K116" s="103"/>
      <c r="L116" s="178"/>
      <c r="M116" s="178"/>
      <c r="N116" s="178"/>
      <c r="O116" s="178"/>
      <c r="P116" s="178"/>
      <c r="Q116" s="178"/>
      <c r="R116" s="178"/>
      <c r="S116" s="178"/>
      <c r="T116" s="178"/>
      <c r="U116" s="246"/>
      <c r="V116" s="245"/>
      <c r="W116" s="245"/>
      <c r="X116" s="245"/>
      <c r="Y116" s="247"/>
      <c r="Z116" s="248"/>
      <c r="AA116" s="248"/>
      <c r="AB116" s="248"/>
      <c r="AC116" s="248"/>
      <c r="AD116" s="248"/>
      <c r="AE116" s="248"/>
      <c r="AF116" s="248"/>
      <c r="AG116" s="248"/>
      <c r="AH116" s="248"/>
      <c r="AI116" s="248"/>
      <c r="AJ116" s="248"/>
      <c r="AK116" s="248"/>
      <c r="AL116" s="248"/>
      <c r="AM116" s="248"/>
      <c r="AN116" s="248"/>
      <c r="AO116" s="248"/>
      <c r="AP116" s="248"/>
      <c r="AQ116" s="248"/>
      <c r="AR116" s="248"/>
      <c r="AS116" s="248"/>
      <c r="AT116" s="248"/>
      <c r="AU116" s="248"/>
      <c r="AV116" s="248"/>
      <c r="AW116" s="248"/>
      <c r="AX116" s="248"/>
      <c r="AY116" s="248"/>
      <c r="AZ116" s="248"/>
      <c r="BA116" s="244"/>
      <c r="BB116" s="245"/>
      <c r="BC116" s="245"/>
      <c r="BD116" s="245"/>
      <c r="BE116" s="245"/>
      <c r="BF116" s="245"/>
      <c r="BG116" s="245"/>
      <c r="BH116" s="245"/>
      <c r="BI116" s="245"/>
      <c r="BJ116" s="245"/>
      <c r="BK116" s="245"/>
      <c r="BL116" s="245"/>
    </row>
    <row r="117" spans="1:64" s="27" customFormat="1" ht="14.25" customHeight="1">
      <c r="A117" s="245"/>
      <c r="B117" s="245"/>
      <c r="C117" s="245"/>
      <c r="D117" s="245"/>
      <c r="E117" s="245"/>
      <c r="F117" s="245"/>
      <c r="G117" s="245"/>
      <c r="H117" s="245"/>
      <c r="I117" s="245"/>
      <c r="J117" s="245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245"/>
      <c r="V117" s="245"/>
      <c r="W117" s="245"/>
      <c r="X117" s="245"/>
      <c r="Y117" s="248"/>
      <c r="Z117" s="248"/>
      <c r="AA117" s="248"/>
      <c r="AB117" s="248"/>
      <c r="AC117" s="248"/>
      <c r="AD117" s="248"/>
      <c r="AE117" s="248"/>
      <c r="AF117" s="248"/>
      <c r="AG117" s="248"/>
      <c r="AH117" s="248"/>
      <c r="AI117" s="248"/>
      <c r="AJ117" s="248"/>
      <c r="AK117" s="248"/>
      <c r="AL117" s="248"/>
      <c r="AM117" s="248"/>
      <c r="AN117" s="248"/>
      <c r="AO117" s="248"/>
      <c r="AP117" s="248"/>
      <c r="AQ117" s="248"/>
      <c r="AR117" s="248"/>
      <c r="AS117" s="248"/>
      <c r="AT117" s="248"/>
      <c r="AU117" s="248"/>
      <c r="AV117" s="248"/>
      <c r="AW117" s="248"/>
      <c r="AX117" s="248"/>
      <c r="AY117" s="248"/>
      <c r="AZ117" s="248"/>
      <c r="BA117" s="245"/>
      <c r="BB117" s="245"/>
      <c r="BC117" s="245"/>
      <c r="BD117" s="245"/>
      <c r="BE117" s="245"/>
      <c r="BF117" s="245"/>
      <c r="BG117" s="245"/>
      <c r="BH117" s="245"/>
      <c r="BI117" s="245"/>
      <c r="BJ117" s="245"/>
      <c r="BK117" s="245"/>
      <c r="BL117" s="245"/>
    </row>
    <row r="118" spans="1:64" s="27" customFormat="1" ht="14.25" customHeight="1">
      <c r="A118" s="245"/>
      <c r="B118" s="245"/>
      <c r="C118" s="245"/>
      <c r="D118" s="245"/>
      <c r="E118" s="245"/>
      <c r="F118" s="245"/>
      <c r="G118" s="245"/>
      <c r="H118" s="245"/>
      <c r="I118" s="245"/>
      <c r="J118" s="245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245"/>
      <c r="V118" s="245"/>
      <c r="W118" s="245"/>
      <c r="X118" s="245"/>
      <c r="Y118" s="248"/>
      <c r="Z118" s="248"/>
      <c r="AA118" s="248"/>
      <c r="AB118" s="248"/>
      <c r="AC118" s="248"/>
      <c r="AD118" s="248"/>
      <c r="AE118" s="248"/>
      <c r="AF118" s="248"/>
      <c r="AG118" s="248"/>
      <c r="AH118" s="248"/>
      <c r="AI118" s="248"/>
      <c r="AJ118" s="248"/>
      <c r="AK118" s="248"/>
      <c r="AL118" s="248"/>
      <c r="AM118" s="248"/>
      <c r="AN118" s="248"/>
      <c r="AO118" s="248"/>
      <c r="AP118" s="248"/>
      <c r="AQ118" s="248"/>
      <c r="AR118" s="248"/>
      <c r="AS118" s="248"/>
      <c r="AT118" s="248"/>
      <c r="AU118" s="248"/>
      <c r="AV118" s="248"/>
      <c r="AW118" s="248"/>
      <c r="AX118" s="248"/>
      <c r="AY118" s="248"/>
      <c r="AZ118" s="248"/>
      <c r="BA118" s="245"/>
      <c r="BB118" s="245"/>
      <c r="BC118" s="245"/>
      <c r="BD118" s="245"/>
      <c r="BE118" s="245"/>
      <c r="BF118" s="245"/>
      <c r="BG118" s="245"/>
      <c r="BH118" s="245"/>
      <c r="BI118" s="245"/>
      <c r="BJ118" s="245"/>
      <c r="BK118" s="245"/>
      <c r="BL118" s="245"/>
    </row>
    <row r="119" spans="1:64" s="27" customFormat="1" ht="14.25" customHeight="1">
      <c r="A119" s="244"/>
      <c r="B119" s="245"/>
      <c r="C119" s="245"/>
      <c r="D119" s="245"/>
      <c r="E119" s="245"/>
      <c r="F119" s="245"/>
      <c r="G119" s="245"/>
      <c r="H119" s="245"/>
      <c r="I119" s="245"/>
      <c r="J119" s="245"/>
      <c r="K119" s="103"/>
      <c r="L119" s="178"/>
      <c r="M119" s="178"/>
      <c r="N119" s="178"/>
      <c r="O119" s="178"/>
      <c r="P119" s="178"/>
      <c r="Q119" s="178"/>
      <c r="R119" s="178"/>
      <c r="S119" s="178"/>
      <c r="T119" s="178"/>
      <c r="U119" s="246"/>
      <c r="V119" s="245"/>
      <c r="W119" s="245"/>
      <c r="X119" s="245"/>
      <c r="Y119" s="247"/>
      <c r="Z119" s="248"/>
      <c r="AA119" s="248"/>
      <c r="AB119" s="248"/>
      <c r="AC119" s="248"/>
      <c r="AD119" s="248"/>
      <c r="AE119" s="248"/>
      <c r="AF119" s="248"/>
      <c r="AG119" s="248"/>
      <c r="AH119" s="248"/>
      <c r="AI119" s="248"/>
      <c r="AJ119" s="248"/>
      <c r="AK119" s="248"/>
      <c r="AL119" s="248"/>
      <c r="AM119" s="248"/>
      <c r="AN119" s="248"/>
      <c r="AO119" s="248"/>
      <c r="AP119" s="248"/>
      <c r="AQ119" s="248"/>
      <c r="AR119" s="248"/>
      <c r="AS119" s="248"/>
      <c r="AT119" s="248"/>
      <c r="AU119" s="248"/>
      <c r="AV119" s="248"/>
      <c r="AW119" s="248"/>
      <c r="AX119" s="248"/>
      <c r="AY119" s="248"/>
      <c r="AZ119" s="248"/>
      <c r="BA119" s="244"/>
      <c r="BB119" s="245"/>
      <c r="BC119" s="245"/>
      <c r="BD119" s="245"/>
      <c r="BE119" s="245"/>
      <c r="BF119" s="245"/>
      <c r="BG119" s="245"/>
      <c r="BH119" s="245"/>
      <c r="BI119" s="245"/>
      <c r="BJ119" s="245"/>
      <c r="BK119" s="245"/>
      <c r="BL119" s="245"/>
    </row>
    <row r="120" spans="1:64" s="27" customFormat="1" ht="14.25" customHeight="1">
      <c r="A120" s="245"/>
      <c r="B120" s="245"/>
      <c r="C120" s="245"/>
      <c r="D120" s="245"/>
      <c r="E120" s="245"/>
      <c r="F120" s="245"/>
      <c r="G120" s="245"/>
      <c r="H120" s="245"/>
      <c r="I120" s="245"/>
      <c r="J120" s="245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  <c r="U120" s="245"/>
      <c r="V120" s="245"/>
      <c r="W120" s="245"/>
      <c r="X120" s="245"/>
      <c r="Y120" s="248"/>
      <c r="Z120" s="248"/>
      <c r="AA120" s="248"/>
      <c r="AB120" s="248"/>
      <c r="AC120" s="248"/>
      <c r="AD120" s="248"/>
      <c r="AE120" s="248"/>
      <c r="AF120" s="248"/>
      <c r="AG120" s="248"/>
      <c r="AH120" s="248"/>
      <c r="AI120" s="248"/>
      <c r="AJ120" s="248"/>
      <c r="AK120" s="248"/>
      <c r="AL120" s="248"/>
      <c r="AM120" s="248"/>
      <c r="AN120" s="248"/>
      <c r="AO120" s="248"/>
      <c r="AP120" s="248"/>
      <c r="AQ120" s="248"/>
      <c r="AR120" s="248"/>
      <c r="AS120" s="248"/>
      <c r="AT120" s="248"/>
      <c r="AU120" s="248"/>
      <c r="AV120" s="248"/>
      <c r="AW120" s="248"/>
      <c r="AX120" s="248"/>
      <c r="AY120" s="248"/>
      <c r="AZ120" s="248"/>
      <c r="BA120" s="245"/>
      <c r="BB120" s="245"/>
      <c r="BC120" s="245"/>
      <c r="BD120" s="245"/>
      <c r="BE120" s="245"/>
      <c r="BF120" s="245"/>
      <c r="BG120" s="245"/>
      <c r="BH120" s="245"/>
      <c r="BI120" s="245"/>
      <c r="BJ120" s="245"/>
      <c r="BK120" s="245"/>
      <c r="BL120" s="245"/>
    </row>
    <row r="121" spans="1:64" s="27" customFormat="1" ht="14.25" customHeight="1">
      <c r="A121" s="245"/>
      <c r="B121" s="245"/>
      <c r="C121" s="245"/>
      <c r="D121" s="245"/>
      <c r="E121" s="245"/>
      <c r="F121" s="245"/>
      <c r="G121" s="245"/>
      <c r="H121" s="245"/>
      <c r="I121" s="245"/>
      <c r="J121" s="245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  <c r="U121" s="245"/>
      <c r="V121" s="245"/>
      <c r="W121" s="245"/>
      <c r="X121" s="245"/>
      <c r="Y121" s="248"/>
      <c r="Z121" s="248"/>
      <c r="AA121" s="248"/>
      <c r="AB121" s="248"/>
      <c r="AC121" s="248"/>
      <c r="AD121" s="248"/>
      <c r="AE121" s="248"/>
      <c r="AF121" s="248"/>
      <c r="AG121" s="248"/>
      <c r="AH121" s="248"/>
      <c r="AI121" s="248"/>
      <c r="AJ121" s="248"/>
      <c r="AK121" s="248"/>
      <c r="AL121" s="248"/>
      <c r="AM121" s="248"/>
      <c r="AN121" s="248"/>
      <c r="AO121" s="248"/>
      <c r="AP121" s="248"/>
      <c r="AQ121" s="248"/>
      <c r="AR121" s="248"/>
      <c r="AS121" s="248"/>
      <c r="AT121" s="248"/>
      <c r="AU121" s="248"/>
      <c r="AV121" s="248"/>
      <c r="AW121" s="248"/>
      <c r="AX121" s="248"/>
      <c r="AY121" s="248"/>
      <c r="AZ121" s="248"/>
      <c r="BA121" s="245"/>
      <c r="BB121" s="245"/>
      <c r="BC121" s="245"/>
      <c r="BD121" s="245"/>
      <c r="BE121" s="245"/>
      <c r="BF121" s="245"/>
      <c r="BG121" s="245"/>
      <c r="BH121" s="245"/>
      <c r="BI121" s="245"/>
      <c r="BJ121" s="245"/>
      <c r="BK121" s="245"/>
      <c r="BL121" s="245"/>
    </row>
    <row r="122" spans="1:64" s="27" customFormat="1" ht="14.25" customHeight="1">
      <c r="A122" s="244"/>
      <c r="B122" s="245"/>
      <c r="C122" s="245"/>
      <c r="D122" s="245"/>
      <c r="E122" s="245"/>
      <c r="F122" s="245"/>
      <c r="G122" s="245"/>
      <c r="H122" s="245"/>
      <c r="I122" s="245"/>
      <c r="J122" s="245"/>
      <c r="K122" s="103"/>
      <c r="L122" s="178"/>
      <c r="M122" s="178"/>
      <c r="N122" s="178"/>
      <c r="O122" s="178"/>
      <c r="P122" s="178"/>
      <c r="Q122" s="178"/>
      <c r="R122" s="178"/>
      <c r="S122" s="178"/>
      <c r="T122" s="178"/>
      <c r="U122" s="246"/>
      <c r="V122" s="245"/>
      <c r="W122" s="245"/>
      <c r="X122" s="245"/>
      <c r="Y122" s="247"/>
      <c r="Z122" s="248"/>
      <c r="AA122" s="248"/>
      <c r="AB122" s="248"/>
      <c r="AC122" s="248"/>
      <c r="AD122" s="248"/>
      <c r="AE122" s="248"/>
      <c r="AF122" s="248"/>
      <c r="AG122" s="248"/>
      <c r="AH122" s="248"/>
      <c r="AI122" s="248"/>
      <c r="AJ122" s="248"/>
      <c r="AK122" s="248"/>
      <c r="AL122" s="248"/>
      <c r="AM122" s="248"/>
      <c r="AN122" s="248"/>
      <c r="AO122" s="248"/>
      <c r="AP122" s="248"/>
      <c r="AQ122" s="248"/>
      <c r="AR122" s="248"/>
      <c r="AS122" s="248"/>
      <c r="AT122" s="248"/>
      <c r="AU122" s="248"/>
      <c r="AV122" s="248"/>
      <c r="AW122" s="248"/>
      <c r="AX122" s="248"/>
      <c r="AY122" s="248"/>
      <c r="AZ122" s="248"/>
      <c r="BA122" s="244"/>
      <c r="BB122" s="245"/>
      <c r="BC122" s="245"/>
      <c r="BD122" s="245"/>
      <c r="BE122" s="245"/>
      <c r="BF122" s="245"/>
      <c r="BG122" s="245"/>
      <c r="BH122" s="245"/>
      <c r="BI122" s="245"/>
      <c r="BJ122" s="245"/>
      <c r="BK122" s="245"/>
      <c r="BL122" s="245"/>
    </row>
    <row r="123" spans="1:64" s="27" customFormat="1" ht="14.25" customHeight="1">
      <c r="A123" s="245"/>
      <c r="B123" s="245"/>
      <c r="C123" s="245"/>
      <c r="D123" s="245"/>
      <c r="E123" s="245"/>
      <c r="F123" s="245"/>
      <c r="G123" s="245"/>
      <c r="H123" s="245"/>
      <c r="I123" s="245"/>
      <c r="J123" s="245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  <c r="U123" s="245"/>
      <c r="V123" s="245"/>
      <c r="W123" s="245"/>
      <c r="X123" s="245"/>
      <c r="Y123" s="248"/>
      <c r="Z123" s="248"/>
      <c r="AA123" s="248"/>
      <c r="AB123" s="248"/>
      <c r="AC123" s="248"/>
      <c r="AD123" s="248"/>
      <c r="AE123" s="248"/>
      <c r="AF123" s="248"/>
      <c r="AG123" s="248"/>
      <c r="AH123" s="248"/>
      <c r="AI123" s="248"/>
      <c r="AJ123" s="248"/>
      <c r="AK123" s="248"/>
      <c r="AL123" s="248"/>
      <c r="AM123" s="248"/>
      <c r="AN123" s="248"/>
      <c r="AO123" s="248"/>
      <c r="AP123" s="248"/>
      <c r="AQ123" s="248"/>
      <c r="AR123" s="248"/>
      <c r="AS123" s="248"/>
      <c r="AT123" s="248"/>
      <c r="AU123" s="248"/>
      <c r="AV123" s="248"/>
      <c r="AW123" s="248"/>
      <c r="AX123" s="248"/>
      <c r="AY123" s="248"/>
      <c r="AZ123" s="248"/>
      <c r="BA123" s="245"/>
      <c r="BB123" s="245"/>
      <c r="BC123" s="245"/>
      <c r="BD123" s="245"/>
      <c r="BE123" s="245"/>
      <c r="BF123" s="245"/>
      <c r="BG123" s="245"/>
      <c r="BH123" s="245"/>
      <c r="BI123" s="245"/>
      <c r="BJ123" s="245"/>
      <c r="BK123" s="245"/>
      <c r="BL123" s="245"/>
    </row>
    <row r="124" spans="1:64" s="27" customFormat="1" ht="14.25" customHeight="1">
      <c r="A124" s="245"/>
      <c r="B124" s="245"/>
      <c r="C124" s="245"/>
      <c r="D124" s="245"/>
      <c r="E124" s="245"/>
      <c r="F124" s="245"/>
      <c r="G124" s="245"/>
      <c r="H124" s="245"/>
      <c r="I124" s="245"/>
      <c r="J124" s="245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245"/>
      <c r="V124" s="245"/>
      <c r="W124" s="245"/>
      <c r="X124" s="245"/>
      <c r="Y124" s="248"/>
      <c r="Z124" s="248"/>
      <c r="AA124" s="248"/>
      <c r="AB124" s="248"/>
      <c r="AC124" s="248"/>
      <c r="AD124" s="248"/>
      <c r="AE124" s="248"/>
      <c r="AF124" s="248"/>
      <c r="AG124" s="248"/>
      <c r="AH124" s="248"/>
      <c r="AI124" s="248"/>
      <c r="AJ124" s="248"/>
      <c r="AK124" s="248"/>
      <c r="AL124" s="248"/>
      <c r="AM124" s="248"/>
      <c r="AN124" s="248"/>
      <c r="AO124" s="248"/>
      <c r="AP124" s="248"/>
      <c r="AQ124" s="248"/>
      <c r="AR124" s="248"/>
      <c r="AS124" s="248"/>
      <c r="AT124" s="248"/>
      <c r="AU124" s="248"/>
      <c r="AV124" s="248"/>
      <c r="AW124" s="248"/>
      <c r="AX124" s="248"/>
      <c r="AY124" s="248"/>
      <c r="AZ124" s="248"/>
      <c r="BA124" s="245"/>
      <c r="BB124" s="245"/>
      <c r="BC124" s="245"/>
      <c r="BD124" s="245"/>
      <c r="BE124" s="245"/>
      <c r="BF124" s="245"/>
      <c r="BG124" s="245"/>
      <c r="BH124" s="245"/>
      <c r="BI124" s="245"/>
      <c r="BJ124" s="245"/>
      <c r="BK124" s="245"/>
      <c r="BL124" s="245"/>
    </row>
    <row r="125" spans="1:64" s="27" customFormat="1" ht="14.25" customHeight="1">
      <c r="A125" s="244"/>
      <c r="B125" s="245"/>
      <c r="C125" s="245"/>
      <c r="D125" s="245"/>
      <c r="E125" s="245"/>
      <c r="F125" s="245"/>
      <c r="G125" s="245"/>
      <c r="H125" s="245"/>
      <c r="I125" s="245"/>
      <c r="J125" s="245"/>
      <c r="K125" s="103"/>
      <c r="L125" s="178"/>
      <c r="M125" s="178"/>
      <c r="N125" s="178"/>
      <c r="O125" s="178"/>
      <c r="P125" s="178"/>
      <c r="Q125" s="178"/>
      <c r="R125" s="178"/>
      <c r="S125" s="178"/>
      <c r="T125" s="178"/>
      <c r="U125" s="246"/>
      <c r="V125" s="245"/>
      <c r="W125" s="245"/>
      <c r="X125" s="245"/>
      <c r="Y125" s="247"/>
      <c r="Z125" s="248"/>
      <c r="AA125" s="248"/>
      <c r="AB125" s="248"/>
      <c r="AC125" s="248"/>
      <c r="AD125" s="248"/>
      <c r="AE125" s="248"/>
      <c r="AF125" s="248"/>
      <c r="AG125" s="248"/>
      <c r="AH125" s="248"/>
      <c r="AI125" s="248"/>
      <c r="AJ125" s="248"/>
      <c r="AK125" s="248"/>
      <c r="AL125" s="248"/>
      <c r="AM125" s="248"/>
      <c r="AN125" s="248"/>
      <c r="AO125" s="248"/>
      <c r="AP125" s="248"/>
      <c r="AQ125" s="248"/>
      <c r="AR125" s="248"/>
      <c r="AS125" s="248"/>
      <c r="AT125" s="248"/>
      <c r="AU125" s="248"/>
      <c r="AV125" s="248"/>
      <c r="AW125" s="248"/>
      <c r="AX125" s="248"/>
      <c r="AY125" s="248"/>
      <c r="AZ125" s="248"/>
      <c r="BA125" s="244"/>
      <c r="BB125" s="245"/>
      <c r="BC125" s="245"/>
      <c r="BD125" s="245"/>
      <c r="BE125" s="245"/>
      <c r="BF125" s="245"/>
      <c r="BG125" s="245"/>
      <c r="BH125" s="245"/>
      <c r="BI125" s="245"/>
      <c r="BJ125" s="245"/>
      <c r="BK125" s="245"/>
      <c r="BL125" s="245"/>
    </row>
    <row r="126" spans="1:64" s="27" customFormat="1" ht="14.25" customHeight="1">
      <c r="A126" s="245"/>
      <c r="B126" s="245"/>
      <c r="C126" s="245"/>
      <c r="D126" s="245"/>
      <c r="E126" s="245"/>
      <c r="F126" s="245"/>
      <c r="G126" s="245"/>
      <c r="H126" s="245"/>
      <c r="I126" s="245"/>
      <c r="J126" s="245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  <c r="U126" s="245"/>
      <c r="V126" s="245"/>
      <c r="W126" s="245"/>
      <c r="X126" s="245"/>
      <c r="Y126" s="248"/>
      <c r="Z126" s="248"/>
      <c r="AA126" s="248"/>
      <c r="AB126" s="248"/>
      <c r="AC126" s="248"/>
      <c r="AD126" s="248"/>
      <c r="AE126" s="248"/>
      <c r="AF126" s="248"/>
      <c r="AG126" s="248"/>
      <c r="AH126" s="248"/>
      <c r="AI126" s="248"/>
      <c r="AJ126" s="248"/>
      <c r="AK126" s="248"/>
      <c r="AL126" s="248"/>
      <c r="AM126" s="248"/>
      <c r="AN126" s="248"/>
      <c r="AO126" s="248"/>
      <c r="AP126" s="248"/>
      <c r="AQ126" s="248"/>
      <c r="AR126" s="248"/>
      <c r="AS126" s="248"/>
      <c r="AT126" s="248"/>
      <c r="AU126" s="248"/>
      <c r="AV126" s="248"/>
      <c r="AW126" s="248"/>
      <c r="AX126" s="248"/>
      <c r="AY126" s="248"/>
      <c r="AZ126" s="248"/>
      <c r="BA126" s="245"/>
      <c r="BB126" s="245"/>
      <c r="BC126" s="245"/>
      <c r="BD126" s="245"/>
      <c r="BE126" s="245"/>
      <c r="BF126" s="245"/>
      <c r="BG126" s="245"/>
      <c r="BH126" s="245"/>
      <c r="BI126" s="245"/>
      <c r="BJ126" s="245"/>
      <c r="BK126" s="245"/>
      <c r="BL126" s="245"/>
    </row>
    <row r="127" spans="1:64" s="27" customFormat="1" ht="14.25" customHeight="1">
      <c r="A127" s="245"/>
      <c r="B127" s="245"/>
      <c r="C127" s="245"/>
      <c r="D127" s="245"/>
      <c r="E127" s="245"/>
      <c r="F127" s="245"/>
      <c r="G127" s="245"/>
      <c r="H127" s="245"/>
      <c r="I127" s="245"/>
      <c r="J127" s="245"/>
      <c r="K127" s="178"/>
      <c r="L127" s="178"/>
      <c r="M127" s="178"/>
      <c r="N127" s="178"/>
      <c r="O127" s="178"/>
      <c r="P127" s="178"/>
      <c r="Q127" s="178"/>
      <c r="R127" s="178"/>
      <c r="S127" s="178"/>
      <c r="T127" s="178"/>
      <c r="U127" s="245"/>
      <c r="V127" s="245"/>
      <c r="W127" s="245"/>
      <c r="X127" s="245"/>
      <c r="Y127" s="248"/>
      <c r="Z127" s="248"/>
      <c r="AA127" s="248"/>
      <c r="AB127" s="248"/>
      <c r="AC127" s="248"/>
      <c r="AD127" s="248"/>
      <c r="AE127" s="248"/>
      <c r="AF127" s="248"/>
      <c r="AG127" s="248"/>
      <c r="AH127" s="248"/>
      <c r="AI127" s="248"/>
      <c r="AJ127" s="248"/>
      <c r="AK127" s="248"/>
      <c r="AL127" s="248"/>
      <c r="AM127" s="248"/>
      <c r="AN127" s="248"/>
      <c r="AO127" s="248"/>
      <c r="AP127" s="248"/>
      <c r="AQ127" s="248"/>
      <c r="AR127" s="248"/>
      <c r="AS127" s="248"/>
      <c r="AT127" s="248"/>
      <c r="AU127" s="248"/>
      <c r="AV127" s="248"/>
      <c r="AW127" s="248"/>
      <c r="AX127" s="248"/>
      <c r="AY127" s="248"/>
      <c r="AZ127" s="248"/>
      <c r="BA127" s="245"/>
      <c r="BB127" s="245"/>
      <c r="BC127" s="245"/>
      <c r="BD127" s="245"/>
      <c r="BE127" s="245"/>
      <c r="BF127" s="245"/>
      <c r="BG127" s="245"/>
      <c r="BH127" s="245"/>
      <c r="BI127" s="245"/>
      <c r="BJ127" s="245"/>
      <c r="BK127" s="245"/>
      <c r="BL127" s="245"/>
    </row>
    <row r="128" spans="1:64" s="27" customFormat="1" ht="14.25" customHeight="1">
      <c r="A128" s="244"/>
      <c r="B128" s="245"/>
      <c r="C128" s="245"/>
      <c r="D128" s="245"/>
      <c r="E128" s="245"/>
      <c r="F128" s="245"/>
      <c r="G128" s="245"/>
      <c r="H128" s="245"/>
      <c r="I128" s="245"/>
      <c r="J128" s="245"/>
      <c r="K128" s="103"/>
      <c r="L128" s="178"/>
      <c r="M128" s="178"/>
      <c r="N128" s="178"/>
      <c r="O128" s="178"/>
      <c r="P128" s="178"/>
      <c r="Q128" s="178"/>
      <c r="R128" s="178"/>
      <c r="S128" s="178"/>
      <c r="T128" s="178"/>
      <c r="U128" s="246"/>
      <c r="V128" s="245"/>
      <c r="W128" s="245"/>
      <c r="X128" s="245"/>
      <c r="Y128" s="247"/>
      <c r="Z128" s="248"/>
      <c r="AA128" s="248"/>
      <c r="AB128" s="248"/>
      <c r="AC128" s="248"/>
      <c r="AD128" s="248"/>
      <c r="AE128" s="248"/>
      <c r="AF128" s="248"/>
      <c r="AG128" s="248"/>
      <c r="AH128" s="248"/>
      <c r="AI128" s="248"/>
      <c r="AJ128" s="248"/>
      <c r="AK128" s="248"/>
      <c r="AL128" s="248"/>
      <c r="AM128" s="248"/>
      <c r="AN128" s="248"/>
      <c r="AO128" s="248"/>
      <c r="AP128" s="248"/>
      <c r="AQ128" s="248"/>
      <c r="AR128" s="248"/>
      <c r="AS128" s="248"/>
      <c r="AT128" s="248"/>
      <c r="AU128" s="248"/>
      <c r="AV128" s="248"/>
      <c r="AW128" s="248"/>
      <c r="AX128" s="248"/>
      <c r="AY128" s="248"/>
      <c r="AZ128" s="248"/>
      <c r="BA128" s="244"/>
      <c r="BB128" s="245"/>
      <c r="BC128" s="245"/>
      <c r="BD128" s="245"/>
      <c r="BE128" s="245"/>
      <c r="BF128" s="245"/>
      <c r="BG128" s="245"/>
      <c r="BH128" s="245"/>
      <c r="BI128" s="245"/>
      <c r="BJ128" s="245"/>
      <c r="BK128" s="245"/>
      <c r="BL128" s="245"/>
    </row>
    <row r="129" spans="1:64" s="27" customFormat="1" ht="14.25" customHeight="1">
      <c r="A129" s="245"/>
      <c r="B129" s="245"/>
      <c r="C129" s="245"/>
      <c r="D129" s="245"/>
      <c r="E129" s="245"/>
      <c r="F129" s="245"/>
      <c r="G129" s="245"/>
      <c r="H129" s="245"/>
      <c r="I129" s="245"/>
      <c r="J129" s="245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  <c r="U129" s="245"/>
      <c r="V129" s="245"/>
      <c r="W129" s="245"/>
      <c r="X129" s="245"/>
      <c r="Y129" s="248"/>
      <c r="Z129" s="248"/>
      <c r="AA129" s="248"/>
      <c r="AB129" s="248"/>
      <c r="AC129" s="248"/>
      <c r="AD129" s="248"/>
      <c r="AE129" s="248"/>
      <c r="AF129" s="248"/>
      <c r="AG129" s="248"/>
      <c r="AH129" s="248"/>
      <c r="AI129" s="248"/>
      <c r="AJ129" s="248"/>
      <c r="AK129" s="248"/>
      <c r="AL129" s="248"/>
      <c r="AM129" s="248"/>
      <c r="AN129" s="248"/>
      <c r="AO129" s="248"/>
      <c r="AP129" s="248"/>
      <c r="AQ129" s="248"/>
      <c r="AR129" s="248"/>
      <c r="AS129" s="248"/>
      <c r="AT129" s="248"/>
      <c r="AU129" s="248"/>
      <c r="AV129" s="248"/>
      <c r="AW129" s="248"/>
      <c r="AX129" s="248"/>
      <c r="AY129" s="248"/>
      <c r="AZ129" s="248"/>
      <c r="BA129" s="245"/>
      <c r="BB129" s="245"/>
      <c r="BC129" s="245"/>
      <c r="BD129" s="245"/>
      <c r="BE129" s="245"/>
      <c r="BF129" s="245"/>
      <c r="BG129" s="245"/>
      <c r="BH129" s="245"/>
      <c r="BI129" s="245"/>
      <c r="BJ129" s="245"/>
      <c r="BK129" s="245"/>
      <c r="BL129" s="245"/>
    </row>
    <row r="130" spans="1:64" s="27" customFormat="1" ht="13.5">
      <c r="A130" s="245"/>
      <c r="B130" s="245"/>
      <c r="C130" s="245"/>
      <c r="D130" s="245"/>
      <c r="E130" s="245"/>
      <c r="F130" s="245"/>
      <c r="G130" s="245"/>
      <c r="H130" s="245"/>
      <c r="I130" s="245"/>
      <c r="J130" s="245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  <c r="U130" s="245"/>
      <c r="V130" s="245"/>
      <c r="W130" s="245"/>
      <c r="X130" s="245"/>
      <c r="Y130" s="248"/>
      <c r="Z130" s="248"/>
      <c r="AA130" s="248"/>
      <c r="AB130" s="248"/>
      <c r="AC130" s="248"/>
      <c r="AD130" s="248"/>
      <c r="AE130" s="248"/>
      <c r="AF130" s="248"/>
      <c r="AG130" s="248"/>
      <c r="AH130" s="248"/>
      <c r="AI130" s="248"/>
      <c r="AJ130" s="248"/>
      <c r="AK130" s="248"/>
      <c r="AL130" s="248"/>
      <c r="AM130" s="248"/>
      <c r="AN130" s="248"/>
      <c r="AO130" s="248"/>
      <c r="AP130" s="248"/>
      <c r="AQ130" s="248"/>
      <c r="AR130" s="248"/>
      <c r="AS130" s="248"/>
      <c r="AT130" s="248"/>
      <c r="AU130" s="248"/>
      <c r="AV130" s="248"/>
      <c r="AW130" s="248"/>
      <c r="AX130" s="248"/>
      <c r="AY130" s="248"/>
      <c r="AZ130" s="248"/>
      <c r="BA130" s="245"/>
      <c r="BB130" s="245"/>
      <c r="BC130" s="245"/>
      <c r="BD130" s="245"/>
      <c r="BE130" s="245"/>
      <c r="BF130" s="245"/>
      <c r="BG130" s="245"/>
      <c r="BH130" s="245"/>
      <c r="BI130" s="245"/>
      <c r="BJ130" s="245"/>
      <c r="BK130" s="245"/>
      <c r="BL130" s="245"/>
    </row>
    <row r="131" spans="1:64" s="27" customFormat="1" ht="14.25" customHeight="1">
      <c r="A131" s="244"/>
      <c r="B131" s="245"/>
      <c r="C131" s="245"/>
      <c r="D131" s="245"/>
      <c r="E131" s="245"/>
      <c r="F131" s="245"/>
      <c r="G131" s="245"/>
      <c r="H131" s="245"/>
      <c r="I131" s="245"/>
      <c r="J131" s="245"/>
      <c r="K131" s="103"/>
      <c r="L131" s="178"/>
      <c r="M131" s="178"/>
      <c r="N131" s="178"/>
      <c r="O131" s="178"/>
      <c r="P131" s="178"/>
      <c r="Q131" s="178"/>
      <c r="R131" s="178"/>
      <c r="S131" s="178"/>
      <c r="T131" s="178"/>
      <c r="U131" s="246"/>
      <c r="V131" s="245"/>
      <c r="W131" s="245"/>
      <c r="X131" s="245"/>
      <c r="Y131" s="247"/>
      <c r="Z131" s="248"/>
      <c r="AA131" s="248"/>
      <c r="AB131" s="248"/>
      <c r="AC131" s="248"/>
      <c r="AD131" s="248"/>
      <c r="AE131" s="248"/>
      <c r="AF131" s="248"/>
      <c r="AG131" s="248"/>
      <c r="AH131" s="248"/>
      <c r="AI131" s="248"/>
      <c r="AJ131" s="248"/>
      <c r="AK131" s="248"/>
      <c r="AL131" s="248"/>
      <c r="AM131" s="248"/>
      <c r="AN131" s="248"/>
      <c r="AO131" s="248"/>
      <c r="AP131" s="248"/>
      <c r="AQ131" s="248"/>
      <c r="AR131" s="248"/>
      <c r="AS131" s="248"/>
      <c r="AT131" s="248"/>
      <c r="AU131" s="248"/>
      <c r="AV131" s="248"/>
      <c r="AW131" s="248"/>
      <c r="AX131" s="248"/>
      <c r="AY131" s="248"/>
      <c r="AZ131" s="248"/>
      <c r="BA131" s="244"/>
      <c r="BB131" s="245"/>
      <c r="BC131" s="245"/>
      <c r="BD131" s="245"/>
      <c r="BE131" s="245"/>
      <c r="BF131" s="245"/>
      <c r="BG131" s="245"/>
      <c r="BH131" s="245"/>
      <c r="BI131" s="245"/>
      <c r="BJ131" s="245"/>
      <c r="BK131" s="245"/>
      <c r="BL131" s="245"/>
    </row>
    <row r="132" spans="1:64" s="27" customFormat="1" ht="14.25" customHeight="1">
      <c r="A132" s="245"/>
      <c r="B132" s="245"/>
      <c r="C132" s="245"/>
      <c r="D132" s="245"/>
      <c r="E132" s="245"/>
      <c r="F132" s="245"/>
      <c r="G132" s="245"/>
      <c r="H132" s="245"/>
      <c r="I132" s="245"/>
      <c r="J132" s="245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  <c r="U132" s="245"/>
      <c r="V132" s="245"/>
      <c r="W132" s="245"/>
      <c r="X132" s="245"/>
      <c r="Y132" s="248"/>
      <c r="Z132" s="248"/>
      <c r="AA132" s="248"/>
      <c r="AB132" s="248"/>
      <c r="AC132" s="248"/>
      <c r="AD132" s="248"/>
      <c r="AE132" s="248"/>
      <c r="AF132" s="248"/>
      <c r="AG132" s="248"/>
      <c r="AH132" s="248"/>
      <c r="AI132" s="248"/>
      <c r="AJ132" s="248"/>
      <c r="AK132" s="248"/>
      <c r="AL132" s="248"/>
      <c r="AM132" s="248"/>
      <c r="AN132" s="248"/>
      <c r="AO132" s="248"/>
      <c r="AP132" s="248"/>
      <c r="AQ132" s="248"/>
      <c r="AR132" s="248"/>
      <c r="AS132" s="248"/>
      <c r="AT132" s="248"/>
      <c r="AU132" s="248"/>
      <c r="AV132" s="248"/>
      <c r="AW132" s="248"/>
      <c r="AX132" s="248"/>
      <c r="AY132" s="248"/>
      <c r="AZ132" s="248"/>
      <c r="BA132" s="245"/>
      <c r="BB132" s="245"/>
      <c r="BC132" s="245"/>
      <c r="BD132" s="245"/>
      <c r="BE132" s="245"/>
      <c r="BF132" s="245"/>
      <c r="BG132" s="245"/>
      <c r="BH132" s="245"/>
      <c r="BI132" s="245"/>
      <c r="BJ132" s="245"/>
      <c r="BK132" s="245"/>
      <c r="BL132" s="245"/>
    </row>
    <row r="133" spans="1:64" s="27" customFormat="1" ht="14.25" customHeight="1">
      <c r="A133" s="245"/>
      <c r="B133" s="245"/>
      <c r="C133" s="245"/>
      <c r="D133" s="245"/>
      <c r="E133" s="245"/>
      <c r="F133" s="245"/>
      <c r="G133" s="245"/>
      <c r="H133" s="245"/>
      <c r="I133" s="245"/>
      <c r="J133" s="245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  <c r="U133" s="245"/>
      <c r="V133" s="245"/>
      <c r="W133" s="245"/>
      <c r="X133" s="245"/>
      <c r="Y133" s="248"/>
      <c r="Z133" s="248"/>
      <c r="AA133" s="248"/>
      <c r="AB133" s="248"/>
      <c r="AC133" s="248"/>
      <c r="AD133" s="248"/>
      <c r="AE133" s="248"/>
      <c r="AF133" s="248"/>
      <c r="AG133" s="248"/>
      <c r="AH133" s="248"/>
      <c r="AI133" s="248"/>
      <c r="AJ133" s="248"/>
      <c r="AK133" s="248"/>
      <c r="AL133" s="248"/>
      <c r="AM133" s="248"/>
      <c r="AN133" s="248"/>
      <c r="AO133" s="248"/>
      <c r="AP133" s="248"/>
      <c r="AQ133" s="248"/>
      <c r="AR133" s="248"/>
      <c r="AS133" s="248"/>
      <c r="AT133" s="248"/>
      <c r="AU133" s="248"/>
      <c r="AV133" s="248"/>
      <c r="AW133" s="248"/>
      <c r="AX133" s="248"/>
      <c r="AY133" s="248"/>
      <c r="AZ133" s="248"/>
      <c r="BA133" s="245"/>
      <c r="BB133" s="245"/>
      <c r="BC133" s="245"/>
      <c r="BD133" s="245"/>
      <c r="BE133" s="245"/>
      <c r="BF133" s="245"/>
      <c r="BG133" s="245"/>
      <c r="BH133" s="245"/>
      <c r="BI133" s="245"/>
      <c r="BJ133" s="245"/>
      <c r="BK133" s="245"/>
      <c r="BL133" s="245"/>
    </row>
    <row r="134" spans="1:64" s="27" customFormat="1" ht="14.25" customHeight="1">
      <c r="A134" s="244"/>
      <c r="B134" s="245"/>
      <c r="C134" s="245"/>
      <c r="D134" s="245"/>
      <c r="E134" s="245"/>
      <c r="F134" s="245"/>
      <c r="G134" s="245"/>
      <c r="H134" s="245"/>
      <c r="I134" s="245"/>
      <c r="J134" s="245"/>
      <c r="K134" s="103"/>
      <c r="L134" s="178"/>
      <c r="M134" s="178"/>
      <c r="N134" s="178"/>
      <c r="O134" s="178"/>
      <c r="P134" s="178"/>
      <c r="Q134" s="178"/>
      <c r="R134" s="178"/>
      <c r="S134" s="178"/>
      <c r="T134" s="178"/>
      <c r="U134" s="246"/>
      <c r="V134" s="245"/>
      <c r="W134" s="245"/>
      <c r="X134" s="245"/>
      <c r="Y134" s="247"/>
      <c r="Z134" s="248"/>
      <c r="AA134" s="248"/>
      <c r="AB134" s="248"/>
      <c r="AC134" s="248"/>
      <c r="AD134" s="248"/>
      <c r="AE134" s="248"/>
      <c r="AF134" s="248"/>
      <c r="AG134" s="248"/>
      <c r="AH134" s="248"/>
      <c r="AI134" s="248"/>
      <c r="AJ134" s="248"/>
      <c r="AK134" s="248"/>
      <c r="AL134" s="248"/>
      <c r="AM134" s="248"/>
      <c r="AN134" s="248"/>
      <c r="AO134" s="248"/>
      <c r="AP134" s="248"/>
      <c r="AQ134" s="248"/>
      <c r="AR134" s="248"/>
      <c r="AS134" s="248"/>
      <c r="AT134" s="248"/>
      <c r="AU134" s="248"/>
      <c r="AV134" s="248"/>
      <c r="AW134" s="248"/>
      <c r="AX134" s="248"/>
      <c r="AY134" s="248"/>
      <c r="AZ134" s="248"/>
      <c r="BA134" s="244"/>
      <c r="BB134" s="245"/>
      <c r="BC134" s="245"/>
      <c r="BD134" s="245"/>
      <c r="BE134" s="245"/>
      <c r="BF134" s="245"/>
      <c r="BG134" s="245"/>
      <c r="BH134" s="245"/>
      <c r="BI134" s="245"/>
      <c r="BJ134" s="245"/>
      <c r="BK134" s="245"/>
      <c r="BL134" s="245"/>
    </row>
    <row r="135" spans="1:64" s="27" customFormat="1" ht="14.25" customHeight="1">
      <c r="A135" s="245"/>
      <c r="B135" s="245"/>
      <c r="C135" s="245"/>
      <c r="D135" s="245"/>
      <c r="E135" s="245"/>
      <c r="F135" s="245"/>
      <c r="G135" s="245"/>
      <c r="H135" s="245"/>
      <c r="I135" s="245"/>
      <c r="J135" s="245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  <c r="U135" s="245"/>
      <c r="V135" s="245"/>
      <c r="W135" s="245"/>
      <c r="X135" s="245"/>
      <c r="Y135" s="248"/>
      <c r="Z135" s="248"/>
      <c r="AA135" s="248"/>
      <c r="AB135" s="248"/>
      <c r="AC135" s="248"/>
      <c r="AD135" s="248"/>
      <c r="AE135" s="248"/>
      <c r="AF135" s="248"/>
      <c r="AG135" s="248"/>
      <c r="AH135" s="248"/>
      <c r="AI135" s="248"/>
      <c r="AJ135" s="248"/>
      <c r="AK135" s="248"/>
      <c r="AL135" s="248"/>
      <c r="AM135" s="248"/>
      <c r="AN135" s="248"/>
      <c r="AO135" s="248"/>
      <c r="AP135" s="248"/>
      <c r="AQ135" s="248"/>
      <c r="AR135" s="248"/>
      <c r="AS135" s="248"/>
      <c r="AT135" s="248"/>
      <c r="AU135" s="248"/>
      <c r="AV135" s="248"/>
      <c r="AW135" s="248"/>
      <c r="AX135" s="248"/>
      <c r="AY135" s="248"/>
      <c r="AZ135" s="248"/>
      <c r="BA135" s="245"/>
      <c r="BB135" s="245"/>
      <c r="BC135" s="245"/>
      <c r="BD135" s="245"/>
      <c r="BE135" s="245"/>
      <c r="BF135" s="245"/>
      <c r="BG135" s="245"/>
      <c r="BH135" s="245"/>
      <c r="BI135" s="245"/>
      <c r="BJ135" s="245"/>
      <c r="BK135" s="245"/>
      <c r="BL135" s="245"/>
    </row>
    <row r="136" spans="1:64" s="27" customFormat="1" ht="14.25" customHeight="1">
      <c r="A136" s="245"/>
      <c r="B136" s="245"/>
      <c r="C136" s="245"/>
      <c r="D136" s="245"/>
      <c r="E136" s="245"/>
      <c r="F136" s="245"/>
      <c r="G136" s="245"/>
      <c r="H136" s="245"/>
      <c r="I136" s="245"/>
      <c r="J136" s="245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  <c r="U136" s="245"/>
      <c r="V136" s="245"/>
      <c r="W136" s="245"/>
      <c r="X136" s="245"/>
      <c r="Y136" s="248"/>
      <c r="Z136" s="248"/>
      <c r="AA136" s="248"/>
      <c r="AB136" s="248"/>
      <c r="AC136" s="248"/>
      <c r="AD136" s="248"/>
      <c r="AE136" s="248"/>
      <c r="AF136" s="248"/>
      <c r="AG136" s="248"/>
      <c r="AH136" s="248"/>
      <c r="AI136" s="248"/>
      <c r="AJ136" s="248"/>
      <c r="AK136" s="248"/>
      <c r="AL136" s="248"/>
      <c r="AM136" s="248"/>
      <c r="AN136" s="248"/>
      <c r="AO136" s="248"/>
      <c r="AP136" s="248"/>
      <c r="AQ136" s="248"/>
      <c r="AR136" s="248"/>
      <c r="AS136" s="248"/>
      <c r="AT136" s="248"/>
      <c r="AU136" s="248"/>
      <c r="AV136" s="248"/>
      <c r="AW136" s="248"/>
      <c r="AX136" s="248"/>
      <c r="AY136" s="248"/>
      <c r="AZ136" s="248"/>
      <c r="BA136" s="245"/>
      <c r="BB136" s="245"/>
      <c r="BC136" s="245"/>
      <c r="BD136" s="245"/>
      <c r="BE136" s="245"/>
      <c r="BF136" s="245"/>
      <c r="BG136" s="245"/>
      <c r="BH136" s="245"/>
      <c r="BI136" s="245"/>
      <c r="BJ136" s="245"/>
      <c r="BK136" s="245"/>
      <c r="BL136" s="245"/>
    </row>
    <row r="137" spans="1:64" s="27" customFormat="1" ht="14.25" customHeight="1">
      <c r="A137" s="244"/>
      <c r="B137" s="245"/>
      <c r="C137" s="245"/>
      <c r="D137" s="245"/>
      <c r="E137" s="245"/>
      <c r="F137" s="245"/>
      <c r="G137" s="245"/>
      <c r="H137" s="245"/>
      <c r="I137" s="245"/>
      <c r="J137" s="245"/>
      <c r="K137" s="103"/>
      <c r="L137" s="178"/>
      <c r="M137" s="178"/>
      <c r="N137" s="178"/>
      <c r="O137" s="178"/>
      <c r="P137" s="178"/>
      <c r="Q137" s="178"/>
      <c r="R137" s="178"/>
      <c r="S137" s="178"/>
      <c r="T137" s="178"/>
      <c r="U137" s="246"/>
      <c r="V137" s="245"/>
      <c r="W137" s="245"/>
      <c r="X137" s="245"/>
      <c r="Y137" s="247"/>
      <c r="Z137" s="248"/>
      <c r="AA137" s="248"/>
      <c r="AB137" s="248"/>
      <c r="AC137" s="248"/>
      <c r="AD137" s="248"/>
      <c r="AE137" s="248"/>
      <c r="AF137" s="248"/>
      <c r="AG137" s="248"/>
      <c r="AH137" s="248"/>
      <c r="AI137" s="248"/>
      <c r="AJ137" s="248"/>
      <c r="AK137" s="248"/>
      <c r="AL137" s="248"/>
      <c r="AM137" s="248"/>
      <c r="AN137" s="248"/>
      <c r="AO137" s="248"/>
      <c r="AP137" s="248"/>
      <c r="AQ137" s="248"/>
      <c r="AR137" s="248"/>
      <c r="AS137" s="248"/>
      <c r="AT137" s="248"/>
      <c r="AU137" s="248"/>
      <c r="AV137" s="248"/>
      <c r="AW137" s="248"/>
      <c r="AX137" s="248"/>
      <c r="AY137" s="248"/>
      <c r="AZ137" s="248"/>
      <c r="BA137" s="244"/>
      <c r="BB137" s="245"/>
      <c r="BC137" s="245"/>
      <c r="BD137" s="245"/>
      <c r="BE137" s="245"/>
      <c r="BF137" s="245"/>
      <c r="BG137" s="245"/>
      <c r="BH137" s="245"/>
      <c r="BI137" s="245"/>
      <c r="BJ137" s="245"/>
      <c r="BK137" s="245"/>
      <c r="BL137" s="245"/>
    </row>
    <row r="138" spans="1:64" s="27" customFormat="1" ht="14.25" customHeight="1">
      <c r="A138" s="245"/>
      <c r="B138" s="245"/>
      <c r="C138" s="245"/>
      <c r="D138" s="245"/>
      <c r="E138" s="245"/>
      <c r="F138" s="245"/>
      <c r="G138" s="245"/>
      <c r="H138" s="245"/>
      <c r="I138" s="245"/>
      <c r="J138" s="245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  <c r="U138" s="245"/>
      <c r="V138" s="245"/>
      <c r="W138" s="245"/>
      <c r="X138" s="245"/>
      <c r="Y138" s="248"/>
      <c r="Z138" s="248"/>
      <c r="AA138" s="248"/>
      <c r="AB138" s="248"/>
      <c r="AC138" s="248"/>
      <c r="AD138" s="248"/>
      <c r="AE138" s="248"/>
      <c r="AF138" s="248"/>
      <c r="AG138" s="248"/>
      <c r="AH138" s="248"/>
      <c r="AI138" s="248"/>
      <c r="AJ138" s="248"/>
      <c r="AK138" s="248"/>
      <c r="AL138" s="248"/>
      <c r="AM138" s="248"/>
      <c r="AN138" s="248"/>
      <c r="AO138" s="248"/>
      <c r="AP138" s="248"/>
      <c r="AQ138" s="248"/>
      <c r="AR138" s="248"/>
      <c r="AS138" s="248"/>
      <c r="AT138" s="248"/>
      <c r="AU138" s="248"/>
      <c r="AV138" s="248"/>
      <c r="AW138" s="248"/>
      <c r="AX138" s="248"/>
      <c r="AY138" s="248"/>
      <c r="AZ138" s="248"/>
      <c r="BA138" s="245"/>
      <c r="BB138" s="245"/>
      <c r="BC138" s="245"/>
      <c r="BD138" s="245"/>
      <c r="BE138" s="245"/>
      <c r="BF138" s="245"/>
      <c r="BG138" s="245"/>
      <c r="BH138" s="245"/>
      <c r="BI138" s="245"/>
      <c r="BJ138" s="245"/>
      <c r="BK138" s="245"/>
      <c r="BL138" s="245"/>
    </row>
    <row r="139" spans="1:64" s="27" customFormat="1" ht="14.25" customHeight="1">
      <c r="A139" s="245"/>
      <c r="B139" s="245"/>
      <c r="C139" s="245"/>
      <c r="D139" s="245"/>
      <c r="E139" s="245"/>
      <c r="F139" s="245"/>
      <c r="G139" s="245"/>
      <c r="H139" s="245"/>
      <c r="I139" s="245"/>
      <c r="J139" s="245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  <c r="U139" s="245"/>
      <c r="V139" s="245"/>
      <c r="W139" s="245"/>
      <c r="X139" s="245"/>
      <c r="Y139" s="248"/>
      <c r="Z139" s="248"/>
      <c r="AA139" s="248"/>
      <c r="AB139" s="248"/>
      <c r="AC139" s="248"/>
      <c r="AD139" s="248"/>
      <c r="AE139" s="248"/>
      <c r="AF139" s="248"/>
      <c r="AG139" s="248"/>
      <c r="AH139" s="248"/>
      <c r="AI139" s="248"/>
      <c r="AJ139" s="248"/>
      <c r="AK139" s="248"/>
      <c r="AL139" s="248"/>
      <c r="AM139" s="248"/>
      <c r="AN139" s="248"/>
      <c r="AO139" s="248"/>
      <c r="AP139" s="248"/>
      <c r="AQ139" s="248"/>
      <c r="AR139" s="248"/>
      <c r="AS139" s="248"/>
      <c r="AT139" s="248"/>
      <c r="AU139" s="248"/>
      <c r="AV139" s="248"/>
      <c r="AW139" s="248"/>
      <c r="AX139" s="248"/>
      <c r="AY139" s="248"/>
      <c r="AZ139" s="248"/>
      <c r="BA139" s="245"/>
      <c r="BB139" s="245"/>
      <c r="BC139" s="245"/>
      <c r="BD139" s="245"/>
      <c r="BE139" s="245"/>
      <c r="BF139" s="245"/>
      <c r="BG139" s="245"/>
      <c r="BH139" s="245"/>
      <c r="BI139" s="245"/>
      <c r="BJ139" s="245"/>
      <c r="BK139" s="245"/>
      <c r="BL139" s="245"/>
    </row>
    <row r="140" spans="1:64" s="27" customFormat="1" ht="14.25" customHeight="1">
      <c r="A140" s="244"/>
      <c r="B140" s="245"/>
      <c r="C140" s="245"/>
      <c r="D140" s="245"/>
      <c r="E140" s="245"/>
      <c r="F140" s="245"/>
      <c r="G140" s="245"/>
      <c r="H140" s="245"/>
      <c r="I140" s="245"/>
      <c r="J140" s="245"/>
      <c r="K140" s="103"/>
      <c r="L140" s="178"/>
      <c r="M140" s="178"/>
      <c r="N140" s="178"/>
      <c r="O140" s="178"/>
      <c r="P140" s="178"/>
      <c r="Q140" s="178"/>
      <c r="R140" s="178"/>
      <c r="S140" s="178"/>
      <c r="T140" s="178"/>
      <c r="U140" s="246"/>
      <c r="V140" s="245"/>
      <c r="W140" s="245"/>
      <c r="X140" s="245"/>
      <c r="Y140" s="247"/>
      <c r="Z140" s="248"/>
      <c r="AA140" s="248"/>
      <c r="AB140" s="248"/>
      <c r="AC140" s="248"/>
      <c r="AD140" s="248"/>
      <c r="AE140" s="248"/>
      <c r="AF140" s="248"/>
      <c r="AG140" s="248"/>
      <c r="AH140" s="248"/>
      <c r="AI140" s="248"/>
      <c r="AJ140" s="248"/>
      <c r="AK140" s="248"/>
      <c r="AL140" s="248"/>
      <c r="AM140" s="248"/>
      <c r="AN140" s="248"/>
      <c r="AO140" s="248"/>
      <c r="AP140" s="248"/>
      <c r="AQ140" s="248"/>
      <c r="AR140" s="248"/>
      <c r="AS140" s="248"/>
      <c r="AT140" s="248"/>
      <c r="AU140" s="248"/>
      <c r="AV140" s="248"/>
      <c r="AW140" s="248"/>
      <c r="AX140" s="248"/>
      <c r="AY140" s="248"/>
      <c r="AZ140" s="248"/>
      <c r="BA140" s="244"/>
      <c r="BB140" s="245"/>
      <c r="BC140" s="245"/>
      <c r="BD140" s="245"/>
      <c r="BE140" s="245"/>
      <c r="BF140" s="245"/>
      <c r="BG140" s="245"/>
      <c r="BH140" s="245"/>
      <c r="BI140" s="245"/>
      <c r="BJ140" s="245"/>
      <c r="BK140" s="245"/>
      <c r="BL140" s="245"/>
    </row>
    <row r="141" spans="1:64" s="27" customFormat="1" ht="14.25" customHeight="1">
      <c r="A141" s="245"/>
      <c r="B141" s="245"/>
      <c r="C141" s="245"/>
      <c r="D141" s="245"/>
      <c r="E141" s="245"/>
      <c r="F141" s="245"/>
      <c r="G141" s="245"/>
      <c r="H141" s="245"/>
      <c r="I141" s="245"/>
      <c r="J141" s="245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  <c r="U141" s="245"/>
      <c r="V141" s="245"/>
      <c r="W141" s="245"/>
      <c r="X141" s="245"/>
      <c r="Y141" s="248"/>
      <c r="Z141" s="248"/>
      <c r="AA141" s="248"/>
      <c r="AB141" s="248"/>
      <c r="AC141" s="248"/>
      <c r="AD141" s="248"/>
      <c r="AE141" s="248"/>
      <c r="AF141" s="248"/>
      <c r="AG141" s="248"/>
      <c r="AH141" s="248"/>
      <c r="AI141" s="248"/>
      <c r="AJ141" s="248"/>
      <c r="AK141" s="248"/>
      <c r="AL141" s="248"/>
      <c r="AM141" s="248"/>
      <c r="AN141" s="248"/>
      <c r="AO141" s="248"/>
      <c r="AP141" s="248"/>
      <c r="AQ141" s="248"/>
      <c r="AR141" s="248"/>
      <c r="AS141" s="248"/>
      <c r="AT141" s="248"/>
      <c r="AU141" s="248"/>
      <c r="AV141" s="248"/>
      <c r="AW141" s="248"/>
      <c r="AX141" s="248"/>
      <c r="AY141" s="248"/>
      <c r="AZ141" s="248"/>
      <c r="BA141" s="245"/>
      <c r="BB141" s="245"/>
      <c r="BC141" s="245"/>
      <c r="BD141" s="245"/>
      <c r="BE141" s="245"/>
      <c r="BF141" s="245"/>
      <c r="BG141" s="245"/>
      <c r="BH141" s="245"/>
      <c r="BI141" s="245"/>
      <c r="BJ141" s="245"/>
      <c r="BK141" s="245"/>
      <c r="BL141" s="245"/>
    </row>
    <row r="142" spans="1:64" s="27" customFormat="1" ht="14.25" customHeight="1">
      <c r="A142" s="245"/>
      <c r="B142" s="245"/>
      <c r="C142" s="245"/>
      <c r="D142" s="245"/>
      <c r="E142" s="245"/>
      <c r="F142" s="245"/>
      <c r="G142" s="245"/>
      <c r="H142" s="245"/>
      <c r="I142" s="245"/>
      <c r="J142" s="245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  <c r="U142" s="245"/>
      <c r="V142" s="245"/>
      <c r="W142" s="245"/>
      <c r="X142" s="245"/>
      <c r="Y142" s="248"/>
      <c r="Z142" s="248"/>
      <c r="AA142" s="248"/>
      <c r="AB142" s="248"/>
      <c r="AC142" s="248"/>
      <c r="AD142" s="248"/>
      <c r="AE142" s="248"/>
      <c r="AF142" s="248"/>
      <c r="AG142" s="248"/>
      <c r="AH142" s="248"/>
      <c r="AI142" s="248"/>
      <c r="AJ142" s="248"/>
      <c r="AK142" s="248"/>
      <c r="AL142" s="248"/>
      <c r="AM142" s="248"/>
      <c r="AN142" s="248"/>
      <c r="AO142" s="248"/>
      <c r="AP142" s="248"/>
      <c r="AQ142" s="248"/>
      <c r="AR142" s="248"/>
      <c r="AS142" s="248"/>
      <c r="AT142" s="248"/>
      <c r="AU142" s="248"/>
      <c r="AV142" s="248"/>
      <c r="AW142" s="248"/>
      <c r="AX142" s="248"/>
      <c r="AY142" s="248"/>
      <c r="AZ142" s="248"/>
      <c r="BA142" s="245"/>
      <c r="BB142" s="245"/>
      <c r="BC142" s="245"/>
      <c r="BD142" s="245"/>
      <c r="BE142" s="245"/>
      <c r="BF142" s="245"/>
      <c r="BG142" s="245"/>
      <c r="BH142" s="245"/>
      <c r="BI142" s="245"/>
      <c r="BJ142" s="245"/>
      <c r="BK142" s="245"/>
      <c r="BL142" s="245"/>
    </row>
    <row r="143" spans="1:64" s="27" customFormat="1" ht="14.25" customHeight="1">
      <c r="A143" s="244"/>
      <c r="B143" s="245"/>
      <c r="C143" s="245"/>
      <c r="D143" s="245"/>
      <c r="E143" s="245"/>
      <c r="F143" s="245"/>
      <c r="G143" s="245"/>
      <c r="H143" s="245"/>
      <c r="I143" s="245"/>
      <c r="J143" s="245"/>
      <c r="K143" s="103"/>
      <c r="L143" s="178"/>
      <c r="M143" s="178"/>
      <c r="N143" s="178"/>
      <c r="O143" s="178"/>
      <c r="P143" s="178"/>
      <c r="Q143" s="178"/>
      <c r="R143" s="178"/>
      <c r="S143" s="178"/>
      <c r="T143" s="178"/>
      <c r="U143" s="246"/>
      <c r="V143" s="245"/>
      <c r="W143" s="245"/>
      <c r="X143" s="245"/>
      <c r="Y143" s="247"/>
      <c r="Z143" s="248"/>
      <c r="AA143" s="248"/>
      <c r="AB143" s="248"/>
      <c r="AC143" s="248"/>
      <c r="AD143" s="248"/>
      <c r="AE143" s="248"/>
      <c r="AF143" s="248"/>
      <c r="AG143" s="248"/>
      <c r="AH143" s="248"/>
      <c r="AI143" s="248"/>
      <c r="AJ143" s="248"/>
      <c r="AK143" s="248"/>
      <c r="AL143" s="248"/>
      <c r="AM143" s="248"/>
      <c r="AN143" s="248"/>
      <c r="AO143" s="248"/>
      <c r="AP143" s="248"/>
      <c r="AQ143" s="248"/>
      <c r="AR143" s="248"/>
      <c r="AS143" s="248"/>
      <c r="AT143" s="248"/>
      <c r="AU143" s="248"/>
      <c r="AV143" s="248"/>
      <c r="AW143" s="248"/>
      <c r="AX143" s="248"/>
      <c r="AY143" s="248"/>
      <c r="AZ143" s="248"/>
      <c r="BA143" s="244"/>
      <c r="BB143" s="245"/>
      <c r="BC143" s="245"/>
      <c r="BD143" s="245"/>
      <c r="BE143" s="245"/>
      <c r="BF143" s="245"/>
      <c r="BG143" s="245"/>
      <c r="BH143" s="245"/>
      <c r="BI143" s="245"/>
      <c r="BJ143" s="245"/>
      <c r="BK143" s="245"/>
      <c r="BL143" s="245"/>
    </row>
    <row r="144" spans="1:64" s="27" customFormat="1" ht="14.25" customHeight="1">
      <c r="A144" s="245"/>
      <c r="B144" s="245"/>
      <c r="C144" s="245"/>
      <c r="D144" s="245"/>
      <c r="E144" s="245"/>
      <c r="F144" s="245"/>
      <c r="G144" s="245"/>
      <c r="H144" s="245"/>
      <c r="I144" s="245"/>
      <c r="J144" s="245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  <c r="U144" s="245"/>
      <c r="V144" s="245"/>
      <c r="W144" s="245"/>
      <c r="X144" s="245"/>
      <c r="Y144" s="248"/>
      <c r="Z144" s="248"/>
      <c r="AA144" s="248"/>
      <c r="AB144" s="248"/>
      <c r="AC144" s="248"/>
      <c r="AD144" s="248"/>
      <c r="AE144" s="248"/>
      <c r="AF144" s="248"/>
      <c r="AG144" s="248"/>
      <c r="AH144" s="248"/>
      <c r="AI144" s="248"/>
      <c r="AJ144" s="248"/>
      <c r="AK144" s="248"/>
      <c r="AL144" s="248"/>
      <c r="AM144" s="248"/>
      <c r="AN144" s="248"/>
      <c r="AO144" s="248"/>
      <c r="AP144" s="248"/>
      <c r="AQ144" s="248"/>
      <c r="AR144" s="248"/>
      <c r="AS144" s="248"/>
      <c r="AT144" s="248"/>
      <c r="AU144" s="248"/>
      <c r="AV144" s="248"/>
      <c r="AW144" s="248"/>
      <c r="AX144" s="248"/>
      <c r="AY144" s="248"/>
      <c r="AZ144" s="248"/>
      <c r="BA144" s="245"/>
      <c r="BB144" s="245"/>
      <c r="BC144" s="245"/>
      <c r="BD144" s="245"/>
      <c r="BE144" s="245"/>
      <c r="BF144" s="245"/>
      <c r="BG144" s="245"/>
      <c r="BH144" s="245"/>
      <c r="BI144" s="245"/>
      <c r="BJ144" s="245"/>
      <c r="BK144" s="245"/>
      <c r="BL144" s="245"/>
    </row>
    <row r="145" spans="1:64" s="27" customFormat="1" ht="14.25" customHeight="1">
      <c r="A145" s="245"/>
      <c r="B145" s="245"/>
      <c r="C145" s="245"/>
      <c r="D145" s="245"/>
      <c r="E145" s="245"/>
      <c r="F145" s="245"/>
      <c r="G145" s="245"/>
      <c r="H145" s="245"/>
      <c r="I145" s="245"/>
      <c r="J145" s="245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  <c r="U145" s="245"/>
      <c r="V145" s="245"/>
      <c r="W145" s="245"/>
      <c r="X145" s="245"/>
      <c r="Y145" s="248"/>
      <c r="Z145" s="248"/>
      <c r="AA145" s="248"/>
      <c r="AB145" s="248"/>
      <c r="AC145" s="248"/>
      <c r="AD145" s="248"/>
      <c r="AE145" s="248"/>
      <c r="AF145" s="248"/>
      <c r="AG145" s="248"/>
      <c r="AH145" s="248"/>
      <c r="AI145" s="248"/>
      <c r="AJ145" s="248"/>
      <c r="AK145" s="248"/>
      <c r="AL145" s="248"/>
      <c r="AM145" s="248"/>
      <c r="AN145" s="248"/>
      <c r="AO145" s="248"/>
      <c r="AP145" s="248"/>
      <c r="AQ145" s="248"/>
      <c r="AR145" s="248"/>
      <c r="AS145" s="248"/>
      <c r="AT145" s="248"/>
      <c r="AU145" s="248"/>
      <c r="AV145" s="248"/>
      <c r="AW145" s="248"/>
      <c r="AX145" s="248"/>
      <c r="AY145" s="248"/>
      <c r="AZ145" s="248"/>
      <c r="BA145" s="245"/>
      <c r="BB145" s="245"/>
      <c r="BC145" s="245"/>
      <c r="BD145" s="245"/>
      <c r="BE145" s="245"/>
      <c r="BF145" s="245"/>
      <c r="BG145" s="245"/>
      <c r="BH145" s="245"/>
      <c r="BI145" s="245"/>
      <c r="BJ145" s="245"/>
      <c r="BK145" s="245"/>
      <c r="BL145" s="245"/>
    </row>
    <row r="146" spans="1:64" s="27" customFormat="1" ht="14.25" customHeight="1">
      <c r="A146" s="244"/>
      <c r="B146" s="245"/>
      <c r="C146" s="245"/>
      <c r="D146" s="245"/>
      <c r="E146" s="245"/>
      <c r="F146" s="245"/>
      <c r="G146" s="245"/>
      <c r="H146" s="245"/>
      <c r="I146" s="245"/>
      <c r="J146" s="245"/>
      <c r="K146" s="103"/>
      <c r="L146" s="178"/>
      <c r="M146" s="178"/>
      <c r="N146" s="178"/>
      <c r="O146" s="178"/>
      <c r="P146" s="178"/>
      <c r="Q146" s="178"/>
      <c r="R146" s="178"/>
      <c r="S146" s="178"/>
      <c r="T146" s="178"/>
      <c r="U146" s="246"/>
      <c r="V146" s="245"/>
      <c r="W146" s="245"/>
      <c r="X146" s="245"/>
      <c r="Y146" s="247"/>
      <c r="Z146" s="248"/>
      <c r="AA146" s="248"/>
      <c r="AB146" s="248"/>
      <c r="AC146" s="248"/>
      <c r="AD146" s="248"/>
      <c r="AE146" s="248"/>
      <c r="AF146" s="248"/>
      <c r="AG146" s="248"/>
      <c r="AH146" s="248"/>
      <c r="AI146" s="248"/>
      <c r="AJ146" s="248"/>
      <c r="AK146" s="248"/>
      <c r="AL146" s="248"/>
      <c r="AM146" s="248"/>
      <c r="AN146" s="248"/>
      <c r="AO146" s="248"/>
      <c r="AP146" s="248"/>
      <c r="AQ146" s="248"/>
      <c r="AR146" s="248"/>
      <c r="AS146" s="248"/>
      <c r="AT146" s="248"/>
      <c r="AU146" s="248"/>
      <c r="AV146" s="248"/>
      <c r="AW146" s="248"/>
      <c r="AX146" s="248"/>
      <c r="AY146" s="248"/>
      <c r="AZ146" s="248"/>
      <c r="BA146" s="244"/>
      <c r="BB146" s="245"/>
      <c r="BC146" s="245"/>
      <c r="BD146" s="245"/>
      <c r="BE146" s="245"/>
      <c r="BF146" s="245"/>
      <c r="BG146" s="245"/>
      <c r="BH146" s="245"/>
      <c r="BI146" s="245"/>
      <c r="BJ146" s="245"/>
      <c r="BK146" s="245"/>
      <c r="BL146" s="245"/>
    </row>
    <row r="147" spans="1:64" s="27" customFormat="1" ht="14.25" customHeight="1">
      <c r="A147" s="245"/>
      <c r="B147" s="245"/>
      <c r="C147" s="245"/>
      <c r="D147" s="245"/>
      <c r="E147" s="245"/>
      <c r="F147" s="245"/>
      <c r="G147" s="245"/>
      <c r="H147" s="245"/>
      <c r="I147" s="245"/>
      <c r="J147" s="245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  <c r="U147" s="245"/>
      <c r="V147" s="245"/>
      <c r="W147" s="245"/>
      <c r="X147" s="245"/>
      <c r="Y147" s="248"/>
      <c r="Z147" s="248"/>
      <c r="AA147" s="248"/>
      <c r="AB147" s="248"/>
      <c r="AC147" s="248"/>
      <c r="AD147" s="248"/>
      <c r="AE147" s="248"/>
      <c r="AF147" s="248"/>
      <c r="AG147" s="248"/>
      <c r="AH147" s="248"/>
      <c r="AI147" s="248"/>
      <c r="AJ147" s="248"/>
      <c r="AK147" s="248"/>
      <c r="AL147" s="248"/>
      <c r="AM147" s="248"/>
      <c r="AN147" s="248"/>
      <c r="AO147" s="248"/>
      <c r="AP147" s="248"/>
      <c r="AQ147" s="248"/>
      <c r="AR147" s="248"/>
      <c r="AS147" s="248"/>
      <c r="AT147" s="248"/>
      <c r="AU147" s="248"/>
      <c r="AV147" s="248"/>
      <c r="AW147" s="248"/>
      <c r="AX147" s="248"/>
      <c r="AY147" s="248"/>
      <c r="AZ147" s="248"/>
      <c r="BA147" s="245"/>
      <c r="BB147" s="245"/>
      <c r="BC147" s="245"/>
      <c r="BD147" s="245"/>
      <c r="BE147" s="245"/>
      <c r="BF147" s="245"/>
      <c r="BG147" s="245"/>
      <c r="BH147" s="245"/>
      <c r="BI147" s="245"/>
      <c r="BJ147" s="245"/>
      <c r="BK147" s="245"/>
      <c r="BL147" s="245"/>
    </row>
    <row r="148" spans="1:64" s="27" customFormat="1" ht="14.25" customHeight="1">
      <c r="A148" s="245"/>
      <c r="B148" s="245"/>
      <c r="C148" s="245"/>
      <c r="D148" s="245"/>
      <c r="E148" s="245"/>
      <c r="F148" s="245"/>
      <c r="G148" s="245"/>
      <c r="H148" s="245"/>
      <c r="I148" s="245"/>
      <c r="J148" s="245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  <c r="U148" s="245"/>
      <c r="V148" s="245"/>
      <c r="W148" s="245"/>
      <c r="X148" s="245"/>
      <c r="Y148" s="248"/>
      <c r="Z148" s="248"/>
      <c r="AA148" s="248"/>
      <c r="AB148" s="248"/>
      <c r="AC148" s="248"/>
      <c r="AD148" s="248"/>
      <c r="AE148" s="248"/>
      <c r="AF148" s="248"/>
      <c r="AG148" s="248"/>
      <c r="AH148" s="248"/>
      <c r="AI148" s="248"/>
      <c r="AJ148" s="248"/>
      <c r="AK148" s="248"/>
      <c r="AL148" s="248"/>
      <c r="AM148" s="248"/>
      <c r="AN148" s="248"/>
      <c r="AO148" s="248"/>
      <c r="AP148" s="248"/>
      <c r="AQ148" s="248"/>
      <c r="AR148" s="248"/>
      <c r="AS148" s="248"/>
      <c r="AT148" s="248"/>
      <c r="AU148" s="248"/>
      <c r="AV148" s="248"/>
      <c r="AW148" s="248"/>
      <c r="AX148" s="248"/>
      <c r="AY148" s="248"/>
      <c r="AZ148" s="248"/>
      <c r="BA148" s="245"/>
      <c r="BB148" s="245"/>
      <c r="BC148" s="245"/>
      <c r="BD148" s="245"/>
      <c r="BE148" s="245"/>
      <c r="BF148" s="245"/>
      <c r="BG148" s="245"/>
      <c r="BH148" s="245"/>
      <c r="BI148" s="245"/>
      <c r="BJ148" s="245"/>
      <c r="BK148" s="245"/>
      <c r="BL148" s="245"/>
    </row>
    <row r="149" spans="1:64" s="27" customFormat="1" ht="14.25" customHeight="1">
      <c r="A149" s="244"/>
      <c r="B149" s="245"/>
      <c r="C149" s="245"/>
      <c r="D149" s="245"/>
      <c r="E149" s="245"/>
      <c r="F149" s="245"/>
      <c r="G149" s="245"/>
      <c r="H149" s="245"/>
      <c r="I149" s="245"/>
      <c r="J149" s="245"/>
      <c r="K149" s="103"/>
      <c r="L149" s="178"/>
      <c r="M149" s="178"/>
      <c r="N149" s="178"/>
      <c r="O149" s="178"/>
      <c r="P149" s="178"/>
      <c r="Q149" s="178"/>
      <c r="R149" s="178"/>
      <c r="S149" s="178"/>
      <c r="T149" s="178"/>
      <c r="U149" s="246"/>
      <c r="V149" s="245"/>
      <c r="W149" s="245"/>
      <c r="X149" s="245"/>
      <c r="Y149" s="247"/>
      <c r="Z149" s="248"/>
      <c r="AA149" s="248"/>
      <c r="AB149" s="248"/>
      <c r="AC149" s="248"/>
      <c r="AD149" s="248"/>
      <c r="AE149" s="248"/>
      <c r="AF149" s="248"/>
      <c r="AG149" s="248"/>
      <c r="AH149" s="248"/>
      <c r="AI149" s="248"/>
      <c r="AJ149" s="248"/>
      <c r="AK149" s="248"/>
      <c r="AL149" s="248"/>
      <c r="AM149" s="248"/>
      <c r="AN149" s="248"/>
      <c r="AO149" s="248"/>
      <c r="AP149" s="248"/>
      <c r="AQ149" s="248"/>
      <c r="AR149" s="248"/>
      <c r="AS149" s="248"/>
      <c r="AT149" s="248"/>
      <c r="AU149" s="248"/>
      <c r="AV149" s="248"/>
      <c r="AW149" s="248"/>
      <c r="AX149" s="248"/>
      <c r="AY149" s="248"/>
      <c r="AZ149" s="248"/>
      <c r="BA149" s="244"/>
      <c r="BB149" s="245"/>
      <c r="BC149" s="245"/>
      <c r="BD149" s="245"/>
      <c r="BE149" s="245"/>
      <c r="BF149" s="245"/>
      <c r="BG149" s="245"/>
      <c r="BH149" s="245"/>
      <c r="BI149" s="245"/>
      <c r="BJ149" s="245"/>
      <c r="BK149" s="245"/>
      <c r="BL149" s="245"/>
    </row>
    <row r="150" spans="1:64" s="27" customFormat="1" ht="14.25" customHeight="1">
      <c r="A150" s="245"/>
      <c r="B150" s="245"/>
      <c r="C150" s="245"/>
      <c r="D150" s="245"/>
      <c r="E150" s="245"/>
      <c r="F150" s="245"/>
      <c r="G150" s="245"/>
      <c r="H150" s="245"/>
      <c r="I150" s="245"/>
      <c r="J150" s="245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  <c r="U150" s="245"/>
      <c r="V150" s="245"/>
      <c r="W150" s="245"/>
      <c r="X150" s="245"/>
      <c r="Y150" s="248"/>
      <c r="Z150" s="248"/>
      <c r="AA150" s="248"/>
      <c r="AB150" s="248"/>
      <c r="AC150" s="248"/>
      <c r="AD150" s="248"/>
      <c r="AE150" s="248"/>
      <c r="AF150" s="248"/>
      <c r="AG150" s="248"/>
      <c r="AH150" s="248"/>
      <c r="AI150" s="248"/>
      <c r="AJ150" s="248"/>
      <c r="AK150" s="248"/>
      <c r="AL150" s="248"/>
      <c r="AM150" s="248"/>
      <c r="AN150" s="248"/>
      <c r="AO150" s="248"/>
      <c r="AP150" s="248"/>
      <c r="AQ150" s="248"/>
      <c r="AR150" s="248"/>
      <c r="AS150" s="248"/>
      <c r="AT150" s="248"/>
      <c r="AU150" s="248"/>
      <c r="AV150" s="248"/>
      <c r="AW150" s="248"/>
      <c r="AX150" s="248"/>
      <c r="AY150" s="248"/>
      <c r="AZ150" s="248"/>
      <c r="BA150" s="245"/>
      <c r="BB150" s="245"/>
      <c r="BC150" s="245"/>
      <c r="BD150" s="245"/>
      <c r="BE150" s="245"/>
      <c r="BF150" s="245"/>
      <c r="BG150" s="245"/>
      <c r="BH150" s="245"/>
      <c r="BI150" s="245"/>
      <c r="BJ150" s="245"/>
      <c r="BK150" s="245"/>
      <c r="BL150" s="245"/>
    </row>
    <row r="151" spans="1:64" s="27" customFormat="1" ht="14.25" customHeight="1">
      <c r="A151" s="245"/>
      <c r="B151" s="245"/>
      <c r="C151" s="245"/>
      <c r="D151" s="245"/>
      <c r="E151" s="245"/>
      <c r="F151" s="245"/>
      <c r="G151" s="245"/>
      <c r="H151" s="245"/>
      <c r="I151" s="245"/>
      <c r="J151" s="245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  <c r="U151" s="245"/>
      <c r="V151" s="245"/>
      <c r="W151" s="245"/>
      <c r="X151" s="245"/>
      <c r="Y151" s="248"/>
      <c r="Z151" s="248"/>
      <c r="AA151" s="248"/>
      <c r="AB151" s="248"/>
      <c r="AC151" s="248"/>
      <c r="AD151" s="248"/>
      <c r="AE151" s="248"/>
      <c r="AF151" s="248"/>
      <c r="AG151" s="248"/>
      <c r="AH151" s="248"/>
      <c r="AI151" s="248"/>
      <c r="AJ151" s="248"/>
      <c r="AK151" s="248"/>
      <c r="AL151" s="248"/>
      <c r="AM151" s="248"/>
      <c r="AN151" s="248"/>
      <c r="AO151" s="248"/>
      <c r="AP151" s="248"/>
      <c r="AQ151" s="248"/>
      <c r="AR151" s="248"/>
      <c r="AS151" s="248"/>
      <c r="AT151" s="248"/>
      <c r="AU151" s="248"/>
      <c r="AV151" s="248"/>
      <c r="AW151" s="248"/>
      <c r="AX151" s="248"/>
      <c r="AY151" s="248"/>
      <c r="AZ151" s="248"/>
      <c r="BA151" s="245"/>
      <c r="BB151" s="245"/>
      <c r="BC151" s="245"/>
      <c r="BD151" s="245"/>
      <c r="BE151" s="245"/>
      <c r="BF151" s="245"/>
      <c r="BG151" s="245"/>
      <c r="BH151" s="245"/>
      <c r="BI151" s="245"/>
      <c r="BJ151" s="245"/>
      <c r="BK151" s="245"/>
      <c r="BL151" s="245"/>
    </row>
    <row r="152" spans="1:64" s="27" customFormat="1" ht="14.25" customHeight="1">
      <c r="A152" s="244"/>
      <c r="B152" s="245"/>
      <c r="C152" s="245"/>
      <c r="D152" s="245"/>
      <c r="E152" s="245"/>
      <c r="F152" s="245"/>
      <c r="G152" s="245"/>
      <c r="H152" s="245"/>
      <c r="I152" s="245"/>
      <c r="J152" s="245"/>
      <c r="K152" s="103"/>
      <c r="L152" s="178"/>
      <c r="M152" s="178"/>
      <c r="N152" s="178"/>
      <c r="O152" s="178"/>
      <c r="P152" s="178"/>
      <c r="Q152" s="178"/>
      <c r="R152" s="178"/>
      <c r="S152" s="178"/>
      <c r="T152" s="178"/>
      <c r="U152" s="246"/>
      <c r="V152" s="245"/>
      <c r="W152" s="245"/>
      <c r="X152" s="245"/>
      <c r="Y152" s="247"/>
      <c r="Z152" s="248"/>
      <c r="AA152" s="248"/>
      <c r="AB152" s="248"/>
      <c r="AC152" s="248"/>
      <c r="AD152" s="248"/>
      <c r="AE152" s="248"/>
      <c r="AF152" s="248"/>
      <c r="AG152" s="248"/>
      <c r="AH152" s="248"/>
      <c r="AI152" s="248"/>
      <c r="AJ152" s="248"/>
      <c r="AK152" s="248"/>
      <c r="AL152" s="248"/>
      <c r="AM152" s="248"/>
      <c r="AN152" s="248"/>
      <c r="AO152" s="248"/>
      <c r="AP152" s="248"/>
      <c r="AQ152" s="248"/>
      <c r="AR152" s="248"/>
      <c r="AS152" s="248"/>
      <c r="AT152" s="248"/>
      <c r="AU152" s="248"/>
      <c r="AV152" s="248"/>
      <c r="AW152" s="248"/>
      <c r="AX152" s="248"/>
      <c r="AY152" s="248"/>
      <c r="AZ152" s="248"/>
      <c r="BA152" s="244"/>
      <c r="BB152" s="245"/>
      <c r="BC152" s="245"/>
      <c r="BD152" s="245"/>
      <c r="BE152" s="245"/>
      <c r="BF152" s="245"/>
      <c r="BG152" s="245"/>
      <c r="BH152" s="245"/>
      <c r="BI152" s="245"/>
      <c r="BJ152" s="245"/>
      <c r="BK152" s="245"/>
      <c r="BL152" s="245"/>
    </row>
    <row r="153" spans="1:64" s="27" customFormat="1" ht="14.25" customHeight="1">
      <c r="A153" s="245"/>
      <c r="B153" s="245"/>
      <c r="C153" s="245"/>
      <c r="D153" s="245"/>
      <c r="E153" s="245"/>
      <c r="F153" s="245"/>
      <c r="G153" s="245"/>
      <c r="H153" s="245"/>
      <c r="I153" s="245"/>
      <c r="J153" s="245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  <c r="U153" s="245"/>
      <c r="V153" s="245"/>
      <c r="W153" s="245"/>
      <c r="X153" s="245"/>
      <c r="Y153" s="248"/>
      <c r="Z153" s="248"/>
      <c r="AA153" s="248"/>
      <c r="AB153" s="248"/>
      <c r="AC153" s="248"/>
      <c r="AD153" s="248"/>
      <c r="AE153" s="248"/>
      <c r="AF153" s="248"/>
      <c r="AG153" s="248"/>
      <c r="AH153" s="248"/>
      <c r="AI153" s="248"/>
      <c r="AJ153" s="248"/>
      <c r="AK153" s="248"/>
      <c r="AL153" s="248"/>
      <c r="AM153" s="248"/>
      <c r="AN153" s="248"/>
      <c r="AO153" s="248"/>
      <c r="AP153" s="248"/>
      <c r="AQ153" s="248"/>
      <c r="AR153" s="248"/>
      <c r="AS153" s="248"/>
      <c r="AT153" s="248"/>
      <c r="AU153" s="248"/>
      <c r="AV153" s="248"/>
      <c r="AW153" s="248"/>
      <c r="AX153" s="248"/>
      <c r="AY153" s="248"/>
      <c r="AZ153" s="248"/>
      <c r="BA153" s="245"/>
      <c r="BB153" s="245"/>
      <c r="BC153" s="245"/>
      <c r="BD153" s="245"/>
      <c r="BE153" s="245"/>
      <c r="BF153" s="245"/>
      <c r="BG153" s="245"/>
      <c r="BH153" s="245"/>
      <c r="BI153" s="245"/>
      <c r="BJ153" s="245"/>
      <c r="BK153" s="245"/>
      <c r="BL153" s="245"/>
    </row>
    <row r="154" spans="1:64" s="27" customFormat="1" ht="14.25" customHeight="1">
      <c r="A154" s="245"/>
      <c r="B154" s="245"/>
      <c r="C154" s="245"/>
      <c r="D154" s="245"/>
      <c r="E154" s="245"/>
      <c r="F154" s="245"/>
      <c r="G154" s="245"/>
      <c r="H154" s="245"/>
      <c r="I154" s="245"/>
      <c r="J154" s="245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  <c r="U154" s="245"/>
      <c r="V154" s="245"/>
      <c r="W154" s="245"/>
      <c r="X154" s="245"/>
      <c r="Y154" s="248"/>
      <c r="Z154" s="248"/>
      <c r="AA154" s="248"/>
      <c r="AB154" s="248"/>
      <c r="AC154" s="248"/>
      <c r="AD154" s="248"/>
      <c r="AE154" s="248"/>
      <c r="AF154" s="248"/>
      <c r="AG154" s="248"/>
      <c r="AH154" s="248"/>
      <c r="AI154" s="248"/>
      <c r="AJ154" s="248"/>
      <c r="AK154" s="248"/>
      <c r="AL154" s="248"/>
      <c r="AM154" s="248"/>
      <c r="AN154" s="248"/>
      <c r="AO154" s="248"/>
      <c r="AP154" s="248"/>
      <c r="AQ154" s="248"/>
      <c r="AR154" s="248"/>
      <c r="AS154" s="248"/>
      <c r="AT154" s="248"/>
      <c r="AU154" s="248"/>
      <c r="AV154" s="248"/>
      <c r="AW154" s="248"/>
      <c r="AX154" s="248"/>
      <c r="AY154" s="248"/>
      <c r="AZ154" s="248"/>
      <c r="BA154" s="245"/>
      <c r="BB154" s="245"/>
      <c r="BC154" s="245"/>
      <c r="BD154" s="245"/>
      <c r="BE154" s="245"/>
      <c r="BF154" s="245"/>
      <c r="BG154" s="245"/>
      <c r="BH154" s="245"/>
      <c r="BI154" s="245"/>
      <c r="BJ154" s="245"/>
      <c r="BK154" s="245"/>
      <c r="BL154" s="245"/>
    </row>
    <row r="155" spans="1:64" s="27" customFormat="1" ht="14.25" customHeight="1">
      <c r="A155" s="244"/>
      <c r="B155" s="245"/>
      <c r="C155" s="245"/>
      <c r="D155" s="245"/>
      <c r="E155" s="245"/>
      <c r="F155" s="245"/>
      <c r="G155" s="245"/>
      <c r="H155" s="245"/>
      <c r="I155" s="245"/>
      <c r="J155" s="245"/>
      <c r="K155" s="103"/>
      <c r="L155" s="178"/>
      <c r="M155" s="178"/>
      <c r="N155" s="178"/>
      <c r="O155" s="178"/>
      <c r="P155" s="178"/>
      <c r="Q155" s="178"/>
      <c r="R155" s="178"/>
      <c r="S155" s="178"/>
      <c r="T155" s="178"/>
      <c r="U155" s="246"/>
      <c r="V155" s="245"/>
      <c r="W155" s="245"/>
      <c r="X155" s="245"/>
      <c r="Y155" s="247"/>
      <c r="Z155" s="248"/>
      <c r="AA155" s="248"/>
      <c r="AB155" s="248"/>
      <c r="AC155" s="248"/>
      <c r="AD155" s="248"/>
      <c r="AE155" s="248"/>
      <c r="AF155" s="248"/>
      <c r="AG155" s="248"/>
      <c r="AH155" s="248"/>
      <c r="AI155" s="248"/>
      <c r="AJ155" s="248"/>
      <c r="AK155" s="248"/>
      <c r="AL155" s="248"/>
      <c r="AM155" s="248"/>
      <c r="AN155" s="248"/>
      <c r="AO155" s="248"/>
      <c r="AP155" s="248"/>
      <c r="AQ155" s="248"/>
      <c r="AR155" s="248"/>
      <c r="AS155" s="248"/>
      <c r="AT155" s="248"/>
      <c r="AU155" s="248"/>
      <c r="AV155" s="248"/>
      <c r="AW155" s="248"/>
      <c r="AX155" s="248"/>
      <c r="AY155" s="248"/>
      <c r="AZ155" s="248"/>
      <c r="BA155" s="244"/>
      <c r="BB155" s="245"/>
      <c r="BC155" s="245"/>
      <c r="BD155" s="245"/>
      <c r="BE155" s="245"/>
      <c r="BF155" s="245"/>
      <c r="BG155" s="245"/>
      <c r="BH155" s="245"/>
      <c r="BI155" s="245"/>
      <c r="BJ155" s="245"/>
      <c r="BK155" s="245"/>
      <c r="BL155" s="245"/>
    </row>
    <row r="156" spans="1:64" s="27" customFormat="1" ht="14.25" customHeight="1">
      <c r="A156" s="245"/>
      <c r="B156" s="245"/>
      <c r="C156" s="245"/>
      <c r="D156" s="245"/>
      <c r="E156" s="245"/>
      <c r="F156" s="245"/>
      <c r="G156" s="245"/>
      <c r="H156" s="245"/>
      <c r="I156" s="245"/>
      <c r="J156" s="245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245"/>
      <c r="V156" s="245"/>
      <c r="W156" s="245"/>
      <c r="X156" s="245"/>
      <c r="Y156" s="248"/>
      <c r="Z156" s="248"/>
      <c r="AA156" s="248"/>
      <c r="AB156" s="248"/>
      <c r="AC156" s="248"/>
      <c r="AD156" s="248"/>
      <c r="AE156" s="248"/>
      <c r="AF156" s="248"/>
      <c r="AG156" s="248"/>
      <c r="AH156" s="248"/>
      <c r="AI156" s="248"/>
      <c r="AJ156" s="248"/>
      <c r="AK156" s="248"/>
      <c r="AL156" s="248"/>
      <c r="AM156" s="248"/>
      <c r="AN156" s="248"/>
      <c r="AO156" s="248"/>
      <c r="AP156" s="248"/>
      <c r="AQ156" s="248"/>
      <c r="AR156" s="248"/>
      <c r="AS156" s="248"/>
      <c r="AT156" s="248"/>
      <c r="AU156" s="248"/>
      <c r="AV156" s="248"/>
      <c r="AW156" s="248"/>
      <c r="AX156" s="248"/>
      <c r="AY156" s="248"/>
      <c r="AZ156" s="248"/>
      <c r="BA156" s="245"/>
      <c r="BB156" s="245"/>
      <c r="BC156" s="245"/>
      <c r="BD156" s="245"/>
      <c r="BE156" s="245"/>
      <c r="BF156" s="245"/>
      <c r="BG156" s="245"/>
      <c r="BH156" s="245"/>
      <c r="BI156" s="245"/>
      <c r="BJ156" s="245"/>
      <c r="BK156" s="245"/>
      <c r="BL156" s="245"/>
    </row>
    <row r="157" spans="1:64" s="27" customFormat="1" ht="14.25" customHeight="1">
      <c r="A157" s="245"/>
      <c r="B157" s="245"/>
      <c r="C157" s="245"/>
      <c r="D157" s="245"/>
      <c r="E157" s="245"/>
      <c r="F157" s="245"/>
      <c r="G157" s="245"/>
      <c r="H157" s="245"/>
      <c r="I157" s="245"/>
      <c r="J157" s="245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  <c r="U157" s="245"/>
      <c r="V157" s="245"/>
      <c r="W157" s="245"/>
      <c r="X157" s="245"/>
      <c r="Y157" s="248"/>
      <c r="Z157" s="248"/>
      <c r="AA157" s="248"/>
      <c r="AB157" s="248"/>
      <c r="AC157" s="248"/>
      <c r="AD157" s="248"/>
      <c r="AE157" s="248"/>
      <c r="AF157" s="248"/>
      <c r="AG157" s="248"/>
      <c r="AH157" s="248"/>
      <c r="AI157" s="248"/>
      <c r="AJ157" s="248"/>
      <c r="AK157" s="248"/>
      <c r="AL157" s="248"/>
      <c r="AM157" s="248"/>
      <c r="AN157" s="248"/>
      <c r="AO157" s="248"/>
      <c r="AP157" s="248"/>
      <c r="AQ157" s="248"/>
      <c r="AR157" s="248"/>
      <c r="AS157" s="248"/>
      <c r="AT157" s="248"/>
      <c r="AU157" s="248"/>
      <c r="AV157" s="248"/>
      <c r="AW157" s="248"/>
      <c r="AX157" s="248"/>
      <c r="AY157" s="248"/>
      <c r="AZ157" s="248"/>
      <c r="BA157" s="245"/>
      <c r="BB157" s="245"/>
      <c r="BC157" s="245"/>
      <c r="BD157" s="245"/>
      <c r="BE157" s="245"/>
      <c r="BF157" s="245"/>
      <c r="BG157" s="245"/>
      <c r="BH157" s="245"/>
      <c r="BI157" s="245"/>
      <c r="BJ157" s="245"/>
      <c r="BK157" s="245"/>
      <c r="BL157" s="245"/>
    </row>
    <row r="158" spans="1:64" s="27" customFormat="1" ht="14.25" customHeight="1">
      <c r="A158" s="244"/>
      <c r="B158" s="245"/>
      <c r="C158" s="245"/>
      <c r="D158" s="245"/>
      <c r="E158" s="245"/>
      <c r="F158" s="245"/>
      <c r="G158" s="245"/>
      <c r="H158" s="245"/>
      <c r="I158" s="245"/>
      <c r="J158" s="245"/>
      <c r="K158" s="103"/>
      <c r="L158" s="178"/>
      <c r="M158" s="178"/>
      <c r="N158" s="178"/>
      <c r="O158" s="178"/>
      <c r="P158" s="178"/>
      <c r="Q158" s="178"/>
      <c r="R158" s="178"/>
      <c r="S158" s="178"/>
      <c r="T158" s="178"/>
      <c r="U158" s="246"/>
      <c r="V158" s="245"/>
      <c r="W158" s="245"/>
      <c r="X158" s="245"/>
      <c r="Y158" s="247"/>
      <c r="Z158" s="248"/>
      <c r="AA158" s="248"/>
      <c r="AB158" s="248"/>
      <c r="AC158" s="248"/>
      <c r="AD158" s="248"/>
      <c r="AE158" s="248"/>
      <c r="AF158" s="248"/>
      <c r="AG158" s="248"/>
      <c r="AH158" s="248"/>
      <c r="AI158" s="248"/>
      <c r="AJ158" s="248"/>
      <c r="AK158" s="248"/>
      <c r="AL158" s="248"/>
      <c r="AM158" s="248"/>
      <c r="AN158" s="248"/>
      <c r="AO158" s="248"/>
      <c r="AP158" s="248"/>
      <c r="AQ158" s="248"/>
      <c r="AR158" s="248"/>
      <c r="AS158" s="248"/>
      <c r="AT158" s="248"/>
      <c r="AU158" s="248"/>
      <c r="AV158" s="248"/>
      <c r="AW158" s="248"/>
      <c r="AX158" s="248"/>
      <c r="AY158" s="248"/>
      <c r="AZ158" s="248"/>
      <c r="BA158" s="244"/>
      <c r="BB158" s="245"/>
      <c r="BC158" s="245"/>
      <c r="BD158" s="245"/>
      <c r="BE158" s="245"/>
      <c r="BF158" s="245"/>
      <c r="BG158" s="245"/>
      <c r="BH158" s="245"/>
      <c r="BI158" s="245"/>
      <c r="BJ158" s="245"/>
      <c r="BK158" s="245"/>
      <c r="BL158" s="245"/>
    </row>
    <row r="159" spans="1:64" s="27" customFormat="1" ht="14.25" customHeight="1">
      <c r="A159" s="245"/>
      <c r="B159" s="245"/>
      <c r="C159" s="245"/>
      <c r="D159" s="245"/>
      <c r="E159" s="245"/>
      <c r="F159" s="245"/>
      <c r="G159" s="245"/>
      <c r="H159" s="245"/>
      <c r="I159" s="245"/>
      <c r="J159" s="245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  <c r="U159" s="245"/>
      <c r="V159" s="245"/>
      <c r="W159" s="245"/>
      <c r="X159" s="245"/>
      <c r="Y159" s="248"/>
      <c r="Z159" s="248"/>
      <c r="AA159" s="248"/>
      <c r="AB159" s="248"/>
      <c r="AC159" s="248"/>
      <c r="AD159" s="248"/>
      <c r="AE159" s="248"/>
      <c r="AF159" s="248"/>
      <c r="AG159" s="248"/>
      <c r="AH159" s="248"/>
      <c r="AI159" s="248"/>
      <c r="AJ159" s="248"/>
      <c r="AK159" s="248"/>
      <c r="AL159" s="248"/>
      <c r="AM159" s="248"/>
      <c r="AN159" s="248"/>
      <c r="AO159" s="248"/>
      <c r="AP159" s="248"/>
      <c r="AQ159" s="248"/>
      <c r="AR159" s="248"/>
      <c r="AS159" s="248"/>
      <c r="AT159" s="248"/>
      <c r="AU159" s="248"/>
      <c r="AV159" s="248"/>
      <c r="AW159" s="248"/>
      <c r="AX159" s="248"/>
      <c r="AY159" s="248"/>
      <c r="AZ159" s="248"/>
      <c r="BA159" s="245"/>
      <c r="BB159" s="245"/>
      <c r="BC159" s="245"/>
      <c r="BD159" s="245"/>
      <c r="BE159" s="245"/>
      <c r="BF159" s="245"/>
      <c r="BG159" s="245"/>
      <c r="BH159" s="245"/>
      <c r="BI159" s="245"/>
      <c r="BJ159" s="245"/>
      <c r="BK159" s="245"/>
      <c r="BL159" s="245"/>
    </row>
    <row r="160" spans="1:64" s="27" customFormat="1" ht="14.25" customHeight="1">
      <c r="A160" s="245"/>
      <c r="B160" s="245"/>
      <c r="C160" s="245"/>
      <c r="D160" s="245"/>
      <c r="E160" s="245"/>
      <c r="F160" s="245"/>
      <c r="G160" s="245"/>
      <c r="H160" s="245"/>
      <c r="I160" s="245"/>
      <c r="J160" s="245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  <c r="U160" s="245"/>
      <c r="V160" s="245"/>
      <c r="W160" s="245"/>
      <c r="X160" s="245"/>
      <c r="Y160" s="248"/>
      <c r="Z160" s="248"/>
      <c r="AA160" s="248"/>
      <c r="AB160" s="248"/>
      <c r="AC160" s="248"/>
      <c r="AD160" s="248"/>
      <c r="AE160" s="248"/>
      <c r="AF160" s="248"/>
      <c r="AG160" s="248"/>
      <c r="AH160" s="248"/>
      <c r="AI160" s="248"/>
      <c r="AJ160" s="248"/>
      <c r="AK160" s="248"/>
      <c r="AL160" s="248"/>
      <c r="AM160" s="248"/>
      <c r="AN160" s="248"/>
      <c r="AO160" s="248"/>
      <c r="AP160" s="248"/>
      <c r="AQ160" s="248"/>
      <c r="AR160" s="248"/>
      <c r="AS160" s="248"/>
      <c r="AT160" s="248"/>
      <c r="AU160" s="248"/>
      <c r="AV160" s="248"/>
      <c r="AW160" s="248"/>
      <c r="AX160" s="248"/>
      <c r="AY160" s="248"/>
      <c r="AZ160" s="248"/>
      <c r="BA160" s="245"/>
      <c r="BB160" s="245"/>
      <c r="BC160" s="245"/>
      <c r="BD160" s="245"/>
      <c r="BE160" s="245"/>
      <c r="BF160" s="245"/>
      <c r="BG160" s="245"/>
      <c r="BH160" s="245"/>
      <c r="BI160" s="245"/>
      <c r="BJ160" s="245"/>
      <c r="BK160" s="245"/>
      <c r="BL160" s="245"/>
    </row>
    <row r="161" spans="1:64" s="27" customFormat="1" ht="14.25" customHeight="1">
      <c r="A161" s="244"/>
      <c r="B161" s="245"/>
      <c r="C161" s="245"/>
      <c r="D161" s="245"/>
      <c r="E161" s="245"/>
      <c r="F161" s="245"/>
      <c r="G161" s="245"/>
      <c r="H161" s="245"/>
      <c r="I161" s="245"/>
      <c r="J161" s="245"/>
      <c r="K161" s="103"/>
      <c r="L161" s="178"/>
      <c r="M161" s="178"/>
      <c r="N161" s="178"/>
      <c r="O161" s="178"/>
      <c r="P161" s="178"/>
      <c r="Q161" s="178"/>
      <c r="R161" s="178"/>
      <c r="S161" s="178"/>
      <c r="T161" s="178"/>
      <c r="U161" s="246"/>
      <c r="V161" s="245"/>
      <c r="W161" s="245"/>
      <c r="X161" s="245"/>
      <c r="Y161" s="247"/>
      <c r="Z161" s="248"/>
      <c r="AA161" s="248"/>
      <c r="AB161" s="248"/>
      <c r="AC161" s="248"/>
      <c r="AD161" s="248"/>
      <c r="AE161" s="248"/>
      <c r="AF161" s="248"/>
      <c r="AG161" s="248"/>
      <c r="AH161" s="248"/>
      <c r="AI161" s="248"/>
      <c r="AJ161" s="248"/>
      <c r="AK161" s="248"/>
      <c r="AL161" s="248"/>
      <c r="AM161" s="248"/>
      <c r="AN161" s="248"/>
      <c r="AO161" s="248"/>
      <c r="AP161" s="248"/>
      <c r="AQ161" s="248"/>
      <c r="AR161" s="248"/>
      <c r="AS161" s="248"/>
      <c r="AT161" s="248"/>
      <c r="AU161" s="248"/>
      <c r="AV161" s="248"/>
      <c r="AW161" s="248"/>
      <c r="AX161" s="248"/>
      <c r="AY161" s="248"/>
      <c r="AZ161" s="248"/>
      <c r="BA161" s="244"/>
      <c r="BB161" s="245"/>
      <c r="BC161" s="245"/>
      <c r="BD161" s="245"/>
      <c r="BE161" s="245"/>
      <c r="BF161" s="245"/>
      <c r="BG161" s="245"/>
      <c r="BH161" s="245"/>
      <c r="BI161" s="245"/>
      <c r="BJ161" s="245"/>
      <c r="BK161" s="245"/>
      <c r="BL161" s="245"/>
    </row>
    <row r="162" spans="1:64" s="27" customFormat="1" ht="14.25" customHeight="1">
      <c r="A162" s="245"/>
      <c r="B162" s="245"/>
      <c r="C162" s="245"/>
      <c r="D162" s="245"/>
      <c r="E162" s="245"/>
      <c r="F162" s="245"/>
      <c r="G162" s="245"/>
      <c r="H162" s="245"/>
      <c r="I162" s="245"/>
      <c r="J162" s="245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  <c r="U162" s="245"/>
      <c r="V162" s="245"/>
      <c r="W162" s="245"/>
      <c r="X162" s="245"/>
      <c r="Y162" s="248"/>
      <c r="Z162" s="248"/>
      <c r="AA162" s="248"/>
      <c r="AB162" s="248"/>
      <c r="AC162" s="248"/>
      <c r="AD162" s="248"/>
      <c r="AE162" s="248"/>
      <c r="AF162" s="248"/>
      <c r="AG162" s="248"/>
      <c r="AH162" s="248"/>
      <c r="AI162" s="248"/>
      <c r="AJ162" s="248"/>
      <c r="AK162" s="248"/>
      <c r="AL162" s="248"/>
      <c r="AM162" s="248"/>
      <c r="AN162" s="248"/>
      <c r="AO162" s="248"/>
      <c r="AP162" s="248"/>
      <c r="AQ162" s="248"/>
      <c r="AR162" s="248"/>
      <c r="AS162" s="248"/>
      <c r="AT162" s="248"/>
      <c r="AU162" s="248"/>
      <c r="AV162" s="248"/>
      <c r="AW162" s="248"/>
      <c r="AX162" s="248"/>
      <c r="AY162" s="248"/>
      <c r="AZ162" s="248"/>
      <c r="BA162" s="245"/>
      <c r="BB162" s="245"/>
      <c r="BC162" s="245"/>
      <c r="BD162" s="245"/>
      <c r="BE162" s="245"/>
      <c r="BF162" s="245"/>
      <c r="BG162" s="245"/>
      <c r="BH162" s="245"/>
      <c r="BI162" s="245"/>
      <c r="BJ162" s="245"/>
      <c r="BK162" s="245"/>
      <c r="BL162" s="245"/>
    </row>
    <row r="163" spans="1:64" s="27" customFormat="1" ht="14.25" customHeight="1">
      <c r="A163" s="245"/>
      <c r="B163" s="245"/>
      <c r="C163" s="245"/>
      <c r="D163" s="245"/>
      <c r="E163" s="245"/>
      <c r="F163" s="245"/>
      <c r="G163" s="245"/>
      <c r="H163" s="245"/>
      <c r="I163" s="245"/>
      <c r="J163" s="245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  <c r="U163" s="245"/>
      <c r="V163" s="245"/>
      <c r="W163" s="245"/>
      <c r="X163" s="245"/>
      <c r="Y163" s="248"/>
      <c r="Z163" s="248"/>
      <c r="AA163" s="248"/>
      <c r="AB163" s="248"/>
      <c r="AC163" s="248"/>
      <c r="AD163" s="248"/>
      <c r="AE163" s="248"/>
      <c r="AF163" s="248"/>
      <c r="AG163" s="248"/>
      <c r="AH163" s="248"/>
      <c r="AI163" s="248"/>
      <c r="AJ163" s="248"/>
      <c r="AK163" s="248"/>
      <c r="AL163" s="248"/>
      <c r="AM163" s="248"/>
      <c r="AN163" s="248"/>
      <c r="AO163" s="248"/>
      <c r="AP163" s="248"/>
      <c r="AQ163" s="248"/>
      <c r="AR163" s="248"/>
      <c r="AS163" s="248"/>
      <c r="AT163" s="248"/>
      <c r="AU163" s="248"/>
      <c r="AV163" s="248"/>
      <c r="AW163" s="248"/>
      <c r="AX163" s="248"/>
      <c r="AY163" s="248"/>
      <c r="AZ163" s="248"/>
      <c r="BA163" s="245"/>
      <c r="BB163" s="245"/>
      <c r="BC163" s="245"/>
      <c r="BD163" s="245"/>
      <c r="BE163" s="245"/>
      <c r="BF163" s="245"/>
      <c r="BG163" s="245"/>
      <c r="BH163" s="245"/>
      <c r="BI163" s="245"/>
      <c r="BJ163" s="245"/>
      <c r="BK163" s="245"/>
      <c r="BL163" s="245"/>
    </row>
    <row r="164" spans="1:64" s="27" customFormat="1" ht="14.25" customHeight="1">
      <c r="A164" s="244"/>
      <c r="B164" s="245"/>
      <c r="C164" s="245"/>
      <c r="D164" s="245"/>
      <c r="E164" s="245"/>
      <c r="F164" s="245"/>
      <c r="G164" s="245"/>
      <c r="H164" s="245"/>
      <c r="I164" s="245"/>
      <c r="J164" s="245"/>
      <c r="K164" s="103"/>
      <c r="L164" s="178"/>
      <c r="M164" s="178"/>
      <c r="N164" s="178"/>
      <c r="O164" s="178"/>
      <c r="P164" s="178"/>
      <c r="Q164" s="178"/>
      <c r="R164" s="178"/>
      <c r="S164" s="178"/>
      <c r="T164" s="178"/>
      <c r="U164" s="246"/>
      <c r="V164" s="245"/>
      <c r="W164" s="245"/>
      <c r="X164" s="245"/>
      <c r="Y164" s="247"/>
      <c r="Z164" s="248"/>
      <c r="AA164" s="248"/>
      <c r="AB164" s="248"/>
      <c r="AC164" s="248"/>
      <c r="AD164" s="248"/>
      <c r="AE164" s="248"/>
      <c r="AF164" s="248"/>
      <c r="AG164" s="248"/>
      <c r="AH164" s="248"/>
      <c r="AI164" s="248"/>
      <c r="AJ164" s="248"/>
      <c r="AK164" s="248"/>
      <c r="AL164" s="248"/>
      <c r="AM164" s="248"/>
      <c r="AN164" s="248"/>
      <c r="AO164" s="248"/>
      <c r="AP164" s="248"/>
      <c r="AQ164" s="248"/>
      <c r="AR164" s="248"/>
      <c r="AS164" s="248"/>
      <c r="AT164" s="248"/>
      <c r="AU164" s="248"/>
      <c r="AV164" s="248"/>
      <c r="AW164" s="248"/>
      <c r="AX164" s="248"/>
      <c r="AY164" s="248"/>
      <c r="AZ164" s="248"/>
      <c r="BA164" s="244"/>
      <c r="BB164" s="245"/>
      <c r="BC164" s="245"/>
      <c r="BD164" s="245"/>
      <c r="BE164" s="245"/>
      <c r="BF164" s="245"/>
      <c r="BG164" s="245"/>
      <c r="BH164" s="245"/>
      <c r="BI164" s="245"/>
      <c r="BJ164" s="245"/>
      <c r="BK164" s="245"/>
      <c r="BL164" s="245"/>
    </row>
    <row r="165" spans="1:64" s="27" customFormat="1" ht="14.25" customHeight="1">
      <c r="A165" s="245"/>
      <c r="B165" s="245"/>
      <c r="C165" s="245"/>
      <c r="D165" s="245"/>
      <c r="E165" s="245"/>
      <c r="F165" s="245"/>
      <c r="G165" s="245"/>
      <c r="H165" s="245"/>
      <c r="I165" s="245"/>
      <c r="J165" s="245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  <c r="U165" s="245"/>
      <c r="V165" s="245"/>
      <c r="W165" s="245"/>
      <c r="X165" s="245"/>
      <c r="Y165" s="248"/>
      <c r="Z165" s="248"/>
      <c r="AA165" s="248"/>
      <c r="AB165" s="248"/>
      <c r="AC165" s="248"/>
      <c r="AD165" s="248"/>
      <c r="AE165" s="248"/>
      <c r="AF165" s="248"/>
      <c r="AG165" s="248"/>
      <c r="AH165" s="248"/>
      <c r="AI165" s="248"/>
      <c r="AJ165" s="248"/>
      <c r="AK165" s="248"/>
      <c r="AL165" s="248"/>
      <c r="AM165" s="248"/>
      <c r="AN165" s="248"/>
      <c r="AO165" s="248"/>
      <c r="AP165" s="248"/>
      <c r="AQ165" s="248"/>
      <c r="AR165" s="248"/>
      <c r="AS165" s="248"/>
      <c r="AT165" s="248"/>
      <c r="AU165" s="248"/>
      <c r="AV165" s="248"/>
      <c r="AW165" s="248"/>
      <c r="AX165" s="248"/>
      <c r="AY165" s="248"/>
      <c r="AZ165" s="248"/>
      <c r="BA165" s="245"/>
      <c r="BB165" s="245"/>
      <c r="BC165" s="245"/>
      <c r="BD165" s="245"/>
      <c r="BE165" s="245"/>
      <c r="BF165" s="245"/>
      <c r="BG165" s="245"/>
      <c r="BH165" s="245"/>
      <c r="BI165" s="245"/>
      <c r="BJ165" s="245"/>
      <c r="BK165" s="245"/>
      <c r="BL165" s="245"/>
    </row>
    <row r="166" spans="1:64" s="27" customFormat="1" ht="14.25" customHeight="1">
      <c r="A166" s="245"/>
      <c r="B166" s="245"/>
      <c r="C166" s="245"/>
      <c r="D166" s="245"/>
      <c r="E166" s="245"/>
      <c r="F166" s="245"/>
      <c r="G166" s="245"/>
      <c r="H166" s="245"/>
      <c r="I166" s="245"/>
      <c r="J166" s="245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  <c r="U166" s="245"/>
      <c r="V166" s="245"/>
      <c r="W166" s="245"/>
      <c r="X166" s="245"/>
      <c r="Y166" s="248"/>
      <c r="Z166" s="248"/>
      <c r="AA166" s="248"/>
      <c r="AB166" s="248"/>
      <c r="AC166" s="248"/>
      <c r="AD166" s="248"/>
      <c r="AE166" s="248"/>
      <c r="AF166" s="248"/>
      <c r="AG166" s="248"/>
      <c r="AH166" s="248"/>
      <c r="AI166" s="248"/>
      <c r="AJ166" s="248"/>
      <c r="AK166" s="248"/>
      <c r="AL166" s="248"/>
      <c r="AM166" s="248"/>
      <c r="AN166" s="248"/>
      <c r="AO166" s="248"/>
      <c r="AP166" s="248"/>
      <c r="AQ166" s="248"/>
      <c r="AR166" s="248"/>
      <c r="AS166" s="248"/>
      <c r="AT166" s="248"/>
      <c r="AU166" s="248"/>
      <c r="AV166" s="248"/>
      <c r="AW166" s="248"/>
      <c r="AX166" s="248"/>
      <c r="AY166" s="248"/>
      <c r="AZ166" s="248"/>
      <c r="BA166" s="245"/>
      <c r="BB166" s="245"/>
      <c r="BC166" s="245"/>
      <c r="BD166" s="245"/>
      <c r="BE166" s="245"/>
      <c r="BF166" s="245"/>
      <c r="BG166" s="245"/>
      <c r="BH166" s="245"/>
      <c r="BI166" s="245"/>
      <c r="BJ166" s="245"/>
      <c r="BK166" s="245"/>
      <c r="BL166" s="245"/>
    </row>
    <row r="167" spans="1:64" s="27" customFormat="1" ht="14.25" customHeight="1">
      <c r="A167" s="244"/>
      <c r="B167" s="245"/>
      <c r="C167" s="245"/>
      <c r="D167" s="245"/>
      <c r="E167" s="245"/>
      <c r="F167" s="245"/>
      <c r="G167" s="245"/>
      <c r="H167" s="245"/>
      <c r="I167" s="245"/>
      <c r="J167" s="245"/>
      <c r="K167" s="103"/>
      <c r="L167" s="178"/>
      <c r="M167" s="178"/>
      <c r="N167" s="178"/>
      <c r="O167" s="178"/>
      <c r="P167" s="178"/>
      <c r="Q167" s="178"/>
      <c r="R167" s="178"/>
      <c r="S167" s="178"/>
      <c r="T167" s="178"/>
      <c r="U167" s="246"/>
      <c r="V167" s="245"/>
      <c r="W167" s="245"/>
      <c r="X167" s="245"/>
      <c r="Y167" s="247"/>
      <c r="Z167" s="248"/>
      <c r="AA167" s="248"/>
      <c r="AB167" s="248"/>
      <c r="AC167" s="248"/>
      <c r="AD167" s="248"/>
      <c r="AE167" s="248"/>
      <c r="AF167" s="248"/>
      <c r="AG167" s="248"/>
      <c r="AH167" s="248"/>
      <c r="AI167" s="248"/>
      <c r="AJ167" s="248"/>
      <c r="AK167" s="248"/>
      <c r="AL167" s="248"/>
      <c r="AM167" s="248"/>
      <c r="AN167" s="248"/>
      <c r="AO167" s="248"/>
      <c r="AP167" s="248"/>
      <c r="AQ167" s="248"/>
      <c r="AR167" s="248"/>
      <c r="AS167" s="248"/>
      <c r="AT167" s="248"/>
      <c r="AU167" s="248"/>
      <c r="AV167" s="248"/>
      <c r="AW167" s="248"/>
      <c r="AX167" s="248"/>
      <c r="AY167" s="248"/>
      <c r="AZ167" s="248"/>
      <c r="BA167" s="244"/>
      <c r="BB167" s="245"/>
      <c r="BC167" s="245"/>
      <c r="BD167" s="245"/>
      <c r="BE167" s="245"/>
      <c r="BF167" s="245"/>
      <c r="BG167" s="245"/>
      <c r="BH167" s="245"/>
      <c r="BI167" s="245"/>
      <c r="BJ167" s="245"/>
      <c r="BK167" s="245"/>
      <c r="BL167" s="245"/>
    </row>
    <row r="168" spans="1:64" s="27" customFormat="1" ht="14.25" customHeight="1">
      <c r="A168" s="245"/>
      <c r="B168" s="245"/>
      <c r="C168" s="245"/>
      <c r="D168" s="245"/>
      <c r="E168" s="245"/>
      <c r="F168" s="245"/>
      <c r="G168" s="245"/>
      <c r="H168" s="245"/>
      <c r="I168" s="245"/>
      <c r="J168" s="245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245"/>
      <c r="V168" s="245"/>
      <c r="W168" s="245"/>
      <c r="X168" s="245"/>
      <c r="Y168" s="248"/>
      <c r="Z168" s="248"/>
      <c r="AA168" s="248"/>
      <c r="AB168" s="248"/>
      <c r="AC168" s="248"/>
      <c r="AD168" s="248"/>
      <c r="AE168" s="248"/>
      <c r="AF168" s="248"/>
      <c r="AG168" s="248"/>
      <c r="AH168" s="248"/>
      <c r="AI168" s="248"/>
      <c r="AJ168" s="248"/>
      <c r="AK168" s="248"/>
      <c r="AL168" s="248"/>
      <c r="AM168" s="248"/>
      <c r="AN168" s="248"/>
      <c r="AO168" s="248"/>
      <c r="AP168" s="248"/>
      <c r="AQ168" s="248"/>
      <c r="AR168" s="248"/>
      <c r="AS168" s="248"/>
      <c r="AT168" s="248"/>
      <c r="AU168" s="248"/>
      <c r="AV168" s="248"/>
      <c r="AW168" s="248"/>
      <c r="AX168" s="248"/>
      <c r="AY168" s="248"/>
      <c r="AZ168" s="248"/>
      <c r="BA168" s="245"/>
      <c r="BB168" s="245"/>
      <c r="BC168" s="245"/>
      <c r="BD168" s="245"/>
      <c r="BE168" s="245"/>
      <c r="BF168" s="245"/>
      <c r="BG168" s="245"/>
      <c r="BH168" s="245"/>
      <c r="BI168" s="245"/>
      <c r="BJ168" s="245"/>
      <c r="BK168" s="245"/>
      <c r="BL168" s="245"/>
    </row>
    <row r="169" spans="1:64" s="27" customFormat="1" ht="14.25" customHeight="1">
      <c r="A169" s="245"/>
      <c r="B169" s="245"/>
      <c r="C169" s="245"/>
      <c r="D169" s="245"/>
      <c r="E169" s="245"/>
      <c r="F169" s="245"/>
      <c r="G169" s="245"/>
      <c r="H169" s="245"/>
      <c r="I169" s="245"/>
      <c r="J169" s="245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  <c r="U169" s="245"/>
      <c r="V169" s="245"/>
      <c r="W169" s="245"/>
      <c r="X169" s="245"/>
      <c r="Y169" s="248"/>
      <c r="Z169" s="248"/>
      <c r="AA169" s="248"/>
      <c r="AB169" s="248"/>
      <c r="AC169" s="248"/>
      <c r="AD169" s="248"/>
      <c r="AE169" s="248"/>
      <c r="AF169" s="248"/>
      <c r="AG169" s="248"/>
      <c r="AH169" s="248"/>
      <c r="AI169" s="248"/>
      <c r="AJ169" s="248"/>
      <c r="AK169" s="248"/>
      <c r="AL169" s="248"/>
      <c r="AM169" s="248"/>
      <c r="AN169" s="248"/>
      <c r="AO169" s="248"/>
      <c r="AP169" s="248"/>
      <c r="AQ169" s="248"/>
      <c r="AR169" s="248"/>
      <c r="AS169" s="248"/>
      <c r="AT169" s="248"/>
      <c r="AU169" s="248"/>
      <c r="AV169" s="248"/>
      <c r="AW169" s="248"/>
      <c r="AX169" s="248"/>
      <c r="AY169" s="248"/>
      <c r="AZ169" s="248"/>
      <c r="BA169" s="245"/>
      <c r="BB169" s="245"/>
      <c r="BC169" s="245"/>
      <c r="BD169" s="245"/>
      <c r="BE169" s="245"/>
      <c r="BF169" s="245"/>
      <c r="BG169" s="245"/>
      <c r="BH169" s="245"/>
      <c r="BI169" s="245"/>
      <c r="BJ169" s="245"/>
      <c r="BK169" s="245"/>
      <c r="BL169" s="245"/>
    </row>
    <row r="170" spans="1:64" s="27" customFormat="1" ht="14.25" customHeight="1">
      <c r="A170" s="244"/>
      <c r="B170" s="245"/>
      <c r="C170" s="245"/>
      <c r="D170" s="245"/>
      <c r="E170" s="245"/>
      <c r="F170" s="245"/>
      <c r="G170" s="245"/>
      <c r="H170" s="245"/>
      <c r="I170" s="245"/>
      <c r="J170" s="245"/>
      <c r="K170" s="103"/>
      <c r="L170" s="178"/>
      <c r="M170" s="178"/>
      <c r="N170" s="178"/>
      <c r="O170" s="178"/>
      <c r="P170" s="178"/>
      <c r="Q170" s="178"/>
      <c r="R170" s="178"/>
      <c r="S170" s="178"/>
      <c r="T170" s="178"/>
      <c r="U170" s="246"/>
      <c r="V170" s="245"/>
      <c r="W170" s="245"/>
      <c r="X170" s="245"/>
      <c r="Y170" s="247"/>
      <c r="Z170" s="248"/>
      <c r="AA170" s="248"/>
      <c r="AB170" s="248"/>
      <c r="AC170" s="248"/>
      <c r="AD170" s="248"/>
      <c r="AE170" s="248"/>
      <c r="AF170" s="248"/>
      <c r="AG170" s="248"/>
      <c r="AH170" s="248"/>
      <c r="AI170" s="248"/>
      <c r="AJ170" s="248"/>
      <c r="AK170" s="248"/>
      <c r="AL170" s="248"/>
      <c r="AM170" s="248"/>
      <c r="AN170" s="248"/>
      <c r="AO170" s="248"/>
      <c r="AP170" s="248"/>
      <c r="AQ170" s="248"/>
      <c r="AR170" s="248"/>
      <c r="AS170" s="248"/>
      <c r="AT170" s="248"/>
      <c r="AU170" s="248"/>
      <c r="AV170" s="248"/>
      <c r="AW170" s="248"/>
      <c r="AX170" s="248"/>
      <c r="AY170" s="248"/>
      <c r="AZ170" s="248"/>
      <c r="BA170" s="244"/>
      <c r="BB170" s="245"/>
      <c r="BC170" s="245"/>
      <c r="BD170" s="245"/>
      <c r="BE170" s="245"/>
      <c r="BF170" s="245"/>
      <c r="BG170" s="245"/>
      <c r="BH170" s="245"/>
      <c r="BI170" s="245"/>
      <c r="BJ170" s="245"/>
      <c r="BK170" s="245"/>
      <c r="BL170" s="245"/>
    </row>
    <row r="171" spans="1:64" s="27" customFormat="1" ht="14.25" customHeight="1">
      <c r="A171" s="245"/>
      <c r="B171" s="245"/>
      <c r="C171" s="245"/>
      <c r="D171" s="245"/>
      <c r="E171" s="245"/>
      <c r="F171" s="245"/>
      <c r="G171" s="245"/>
      <c r="H171" s="245"/>
      <c r="I171" s="245"/>
      <c r="J171" s="245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  <c r="U171" s="245"/>
      <c r="V171" s="245"/>
      <c r="W171" s="245"/>
      <c r="X171" s="245"/>
      <c r="Y171" s="248"/>
      <c r="Z171" s="248"/>
      <c r="AA171" s="248"/>
      <c r="AB171" s="248"/>
      <c r="AC171" s="248"/>
      <c r="AD171" s="248"/>
      <c r="AE171" s="248"/>
      <c r="AF171" s="248"/>
      <c r="AG171" s="248"/>
      <c r="AH171" s="248"/>
      <c r="AI171" s="248"/>
      <c r="AJ171" s="248"/>
      <c r="AK171" s="248"/>
      <c r="AL171" s="248"/>
      <c r="AM171" s="248"/>
      <c r="AN171" s="248"/>
      <c r="AO171" s="248"/>
      <c r="AP171" s="248"/>
      <c r="AQ171" s="248"/>
      <c r="AR171" s="248"/>
      <c r="AS171" s="248"/>
      <c r="AT171" s="248"/>
      <c r="AU171" s="248"/>
      <c r="AV171" s="248"/>
      <c r="AW171" s="248"/>
      <c r="AX171" s="248"/>
      <c r="AY171" s="248"/>
      <c r="AZ171" s="248"/>
      <c r="BA171" s="245"/>
      <c r="BB171" s="245"/>
      <c r="BC171" s="245"/>
      <c r="BD171" s="245"/>
      <c r="BE171" s="245"/>
      <c r="BF171" s="245"/>
      <c r="BG171" s="245"/>
      <c r="BH171" s="245"/>
      <c r="BI171" s="245"/>
      <c r="BJ171" s="245"/>
      <c r="BK171" s="245"/>
      <c r="BL171" s="245"/>
    </row>
    <row r="172" spans="1:64" s="27" customFormat="1" ht="14.25" customHeight="1">
      <c r="A172" s="245"/>
      <c r="B172" s="245"/>
      <c r="C172" s="245"/>
      <c r="D172" s="245"/>
      <c r="E172" s="245"/>
      <c r="F172" s="245"/>
      <c r="G172" s="245"/>
      <c r="H172" s="245"/>
      <c r="I172" s="245"/>
      <c r="J172" s="245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  <c r="U172" s="245"/>
      <c r="V172" s="245"/>
      <c r="W172" s="245"/>
      <c r="X172" s="245"/>
      <c r="Y172" s="248"/>
      <c r="Z172" s="248"/>
      <c r="AA172" s="248"/>
      <c r="AB172" s="248"/>
      <c r="AC172" s="248"/>
      <c r="AD172" s="248"/>
      <c r="AE172" s="248"/>
      <c r="AF172" s="248"/>
      <c r="AG172" s="248"/>
      <c r="AH172" s="248"/>
      <c r="AI172" s="248"/>
      <c r="AJ172" s="248"/>
      <c r="AK172" s="248"/>
      <c r="AL172" s="248"/>
      <c r="AM172" s="248"/>
      <c r="AN172" s="248"/>
      <c r="AO172" s="248"/>
      <c r="AP172" s="248"/>
      <c r="AQ172" s="248"/>
      <c r="AR172" s="248"/>
      <c r="AS172" s="248"/>
      <c r="AT172" s="248"/>
      <c r="AU172" s="248"/>
      <c r="AV172" s="248"/>
      <c r="AW172" s="248"/>
      <c r="AX172" s="248"/>
      <c r="AY172" s="248"/>
      <c r="AZ172" s="248"/>
      <c r="BA172" s="245"/>
      <c r="BB172" s="245"/>
      <c r="BC172" s="245"/>
      <c r="BD172" s="245"/>
      <c r="BE172" s="245"/>
      <c r="BF172" s="245"/>
      <c r="BG172" s="245"/>
      <c r="BH172" s="245"/>
      <c r="BI172" s="245"/>
      <c r="BJ172" s="245"/>
      <c r="BK172" s="245"/>
      <c r="BL172" s="245"/>
    </row>
    <row r="173" spans="1:64" s="27" customFormat="1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9"/>
      <c r="N173" s="29"/>
      <c r="O173" s="29"/>
      <c r="P173" s="29"/>
      <c r="Q173" s="29"/>
      <c r="R173" s="29"/>
      <c r="S173" s="30"/>
      <c r="T173" s="31"/>
      <c r="U173" s="31"/>
      <c r="V173" s="31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29"/>
      <c r="AW173" s="29"/>
      <c r="AX173" s="29"/>
      <c r="AY173" s="29"/>
      <c r="AZ173" s="29"/>
      <c r="BA173" s="29"/>
      <c r="BB173" s="30"/>
      <c r="BC173" s="30"/>
      <c r="BD173" s="30"/>
      <c r="BE173" s="30"/>
      <c r="BF173" s="32"/>
      <c r="BG173" s="30"/>
      <c r="BH173" s="30"/>
      <c r="BI173" s="32"/>
      <c r="BJ173" s="32"/>
      <c r="BK173" s="32"/>
      <c r="BL173" s="28"/>
    </row>
  </sheetData>
  <mergeCells count="279">
    <mergeCell ref="A170:J172"/>
    <mergeCell ref="K170:T172"/>
    <mergeCell ref="U170:X172"/>
    <mergeCell ref="Y170:AZ172"/>
    <mergeCell ref="BA170:BL172"/>
    <mergeCell ref="A164:J166"/>
    <mergeCell ref="K164:T166"/>
    <mergeCell ref="U164:X166"/>
    <mergeCell ref="Y164:AZ166"/>
    <mergeCell ref="BA164:BL166"/>
    <mergeCell ref="A167:J169"/>
    <mergeCell ref="K167:T169"/>
    <mergeCell ref="U167:X169"/>
    <mergeCell ref="Y167:AZ169"/>
    <mergeCell ref="BA167:BL169"/>
    <mergeCell ref="A158:J160"/>
    <mergeCell ref="K158:T160"/>
    <mergeCell ref="U158:X160"/>
    <mergeCell ref="Y158:AZ160"/>
    <mergeCell ref="BA158:BL160"/>
    <mergeCell ref="A161:J163"/>
    <mergeCell ref="K161:T163"/>
    <mergeCell ref="U161:X163"/>
    <mergeCell ref="Y161:AZ163"/>
    <mergeCell ref="BA161:BL163"/>
    <mergeCell ref="A152:J154"/>
    <mergeCell ref="K152:T154"/>
    <mergeCell ref="U152:X154"/>
    <mergeCell ref="Y152:AZ154"/>
    <mergeCell ref="BA152:BL154"/>
    <mergeCell ref="A155:J157"/>
    <mergeCell ref="K155:T157"/>
    <mergeCell ref="U155:X157"/>
    <mergeCell ref="Y155:AZ157"/>
    <mergeCell ref="BA155:BL157"/>
    <mergeCell ref="A146:J148"/>
    <mergeCell ref="K146:T148"/>
    <mergeCell ref="U146:X148"/>
    <mergeCell ref="Y146:AZ148"/>
    <mergeCell ref="BA146:BL148"/>
    <mergeCell ref="A149:J151"/>
    <mergeCell ref="K149:T151"/>
    <mergeCell ref="U149:X151"/>
    <mergeCell ref="Y149:AZ151"/>
    <mergeCell ref="BA149:BL151"/>
    <mergeCell ref="A140:J142"/>
    <mergeCell ref="K140:T142"/>
    <mergeCell ref="U140:X142"/>
    <mergeCell ref="Y140:AZ142"/>
    <mergeCell ref="BA140:BL142"/>
    <mergeCell ref="A143:J145"/>
    <mergeCell ref="K143:T145"/>
    <mergeCell ref="U143:X145"/>
    <mergeCell ref="Y143:AZ145"/>
    <mergeCell ref="BA143:BL145"/>
    <mergeCell ref="A134:J136"/>
    <mergeCell ref="K134:T136"/>
    <mergeCell ref="U134:X136"/>
    <mergeCell ref="Y134:AZ136"/>
    <mergeCell ref="BA134:BL136"/>
    <mergeCell ref="A137:J139"/>
    <mergeCell ref="K137:T139"/>
    <mergeCell ref="U137:X139"/>
    <mergeCell ref="Y137:AZ139"/>
    <mergeCell ref="BA137:BL139"/>
    <mergeCell ref="A128:J130"/>
    <mergeCell ref="K128:T130"/>
    <mergeCell ref="U128:X130"/>
    <mergeCell ref="Y128:AZ130"/>
    <mergeCell ref="BA128:BL130"/>
    <mergeCell ref="A131:J133"/>
    <mergeCell ref="K131:T133"/>
    <mergeCell ref="U131:X133"/>
    <mergeCell ref="Y131:AZ133"/>
    <mergeCell ref="BA131:BL133"/>
    <mergeCell ref="A122:J124"/>
    <mergeCell ref="K122:T124"/>
    <mergeCell ref="U122:X124"/>
    <mergeCell ref="Y122:AZ124"/>
    <mergeCell ref="BA122:BL124"/>
    <mergeCell ref="A125:J127"/>
    <mergeCell ref="K125:T127"/>
    <mergeCell ref="U125:X127"/>
    <mergeCell ref="Y125:AZ127"/>
    <mergeCell ref="BA125:BL127"/>
    <mergeCell ref="A116:J118"/>
    <mergeCell ref="K116:T118"/>
    <mergeCell ref="U116:X118"/>
    <mergeCell ref="Y116:AZ118"/>
    <mergeCell ref="BA116:BL118"/>
    <mergeCell ref="A119:J121"/>
    <mergeCell ref="K119:T121"/>
    <mergeCell ref="U119:X121"/>
    <mergeCell ref="Y119:AZ121"/>
    <mergeCell ref="BA119:BL121"/>
    <mergeCell ref="A110:J112"/>
    <mergeCell ref="K110:T112"/>
    <mergeCell ref="U110:X112"/>
    <mergeCell ref="Y110:AZ112"/>
    <mergeCell ref="BA110:BL112"/>
    <mergeCell ref="A113:J115"/>
    <mergeCell ref="K113:T115"/>
    <mergeCell ref="U113:X115"/>
    <mergeCell ref="Y113:AZ115"/>
    <mergeCell ref="BA113:BL115"/>
    <mergeCell ref="A104:J106"/>
    <mergeCell ref="K104:T106"/>
    <mergeCell ref="U104:X106"/>
    <mergeCell ref="Y104:AZ106"/>
    <mergeCell ref="BA104:BL106"/>
    <mergeCell ref="A107:J109"/>
    <mergeCell ref="K107:T109"/>
    <mergeCell ref="U107:X109"/>
    <mergeCell ref="Y107:AZ109"/>
    <mergeCell ref="BA107:BL109"/>
    <mergeCell ref="A98:J100"/>
    <mergeCell ref="K98:T100"/>
    <mergeCell ref="U98:X100"/>
    <mergeCell ref="Y98:AZ100"/>
    <mergeCell ref="BA98:BL100"/>
    <mergeCell ref="A101:J103"/>
    <mergeCell ref="K101:T103"/>
    <mergeCell ref="U101:X103"/>
    <mergeCell ref="Y101:AZ103"/>
    <mergeCell ref="BA101:BL103"/>
    <mergeCell ref="A92:J94"/>
    <mergeCell ref="K92:T94"/>
    <mergeCell ref="U92:X94"/>
    <mergeCell ref="Y92:AZ94"/>
    <mergeCell ref="BA92:BL94"/>
    <mergeCell ref="A95:J97"/>
    <mergeCell ref="K95:T97"/>
    <mergeCell ref="U95:X97"/>
    <mergeCell ref="Y95:AZ97"/>
    <mergeCell ref="BA95:BL97"/>
    <mergeCell ref="A86:J88"/>
    <mergeCell ref="K86:T88"/>
    <mergeCell ref="U86:X88"/>
    <mergeCell ref="Y86:AZ88"/>
    <mergeCell ref="BA86:BL88"/>
    <mergeCell ref="A89:J91"/>
    <mergeCell ref="K89:T91"/>
    <mergeCell ref="U89:X91"/>
    <mergeCell ref="Y89:AZ91"/>
    <mergeCell ref="BA89:BL91"/>
    <mergeCell ref="A80:J82"/>
    <mergeCell ref="K80:T82"/>
    <mergeCell ref="U80:X82"/>
    <mergeCell ref="Y80:AZ82"/>
    <mergeCell ref="BA80:BL82"/>
    <mergeCell ref="A83:J85"/>
    <mergeCell ref="K83:T85"/>
    <mergeCell ref="U83:X85"/>
    <mergeCell ref="Y83:AZ85"/>
    <mergeCell ref="BA83:BL85"/>
    <mergeCell ref="A74:J76"/>
    <mergeCell ref="K74:T76"/>
    <mergeCell ref="U74:X76"/>
    <mergeCell ref="Y74:AZ76"/>
    <mergeCell ref="BA74:BL76"/>
    <mergeCell ref="A77:J79"/>
    <mergeCell ref="K77:T79"/>
    <mergeCell ref="U77:X79"/>
    <mergeCell ref="Y77:AZ79"/>
    <mergeCell ref="BA77:BL79"/>
    <mergeCell ref="A68:J70"/>
    <mergeCell ref="K68:T70"/>
    <mergeCell ref="U68:X70"/>
    <mergeCell ref="Y68:AZ70"/>
    <mergeCell ref="BA68:BL70"/>
    <mergeCell ref="A71:J73"/>
    <mergeCell ref="K71:T73"/>
    <mergeCell ref="U71:X73"/>
    <mergeCell ref="Y71:AZ73"/>
    <mergeCell ref="BA71:BL73"/>
    <mergeCell ref="A62:J64"/>
    <mergeCell ref="K62:T64"/>
    <mergeCell ref="U62:X64"/>
    <mergeCell ref="Y62:AZ64"/>
    <mergeCell ref="BA62:BL64"/>
    <mergeCell ref="A65:J67"/>
    <mergeCell ref="K65:T67"/>
    <mergeCell ref="U65:X67"/>
    <mergeCell ref="Y65:AZ67"/>
    <mergeCell ref="BA65:BL67"/>
    <mergeCell ref="A56:J58"/>
    <mergeCell ref="K56:T58"/>
    <mergeCell ref="U56:X58"/>
    <mergeCell ref="Y56:AZ58"/>
    <mergeCell ref="BA56:BL58"/>
    <mergeCell ref="A59:J61"/>
    <mergeCell ref="K59:T61"/>
    <mergeCell ref="U59:X61"/>
    <mergeCell ref="Y59:AZ61"/>
    <mergeCell ref="BA59:BL61"/>
    <mergeCell ref="A50:J52"/>
    <mergeCell ref="K50:T52"/>
    <mergeCell ref="U50:X52"/>
    <mergeCell ref="Y50:AZ52"/>
    <mergeCell ref="BA50:BL52"/>
    <mergeCell ref="A53:J55"/>
    <mergeCell ref="K53:T55"/>
    <mergeCell ref="U53:X55"/>
    <mergeCell ref="Y53:AZ55"/>
    <mergeCell ref="BA53:BL55"/>
    <mergeCell ref="A44:J46"/>
    <mergeCell ref="K44:T46"/>
    <mergeCell ref="U44:X46"/>
    <mergeCell ref="Y44:AZ46"/>
    <mergeCell ref="BA44:BL46"/>
    <mergeCell ref="A47:J49"/>
    <mergeCell ref="K47:T49"/>
    <mergeCell ref="U47:X49"/>
    <mergeCell ref="Y47:AZ49"/>
    <mergeCell ref="BA47:BL49"/>
    <mergeCell ref="A35:J40"/>
    <mergeCell ref="K35:T40"/>
    <mergeCell ref="U35:X40"/>
    <mergeCell ref="Y35:AZ40"/>
    <mergeCell ref="BA35:BL40"/>
    <mergeCell ref="A41:J43"/>
    <mergeCell ref="K41:T43"/>
    <mergeCell ref="U41:X43"/>
    <mergeCell ref="Y41:AZ43"/>
    <mergeCell ref="BA41:BL43"/>
    <mergeCell ref="A28:J31"/>
    <mergeCell ref="K28:T31"/>
    <mergeCell ref="U28:X31"/>
    <mergeCell ref="Y28:AZ31"/>
    <mergeCell ref="BA28:BL31"/>
    <mergeCell ref="A32:J34"/>
    <mergeCell ref="K32:T34"/>
    <mergeCell ref="U32:X34"/>
    <mergeCell ref="Y32:AZ34"/>
    <mergeCell ref="BA32:BL34"/>
    <mergeCell ref="A18:J20"/>
    <mergeCell ref="K18:T20"/>
    <mergeCell ref="U18:X20"/>
    <mergeCell ref="Y18:AZ20"/>
    <mergeCell ref="BA18:BL20"/>
    <mergeCell ref="A21:J23"/>
    <mergeCell ref="K21:T23"/>
    <mergeCell ref="U21:X23"/>
    <mergeCell ref="Y21:AZ23"/>
    <mergeCell ref="BA21:BL23"/>
    <mergeCell ref="A8:J10"/>
    <mergeCell ref="K8:T10"/>
    <mergeCell ref="U8:X10"/>
    <mergeCell ref="Y8:AZ10"/>
    <mergeCell ref="BA8:BL10"/>
    <mergeCell ref="A11:J17"/>
    <mergeCell ref="K11:T17"/>
    <mergeCell ref="U11:X17"/>
    <mergeCell ref="Y11:AZ17"/>
    <mergeCell ref="BA11:BL17"/>
    <mergeCell ref="BA24:BL27"/>
    <mergeCell ref="Y24:AZ27"/>
    <mergeCell ref="U24:X27"/>
    <mergeCell ref="K24:T27"/>
    <mergeCell ref="A24:J27"/>
    <mergeCell ref="BG1:BL1"/>
    <mergeCell ref="A2:J3"/>
    <mergeCell ref="K2:T3"/>
    <mergeCell ref="U2:AN3"/>
    <mergeCell ref="AO2:AT3"/>
    <mergeCell ref="AU2:AZ3"/>
    <mergeCell ref="BA2:BF3"/>
    <mergeCell ref="BG2:BL3"/>
    <mergeCell ref="A1:J1"/>
    <mergeCell ref="K1:T1"/>
    <mergeCell ref="U1:AN1"/>
    <mergeCell ref="AO1:AT1"/>
    <mergeCell ref="AU1:AZ1"/>
    <mergeCell ref="BA1:BF1"/>
    <mergeCell ref="A5:J7"/>
    <mergeCell ref="K5:T7"/>
    <mergeCell ref="U5:X7"/>
    <mergeCell ref="Y5:AZ7"/>
    <mergeCell ref="BA5:BL7"/>
  </mergeCells>
  <phoneticPr fontId="1"/>
  <printOptions horizontalCentered="1"/>
  <pageMargins left="0.39370078740157483" right="0.39370078740157483" top="0.39370078740157483" bottom="0.59055118110236227" header="0.19685039370078741" footer="0.51181102362204722"/>
  <pageSetup paperSize="9" scale="84" fitToHeight="0" orientation="landscape" r:id="rId1"/>
  <headerFooter alignWithMargins="0">
    <oddFooter>&amp;C&amp;9&amp;P/&amp;N</oddFooter>
  </headerFooter>
  <rowBreaks count="4" manualBreakCount="4">
    <brk id="46" max="63" man="1"/>
    <brk id="79" max="63" man="1"/>
    <brk id="112" max="63" man="1"/>
    <brk id="148" max="6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Q250"/>
  <sheetViews>
    <sheetView showGridLines="0" view="pageBreakPreview" zoomScaleNormal="85" zoomScaleSheetLayoutView="100" workbookViewId="0">
      <pane xSplit="2" ySplit="6" topLeftCell="C7" activePane="bottomRight" state="frozen"/>
      <selection activeCell="A9" sqref="A9:J11"/>
      <selection pane="topRight" activeCell="A9" sqref="A9:J11"/>
      <selection pane="bottomLeft" activeCell="A9" sqref="A9:J11"/>
      <selection pane="bottomRight" sqref="A1:J1"/>
    </sheetView>
  </sheetViews>
  <sheetFormatPr defaultColWidth="2.75" defaultRowHeight="14.25" customHeight="1"/>
  <cols>
    <col min="1" max="64" width="2.625" style="57" customWidth="1"/>
    <col min="65" max="220" width="2.75" style="57"/>
    <col min="221" max="284" width="2.625" style="57" customWidth="1"/>
    <col min="285" max="476" width="2.75" style="57"/>
    <col min="477" max="540" width="2.625" style="57" customWidth="1"/>
    <col min="541" max="732" width="2.75" style="57"/>
    <col min="733" max="796" width="2.625" style="57" customWidth="1"/>
    <col min="797" max="988" width="2.75" style="57"/>
    <col min="989" max="1052" width="2.625" style="57" customWidth="1"/>
    <col min="1053" max="1244" width="2.75" style="57"/>
    <col min="1245" max="1308" width="2.625" style="57" customWidth="1"/>
    <col min="1309" max="1500" width="2.75" style="57"/>
    <col min="1501" max="1564" width="2.625" style="57" customWidth="1"/>
    <col min="1565" max="1756" width="2.75" style="57"/>
    <col min="1757" max="1820" width="2.625" style="57" customWidth="1"/>
    <col min="1821" max="2012" width="2.75" style="57"/>
    <col min="2013" max="2076" width="2.625" style="57" customWidth="1"/>
    <col min="2077" max="2268" width="2.75" style="57"/>
    <col min="2269" max="2332" width="2.625" style="57" customWidth="1"/>
    <col min="2333" max="2524" width="2.75" style="57"/>
    <col min="2525" max="2588" width="2.625" style="57" customWidth="1"/>
    <col min="2589" max="2780" width="2.75" style="57"/>
    <col min="2781" max="2844" width="2.625" style="57" customWidth="1"/>
    <col min="2845" max="3036" width="2.75" style="57"/>
    <col min="3037" max="3100" width="2.625" style="57" customWidth="1"/>
    <col min="3101" max="3292" width="2.75" style="57"/>
    <col min="3293" max="3356" width="2.625" style="57" customWidth="1"/>
    <col min="3357" max="3548" width="2.75" style="57"/>
    <col min="3549" max="3612" width="2.625" style="57" customWidth="1"/>
    <col min="3613" max="3804" width="2.75" style="57"/>
    <col min="3805" max="3868" width="2.625" style="57" customWidth="1"/>
    <col min="3869" max="4060" width="2.75" style="57"/>
    <col min="4061" max="4124" width="2.625" style="57" customWidth="1"/>
    <col min="4125" max="4316" width="2.75" style="57"/>
    <col min="4317" max="4380" width="2.625" style="57" customWidth="1"/>
    <col min="4381" max="4572" width="2.75" style="57"/>
    <col min="4573" max="4636" width="2.625" style="57" customWidth="1"/>
    <col min="4637" max="4828" width="2.75" style="57"/>
    <col min="4829" max="4892" width="2.625" style="57" customWidth="1"/>
    <col min="4893" max="5084" width="2.75" style="57"/>
    <col min="5085" max="5148" width="2.625" style="57" customWidth="1"/>
    <col min="5149" max="5340" width="2.75" style="57"/>
    <col min="5341" max="5404" width="2.625" style="57" customWidth="1"/>
    <col min="5405" max="5596" width="2.75" style="57"/>
    <col min="5597" max="5660" width="2.625" style="57" customWidth="1"/>
    <col min="5661" max="5852" width="2.75" style="57"/>
    <col min="5853" max="5916" width="2.625" style="57" customWidth="1"/>
    <col min="5917" max="6108" width="2.75" style="57"/>
    <col min="6109" max="6172" width="2.625" style="57" customWidth="1"/>
    <col min="6173" max="6364" width="2.75" style="57"/>
    <col min="6365" max="6428" width="2.625" style="57" customWidth="1"/>
    <col min="6429" max="6620" width="2.75" style="57"/>
    <col min="6621" max="6684" width="2.625" style="57" customWidth="1"/>
    <col min="6685" max="6876" width="2.75" style="57"/>
    <col min="6877" max="6940" width="2.625" style="57" customWidth="1"/>
    <col min="6941" max="7132" width="2.75" style="57"/>
    <col min="7133" max="7196" width="2.625" style="57" customWidth="1"/>
    <col min="7197" max="7388" width="2.75" style="57"/>
    <col min="7389" max="7452" width="2.625" style="57" customWidth="1"/>
    <col min="7453" max="7644" width="2.75" style="57"/>
    <col min="7645" max="7708" width="2.625" style="57" customWidth="1"/>
    <col min="7709" max="7900" width="2.75" style="57"/>
    <col min="7901" max="7964" width="2.625" style="57" customWidth="1"/>
    <col min="7965" max="8156" width="2.75" style="57"/>
    <col min="8157" max="8220" width="2.625" style="57" customWidth="1"/>
    <col min="8221" max="8412" width="2.75" style="57"/>
    <col min="8413" max="8476" width="2.625" style="57" customWidth="1"/>
    <col min="8477" max="8668" width="2.75" style="57"/>
    <col min="8669" max="8732" width="2.625" style="57" customWidth="1"/>
    <col min="8733" max="8924" width="2.75" style="57"/>
    <col min="8925" max="8988" width="2.625" style="57" customWidth="1"/>
    <col min="8989" max="9180" width="2.75" style="57"/>
    <col min="9181" max="9244" width="2.625" style="57" customWidth="1"/>
    <col min="9245" max="9436" width="2.75" style="57"/>
    <col min="9437" max="9500" width="2.625" style="57" customWidth="1"/>
    <col min="9501" max="9692" width="2.75" style="57"/>
    <col min="9693" max="9756" width="2.625" style="57" customWidth="1"/>
    <col min="9757" max="9948" width="2.75" style="57"/>
    <col min="9949" max="10012" width="2.625" style="57" customWidth="1"/>
    <col min="10013" max="10204" width="2.75" style="57"/>
    <col min="10205" max="10268" width="2.625" style="57" customWidth="1"/>
    <col min="10269" max="10460" width="2.75" style="57"/>
    <col min="10461" max="10524" width="2.625" style="57" customWidth="1"/>
    <col min="10525" max="10716" width="2.75" style="57"/>
    <col min="10717" max="10780" width="2.625" style="57" customWidth="1"/>
    <col min="10781" max="10972" width="2.75" style="57"/>
    <col min="10973" max="11036" width="2.625" style="57" customWidth="1"/>
    <col min="11037" max="11228" width="2.75" style="57"/>
    <col min="11229" max="11292" width="2.625" style="57" customWidth="1"/>
    <col min="11293" max="11484" width="2.75" style="57"/>
    <col min="11485" max="11548" width="2.625" style="57" customWidth="1"/>
    <col min="11549" max="11740" width="2.75" style="57"/>
    <col min="11741" max="11804" width="2.625" style="57" customWidth="1"/>
    <col min="11805" max="11996" width="2.75" style="57"/>
    <col min="11997" max="12060" width="2.625" style="57" customWidth="1"/>
    <col min="12061" max="12252" width="2.75" style="57"/>
    <col min="12253" max="12316" width="2.625" style="57" customWidth="1"/>
    <col min="12317" max="12508" width="2.75" style="57"/>
    <col min="12509" max="12572" width="2.625" style="57" customWidth="1"/>
    <col min="12573" max="12764" width="2.75" style="57"/>
    <col min="12765" max="12828" width="2.625" style="57" customWidth="1"/>
    <col min="12829" max="13020" width="2.75" style="57"/>
    <col min="13021" max="13084" width="2.625" style="57" customWidth="1"/>
    <col min="13085" max="13276" width="2.75" style="57"/>
    <col min="13277" max="13340" width="2.625" style="57" customWidth="1"/>
    <col min="13341" max="13532" width="2.75" style="57"/>
    <col min="13533" max="13596" width="2.625" style="57" customWidth="1"/>
    <col min="13597" max="13788" width="2.75" style="57"/>
    <col min="13789" max="13852" width="2.625" style="57" customWidth="1"/>
    <col min="13853" max="14044" width="2.75" style="57"/>
    <col min="14045" max="14108" width="2.625" style="57" customWidth="1"/>
    <col min="14109" max="14300" width="2.75" style="57"/>
    <col min="14301" max="14364" width="2.625" style="57" customWidth="1"/>
    <col min="14365" max="14556" width="2.75" style="57"/>
    <col min="14557" max="14620" width="2.625" style="57" customWidth="1"/>
    <col min="14621" max="14812" width="2.75" style="57"/>
    <col min="14813" max="14876" width="2.625" style="57" customWidth="1"/>
    <col min="14877" max="15068" width="2.75" style="57"/>
    <col min="15069" max="15132" width="2.625" style="57" customWidth="1"/>
    <col min="15133" max="15324" width="2.75" style="57"/>
    <col min="15325" max="15388" width="2.625" style="57" customWidth="1"/>
    <col min="15389" max="15580" width="2.75" style="57"/>
    <col min="15581" max="15644" width="2.625" style="57" customWidth="1"/>
    <col min="15645" max="15836" width="2.75" style="57"/>
    <col min="15837" max="15900" width="2.625" style="57" customWidth="1"/>
    <col min="15901" max="16092" width="2.75" style="57"/>
    <col min="16093" max="16156" width="2.625" style="57" customWidth="1"/>
    <col min="16157" max="16384" width="2.75" style="57"/>
  </cols>
  <sheetData>
    <row r="1" spans="1:66" s="36" customFormat="1" ht="15" customHeight="1">
      <c r="A1" s="350" t="s">
        <v>0</v>
      </c>
      <c r="B1" s="338"/>
      <c r="C1" s="338"/>
      <c r="D1" s="338"/>
      <c r="E1" s="338"/>
      <c r="F1" s="339"/>
      <c r="G1" s="339"/>
      <c r="H1" s="339"/>
      <c r="I1" s="339"/>
      <c r="J1" s="351"/>
      <c r="K1" s="352" t="s">
        <v>1</v>
      </c>
      <c r="L1" s="338"/>
      <c r="M1" s="338"/>
      <c r="N1" s="338"/>
      <c r="O1" s="338"/>
      <c r="P1" s="339"/>
      <c r="Q1" s="339"/>
      <c r="R1" s="339"/>
      <c r="S1" s="339"/>
      <c r="T1" s="339"/>
      <c r="U1" s="353" t="str">
        <f>表紙!S12</f>
        <v>機能一覧</v>
      </c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  <c r="AM1" s="354"/>
      <c r="AN1" s="355"/>
      <c r="AO1" s="356" t="s">
        <v>2</v>
      </c>
      <c r="AP1" s="357"/>
      <c r="AQ1" s="357"/>
      <c r="AR1" s="357"/>
      <c r="AS1" s="357"/>
      <c r="AT1" s="357"/>
      <c r="AU1" s="358" t="s">
        <v>3</v>
      </c>
      <c r="AV1" s="357"/>
      <c r="AW1" s="357"/>
      <c r="AX1" s="357"/>
      <c r="AY1" s="357"/>
      <c r="AZ1" s="357"/>
      <c r="BA1" s="358" t="s">
        <v>4</v>
      </c>
      <c r="BB1" s="357"/>
      <c r="BC1" s="357"/>
      <c r="BD1" s="357"/>
      <c r="BE1" s="357"/>
      <c r="BF1" s="357"/>
      <c r="BG1" s="338" t="s">
        <v>5</v>
      </c>
      <c r="BH1" s="339"/>
      <c r="BI1" s="339"/>
      <c r="BJ1" s="339"/>
      <c r="BK1" s="339"/>
      <c r="BL1" s="340"/>
    </row>
    <row r="2" spans="1:66" s="36" customFormat="1" ht="15" customHeight="1">
      <c r="A2" s="120" t="str">
        <f>表紙!O9</f>
        <v>13期12月対応</v>
      </c>
      <c r="B2" s="121"/>
      <c r="C2" s="121"/>
      <c r="D2" s="121"/>
      <c r="E2" s="121"/>
      <c r="F2" s="122"/>
      <c r="G2" s="122"/>
      <c r="H2" s="122"/>
      <c r="I2" s="122"/>
      <c r="J2" s="123"/>
      <c r="K2" s="128" t="str">
        <f>表紙!O8</f>
        <v>LMS学習管理システム</v>
      </c>
      <c r="L2" s="121"/>
      <c r="M2" s="121"/>
      <c r="N2" s="121"/>
      <c r="O2" s="121"/>
      <c r="P2" s="122"/>
      <c r="Q2" s="122"/>
      <c r="R2" s="122"/>
      <c r="S2" s="122"/>
      <c r="T2" s="129"/>
      <c r="U2" s="132" t="s">
        <v>190</v>
      </c>
      <c r="V2" s="341"/>
      <c r="W2" s="341"/>
      <c r="X2" s="341"/>
      <c r="Y2" s="341"/>
      <c r="Z2" s="341"/>
      <c r="AA2" s="341"/>
      <c r="AB2" s="341"/>
      <c r="AC2" s="341"/>
      <c r="AD2" s="341"/>
      <c r="AE2" s="341"/>
      <c r="AF2" s="341"/>
      <c r="AG2" s="341"/>
      <c r="AH2" s="341"/>
      <c r="AI2" s="341"/>
      <c r="AJ2" s="341"/>
      <c r="AK2" s="341"/>
      <c r="AL2" s="341"/>
      <c r="AM2" s="341"/>
      <c r="AN2" s="342"/>
      <c r="AO2" s="138" t="s">
        <v>191</v>
      </c>
      <c r="AP2" s="346"/>
      <c r="AQ2" s="346"/>
      <c r="AR2" s="346"/>
      <c r="AS2" s="346"/>
      <c r="AT2" s="346"/>
      <c r="AU2" s="349">
        <v>42907</v>
      </c>
      <c r="AV2" s="346"/>
      <c r="AW2" s="346"/>
      <c r="AX2" s="346"/>
      <c r="AY2" s="346"/>
      <c r="AZ2" s="346"/>
      <c r="BA2" s="138" t="s">
        <v>272</v>
      </c>
      <c r="BB2" s="139"/>
      <c r="BC2" s="139"/>
      <c r="BD2" s="139"/>
      <c r="BE2" s="139"/>
      <c r="BF2" s="139"/>
      <c r="BG2" s="143">
        <v>43759</v>
      </c>
      <c r="BH2" s="144"/>
      <c r="BI2" s="144"/>
      <c r="BJ2" s="144"/>
      <c r="BK2" s="144"/>
      <c r="BL2" s="145"/>
    </row>
    <row r="3" spans="1:66" s="36" customFormat="1" ht="15" customHeight="1" thickBot="1">
      <c r="A3" s="124"/>
      <c r="B3" s="125"/>
      <c r="C3" s="125"/>
      <c r="D3" s="125"/>
      <c r="E3" s="125"/>
      <c r="F3" s="126"/>
      <c r="G3" s="126"/>
      <c r="H3" s="126"/>
      <c r="I3" s="126"/>
      <c r="J3" s="127"/>
      <c r="K3" s="130"/>
      <c r="L3" s="125"/>
      <c r="M3" s="125"/>
      <c r="N3" s="125"/>
      <c r="O3" s="125"/>
      <c r="P3" s="126"/>
      <c r="Q3" s="126"/>
      <c r="R3" s="126"/>
      <c r="S3" s="126"/>
      <c r="T3" s="131"/>
      <c r="U3" s="343"/>
      <c r="V3" s="344"/>
      <c r="W3" s="344"/>
      <c r="X3" s="344"/>
      <c r="Y3" s="344"/>
      <c r="Z3" s="344"/>
      <c r="AA3" s="344"/>
      <c r="AB3" s="344"/>
      <c r="AC3" s="344"/>
      <c r="AD3" s="344"/>
      <c r="AE3" s="344"/>
      <c r="AF3" s="344"/>
      <c r="AG3" s="344"/>
      <c r="AH3" s="344"/>
      <c r="AI3" s="344"/>
      <c r="AJ3" s="344"/>
      <c r="AK3" s="344"/>
      <c r="AL3" s="344"/>
      <c r="AM3" s="344"/>
      <c r="AN3" s="345"/>
      <c r="AO3" s="347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140"/>
      <c r="BB3" s="141"/>
      <c r="BC3" s="141"/>
      <c r="BD3" s="141"/>
      <c r="BE3" s="141"/>
      <c r="BF3" s="141"/>
      <c r="BG3" s="146"/>
      <c r="BH3" s="146"/>
      <c r="BI3" s="146"/>
      <c r="BJ3" s="146"/>
      <c r="BK3" s="146"/>
      <c r="BL3" s="147"/>
    </row>
    <row r="4" spans="1:66" s="41" customFormat="1" ht="6.75" customHeight="1" thickBo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8"/>
      <c r="N4" s="38"/>
      <c r="O4" s="38"/>
      <c r="P4" s="38"/>
      <c r="Q4" s="38"/>
      <c r="R4" s="38"/>
      <c r="S4" s="39"/>
      <c r="T4" s="40"/>
      <c r="U4" s="40"/>
      <c r="V4" s="40"/>
      <c r="AV4" s="38"/>
      <c r="AW4" s="38"/>
      <c r="AX4" s="38"/>
      <c r="AY4" s="38"/>
      <c r="AZ4" s="38"/>
      <c r="BA4" s="38"/>
      <c r="BB4" s="39"/>
      <c r="BC4" s="39"/>
      <c r="BD4" s="39"/>
      <c r="BE4" s="39"/>
      <c r="BG4" s="39"/>
      <c r="BH4" s="39"/>
      <c r="BL4" s="37"/>
      <c r="BM4" s="37"/>
      <c r="BN4" s="37"/>
    </row>
    <row r="5" spans="1:66" s="42" customFormat="1" ht="14.25" customHeight="1">
      <c r="A5" s="359" t="s">
        <v>13</v>
      </c>
      <c r="B5" s="360"/>
      <c r="C5" s="364" t="s">
        <v>193</v>
      </c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5"/>
      <c r="O5" s="365"/>
      <c r="P5" s="365"/>
      <c r="Q5" s="365"/>
      <c r="R5" s="365"/>
      <c r="S5" s="365"/>
      <c r="T5" s="365"/>
      <c r="U5" s="365"/>
      <c r="V5" s="366"/>
      <c r="W5" s="332" t="s">
        <v>14</v>
      </c>
      <c r="X5" s="333"/>
      <c r="Y5" s="333"/>
      <c r="Z5" s="333"/>
      <c r="AA5" s="333"/>
      <c r="AB5" s="333"/>
      <c r="AC5" s="333"/>
      <c r="AD5" s="333"/>
      <c r="AE5" s="333"/>
      <c r="AF5" s="333"/>
      <c r="AG5" s="333"/>
      <c r="AH5" s="333"/>
      <c r="AI5" s="333"/>
      <c r="AJ5" s="333"/>
      <c r="AK5" s="334"/>
      <c r="AL5" s="363" t="s">
        <v>239</v>
      </c>
      <c r="AM5" s="333"/>
      <c r="AN5" s="333"/>
      <c r="AO5" s="333"/>
      <c r="AP5" s="333"/>
      <c r="AQ5" s="333"/>
      <c r="AR5" s="333"/>
      <c r="AS5" s="333"/>
      <c r="AT5" s="333"/>
      <c r="AU5" s="333"/>
      <c r="AV5" s="333"/>
      <c r="AW5" s="333"/>
      <c r="AX5" s="333"/>
      <c r="AY5" s="333"/>
      <c r="AZ5" s="333"/>
      <c r="BA5" s="333"/>
      <c r="BB5" s="334"/>
      <c r="BC5" s="376" t="s">
        <v>67</v>
      </c>
      <c r="BD5" s="377"/>
      <c r="BE5" s="377"/>
      <c r="BF5" s="377"/>
      <c r="BG5" s="377"/>
      <c r="BH5" s="377"/>
      <c r="BI5" s="377"/>
      <c r="BJ5" s="377"/>
      <c r="BK5" s="377"/>
      <c r="BL5" s="378"/>
    </row>
    <row r="6" spans="1:66" s="43" customFormat="1" ht="14.25" customHeight="1">
      <c r="A6" s="361"/>
      <c r="B6" s="362"/>
      <c r="C6" s="367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8"/>
      <c r="O6" s="368"/>
      <c r="P6" s="368"/>
      <c r="Q6" s="368"/>
      <c r="R6" s="368"/>
      <c r="S6" s="368"/>
      <c r="T6" s="368"/>
      <c r="U6" s="368"/>
      <c r="V6" s="369"/>
      <c r="W6" s="335"/>
      <c r="X6" s="336"/>
      <c r="Y6" s="336"/>
      <c r="Z6" s="336"/>
      <c r="AA6" s="336"/>
      <c r="AB6" s="336"/>
      <c r="AC6" s="336"/>
      <c r="AD6" s="336"/>
      <c r="AE6" s="336"/>
      <c r="AF6" s="336"/>
      <c r="AG6" s="336"/>
      <c r="AH6" s="336"/>
      <c r="AI6" s="336"/>
      <c r="AJ6" s="336"/>
      <c r="AK6" s="337"/>
      <c r="AL6" s="335"/>
      <c r="AM6" s="336"/>
      <c r="AN6" s="336"/>
      <c r="AO6" s="336"/>
      <c r="AP6" s="336"/>
      <c r="AQ6" s="336"/>
      <c r="AR6" s="336"/>
      <c r="AS6" s="336"/>
      <c r="AT6" s="336"/>
      <c r="AU6" s="336"/>
      <c r="AV6" s="336"/>
      <c r="AW6" s="336"/>
      <c r="AX6" s="336"/>
      <c r="AY6" s="336"/>
      <c r="AZ6" s="336"/>
      <c r="BA6" s="336"/>
      <c r="BB6" s="337"/>
      <c r="BC6" s="331" t="s">
        <v>71</v>
      </c>
      <c r="BD6" s="331"/>
      <c r="BE6" s="331" t="s">
        <v>72</v>
      </c>
      <c r="BF6" s="331"/>
      <c r="BG6" s="331" t="s">
        <v>69</v>
      </c>
      <c r="BH6" s="331"/>
      <c r="BI6" s="331" t="s">
        <v>70</v>
      </c>
      <c r="BJ6" s="331"/>
      <c r="BK6" s="331" t="s">
        <v>68</v>
      </c>
      <c r="BL6" s="331"/>
    </row>
    <row r="7" spans="1:66" s="43" customFormat="1" ht="14.25" customHeight="1">
      <c r="A7" s="304">
        <f ca="1">MAX(A$5:INDIRECT("A"&amp;ROW()-1))+1</f>
        <v>1</v>
      </c>
      <c r="B7" s="305"/>
      <c r="C7" s="264" t="s">
        <v>194</v>
      </c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2"/>
      <c r="W7" s="270" t="s">
        <v>60</v>
      </c>
      <c r="X7" s="271"/>
      <c r="Y7" s="271"/>
      <c r="Z7" s="271"/>
      <c r="AA7" s="271"/>
      <c r="AB7" s="271"/>
      <c r="AC7" s="271"/>
      <c r="AD7" s="271"/>
      <c r="AE7" s="271"/>
      <c r="AF7" s="271"/>
      <c r="AG7" s="271"/>
      <c r="AH7" s="271"/>
      <c r="AI7" s="271"/>
      <c r="AJ7" s="271"/>
      <c r="AK7" s="272"/>
      <c r="AL7" s="270"/>
      <c r="AM7" s="271"/>
      <c r="AN7" s="271"/>
      <c r="AO7" s="271"/>
      <c r="AP7" s="271"/>
      <c r="AQ7" s="271"/>
      <c r="AR7" s="271"/>
      <c r="AS7" s="271"/>
      <c r="AT7" s="271"/>
      <c r="AU7" s="271"/>
      <c r="AV7" s="271"/>
      <c r="AW7" s="271"/>
      <c r="AX7" s="271"/>
      <c r="AY7" s="271"/>
      <c r="AZ7" s="271"/>
      <c r="BA7" s="271"/>
      <c r="BB7" s="272"/>
      <c r="BC7" s="303" t="s">
        <v>73</v>
      </c>
      <c r="BD7" s="303"/>
      <c r="BE7" s="303" t="s">
        <v>73</v>
      </c>
      <c r="BF7" s="303"/>
      <c r="BG7" s="303" t="s">
        <v>73</v>
      </c>
      <c r="BH7" s="303"/>
      <c r="BI7" s="303" t="s">
        <v>73</v>
      </c>
      <c r="BJ7" s="303"/>
      <c r="BK7" s="303" t="s">
        <v>73</v>
      </c>
      <c r="BL7" s="303"/>
    </row>
    <row r="8" spans="1:66" s="43" customFormat="1" ht="14.25" customHeight="1">
      <c r="A8" s="304">
        <f ca="1">MAX(A$5:INDIRECT("A"&amp;ROW()-1))+1</f>
        <v>2</v>
      </c>
      <c r="B8" s="305"/>
      <c r="C8" s="370" t="s">
        <v>195</v>
      </c>
      <c r="D8" s="371"/>
      <c r="E8" s="371"/>
      <c r="F8" s="371"/>
      <c r="G8" s="371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2"/>
      <c r="W8" s="270" t="s">
        <v>93</v>
      </c>
      <c r="X8" s="271"/>
      <c r="Y8" s="271"/>
      <c r="Z8" s="271"/>
      <c r="AA8" s="271"/>
      <c r="AB8" s="271"/>
      <c r="AC8" s="271"/>
      <c r="AD8" s="271"/>
      <c r="AE8" s="271"/>
      <c r="AF8" s="271"/>
      <c r="AG8" s="271"/>
      <c r="AH8" s="271"/>
      <c r="AI8" s="271"/>
      <c r="AJ8" s="271"/>
      <c r="AK8" s="272"/>
      <c r="AL8" s="270"/>
      <c r="AM8" s="271"/>
      <c r="AN8" s="271"/>
      <c r="AO8" s="271"/>
      <c r="AP8" s="271"/>
      <c r="AQ8" s="271"/>
      <c r="AR8" s="271"/>
      <c r="AS8" s="271"/>
      <c r="AT8" s="271"/>
      <c r="AU8" s="271"/>
      <c r="AV8" s="271"/>
      <c r="AW8" s="271"/>
      <c r="AX8" s="271"/>
      <c r="AY8" s="271"/>
      <c r="AZ8" s="271"/>
      <c r="BA8" s="271"/>
      <c r="BB8" s="272"/>
      <c r="BC8" s="303" t="s">
        <v>73</v>
      </c>
      <c r="BD8" s="303"/>
      <c r="BE8" s="303" t="s">
        <v>73</v>
      </c>
      <c r="BF8" s="303"/>
      <c r="BG8" s="303" t="s">
        <v>73</v>
      </c>
      <c r="BH8" s="303"/>
      <c r="BI8" s="303" t="s">
        <v>73</v>
      </c>
      <c r="BJ8" s="303"/>
      <c r="BK8" s="303" t="s">
        <v>73</v>
      </c>
      <c r="BL8" s="303"/>
    </row>
    <row r="9" spans="1:66" s="43" customFormat="1" ht="14.25" customHeight="1">
      <c r="A9" s="304">
        <f ca="1">MAX(A$5:INDIRECT("A"&amp;ROW()-1))+1</f>
        <v>3</v>
      </c>
      <c r="B9" s="305"/>
      <c r="C9" s="373"/>
      <c r="D9" s="374"/>
      <c r="E9" s="374"/>
      <c r="F9" s="374"/>
      <c r="G9" s="374"/>
      <c r="H9" s="374"/>
      <c r="I9" s="374"/>
      <c r="J9" s="374"/>
      <c r="K9" s="374"/>
      <c r="L9" s="374"/>
      <c r="M9" s="374"/>
      <c r="N9" s="374"/>
      <c r="O9" s="374"/>
      <c r="P9" s="374"/>
      <c r="Q9" s="374"/>
      <c r="R9" s="374"/>
      <c r="S9" s="374"/>
      <c r="T9" s="374"/>
      <c r="U9" s="374"/>
      <c r="V9" s="375"/>
      <c r="W9" s="270" t="s">
        <v>94</v>
      </c>
      <c r="X9" s="271"/>
      <c r="Y9" s="271"/>
      <c r="Z9" s="271"/>
      <c r="AA9" s="271"/>
      <c r="AB9" s="271"/>
      <c r="AC9" s="271"/>
      <c r="AD9" s="271"/>
      <c r="AE9" s="271"/>
      <c r="AF9" s="271"/>
      <c r="AG9" s="271"/>
      <c r="AH9" s="271"/>
      <c r="AI9" s="271"/>
      <c r="AJ9" s="271"/>
      <c r="AK9" s="272"/>
      <c r="AL9" s="270"/>
      <c r="AM9" s="271"/>
      <c r="AN9" s="271"/>
      <c r="AO9" s="271"/>
      <c r="AP9" s="271"/>
      <c r="AQ9" s="271"/>
      <c r="AR9" s="271"/>
      <c r="AS9" s="271"/>
      <c r="AT9" s="271"/>
      <c r="AU9" s="271"/>
      <c r="AV9" s="271"/>
      <c r="AW9" s="271"/>
      <c r="AX9" s="271"/>
      <c r="AY9" s="271"/>
      <c r="AZ9" s="271"/>
      <c r="BA9" s="271"/>
      <c r="BB9" s="272"/>
      <c r="BC9" s="273" t="s">
        <v>73</v>
      </c>
      <c r="BD9" s="273"/>
      <c r="BE9" s="273" t="s">
        <v>73</v>
      </c>
      <c r="BF9" s="273"/>
      <c r="BG9" s="273" t="s">
        <v>73</v>
      </c>
      <c r="BH9" s="273"/>
      <c r="BI9" s="273" t="s">
        <v>73</v>
      </c>
      <c r="BJ9" s="273"/>
      <c r="BK9" s="273" t="s">
        <v>73</v>
      </c>
      <c r="BL9" s="273"/>
    </row>
    <row r="10" spans="1:66" s="43" customFormat="1" ht="14.25" customHeight="1">
      <c r="A10" s="304">
        <f ca="1">MAX(A$5:INDIRECT("A"&amp;ROW()-1))+1</f>
        <v>4</v>
      </c>
      <c r="B10" s="305"/>
      <c r="C10" s="277"/>
      <c r="D10" s="278"/>
      <c r="E10" s="278"/>
      <c r="F10" s="278"/>
      <c r="G10" s="278"/>
      <c r="H10" s="278"/>
      <c r="I10" s="278"/>
      <c r="J10" s="278"/>
      <c r="K10" s="278"/>
      <c r="L10" s="278"/>
      <c r="M10" s="278"/>
      <c r="N10" s="278"/>
      <c r="O10" s="278"/>
      <c r="P10" s="278"/>
      <c r="Q10" s="278"/>
      <c r="R10" s="278"/>
      <c r="S10" s="278"/>
      <c r="T10" s="278"/>
      <c r="U10" s="278"/>
      <c r="V10" s="279"/>
      <c r="W10" s="270" t="s">
        <v>94</v>
      </c>
      <c r="X10" s="271"/>
      <c r="Y10" s="271"/>
      <c r="Z10" s="271"/>
      <c r="AA10" s="271"/>
      <c r="AB10" s="271"/>
      <c r="AC10" s="271"/>
      <c r="AD10" s="271"/>
      <c r="AE10" s="271"/>
      <c r="AF10" s="271"/>
      <c r="AG10" s="271"/>
      <c r="AH10" s="271"/>
      <c r="AI10" s="271"/>
      <c r="AJ10" s="271"/>
      <c r="AK10" s="272"/>
      <c r="AL10" s="270"/>
      <c r="AM10" s="271"/>
      <c r="AN10" s="271"/>
      <c r="AO10" s="271"/>
      <c r="AP10" s="271"/>
      <c r="AQ10" s="271"/>
      <c r="AR10" s="271"/>
      <c r="AS10" s="271"/>
      <c r="AT10" s="271"/>
      <c r="AU10" s="271"/>
      <c r="AV10" s="271"/>
      <c r="AW10" s="271"/>
      <c r="AX10" s="271"/>
      <c r="AY10" s="271"/>
      <c r="AZ10" s="271"/>
      <c r="BA10" s="271"/>
      <c r="BB10" s="272"/>
      <c r="BC10" s="273" t="s">
        <v>73</v>
      </c>
      <c r="BD10" s="273"/>
      <c r="BE10" s="273" t="s">
        <v>73</v>
      </c>
      <c r="BF10" s="273"/>
      <c r="BG10" s="273" t="s">
        <v>73</v>
      </c>
      <c r="BH10" s="273"/>
      <c r="BI10" s="273" t="s">
        <v>73</v>
      </c>
      <c r="BJ10" s="273"/>
      <c r="BK10" s="273" t="s">
        <v>73</v>
      </c>
      <c r="BL10" s="273"/>
    </row>
    <row r="11" spans="1:66" s="44" customFormat="1" ht="13.5" customHeight="1">
      <c r="A11" s="304">
        <f ca="1">MAX(A$5:INDIRECT("A"&amp;ROW()-1))+1</f>
        <v>5</v>
      </c>
      <c r="B11" s="305"/>
      <c r="C11" s="283" t="s">
        <v>197</v>
      </c>
      <c r="D11" s="284"/>
      <c r="E11" s="284"/>
      <c r="F11" s="284"/>
      <c r="G11" s="284"/>
      <c r="H11" s="284"/>
      <c r="I11" s="284"/>
      <c r="J11" s="284"/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5"/>
      <c r="W11" s="306" t="s">
        <v>15</v>
      </c>
      <c r="X11" s="307"/>
      <c r="Y11" s="307"/>
      <c r="Z11" s="307"/>
      <c r="AA11" s="307"/>
      <c r="AB11" s="307"/>
      <c r="AC11" s="307"/>
      <c r="AD11" s="307"/>
      <c r="AE11" s="307"/>
      <c r="AF11" s="307"/>
      <c r="AG11" s="307"/>
      <c r="AH11" s="307"/>
      <c r="AI11" s="307"/>
      <c r="AJ11" s="307"/>
      <c r="AK11" s="308"/>
      <c r="AL11" s="309"/>
      <c r="AM11" s="310"/>
      <c r="AN11" s="310"/>
      <c r="AO11" s="310"/>
      <c r="AP11" s="310"/>
      <c r="AQ11" s="310"/>
      <c r="AR11" s="310"/>
      <c r="AS11" s="310"/>
      <c r="AT11" s="310"/>
      <c r="AU11" s="310"/>
      <c r="AV11" s="310"/>
      <c r="AW11" s="310"/>
      <c r="AX11" s="310"/>
      <c r="AY11" s="310"/>
      <c r="AZ11" s="310"/>
      <c r="BA11" s="310"/>
      <c r="BB11" s="311"/>
      <c r="BC11" s="329" t="s">
        <v>76</v>
      </c>
      <c r="BD11" s="330"/>
      <c r="BE11" s="329" t="s">
        <v>76</v>
      </c>
      <c r="BF11" s="330"/>
      <c r="BG11" s="329" t="s">
        <v>76</v>
      </c>
      <c r="BH11" s="330"/>
      <c r="BI11" s="329" t="s">
        <v>76</v>
      </c>
      <c r="BJ11" s="330"/>
      <c r="BK11" s="329" t="s">
        <v>73</v>
      </c>
      <c r="BL11" s="330"/>
    </row>
    <row r="12" spans="1:66" s="43" customFormat="1" ht="14.25" customHeight="1">
      <c r="A12" s="304">
        <f ca="1">MAX(A$5:INDIRECT("A"&amp;ROW()-1))+1</f>
        <v>6</v>
      </c>
      <c r="B12" s="305"/>
      <c r="C12" s="283" t="s">
        <v>223</v>
      </c>
      <c r="D12" s="284"/>
      <c r="E12" s="284"/>
      <c r="F12" s="284"/>
      <c r="G12" s="284"/>
      <c r="H12" s="284"/>
      <c r="I12" s="284"/>
      <c r="J12" s="284"/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5"/>
      <c r="W12" s="270" t="s">
        <v>16</v>
      </c>
      <c r="X12" s="271"/>
      <c r="Y12" s="271"/>
      <c r="Z12" s="271"/>
      <c r="AA12" s="271"/>
      <c r="AB12" s="271"/>
      <c r="AC12" s="271"/>
      <c r="AD12" s="271"/>
      <c r="AE12" s="271"/>
      <c r="AF12" s="271"/>
      <c r="AG12" s="271"/>
      <c r="AH12" s="271"/>
      <c r="AI12" s="271"/>
      <c r="AJ12" s="271"/>
      <c r="AK12" s="272"/>
      <c r="AL12" s="270"/>
      <c r="AM12" s="271"/>
      <c r="AN12" s="271"/>
      <c r="AO12" s="271"/>
      <c r="AP12" s="271"/>
      <c r="AQ12" s="271"/>
      <c r="AR12" s="271"/>
      <c r="AS12" s="271"/>
      <c r="AT12" s="271"/>
      <c r="AU12" s="271"/>
      <c r="AV12" s="271"/>
      <c r="AW12" s="271"/>
      <c r="AX12" s="271"/>
      <c r="AY12" s="271"/>
      <c r="AZ12" s="271"/>
      <c r="BA12" s="271"/>
      <c r="BB12" s="272"/>
      <c r="BC12" s="273" t="s">
        <v>76</v>
      </c>
      <c r="BD12" s="273"/>
      <c r="BE12" s="268" t="s">
        <v>73</v>
      </c>
      <c r="BF12" s="269"/>
      <c r="BG12" s="268" t="s">
        <v>76</v>
      </c>
      <c r="BH12" s="269"/>
      <c r="BI12" s="268" t="s">
        <v>76</v>
      </c>
      <c r="BJ12" s="269"/>
      <c r="BK12" s="268" t="s">
        <v>73</v>
      </c>
      <c r="BL12" s="269"/>
    </row>
    <row r="13" spans="1:66" s="43" customFormat="1" ht="14.25" customHeight="1">
      <c r="A13" s="304">
        <f ca="1">MAX(A$5:INDIRECT("A"&amp;ROW()-1))+1</f>
        <v>7</v>
      </c>
      <c r="B13" s="305"/>
      <c r="C13" s="286"/>
      <c r="D13" s="287"/>
      <c r="E13" s="287"/>
      <c r="F13" s="287"/>
      <c r="G13" s="287"/>
      <c r="H13" s="287"/>
      <c r="I13" s="287"/>
      <c r="J13" s="287"/>
      <c r="K13" s="287"/>
      <c r="L13" s="287"/>
      <c r="M13" s="287"/>
      <c r="N13" s="287"/>
      <c r="O13" s="287"/>
      <c r="P13" s="287"/>
      <c r="Q13" s="287"/>
      <c r="R13" s="287"/>
      <c r="S13" s="287"/>
      <c r="T13" s="287"/>
      <c r="U13" s="287"/>
      <c r="V13" s="288"/>
      <c r="W13" s="270" t="s">
        <v>17</v>
      </c>
      <c r="X13" s="271"/>
      <c r="Y13" s="271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271"/>
      <c r="AK13" s="272"/>
      <c r="AL13" s="270"/>
      <c r="AM13" s="271"/>
      <c r="AN13" s="271"/>
      <c r="AO13" s="271"/>
      <c r="AP13" s="271"/>
      <c r="AQ13" s="271"/>
      <c r="AR13" s="271"/>
      <c r="AS13" s="271"/>
      <c r="AT13" s="271"/>
      <c r="AU13" s="271"/>
      <c r="AV13" s="271"/>
      <c r="AW13" s="271"/>
      <c r="AX13" s="271"/>
      <c r="AY13" s="271"/>
      <c r="AZ13" s="271"/>
      <c r="BA13" s="271"/>
      <c r="BB13" s="272"/>
      <c r="BC13" s="273" t="s">
        <v>73</v>
      </c>
      <c r="BD13" s="273"/>
      <c r="BE13" s="268" t="s">
        <v>73</v>
      </c>
      <c r="BF13" s="269"/>
      <c r="BG13" s="268" t="s">
        <v>76</v>
      </c>
      <c r="BH13" s="269"/>
      <c r="BI13" s="268" t="s">
        <v>76</v>
      </c>
      <c r="BJ13" s="269"/>
      <c r="BK13" s="268" t="s">
        <v>73</v>
      </c>
      <c r="BL13" s="269"/>
    </row>
    <row r="14" spans="1:66" s="43" customFormat="1" ht="14.25" customHeight="1">
      <c r="A14" s="304">
        <f ca="1">MAX(A$5:INDIRECT("A"&amp;ROW()-1))+1</f>
        <v>8</v>
      </c>
      <c r="B14" s="305"/>
      <c r="C14" s="286"/>
      <c r="D14" s="287"/>
      <c r="E14" s="287"/>
      <c r="F14" s="287"/>
      <c r="G14" s="287"/>
      <c r="H14" s="287"/>
      <c r="I14" s="287"/>
      <c r="J14" s="287"/>
      <c r="K14" s="287"/>
      <c r="L14" s="287"/>
      <c r="M14" s="287"/>
      <c r="N14" s="287"/>
      <c r="O14" s="287"/>
      <c r="P14" s="287"/>
      <c r="Q14" s="287"/>
      <c r="R14" s="287"/>
      <c r="S14" s="287"/>
      <c r="T14" s="287"/>
      <c r="U14" s="287"/>
      <c r="V14" s="288"/>
      <c r="W14" s="270" t="s">
        <v>80</v>
      </c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/>
      <c r="AI14" s="271"/>
      <c r="AJ14" s="271"/>
      <c r="AK14" s="272"/>
      <c r="AL14" s="270"/>
      <c r="AM14" s="271"/>
      <c r="AN14" s="271"/>
      <c r="AO14" s="271"/>
      <c r="AP14" s="271"/>
      <c r="AQ14" s="271"/>
      <c r="AR14" s="271"/>
      <c r="AS14" s="271"/>
      <c r="AT14" s="271"/>
      <c r="AU14" s="271"/>
      <c r="AV14" s="271"/>
      <c r="AW14" s="271"/>
      <c r="AX14" s="271"/>
      <c r="AY14" s="271"/>
      <c r="AZ14" s="271"/>
      <c r="BA14" s="271"/>
      <c r="BB14" s="272"/>
      <c r="BC14" s="273" t="s">
        <v>78</v>
      </c>
      <c r="BD14" s="273"/>
      <c r="BE14" s="273" t="s">
        <v>78</v>
      </c>
      <c r="BF14" s="273"/>
      <c r="BG14" s="273" t="s">
        <v>78</v>
      </c>
      <c r="BH14" s="273"/>
      <c r="BI14" s="273" t="s">
        <v>78</v>
      </c>
      <c r="BJ14" s="273"/>
      <c r="BK14" s="268" t="s">
        <v>79</v>
      </c>
      <c r="BL14" s="269"/>
    </row>
    <row r="15" spans="1:66" s="43" customFormat="1" ht="14.25" customHeight="1">
      <c r="A15" s="304">
        <f ca="1">MAX(A$5:INDIRECT("A"&amp;ROW()-1))+1</f>
        <v>9</v>
      </c>
      <c r="B15" s="305"/>
      <c r="C15" s="286"/>
      <c r="D15" s="287"/>
      <c r="E15" s="287"/>
      <c r="F15" s="287"/>
      <c r="G15" s="287"/>
      <c r="H15" s="287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8"/>
      <c r="W15" s="270" t="s">
        <v>81</v>
      </c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2"/>
      <c r="AL15" s="270"/>
      <c r="AM15" s="271"/>
      <c r="AN15" s="271"/>
      <c r="AO15" s="271"/>
      <c r="AP15" s="271"/>
      <c r="AQ15" s="271"/>
      <c r="AR15" s="271"/>
      <c r="AS15" s="271"/>
      <c r="AT15" s="271"/>
      <c r="AU15" s="271"/>
      <c r="AV15" s="271"/>
      <c r="AW15" s="271"/>
      <c r="AX15" s="271"/>
      <c r="AY15" s="271"/>
      <c r="AZ15" s="271"/>
      <c r="BA15" s="271"/>
      <c r="BB15" s="272"/>
      <c r="BC15" s="273" t="s">
        <v>76</v>
      </c>
      <c r="BD15" s="273"/>
      <c r="BE15" s="268" t="s">
        <v>76</v>
      </c>
      <c r="BF15" s="269"/>
      <c r="BG15" s="268" t="s">
        <v>76</v>
      </c>
      <c r="BH15" s="269"/>
      <c r="BI15" s="268" t="s">
        <v>76</v>
      </c>
      <c r="BJ15" s="269"/>
      <c r="BK15" s="268" t="s">
        <v>73</v>
      </c>
      <c r="BL15" s="269"/>
    </row>
    <row r="16" spans="1:66" s="43" customFormat="1" ht="14.25" customHeight="1">
      <c r="A16" s="304">
        <f ca="1">MAX(A$5:INDIRECT("A"&amp;ROW()-1))+1</f>
        <v>10</v>
      </c>
      <c r="B16" s="305"/>
      <c r="C16" s="286"/>
      <c r="D16" s="287"/>
      <c r="E16" s="287"/>
      <c r="F16" s="287"/>
      <c r="G16" s="287"/>
      <c r="H16" s="287"/>
      <c r="I16" s="287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8"/>
      <c r="W16" s="270" t="s">
        <v>82</v>
      </c>
      <c r="X16" s="271"/>
      <c r="Y16" s="271"/>
      <c r="Z16" s="271"/>
      <c r="AA16" s="271"/>
      <c r="AB16" s="271"/>
      <c r="AC16" s="271"/>
      <c r="AD16" s="271"/>
      <c r="AE16" s="271"/>
      <c r="AF16" s="271"/>
      <c r="AG16" s="271"/>
      <c r="AH16" s="271"/>
      <c r="AI16" s="271"/>
      <c r="AJ16" s="271"/>
      <c r="AK16" s="272"/>
      <c r="AL16" s="270"/>
      <c r="AM16" s="271"/>
      <c r="AN16" s="271"/>
      <c r="AO16" s="271"/>
      <c r="AP16" s="271"/>
      <c r="AQ16" s="271"/>
      <c r="AR16" s="271"/>
      <c r="AS16" s="271"/>
      <c r="AT16" s="271"/>
      <c r="AU16" s="271"/>
      <c r="AV16" s="271"/>
      <c r="AW16" s="271"/>
      <c r="AX16" s="271"/>
      <c r="AY16" s="271"/>
      <c r="AZ16" s="271"/>
      <c r="BA16" s="271"/>
      <c r="BB16" s="272"/>
      <c r="BC16" s="273" t="s">
        <v>76</v>
      </c>
      <c r="BD16" s="273"/>
      <c r="BE16" s="268" t="s">
        <v>76</v>
      </c>
      <c r="BF16" s="269"/>
      <c r="BG16" s="268" t="s">
        <v>76</v>
      </c>
      <c r="BH16" s="269"/>
      <c r="BI16" s="268" t="s">
        <v>76</v>
      </c>
      <c r="BJ16" s="269"/>
      <c r="BK16" s="268" t="s">
        <v>73</v>
      </c>
      <c r="BL16" s="269"/>
    </row>
    <row r="17" spans="1:64" s="43" customFormat="1" ht="14.25" customHeight="1">
      <c r="A17" s="304">
        <f ca="1">MAX(A$5:INDIRECT("A"&amp;ROW()-1))+1</f>
        <v>11</v>
      </c>
      <c r="B17" s="305"/>
      <c r="C17" s="286"/>
      <c r="D17" s="287"/>
      <c r="E17" s="287"/>
      <c r="F17" s="287"/>
      <c r="G17" s="287"/>
      <c r="H17" s="287"/>
      <c r="I17" s="287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8"/>
      <c r="W17" s="270" t="s">
        <v>83</v>
      </c>
      <c r="X17" s="271"/>
      <c r="Y17" s="271"/>
      <c r="Z17" s="271"/>
      <c r="AA17" s="271"/>
      <c r="AB17" s="271"/>
      <c r="AC17" s="271"/>
      <c r="AD17" s="271"/>
      <c r="AE17" s="271"/>
      <c r="AF17" s="271"/>
      <c r="AG17" s="271"/>
      <c r="AH17" s="271"/>
      <c r="AI17" s="271"/>
      <c r="AJ17" s="271"/>
      <c r="AK17" s="272"/>
      <c r="AL17" s="264"/>
      <c r="AM17" s="271"/>
      <c r="AN17" s="271"/>
      <c r="AO17" s="271"/>
      <c r="AP17" s="271"/>
      <c r="AQ17" s="271"/>
      <c r="AR17" s="271"/>
      <c r="AS17" s="271"/>
      <c r="AT17" s="271"/>
      <c r="AU17" s="271"/>
      <c r="AV17" s="271"/>
      <c r="AW17" s="271"/>
      <c r="AX17" s="271"/>
      <c r="AY17" s="271"/>
      <c r="AZ17" s="271"/>
      <c r="BA17" s="271"/>
      <c r="BB17" s="272"/>
      <c r="BC17" s="273" t="s">
        <v>76</v>
      </c>
      <c r="BD17" s="273"/>
      <c r="BE17" s="268" t="s">
        <v>76</v>
      </c>
      <c r="BF17" s="269"/>
      <c r="BG17" s="268" t="s">
        <v>76</v>
      </c>
      <c r="BH17" s="269"/>
      <c r="BI17" s="268" t="s">
        <v>76</v>
      </c>
      <c r="BJ17" s="269"/>
      <c r="BK17" s="268" t="s">
        <v>73</v>
      </c>
      <c r="BL17" s="269"/>
    </row>
    <row r="18" spans="1:64" s="43" customFormat="1" ht="14.25" customHeight="1">
      <c r="A18" s="304">
        <f ca="1">MAX(A$5:INDIRECT("A"&amp;ROW()-1))+1</f>
        <v>12</v>
      </c>
      <c r="B18" s="305"/>
      <c r="C18" s="289"/>
      <c r="D18" s="290"/>
      <c r="E18" s="290"/>
      <c r="F18" s="290"/>
      <c r="G18" s="290"/>
      <c r="H18" s="290"/>
      <c r="I18" s="290"/>
      <c r="J18" s="290"/>
      <c r="K18" s="290"/>
      <c r="L18" s="290"/>
      <c r="M18" s="290"/>
      <c r="N18" s="290"/>
      <c r="O18" s="290"/>
      <c r="P18" s="290"/>
      <c r="Q18" s="290"/>
      <c r="R18" s="290"/>
      <c r="S18" s="290"/>
      <c r="T18" s="290"/>
      <c r="U18" s="290"/>
      <c r="V18" s="291"/>
      <c r="W18" s="270" t="s">
        <v>53</v>
      </c>
      <c r="X18" s="271"/>
      <c r="Y18" s="271"/>
      <c r="Z18" s="271"/>
      <c r="AA18" s="271"/>
      <c r="AB18" s="271"/>
      <c r="AC18" s="271"/>
      <c r="AD18" s="271"/>
      <c r="AE18" s="271"/>
      <c r="AF18" s="271"/>
      <c r="AG18" s="271"/>
      <c r="AH18" s="271"/>
      <c r="AI18" s="271"/>
      <c r="AJ18" s="271"/>
      <c r="AK18" s="272"/>
      <c r="AL18" s="270"/>
      <c r="AM18" s="271"/>
      <c r="AN18" s="271"/>
      <c r="AO18" s="271"/>
      <c r="AP18" s="271"/>
      <c r="AQ18" s="271"/>
      <c r="AR18" s="271"/>
      <c r="AS18" s="271"/>
      <c r="AT18" s="271"/>
      <c r="AU18" s="271"/>
      <c r="AV18" s="271"/>
      <c r="AW18" s="271"/>
      <c r="AX18" s="271"/>
      <c r="AY18" s="271"/>
      <c r="AZ18" s="271"/>
      <c r="BA18" s="271"/>
      <c r="BB18" s="272"/>
      <c r="BC18" s="261" t="s">
        <v>79</v>
      </c>
      <c r="BD18" s="261"/>
      <c r="BE18" s="261" t="s">
        <v>79</v>
      </c>
      <c r="BF18" s="261"/>
      <c r="BG18" s="261" t="s">
        <v>76</v>
      </c>
      <c r="BH18" s="261"/>
      <c r="BI18" s="261" t="s">
        <v>76</v>
      </c>
      <c r="BJ18" s="261"/>
      <c r="BK18" s="261" t="s">
        <v>79</v>
      </c>
      <c r="BL18" s="261"/>
    </row>
    <row r="19" spans="1:64" s="43" customFormat="1" ht="14.25" customHeight="1">
      <c r="A19" s="304">
        <f ca="1">MAX(A$5:INDIRECT("A"&amp;ROW()-1))+1</f>
        <v>13</v>
      </c>
      <c r="B19" s="305"/>
      <c r="C19" s="381" t="s">
        <v>196</v>
      </c>
      <c r="D19" s="324"/>
      <c r="E19" s="324"/>
      <c r="F19" s="324"/>
      <c r="G19" s="324"/>
      <c r="H19" s="324"/>
      <c r="I19" s="324"/>
      <c r="J19" s="324"/>
      <c r="K19" s="324"/>
      <c r="L19" s="324"/>
      <c r="M19" s="324"/>
      <c r="N19" s="324"/>
      <c r="O19" s="324"/>
      <c r="P19" s="324"/>
      <c r="Q19" s="324"/>
      <c r="R19" s="324"/>
      <c r="S19" s="324"/>
      <c r="T19" s="324"/>
      <c r="U19" s="324"/>
      <c r="V19" s="325"/>
      <c r="W19" s="323" t="s">
        <v>98</v>
      </c>
      <c r="X19" s="324"/>
      <c r="Y19" s="324"/>
      <c r="Z19" s="324"/>
      <c r="AA19" s="324"/>
      <c r="AB19" s="324"/>
      <c r="AC19" s="324"/>
      <c r="AD19" s="324"/>
      <c r="AE19" s="324"/>
      <c r="AF19" s="324"/>
      <c r="AG19" s="324"/>
      <c r="AH19" s="324"/>
      <c r="AI19" s="324"/>
      <c r="AJ19" s="324"/>
      <c r="AK19" s="325"/>
      <c r="AL19" s="323"/>
      <c r="AM19" s="324"/>
      <c r="AN19" s="324"/>
      <c r="AO19" s="324"/>
      <c r="AP19" s="324"/>
      <c r="AQ19" s="324"/>
      <c r="AR19" s="324"/>
      <c r="AS19" s="324"/>
      <c r="AT19" s="324"/>
      <c r="AU19" s="324"/>
      <c r="AV19" s="324"/>
      <c r="AW19" s="324"/>
      <c r="AX19" s="324"/>
      <c r="AY19" s="324"/>
      <c r="AZ19" s="324"/>
      <c r="BA19" s="324"/>
      <c r="BB19" s="325"/>
      <c r="BC19" s="326" t="s">
        <v>76</v>
      </c>
      <c r="BD19" s="326"/>
      <c r="BE19" s="326" t="s">
        <v>76</v>
      </c>
      <c r="BF19" s="326"/>
      <c r="BG19" s="326" t="s">
        <v>76</v>
      </c>
      <c r="BH19" s="326"/>
      <c r="BI19" s="326" t="s">
        <v>76</v>
      </c>
      <c r="BJ19" s="326"/>
      <c r="BK19" s="327" t="s">
        <v>73</v>
      </c>
      <c r="BL19" s="328"/>
    </row>
    <row r="20" spans="1:64" s="43" customFormat="1" ht="14.25" customHeight="1">
      <c r="A20" s="304">
        <f ca="1">MAX(A$5:INDIRECT("A"&amp;ROW()-1))+1</f>
        <v>14</v>
      </c>
      <c r="B20" s="305"/>
      <c r="C20" s="370" t="s">
        <v>234</v>
      </c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 s="371"/>
      <c r="Q20" s="371"/>
      <c r="R20" s="371"/>
      <c r="S20" s="371"/>
      <c r="T20" s="371"/>
      <c r="U20" s="371"/>
      <c r="V20" s="372"/>
      <c r="W20" s="270" t="s">
        <v>18</v>
      </c>
      <c r="X20" s="271"/>
      <c r="Y20" s="271"/>
      <c r="Z20" s="271"/>
      <c r="AA20" s="271"/>
      <c r="AB20" s="271"/>
      <c r="AC20" s="271"/>
      <c r="AD20" s="271"/>
      <c r="AE20" s="271"/>
      <c r="AF20" s="271"/>
      <c r="AG20" s="271"/>
      <c r="AH20" s="271"/>
      <c r="AI20" s="271"/>
      <c r="AJ20" s="271"/>
      <c r="AK20" s="272"/>
      <c r="AL20" s="270"/>
      <c r="AM20" s="271"/>
      <c r="AN20" s="271"/>
      <c r="AO20" s="271"/>
      <c r="AP20" s="271"/>
      <c r="AQ20" s="271"/>
      <c r="AR20" s="271"/>
      <c r="AS20" s="271"/>
      <c r="AT20" s="271"/>
      <c r="AU20" s="271"/>
      <c r="AV20" s="271"/>
      <c r="AW20" s="271"/>
      <c r="AX20" s="271"/>
      <c r="AY20" s="271"/>
      <c r="AZ20" s="271"/>
      <c r="BA20" s="271"/>
      <c r="BB20" s="272"/>
      <c r="BC20" s="273" t="s">
        <v>76</v>
      </c>
      <c r="BD20" s="273"/>
      <c r="BE20" s="268" t="s">
        <v>76</v>
      </c>
      <c r="BF20" s="269"/>
      <c r="BG20" s="268" t="s">
        <v>76</v>
      </c>
      <c r="BH20" s="269"/>
      <c r="BI20" s="268" t="s">
        <v>76</v>
      </c>
      <c r="BJ20" s="269"/>
      <c r="BK20" s="268" t="s">
        <v>73</v>
      </c>
      <c r="BL20" s="269"/>
    </row>
    <row r="21" spans="1:64" s="43" customFormat="1" ht="14.25" customHeight="1">
      <c r="A21" s="304">
        <f ca="1">MAX(A$5:INDIRECT("A"&amp;ROW()-1))+1</f>
        <v>15</v>
      </c>
      <c r="B21" s="305"/>
      <c r="C21" s="373"/>
      <c r="D21" s="374"/>
      <c r="E21" s="374"/>
      <c r="F21" s="374"/>
      <c r="G21" s="374"/>
      <c r="H21" s="374"/>
      <c r="I21" s="374"/>
      <c r="J21" s="374"/>
      <c r="K21" s="374"/>
      <c r="L21" s="374"/>
      <c r="M21" s="374"/>
      <c r="N21" s="374"/>
      <c r="O21" s="374"/>
      <c r="P21" s="374"/>
      <c r="Q21" s="374"/>
      <c r="R21" s="374"/>
      <c r="S21" s="374"/>
      <c r="T21" s="374"/>
      <c r="U21" s="374"/>
      <c r="V21" s="375"/>
      <c r="W21" s="270" t="s">
        <v>19</v>
      </c>
      <c r="X21" s="271"/>
      <c r="Y21" s="271"/>
      <c r="Z21" s="271"/>
      <c r="AA21" s="271"/>
      <c r="AB21" s="271"/>
      <c r="AC21" s="271"/>
      <c r="AD21" s="271"/>
      <c r="AE21" s="271"/>
      <c r="AF21" s="271"/>
      <c r="AG21" s="271"/>
      <c r="AH21" s="271"/>
      <c r="AI21" s="271"/>
      <c r="AJ21" s="271"/>
      <c r="AK21" s="272"/>
      <c r="AL21" s="270"/>
      <c r="AM21" s="271"/>
      <c r="AN21" s="271"/>
      <c r="AO21" s="271"/>
      <c r="AP21" s="271"/>
      <c r="AQ21" s="271"/>
      <c r="AR21" s="271"/>
      <c r="AS21" s="271"/>
      <c r="AT21" s="271"/>
      <c r="AU21" s="271"/>
      <c r="AV21" s="271"/>
      <c r="AW21" s="271"/>
      <c r="AX21" s="271"/>
      <c r="AY21" s="271"/>
      <c r="AZ21" s="271"/>
      <c r="BA21" s="271"/>
      <c r="BB21" s="272"/>
      <c r="BC21" s="273" t="s">
        <v>76</v>
      </c>
      <c r="BD21" s="273"/>
      <c r="BE21" s="268" t="s">
        <v>76</v>
      </c>
      <c r="BF21" s="269"/>
      <c r="BG21" s="268" t="s">
        <v>76</v>
      </c>
      <c r="BH21" s="269"/>
      <c r="BI21" s="268" t="s">
        <v>76</v>
      </c>
      <c r="BJ21" s="269"/>
      <c r="BK21" s="268" t="s">
        <v>73</v>
      </c>
      <c r="BL21" s="269"/>
    </row>
    <row r="22" spans="1:64" s="43" customFormat="1" ht="14.25" customHeight="1">
      <c r="A22" s="304">
        <f ca="1">MAX(A$5:INDIRECT("A"&amp;ROW()-1))+1</f>
        <v>16</v>
      </c>
      <c r="B22" s="305"/>
      <c r="C22" s="277"/>
      <c r="D22" s="278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9"/>
      <c r="W22" s="270" t="s">
        <v>20</v>
      </c>
      <c r="X22" s="271"/>
      <c r="Y22" s="271"/>
      <c r="Z22" s="271"/>
      <c r="AA22" s="271"/>
      <c r="AB22" s="271"/>
      <c r="AC22" s="271"/>
      <c r="AD22" s="271"/>
      <c r="AE22" s="271"/>
      <c r="AF22" s="271"/>
      <c r="AG22" s="271"/>
      <c r="AH22" s="271"/>
      <c r="AI22" s="271"/>
      <c r="AJ22" s="271"/>
      <c r="AK22" s="272"/>
      <c r="AL22" s="270"/>
      <c r="AM22" s="271"/>
      <c r="AN22" s="271"/>
      <c r="AO22" s="271"/>
      <c r="AP22" s="271"/>
      <c r="AQ22" s="271"/>
      <c r="AR22" s="271"/>
      <c r="AS22" s="271"/>
      <c r="AT22" s="271"/>
      <c r="AU22" s="271"/>
      <c r="AV22" s="271"/>
      <c r="AW22" s="271"/>
      <c r="AX22" s="271"/>
      <c r="AY22" s="271"/>
      <c r="AZ22" s="271"/>
      <c r="BA22" s="271"/>
      <c r="BB22" s="272"/>
      <c r="BC22" s="273" t="s">
        <v>76</v>
      </c>
      <c r="BD22" s="273"/>
      <c r="BE22" s="268" t="s">
        <v>76</v>
      </c>
      <c r="BF22" s="269"/>
      <c r="BG22" s="268" t="s">
        <v>76</v>
      </c>
      <c r="BH22" s="269"/>
      <c r="BI22" s="268" t="s">
        <v>76</v>
      </c>
      <c r="BJ22" s="269"/>
      <c r="BK22" s="268" t="s">
        <v>73</v>
      </c>
      <c r="BL22" s="269"/>
    </row>
    <row r="23" spans="1:64" s="43" customFormat="1" ht="14.25" customHeight="1">
      <c r="A23" s="304">
        <f ca="1">MAX(A$5:INDIRECT("A"&amp;ROW()-1))+1</f>
        <v>17</v>
      </c>
      <c r="B23" s="305"/>
      <c r="C23" s="283" t="s">
        <v>198</v>
      </c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5"/>
      <c r="W23" s="270" t="s">
        <v>18</v>
      </c>
      <c r="X23" s="271"/>
      <c r="Y23" s="271"/>
      <c r="Z23" s="271"/>
      <c r="AA23" s="271"/>
      <c r="AB23" s="271"/>
      <c r="AC23" s="271"/>
      <c r="AD23" s="271"/>
      <c r="AE23" s="271"/>
      <c r="AF23" s="271"/>
      <c r="AG23" s="271"/>
      <c r="AH23" s="271"/>
      <c r="AI23" s="271"/>
      <c r="AJ23" s="271"/>
      <c r="AK23" s="272"/>
      <c r="AL23" s="270"/>
      <c r="AM23" s="271"/>
      <c r="AN23" s="271"/>
      <c r="AO23" s="271"/>
      <c r="AP23" s="271"/>
      <c r="AQ23" s="271"/>
      <c r="AR23" s="271"/>
      <c r="AS23" s="271"/>
      <c r="AT23" s="271"/>
      <c r="AU23" s="271"/>
      <c r="AV23" s="271"/>
      <c r="AW23" s="271"/>
      <c r="AX23" s="271"/>
      <c r="AY23" s="271"/>
      <c r="AZ23" s="271"/>
      <c r="BA23" s="271"/>
      <c r="BB23" s="272"/>
      <c r="BC23" s="268" t="s">
        <v>76</v>
      </c>
      <c r="BD23" s="269"/>
      <c r="BE23" s="268" t="s">
        <v>73</v>
      </c>
      <c r="BF23" s="269"/>
      <c r="BG23" s="268" t="s">
        <v>73</v>
      </c>
      <c r="BH23" s="269"/>
      <c r="BI23" s="268" t="s">
        <v>73</v>
      </c>
      <c r="BJ23" s="269"/>
      <c r="BK23" s="268" t="s">
        <v>73</v>
      </c>
      <c r="BL23" s="269"/>
    </row>
    <row r="24" spans="1:64" s="43" customFormat="1" ht="14.25" customHeight="1">
      <c r="A24" s="304">
        <f ca="1">MAX(A$5:INDIRECT("A"&amp;ROW()-1))+1</f>
        <v>18</v>
      </c>
      <c r="B24" s="305"/>
      <c r="C24" s="286"/>
      <c r="D24" s="287"/>
      <c r="E24" s="287"/>
      <c r="F24" s="287"/>
      <c r="G24" s="287"/>
      <c r="H24" s="287"/>
      <c r="I24" s="287"/>
      <c r="J24" s="287"/>
      <c r="K24" s="287"/>
      <c r="L24" s="287"/>
      <c r="M24" s="287"/>
      <c r="N24" s="287"/>
      <c r="O24" s="287"/>
      <c r="P24" s="287"/>
      <c r="Q24" s="287"/>
      <c r="R24" s="287"/>
      <c r="S24" s="287"/>
      <c r="T24" s="287"/>
      <c r="U24" s="287"/>
      <c r="V24" s="288"/>
      <c r="W24" s="270" t="s">
        <v>64</v>
      </c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2"/>
      <c r="AL24" s="270"/>
      <c r="AM24" s="271"/>
      <c r="AN24" s="271"/>
      <c r="AO24" s="271"/>
      <c r="AP24" s="271"/>
      <c r="AQ24" s="271"/>
      <c r="AR24" s="271"/>
      <c r="AS24" s="271"/>
      <c r="AT24" s="271"/>
      <c r="AU24" s="271"/>
      <c r="AV24" s="271"/>
      <c r="AW24" s="271"/>
      <c r="AX24" s="271"/>
      <c r="AY24" s="271"/>
      <c r="AZ24" s="271"/>
      <c r="BA24" s="271"/>
      <c r="BB24" s="272"/>
      <c r="BC24" s="273" t="s">
        <v>79</v>
      </c>
      <c r="BD24" s="273"/>
      <c r="BE24" s="273" t="s">
        <v>79</v>
      </c>
      <c r="BF24" s="273"/>
      <c r="BG24" s="273" t="s">
        <v>79</v>
      </c>
      <c r="BH24" s="273"/>
      <c r="BI24" s="273" t="s">
        <v>79</v>
      </c>
      <c r="BJ24" s="273"/>
      <c r="BK24" s="273" t="s">
        <v>79</v>
      </c>
      <c r="BL24" s="273"/>
    </row>
    <row r="25" spans="1:64" s="43" customFormat="1" ht="14.25" customHeight="1">
      <c r="A25" s="304">
        <f ca="1">MAX(A$5:INDIRECT("A"&amp;ROW()-1))+1</f>
        <v>19</v>
      </c>
      <c r="B25" s="305"/>
      <c r="C25" s="289"/>
      <c r="D25" s="290"/>
      <c r="E25" s="290"/>
      <c r="F25" s="290"/>
      <c r="G25" s="290"/>
      <c r="H25" s="290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1"/>
      <c r="W25" s="264" t="s">
        <v>65</v>
      </c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2"/>
      <c r="AL25" s="270"/>
      <c r="AM25" s="271"/>
      <c r="AN25" s="271"/>
      <c r="AO25" s="271"/>
      <c r="AP25" s="271"/>
      <c r="AQ25" s="271"/>
      <c r="AR25" s="271"/>
      <c r="AS25" s="271"/>
      <c r="AT25" s="271"/>
      <c r="AU25" s="271"/>
      <c r="AV25" s="271"/>
      <c r="AW25" s="271"/>
      <c r="AX25" s="271"/>
      <c r="AY25" s="271"/>
      <c r="AZ25" s="271"/>
      <c r="BA25" s="271"/>
      <c r="BB25" s="272"/>
      <c r="BC25" s="273" t="s">
        <v>79</v>
      </c>
      <c r="BD25" s="273"/>
      <c r="BE25" s="262" t="s">
        <v>73</v>
      </c>
      <c r="BF25" s="263"/>
      <c r="BG25" s="262" t="s">
        <v>76</v>
      </c>
      <c r="BH25" s="263"/>
      <c r="BI25" s="262" t="s">
        <v>76</v>
      </c>
      <c r="BJ25" s="263"/>
      <c r="BK25" s="262" t="s">
        <v>73</v>
      </c>
      <c r="BL25" s="263"/>
    </row>
    <row r="26" spans="1:64" s="43" customFormat="1" ht="14.25" customHeight="1">
      <c r="A26" s="304">
        <f ca="1">MAX(A$5:INDIRECT("A"&amp;ROW()-1))+1</f>
        <v>20</v>
      </c>
      <c r="B26" s="305"/>
      <c r="C26" s="283" t="s">
        <v>224</v>
      </c>
      <c r="D26" s="284"/>
      <c r="E26" s="284"/>
      <c r="F26" s="284"/>
      <c r="G26" s="284"/>
      <c r="H26" s="284"/>
      <c r="I26" s="284"/>
      <c r="J26" s="284"/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5"/>
      <c r="W26" s="270" t="s">
        <v>21</v>
      </c>
      <c r="X26" s="271"/>
      <c r="Y26" s="271"/>
      <c r="Z26" s="271"/>
      <c r="AA26" s="271"/>
      <c r="AB26" s="271"/>
      <c r="AC26" s="271"/>
      <c r="AD26" s="271"/>
      <c r="AE26" s="271"/>
      <c r="AF26" s="271"/>
      <c r="AG26" s="271"/>
      <c r="AH26" s="271"/>
      <c r="AI26" s="271"/>
      <c r="AJ26" s="271"/>
      <c r="AK26" s="272"/>
      <c r="AL26" s="264"/>
      <c r="AM26" s="271"/>
      <c r="AN26" s="271"/>
      <c r="AO26" s="271"/>
      <c r="AP26" s="271"/>
      <c r="AQ26" s="271"/>
      <c r="AR26" s="271"/>
      <c r="AS26" s="271"/>
      <c r="AT26" s="271"/>
      <c r="AU26" s="271"/>
      <c r="AV26" s="271"/>
      <c r="AW26" s="271"/>
      <c r="AX26" s="271"/>
      <c r="AY26" s="271"/>
      <c r="AZ26" s="271"/>
      <c r="BA26" s="271"/>
      <c r="BB26" s="272"/>
      <c r="BC26" s="268" t="s">
        <v>76</v>
      </c>
      <c r="BD26" s="269"/>
      <c r="BE26" s="268" t="s">
        <v>76</v>
      </c>
      <c r="BF26" s="269"/>
      <c r="BG26" s="268" t="s">
        <v>76</v>
      </c>
      <c r="BH26" s="269"/>
      <c r="BI26" s="268" t="s">
        <v>76</v>
      </c>
      <c r="BJ26" s="269"/>
      <c r="BK26" s="268" t="s">
        <v>84</v>
      </c>
      <c r="BL26" s="269"/>
    </row>
    <row r="27" spans="1:64" s="43" customFormat="1" ht="14.25" customHeight="1">
      <c r="A27" s="304">
        <f ca="1">MAX(A$5:INDIRECT("A"&amp;ROW()-1))+1</f>
        <v>21</v>
      </c>
      <c r="B27" s="305"/>
      <c r="C27" s="286"/>
      <c r="D27" s="287"/>
      <c r="E27" s="287"/>
      <c r="F27" s="287"/>
      <c r="G27" s="287"/>
      <c r="H27" s="287"/>
      <c r="I27" s="287"/>
      <c r="J27" s="287"/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/>
      <c r="V27" s="288"/>
      <c r="W27" s="270" t="s">
        <v>22</v>
      </c>
      <c r="X27" s="271"/>
      <c r="Y27" s="271"/>
      <c r="Z27" s="271"/>
      <c r="AA27" s="271"/>
      <c r="AB27" s="271"/>
      <c r="AC27" s="271"/>
      <c r="AD27" s="271"/>
      <c r="AE27" s="271"/>
      <c r="AF27" s="271"/>
      <c r="AG27" s="271"/>
      <c r="AH27" s="271"/>
      <c r="AI27" s="271"/>
      <c r="AJ27" s="271"/>
      <c r="AK27" s="272"/>
      <c r="AL27" s="264"/>
      <c r="AM27" s="271"/>
      <c r="AN27" s="271"/>
      <c r="AO27" s="271"/>
      <c r="AP27" s="271"/>
      <c r="AQ27" s="271"/>
      <c r="AR27" s="271"/>
      <c r="AS27" s="271"/>
      <c r="AT27" s="271"/>
      <c r="AU27" s="271"/>
      <c r="AV27" s="271"/>
      <c r="AW27" s="271"/>
      <c r="AX27" s="271"/>
      <c r="AY27" s="271"/>
      <c r="AZ27" s="271"/>
      <c r="BA27" s="271"/>
      <c r="BB27" s="272"/>
      <c r="BC27" s="268" t="s">
        <v>76</v>
      </c>
      <c r="BD27" s="269"/>
      <c r="BE27" s="268" t="s">
        <v>76</v>
      </c>
      <c r="BF27" s="269"/>
      <c r="BG27" s="268" t="s">
        <v>76</v>
      </c>
      <c r="BH27" s="269"/>
      <c r="BI27" s="268" t="s">
        <v>76</v>
      </c>
      <c r="BJ27" s="269"/>
      <c r="BK27" s="268" t="s">
        <v>84</v>
      </c>
      <c r="BL27" s="269"/>
    </row>
    <row r="28" spans="1:64" s="43" customFormat="1" ht="14.25" customHeight="1">
      <c r="A28" s="304">
        <f ca="1">MAX(A$5:INDIRECT("A"&amp;ROW()-1))+1</f>
        <v>22</v>
      </c>
      <c r="B28" s="305"/>
      <c r="C28" s="289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0"/>
      <c r="P28" s="290"/>
      <c r="Q28" s="290"/>
      <c r="R28" s="290"/>
      <c r="S28" s="290"/>
      <c r="T28" s="290"/>
      <c r="U28" s="290"/>
      <c r="V28" s="291"/>
      <c r="W28" s="270" t="s">
        <v>24</v>
      </c>
      <c r="X28" s="271"/>
      <c r="Y28" s="271"/>
      <c r="Z28" s="271"/>
      <c r="AA28" s="271"/>
      <c r="AB28" s="271"/>
      <c r="AC28" s="271"/>
      <c r="AD28" s="271"/>
      <c r="AE28" s="271"/>
      <c r="AF28" s="271"/>
      <c r="AG28" s="271"/>
      <c r="AH28" s="271"/>
      <c r="AI28" s="271"/>
      <c r="AJ28" s="271"/>
      <c r="AK28" s="272"/>
      <c r="AL28" s="264"/>
      <c r="AM28" s="271"/>
      <c r="AN28" s="271"/>
      <c r="AO28" s="271"/>
      <c r="AP28" s="271"/>
      <c r="AQ28" s="271"/>
      <c r="AR28" s="271"/>
      <c r="AS28" s="271"/>
      <c r="AT28" s="271"/>
      <c r="AU28" s="271"/>
      <c r="AV28" s="271"/>
      <c r="AW28" s="271"/>
      <c r="AX28" s="271"/>
      <c r="AY28" s="271"/>
      <c r="AZ28" s="271"/>
      <c r="BA28" s="271"/>
      <c r="BB28" s="272"/>
      <c r="BC28" s="268" t="s">
        <v>76</v>
      </c>
      <c r="BD28" s="269"/>
      <c r="BE28" s="268" t="s">
        <v>76</v>
      </c>
      <c r="BF28" s="269"/>
      <c r="BG28" s="268" t="s">
        <v>76</v>
      </c>
      <c r="BH28" s="269"/>
      <c r="BI28" s="268" t="s">
        <v>76</v>
      </c>
      <c r="BJ28" s="269"/>
      <c r="BK28" s="268" t="s">
        <v>84</v>
      </c>
      <c r="BL28" s="269"/>
    </row>
    <row r="29" spans="1:64" s="43" customFormat="1" ht="14.25" customHeight="1">
      <c r="A29" s="304">
        <f ca="1">MAX(A$5:INDIRECT("A"&amp;ROW()-1))+1</f>
        <v>23</v>
      </c>
      <c r="B29" s="305"/>
      <c r="C29" s="264" t="s">
        <v>235</v>
      </c>
      <c r="D29" s="271"/>
      <c r="E29" s="271"/>
      <c r="F29" s="271"/>
      <c r="G29" s="271"/>
      <c r="H29" s="271"/>
      <c r="I29" s="271"/>
      <c r="J29" s="271"/>
      <c r="K29" s="271"/>
      <c r="L29" s="271"/>
      <c r="M29" s="271"/>
      <c r="N29" s="271"/>
      <c r="O29" s="271"/>
      <c r="P29" s="271"/>
      <c r="Q29" s="271"/>
      <c r="R29" s="271"/>
      <c r="S29" s="271"/>
      <c r="T29" s="271"/>
      <c r="U29" s="271"/>
      <c r="V29" s="272"/>
      <c r="W29" s="270" t="s">
        <v>23</v>
      </c>
      <c r="X29" s="271"/>
      <c r="Y29" s="271"/>
      <c r="Z29" s="271"/>
      <c r="AA29" s="271"/>
      <c r="AB29" s="271"/>
      <c r="AC29" s="271"/>
      <c r="AD29" s="271"/>
      <c r="AE29" s="271"/>
      <c r="AF29" s="271"/>
      <c r="AG29" s="271"/>
      <c r="AH29" s="271"/>
      <c r="AI29" s="271"/>
      <c r="AJ29" s="271"/>
      <c r="AK29" s="272"/>
      <c r="AL29" s="270"/>
      <c r="AM29" s="271"/>
      <c r="AN29" s="271"/>
      <c r="AO29" s="271"/>
      <c r="AP29" s="271"/>
      <c r="AQ29" s="271"/>
      <c r="AR29" s="271"/>
      <c r="AS29" s="271"/>
      <c r="AT29" s="271"/>
      <c r="AU29" s="271"/>
      <c r="AV29" s="271"/>
      <c r="AW29" s="271"/>
      <c r="AX29" s="271"/>
      <c r="AY29" s="271"/>
      <c r="AZ29" s="271"/>
      <c r="BA29" s="271"/>
      <c r="BB29" s="272"/>
      <c r="BC29" s="273" t="s">
        <v>78</v>
      </c>
      <c r="BD29" s="273"/>
      <c r="BE29" s="268" t="s">
        <v>84</v>
      </c>
      <c r="BF29" s="269"/>
      <c r="BG29" s="268" t="s">
        <v>76</v>
      </c>
      <c r="BH29" s="269"/>
      <c r="BI29" s="268" t="s">
        <v>76</v>
      </c>
      <c r="BJ29" s="269"/>
      <c r="BK29" s="268" t="s">
        <v>79</v>
      </c>
      <c r="BL29" s="269"/>
    </row>
    <row r="30" spans="1:64" s="43" customFormat="1" ht="14.25" customHeight="1">
      <c r="A30" s="387">
        <f ca="1">MAX(A$5:INDIRECT("A"&amp;ROW()-1))+1</f>
        <v>24</v>
      </c>
      <c r="B30" s="213"/>
      <c r="C30" s="252" t="s">
        <v>279</v>
      </c>
      <c r="D30" s="253"/>
      <c r="E30" s="253"/>
      <c r="F30" s="253"/>
      <c r="G30" s="253"/>
      <c r="H30" s="253"/>
      <c r="I30" s="253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3"/>
      <c r="U30" s="253"/>
      <c r="V30" s="254"/>
      <c r="W30" s="252" t="s">
        <v>280</v>
      </c>
      <c r="X30" s="253"/>
      <c r="Y30" s="253"/>
      <c r="Z30" s="253"/>
      <c r="AA30" s="253"/>
      <c r="AB30" s="253"/>
      <c r="AC30" s="253"/>
      <c r="AD30" s="253"/>
      <c r="AE30" s="253"/>
      <c r="AF30" s="253"/>
      <c r="AG30" s="253"/>
      <c r="AH30" s="253"/>
      <c r="AI30" s="253"/>
      <c r="AJ30" s="253"/>
      <c r="AK30" s="254"/>
      <c r="AL30" s="252"/>
      <c r="AM30" s="253"/>
      <c r="AN30" s="253"/>
      <c r="AO30" s="253"/>
      <c r="AP30" s="253"/>
      <c r="AQ30" s="253"/>
      <c r="AR30" s="253"/>
      <c r="AS30" s="253"/>
      <c r="AT30" s="253"/>
      <c r="AU30" s="253"/>
      <c r="AV30" s="253"/>
      <c r="AW30" s="253"/>
      <c r="AX30" s="253"/>
      <c r="AY30" s="253"/>
      <c r="AZ30" s="253"/>
      <c r="BA30" s="253"/>
      <c r="BB30" s="254"/>
      <c r="BC30" s="249" t="s">
        <v>76</v>
      </c>
      <c r="BD30" s="249"/>
      <c r="BE30" s="250" t="s">
        <v>73</v>
      </c>
      <c r="BF30" s="251"/>
      <c r="BG30" s="250" t="s">
        <v>76</v>
      </c>
      <c r="BH30" s="251"/>
      <c r="BI30" s="250" t="s">
        <v>76</v>
      </c>
      <c r="BJ30" s="251"/>
      <c r="BK30" s="250" t="s">
        <v>73</v>
      </c>
      <c r="BL30" s="251"/>
    </row>
    <row r="31" spans="1:64" s="43" customFormat="1" ht="14.25" customHeight="1">
      <c r="A31" s="304">
        <f ca="1">MAX(A$5:INDIRECT("A"&amp;ROW()-1))+1</f>
        <v>25</v>
      </c>
      <c r="B31" s="305"/>
      <c r="C31" s="264" t="s">
        <v>225</v>
      </c>
      <c r="D31" s="271"/>
      <c r="E31" s="271"/>
      <c r="F31" s="271"/>
      <c r="G31" s="271"/>
      <c r="H31" s="271"/>
      <c r="I31" s="271"/>
      <c r="J31" s="271"/>
      <c r="K31" s="271"/>
      <c r="L31" s="271"/>
      <c r="M31" s="271"/>
      <c r="N31" s="271"/>
      <c r="O31" s="271"/>
      <c r="P31" s="271"/>
      <c r="Q31" s="271"/>
      <c r="R31" s="271"/>
      <c r="S31" s="271"/>
      <c r="T31" s="271"/>
      <c r="U31" s="271"/>
      <c r="V31" s="272"/>
      <c r="W31" s="270" t="s">
        <v>85</v>
      </c>
      <c r="X31" s="271"/>
      <c r="Y31" s="271"/>
      <c r="Z31" s="271"/>
      <c r="AA31" s="271"/>
      <c r="AB31" s="271"/>
      <c r="AC31" s="271"/>
      <c r="AD31" s="271"/>
      <c r="AE31" s="271"/>
      <c r="AF31" s="271"/>
      <c r="AG31" s="271"/>
      <c r="AH31" s="271"/>
      <c r="AI31" s="271"/>
      <c r="AJ31" s="271"/>
      <c r="AK31" s="272"/>
      <c r="AL31" s="270"/>
      <c r="AM31" s="271"/>
      <c r="AN31" s="271"/>
      <c r="AO31" s="271"/>
      <c r="AP31" s="271"/>
      <c r="AQ31" s="271"/>
      <c r="AR31" s="271"/>
      <c r="AS31" s="271"/>
      <c r="AT31" s="271"/>
      <c r="AU31" s="271"/>
      <c r="AV31" s="271"/>
      <c r="AW31" s="271"/>
      <c r="AX31" s="271"/>
      <c r="AY31" s="271"/>
      <c r="AZ31" s="271"/>
      <c r="BA31" s="271"/>
      <c r="BB31" s="272"/>
      <c r="BC31" s="273" t="s">
        <v>76</v>
      </c>
      <c r="BD31" s="273"/>
      <c r="BE31" s="268" t="s">
        <v>76</v>
      </c>
      <c r="BF31" s="269"/>
      <c r="BG31" s="268" t="s">
        <v>76</v>
      </c>
      <c r="BH31" s="269"/>
      <c r="BI31" s="268" t="s">
        <v>76</v>
      </c>
      <c r="BJ31" s="269"/>
      <c r="BK31" s="268" t="s">
        <v>73</v>
      </c>
      <c r="BL31" s="269"/>
    </row>
    <row r="32" spans="1:64" s="43" customFormat="1" ht="14.25" customHeight="1">
      <c r="A32" s="304">
        <f ca="1">MAX(A$5:INDIRECT("A"&amp;ROW()-1))+1</f>
        <v>26</v>
      </c>
      <c r="B32" s="305"/>
      <c r="C32" s="283" t="s">
        <v>222</v>
      </c>
      <c r="D32" s="284"/>
      <c r="E32" s="284"/>
      <c r="F32" s="284"/>
      <c r="G32" s="284"/>
      <c r="H32" s="284"/>
      <c r="I32" s="284"/>
      <c r="J32" s="284"/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5"/>
      <c r="W32" s="270" t="s">
        <v>38</v>
      </c>
      <c r="X32" s="271"/>
      <c r="Y32" s="271"/>
      <c r="Z32" s="271"/>
      <c r="AA32" s="271"/>
      <c r="AB32" s="271"/>
      <c r="AC32" s="271"/>
      <c r="AD32" s="271"/>
      <c r="AE32" s="271"/>
      <c r="AF32" s="271"/>
      <c r="AG32" s="271"/>
      <c r="AH32" s="271"/>
      <c r="AI32" s="271"/>
      <c r="AJ32" s="271"/>
      <c r="AK32" s="272"/>
      <c r="AL32" s="270"/>
      <c r="AM32" s="271"/>
      <c r="AN32" s="271"/>
      <c r="AO32" s="271"/>
      <c r="AP32" s="271"/>
      <c r="AQ32" s="271"/>
      <c r="AR32" s="271"/>
      <c r="AS32" s="271"/>
      <c r="AT32" s="271"/>
      <c r="AU32" s="271"/>
      <c r="AV32" s="271"/>
      <c r="AW32" s="271"/>
      <c r="AX32" s="271"/>
      <c r="AY32" s="271"/>
      <c r="AZ32" s="271"/>
      <c r="BA32" s="271"/>
      <c r="BB32" s="272"/>
      <c r="BC32" s="273" t="s">
        <v>76</v>
      </c>
      <c r="BD32" s="273"/>
      <c r="BE32" s="273" t="s">
        <v>76</v>
      </c>
      <c r="BF32" s="273"/>
      <c r="BG32" s="273" t="s">
        <v>76</v>
      </c>
      <c r="BH32" s="273"/>
      <c r="BI32" s="273" t="s">
        <v>76</v>
      </c>
      <c r="BJ32" s="273"/>
      <c r="BK32" s="268" t="s">
        <v>73</v>
      </c>
      <c r="BL32" s="269"/>
    </row>
    <row r="33" spans="1:64" s="43" customFormat="1" ht="14.25" customHeight="1">
      <c r="A33" s="304">
        <f ca="1">MAX(A$5:INDIRECT("A"&amp;ROW()-1))+1</f>
        <v>27</v>
      </c>
      <c r="B33" s="305"/>
      <c r="C33" s="286"/>
      <c r="D33" s="287"/>
      <c r="E33" s="287"/>
      <c r="F33" s="287"/>
      <c r="G33" s="287"/>
      <c r="H33" s="287"/>
      <c r="I33" s="287"/>
      <c r="J33" s="287"/>
      <c r="K33" s="287"/>
      <c r="L33" s="287"/>
      <c r="M33" s="287"/>
      <c r="N33" s="287"/>
      <c r="O33" s="287"/>
      <c r="P33" s="287"/>
      <c r="Q33" s="287"/>
      <c r="R33" s="287"/>
      <c r="S33" s="287"/>
      <c r="T33" s="287"/>
      <c r="U33" s="287"/>
      <c r="V33" s="288"/>
      <c r="W33" s="58" t="s">
        <v>36</v>
      </c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60"/>
      <c r="AL33" s="270"/>
      <c r="AM33" s="271"/>
      <c r="AN33" s="271"/>
      <c r="AO33" s="271"/>
      <c r="AP33" s="271"/>
      <c r="AQ33" s="271"/>
      <c r="AR33" s="271"/>
      <c r="AS33" s="271"/>
      <c r="AT33" s="271"/>
      <c r="AU33" s="271"/>
      <c r="AV33" s="271"/>
      <c r="AW33" s="271"/>
      <c r="AX33" s="271"/>
      <c r="AY33" s="271"/>
      <c r="AZ33" s="271"/>
      <c r="BA33" s="271"/>
      <c r="BB33" s="272"/>
      <c r="BC33" s="273" t="s">
        <v>76</v>
      </c>
      <c r="BD33" s="273"/>
      <c r="BE33" s="273" t="s">
        <v>76</v>
      </c>
      <c r="BF33" s="273"/>
      <c r="BG33" s="273" t="s">
        <v>76</v>
      </c>
      <c r="BH33" s="273"/>
      <c r="BI33" s="273" t="s">
        <v>76</v>
      </c>
      <c r="BJ33" s="273"/>
      <c r="BK33" s="268" t="s">
        <v>73</v>
      </c>
      <c r="BL33" s="269"/>
    </row>
    <row r="34" spans="1:64" s="43" customFormat="1" ht="14.25" customHeight="1">
      <c r="A34" s="304">
        <f ca="1">MAX(A$5:INDIRECT("A"&amp;ROW()-1))+1</f>
        <v>28</v>
      </c>
      <c r="B34" s="305"/>
      <c r="C34" s="286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287"/>
      <c r="P34" s="287"/>
      <c r="Q34" s="287"/>
      <c r="R34" s="287"/>
      <c r="S34" s="287"/>
      <c r="T34" s="287"/>
      <c r="U34" s="287"/>
      <c r="V34" s="288"/>
      <c r="W34" s="58" t="s">
        <v>37</v>
      </c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60"/>
      <c r="AL34" s="270"/>
      <c r="AM34" s="271"/>
      <c r="AN34" s="271"/>
      <c r="AO34" s="271"/>
      <c r="AP34" s="271"/>
      <c r="AQ34" s="271"/>
      <c r="AR34" s="271"/>
      <c r="AS34" s="271"/>
      <c r="AT34" s="271"/>
      <c r="AU34" s="271"/>
      <c r="AV34" s="271"/>
      <c r="AW34" s="271"/>
      <c r="AX34" s="271"/>
      <c r="AY34" s="271"/>
      <c r="AZ34" s="271"/>
      <c r="BA34" s="271"/>
      <c r="BB34" s="272"/>
      <c r="BC34" s="273" t="s">
        <v>76</v>
      </c>
      <c r="BD34" s="273"/>
      <c r="BE34" s="273" t="s">
        <v>76</v>
      </c>
      <c r="BF34" s="273"/>
      <c r="BG34" s="273" t="s">
        <v>76</v>
      </c>
      <c r="BH34" s="273"/>
      <c r="BI34" s="273" t="s">
        <v>76</v>
      </c>
      <c r="BJ34" s="273"/>
      <c r="BK34" s="268" t="s">
        <v>73</v>
      </c>
      <c r="BL34" s="269"/>
    </row>
    <row r="35" spans="1:64" s="43" customFormat="1" ht="14.25" customHeight="1">
      <c r="A35" s="304">
        <f ca="1">MAX(A$5:INDIRECT("A"&amp;ROW()-1))+1</f>
        <v>29</v>
      </c>
      <c r="B35" s="305"/>
      <c r="C35" s="286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287"/>
      <c r="P35" s="287"/>
      <c r="Q35" s="287"/>
      <c r="R35" s="287"/>
      <c r="S35" s="287"/>
      <c r="T35" s="287"/>
      <c r="U35" s="287"/>
      <c r="V35" s="288"/>
      <c r="W35" s="270" t="s">
        <v>88</v>
      </c>
      <c r="X35" s="271"/>
      <c r="Y35" s="271"/>
      <c r="Z35" s="271"/>
      <c r="AA35" s="271"/>
      <c r="AB35" s="271"/>
      <c r="AC35" s="271"/>
      <c r="AD35" s="271"/>
      <c r="AE35" s="271"/>
      <c r="AF35" s="271"/>
      <c r="AG35" s="271"/>
      <c r="AH35" s="271"/>
      <c r="AI35" s="271"/>
      <c r="AJ35" s="271"/>
      <c r="AK35" s="272"/>
      <c r="AL35" s="270"/>
      <c r="AM35" s="271"/>
      <c r="AN35" s="271"/>
      <c r="AO35" s="271"/>
      <c r="AP35" s="271"/>
      <c r="AQ35" s="271"/>
      <c r="AR35" s="271"/>
      <c r="AS35" s="271"/>
      <c r="AT35" s="271"/>
      <c r="AU35" s="271"/>
      <c r="AV35" s="271"/>
      <c r="AW35" s="271"/>
      <c r="AX35" s="271"/>
      <c r="AY35" s="271"/>
      <c r="AZ35" s="271"/>
      <c r="BA35" s="271"/>
      <c r="BB35" s="272"/>
      <c r="BC35" s="273" t="s">
        <v>76</v>
      </c>
      <c r="BD35" s="273"/>
      <c r="BE35" s="273" t="s">
        <v>76</v>
      </c>
      <c r="BF35" s="273"/>
      <c r="BG35" s="273" t="s">
        <v>76</v>
      </c>
      <c r="BH35" s="273"/>
      <c r="BI35" s="273" t="s">
        <v>76</v>
      </c>
      <c r="BJ35" s="273"/>
      <c r="BK35" s="268" t="s">
        <v>73</v>
      </c>
      <c r="BL35" s="269"/>
    </row>
    <row r="36" spans="1:64" s="43" customFormat="1" ht="14.25" customHeight="1">
      <c r="A36" s="304">
        <f ca="1">MAX(A$5:INDIRECT("A"&amp;ROW()-1))+1</f>
        <v>30</v>
      </c>
      <c r="B36" s="305"/>
      <c r="C36" s="286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8"/>
      <c r="W36" s="270" t="s">
        <v>89</v>
      </c>
      <c r="X36" s="271"/>
      <c r="Y36" s="271"/>
      <c r="Z36" s="271"/>
      <c r="AA36" s="271"/>
      <c r="AB36" s="271"/>
      <c r="AC36" s="271"/>
      <c r="AD36" s="271"/>
      <c r="AE36" s="271"/>
      <c r="AF36" s="271"/>
      <c r="AG36" s="271"/>
      <c r="AH36" s="271"/>
      <c r="AI36" s="271"/>
      <c r="AJ36" s="271"/>
      <c r="AK36" s="272"/>
      <c r="AL36" s="270"/>
      <c r="AM36" s="271"/>
      <c r="AN36" s="271"/>
      <c r="AO36" s="271"/>
      <c r="AP36" s="271"/>
      <c r="AQ36" s="271"/>
      <c r="AR36" s="271"/>
      <c r="AS36" s="271"/>
      <c r="AT36" s="271"/>
      <c r="AU36" s="271"/>
      <c r="AV36" s="271"/>
      <c r="AW36" s="271"/>
      <c r="AX36" s="271"/>
      <c r="AY36" s="271"/>
      <c r="AZ36" s="271"/>
      <c r="BA36" s="271"/>
      <c r="BB36" s="272"/>
      <c r="BC36" s="273" t="s">
        <v>76</v>
      </c>
      <c r="BD36" s="273"/>
      <c r="BE36" s="273" t="s">
        <v>76</v>
      </c>
      <c r="BF36" s="273"/>
      <c r="BG36" s="273" t="s">
        <v>76</v>
      </c>
      <c r="BH36" s="273"/>
      <c r="BI36" s="273" t="s">
        <v>76</v>
      </c>
      <c r="BJ36" s="273"/>
      <c r="BK36" s="268" t="s">
        <v>73</v>
      </c>
      <c r="BL36" s="269"/>
    </row>
    <row r="37" spans="1:64" s="43" customFormat="1" ht="14.25" customHeight="1">
      <c r="A37" s="304">
        <f ca="1">MAX(A$5:INDIRECT("A"&amp;ROW()-1))+1</f>
        <v>31</v>
      </c>
      <c r="B37" s="305"/>
      <c r="C37" s="286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8"/>
      <c r="W37" s="270" t="s">
        <v>30</v>
      </c>
      <c r="X37" s="271"/>
      <c r="Y37" s="271"/>
      <c r="Z37" s="271"/>
      <c r="AA37" s="271"/>
      <c r="AB37" s="271"/>
      <c r="AC37" s="271"/>
      <c r="AD37" s="271"/>
      <c r="AE37" s="271"/>
      <c r="AF37" s="271"/>
      <c r="AG37" s="271"/>
      <c r="AH37" s="271"/>
      <c r="AI37" s="271"/>
      <c r="AJ37" s="271"/>
      <c r="AK37" s="272"/>
      <c r="AL37" s="270"/>
      <c r="AM37" s="271"/>
      <c r="AN37" s="271"/>
      <c r="AO37" s="271"/>
      <c r="AP37" s="271"/>
      <c r="AQ37" s="271"/>
      <c r="AR37" s="271"/>
      <c r="AS37" s="271"/>
      <c r="AT37" s="271"/>
      <c r="AU37" s="271"/>
      <c r="AV37" s="271"/>
      <c r="AW37" s="271"/>
      <c r="AX37" s="271"/>
      <c r="AY37" s="271"/>
      <c r="AZ37" s="271"/>
      <c r="BA37" s="271"/>
      <c r="BB37" s="272"/>
      <c r="BC37" s="273" t="s">
        <v>76</v>
      </c>
      <c r="BD37" s="273"/>
      <c r="BE37" s="273" t="s">
        <v>76</v>
      </c>
      <c r="BF37" s="273"/>
      <c r="BG37" s="273" t="s">
        <v>76</v>
      </c>
      <c r="BH37" s="273"/>
      <c r="BI37" s="273" t="s">
        <v>76</v>
      </c>
      <c r="BJ37" s="273"/>
      <c r="BK37" s="268" t="s">
        <v>73</v>
      </c>
      <c r="BL37" s="269"/>
    </row>
    <row r="38" spans="1:64" s="43" customFormat="1" ht="14.25" customHeight="1">
      <c r="A38" s="304">
        <f ca="1">MAX(A$5:INDIRECT("A"&amp;ROW()-1))+1</f>
        <v>32</v>
      </c>
      <c r="B38" s="305"/>
      <c r="C38" s="286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87"/>
      <c r="P38" s="287"/>
      <c r="Q38" s="287"/>
      <c r="R38" s="287"/>
      <c r="S38" s="287"/>
      <c r="T38" s="287"/>
      <c r="U38" s="287"/>
      <c r="V38" s="288"/>
      <c r="W38" s="270" t="s">
        <v>34</v>
      </c>
      <c r="X38" s="271"/>
      <c r="Y38" s="271"/>
      <c r="Z38" s="271"/>
      <c r="AA38" s="271"/>
      <c r="AB38" s="271"/>
      <c r="AC38" s="271"/>
      <c r="AD38" s="271"/>
      <c r="AE38" s="271"/>
      <c r="AF38" s="271"/>
      <c r="AG38" s="271"/>
      <c r="AH38" s="271"/>
      <c r="AI38" s="271"/>
      <c r="AJ38" s="271"/>
      <c r="AK38" s="272"/>
      <c r="AL38" s="270"/>
      <c r="AM38" s="271"/>
      <c r="AN38" s="271"/>
      <c r="AO38" s="271"/>
      <c r="AP38" s="271"/>
      <c r="AQ38" s="271"/>
      <c r="AR38" s="271"/>
      <c r="AS38" s="271"/>
      <c r="AT38" s="271"/>
      <c r="AU38" s="271"/>
      <c r="AV38" s="271"/>
      <c r="AW38" s="271"/>
      <c r="AX38" s="271"/>
      <c r="AY38" s="271"/>
      <c r="AZ38" s="271"/>
      <c r="BA38" s="271"/>
      <c r="BB38" s="272"/>
      <c r="BC38" s="273" t="s">
        <v>76</v>
      </c>
      <c r="BD38" s="273"/>
      <c r="BE38" s="273" t="s">
        <v>76</v>
      </c>
      <c r="BF38" s="273"/>
      <c r="BG38" s="273" t="s">
        <v>76</v>
      </c>
      <c r="BH38" s="273"/>
      <c r="BI38" s="273" t="s">
        <v>76</v>
      </c>
      <c r="BJ38" s="273"/>
      <c r="BK38" s="268" t="s">
        <v>73</v>
      </c>
      <c r="BL38" s="269"/>
    </row>
    <row r="39" spans="1:64" s="43" customFormat="1" ht="14.25" customHeight="1">
      <c r="A39" s="304">
        <f ca="1">MAX(A$5:INDIRECT("A"&amp;ROW()-1))+1</f>
        <v>33</v>
      </c>
      <c r="B39" s="305"/>
      <c r="C39" s="286"/>
      <c r="D39" s="287"/>
      <c r="E39" s="287"/>
      <c r="F39" s="287"/>
      <c r="G39" s="287"/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7"/>
      <c r="U39" s="287"/>
      <c r="V39" s="288"/>
      <c r="W39" s="270" t="s">
        <v>33</v>
      </c>
      <c r="X39" s="271"/>
      <c r="Y39" s="271"/>
      <c r="Z39" s="271"/>
      <c r="AA39" s="271"/>
      <c r="AB39" s="271"/>
      <c r="AC39" s="271"/>
      <c r="AD39" s="271"/>
      <c r="AE39" s="271"/>
      <c r="AF39" s="271"/>
      <c r="AG39" s="271"/>
      <c r="AH39" s="271"/>
      <c r="AI39" s="271"/>
      <c r="AJ39" s="271"/>
      <c r="AK39" s="272"/>
      <c r="AL39" s="270"/>
      <c r="AM39" s="271"/>
      <c r="AN39" s="271"/>
      <c r="AO39" s="271"/>
      <c r="AP39" s="271"/>
      <c r="AQ39" s="271"/>
      <c r="AR39" s="271"/>
      <c r="AS39" s="271"/>
      <c r="AT39" s="271"/>
      <c r="AU39" s="271"/>
      <c r="AV39" s="271"/>
      <c r="AW39" s="271"/>
      <c r="AX39" s="271"/>
      <c r="AY39" s="271"/>
      <c r="AZ39" s="271"/>
      <c r="BA39" s="271"/>
      <c r="BB39" s="272"/>
      <c r="BC39" s="273" t="s">
        <v>76</v>
      </c>
      <c r="BD39" s="273"/>
      <c r="BE39" s="273" t="s">
        <v>76</v>
      </c>
      <c r="BF39" s="273"/>
      <c r="BG39" s="273" t="s">
        <v>76</v>
      </c>
      <c r="BH39" s="273"/>
      <c r="BI39" s="273" t="s">
        <v>76</v>
      </c>
      <c r="BJ39" s="273"/>
      <c r="BK39" s="268" t="s">
        <v>73</v>
      </c>
      <c r="BL39" s="269"/>
    </row>
    <row r="40" spans="1:64" s="43" customFormat="1" ht="14.25" customHeight="1">
      <c r="A40" s="304">
        <f ca="1">MAX(A$5:INDIRECT("A"&amp;ROW()-1))+1</f>
        <v>34</v>
      </c>
      <c r="B40" s="305"/>
      <c r="C40" s="286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287"/>
      <c r="P40" s="287"/>
      <c r="Q40" s="287"/>
      <c r="R40" s="287"/>
      <c r="S40" s="287"/>
      <c r="T40" s="287"/>
      <c r="U40" s="287"/>
      <c r="V40" s="288"/>
      <c r="W40" s="270" t="s">
        <v>35</v>
      </c>
      <c r="X40" s="271"/>
      <c r="Y40" s="271"/>
      <c r="Z40" s="271"/>
      <c r="AA40" s="271"/>
      <c r="AB40" s="271"/>
      <c r="AC40" s="271"/>
      <c r="AD40" s="271"/>
      <c r="AE40" s="271"/>
      <c r="AF40" s="271"/>
      <c r="AG40" s="271"/>
      <c r="AH40" s="271"/>
      <c r="AI40" s="271"/>
      <c r="AJ40" s="271"/>
      <c r="AK40" s="272"/>
      <c r="AL40" s="270"/>
      <c r="AM40" s="271"/>
      <c r="AN40" s="271"/>
      <c r="AO40" s="271"/>
      <c r="AP40" s="271"/>
      <c r="AQ40" s="271"/>
      <c r="AR40" s="271"/>
      <c r="AS40" s="271"/>
      <c r="AT40" s="271"/>
      <c r="AU40" s="271"/>
      <c r="AV40" s="271"/>
      <c r="AW40" s="271"/>
      <c r="AX40" s="271"/>
      <c r="AY40" s="271"/>
      <c r="AZ40" s="271"/>
      <c r="BA40" s="271"/>
      <c r="BB40" s="272"/>
      <c r="BC40" s="273" t="s">
        <v>76</v>
      </c>
      <c r="BD40" s="273"/>
      <c r="BE40" s="273" t="s">
        <v>76</v>
      </c>
      <c r="BF40" s="273"/>
      <c r="BG40" s="273" t="s">
        <v>76</v>
      </c>
      <c r="BH40" s="273"/>
      <c r="BI40" s="273" t="s">
        <v>76</v>
      </c>
      <c r="BJ40" s="273"/>
      <c r="BK40" s="268" t="s">
        <v>73</v>
      </c>
      <c r="BL40" s="269"/>
    </row>
    <row r="41" spans="1:64" s="43" customFormat="1" ht="14.25" customHeight="1">
      <c r="A41" s="304">
        <f ca="1">MAX(A$5:INDIRECT("A"&amp;ROW()-1))+1</f>
        <v>35</v>
      </c>
      <c r="B41" s="305"/>
      <c r="C41" s="286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7"/>
      <c r="P41" s="287"/>
      <c r="Q41" s="287"/>
      <c r="R41" s="287"/>
      <c r="S41" s="287"/>
      <c r="T41" s="287"/>
      <c r="U41" s="287"/>
      <c r="V41" s="288"/>
      <c r="W41" s="270" t="s">
        <v>25</v>
      </c>
      <c r="X41" s="271"/>
      <c r="Y41" s="271"/>
      <c r="Z41" s="271"/>
      <c r="AA41" s="271"/>
      <c r="AB41" s="271"/>
      <c r="AC41" s="271"/>
      <c r="AD41" s="271"/>
      <c r="AE41" s="271"/>
      <c r="AF41" s="271"/>
      <c r="AG41" s="271"/>
      <c r="AH41" s="271"/>
      <c r="AI41" s="271"/>
      <c r="AJ41" s="271"/>
      <c r="AK41" s="272"/>
      <c r="AL41" s="270"/>
      <c r="AM41" s="271"/>
      <c r="AN41" s="271"/>
      <c r="AO41" s="271"/>
      <c r="AP41" s="271"/>
      <c r="AQ41" s="271"/>
      <c r="AR41" s="271"/>
      <c r="AS41" s="271"/>
      <c r="AT41" s="271"/>
      <c r="AU41" s="271"/>
      <c r="AV41" s="271"/>
      <c r="AW41" s="271"/>
      <c r="AX41" s="271"/>
      <c r="AY41" s="271"/>
      <c r="AZ41" s="271"/>
      <c r="BA41" s="271"/>
      <c r="BB41" s="272"/>
      <c r="BC41" s="273" t="s">
        <v>78</v>
      </c>
      <c r="BD41" s="273"/>
      <c r="BE41" s="268" t="s">
        <v>84</v>
      </c>
      <c r="BF41" s="269"/>
      <c r="BG41" s="268" t="s">
        <v>84</v>
      </c>
      <c r="BH41" s="269"/>
      <c r="BI41" s="268" t="s">
        <v>84</v>
      </c>
      <c r="BJ41" s="269"/>
      <c r="BK41" s="268" t="s">
        <v>84</v>
      </c>
      <c r="BL41" s="269"/>
    </row>
    <row r="42" spans="1:64" s="43" customFormat="1" ht="14.25" customHeight="1">
      <c r="A42" s="304">
        <f ca="1">MAX(A$5:INDIRECT("A"&amp;ROW()-1))+1</f>
        <v>36</v>
      </c>
      <c r="B42" s="305"/>
      <c r="C42" s="289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1"/>
      <c r="W42" s="270" t="s">
        <v>31</v>
      </c>
      <c r="X42" s="271"/>
      <c r="Y42" s="271"/>
      <c r="Z42" s="271"/>
      <c r="AA42" s="271"/>
      <c r="AB42" s="271"/>
      <c r="AC42" s="271"/>
      <c r="AD42" s="271"/>
      <c r="AE42" s="271"/>
      <c r="AF42" s="271"/>
      <c r="AG42" s="271"/>
      <c r="AH42" s="271"/>
      <c r="AI42" s="271"/>
      <c r="AJ42" s="271"/>
      <c r="AK42" s="272"/>
      <c r="AL42" s="270"/>
      <c r="AM42" s="271"/>
      <c r="AN42" s="271"/>
      <c r="AO42" s="271"/>
      <c r="AP42" s="271"/>
      <c r="AQ42" s="271"/>
      <c r="AR42" s="271"/>
      <c r="AS42" s="271"/>
      <c r="AT42" s="271"/>
      <c r="AU42" s="271"/>
      <c r="AV42" s="271"/>
      <c r="AW42" s="271"/>
      <c r="AX42" s="271"/>
      <c r="AY42" s="271"/>
      <c r="AZ42" s="271"/>
      <c r="BA42" s="271"/>
      <c r="BB42" s="272"/>
      <c r="BC42" s="268" t="s">
        <v>87</v>
      </c>
      <c r="BD42" s="269"/>
      <c r="BE42" s="268" t="s">
        <v>87</v>
      </c>
      <c r="BF42" s="269"/>
      <c r="BG42" s="268" t="s">
        <v>87</v>
      </c>
      <c r="BH42" s="269"/>
      <c r="BI42" s="268" t="s">
        <v>87</v>
      </c>
      <c r="BJ42" s="269"/>
      <c r="BK42" s="268" t="s">
        <v>87</v>
      </c>
      <c r="BL42" s="269"/>
    </row>
    <row r="43" spans="1:64" s="43" customFormat="1" ht="14.25" customHeight="1">
      <c r="A43" s="304">
        <f ca="1">MAX(A$5:INDIRECT("A"&amp;ROW()-1))+1</f>
        <v>37</v>
      </c>
      <c r="B43" s="305"/>
      <c r="C43" s="283" t="s">
        <v>199</v>
      </c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5"/>
      <c r="W43" s="270" t="s">
        <v>26</v>
      </c>
      <c r="X43" s="271"/>
      <c r="Y43" s="271"/>
      <c r="Z43" s="271"/>
      <c r="AA43" s="271"/>
      <c r="AB43" s="271"/>
      <c r="AC43" s="271"/>
      <c r="AD43" s="271"/>
      <c r="AE43" s="271"/>
      <c r="AF43" s="271"/>
      <c r="AG43" s="271"/>
      <c r="AH43" s="271"/>
      <c r="AI43" s="271"/>
      <c r="AJ43" s="271"/>
      <c r="AK43" s="272"/>
      <c r="AL43" s="270"/>
      <c r="AM43" s="271"/>
      <c r="AN43" s="271"/>
      <c r="AO43" s="271"/>
      <c r="AP43" s="271"/>
      <c r="AQ43" s="271"/>
      <c r="AR43" s="271"/>
      <c r="AS43" s="271"/>
      <c r="AT43" s="271"/>
      <c r="AU43" s="271"/>
      <c r="AV43" s="271"/>
      <c r="AW43" s="271"/>
      <c r="AX43" s="271"/>
      <c r="AY43" s="271"/>
      <c r="AZ43" s="271"/>
      <c r="BA43" s="271"/>
      <c r="BB43" s="272"/>
      <c r="BC43" s="273" t="s">
        <v>73</v>
      </c>
      <c r="BD43" s="273"/>
      <c r="BE43" s="268" t="s">
        <v>76</v>
      </c>
      <c r="BF43" s="269"/>
      <c r="BG43" s="268" t="s">
        <v>76</v>
      </c>
      <c r="BH43" s="269"/>
      <c r="BI43" s="268" t="s">
        <v>76</v>
      </c>
      <c r="BJ43" s="269"/>
      <c r="BK43" s="268" t="s">
        <v>73</v>
      </c>
      <c r="BL43" s="269"/>
    </row>
    <row r="44" spans="1:64" s="43" customFormat="1" ht="14.25" customHeight="1">
      <c r="A44" s="304">
        <f ca="1">MAX(A$5:INDIRECT("A"&amp;ROW()-1))+1</f>
        <v>38</v>
      </c>
      <c r="B44" s="305"/>
      <c r="C44" s="286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8"/>
      <c r="W44" s="270" t="s">
        <v>27</v>
      </c>
      <c r="X44" s="271"/>
      <c r="Y44" s="271"/>
      <c r="Z44" s="271"/>
      <c r="AA44" s="271"/>
      <c r="AB44" s="271"/>
      <c r="AC44" s="271"/>
      <c r="AD44" s="271"/>
      <c r="AE44" s="271"/>
      <c r="AF44" s="271"/>
      <c r="AG44" s="271"/>
      <c r="AH44" s="271"/>
      <c r="AI44" s="271"/>
      <c r="AJ44" s="271"/>
      <c r="AK44" s="272"/>
      <c r="AL44" s="270"/>
      <c r="AM44" s="271"/>
      <c r="AN44" s="271"/>
      <c r="AO44" s="271"/>
      <c r="AP44" s="271"/>
      <c r="AQ44" s="271"/>
      <c r="AR44" s="271"/>
      <c r="AS44" s="271"/>
      <c r="AT44" s="271"/>
      <c r="AU44" s="271"/>
      <c r="AV44" s="271"/>
      <c r="AW44" s="271"/>
      <c r="AX44" s="271"/>
      <c r="AY44" s="271"/>
      <c r="AZ44" s="271"/>
      <c r="BA44" s="271"/>
      <c r="BB44" s="272"/>
      <c r="BC44" s="273" t="s">
        <v>73</v>
      </c>
      <c r="BD44" s="273"/>
      <c r="BE44" s="268" t="s">
        <v>76</v>
      </c>
      <c r="BF44" s="269"/>
      <c r="BG44" s="268" t="s">
        <v>76</v>
      </c>
      <c r="BH44" s="269"/>
      <c r="BI44" s="268" t="s">
        <v>76</v>
      </c>
      <c r="BJ44" s="269"/>
      <c r="BK44" s="268" t="s">
        <v>73</v>
      </c>
      <c r="BL44" s="269"/>
    </row>
    <row r="45" spans="1:64" s="43" customFormat="1" ht="14.25" customHeight="1">
      <c r="A45" s="304">
        <f ca="1">MAX(A$5:INDIRECT("A"&amp;ROW()-1))+1</f>
        <v>39</v>
      </c>
      <c r="B45" s="305"/>
      <c r="C45" s="286"/>
      <c r="D45" s="287"/>
      <c r="E45" s="287"/>
      <c r="F45" s="287"/>
      <c r="G45" s="287"/>
      <c r="H45" s="287"/>
      <c r="I45" s="287"/>
      <c r="J45" s="287"/>
      <c r="K45" s="287"/>
      <c r="L45" s="287"/>
      <c r="M45" s="287"/>
      <c r="N45" s="287"/>
      <c r="O45" s="287"/>
      <c r="P45" s="287"/>
      <c r="Q45" s="287"/>
      <c r="R45" s="287"/>
      <c r="S45" s="287"/>
      <c r="T45" s="287"/>
      <c r="U45" s="287"/>
      <c r="V45" s="288"/>
      <c r="W45" s="270" t="s">
        <v>28</v>
      </c>
      <c r="X45" s="271"/>
      <c r="Y45" s="271"/>
      <c r="Z45" s="271"/>
      <c r="AA45" s="271"/>
      <c r="AB45" s="271"/>
      <c r="AC45" s="271"/>
      <c r="AD45" s="271"/>
      <c r="AE45" s="271"/>
      <c r="AF45" s="271"/>
      <c r="AG45" s="271"/>
      <c r="AH45" s="271"/>
      <c r="AI45" s="271"/>
      <c r="AJ45" s="271"/>
      <c r="AK45" s="272"/>
      <c r="AL45" s="270"/>
      <c r="AM45" s="271"/>
      <c r="AN45" s="271"/>
      <c r="AO45" s="271"/>
      <c r="AP45" s="271"/>
      <c r="AQ45" s="271"/>
      <c r="AR45" s="271"/>
      <c r="AS45" s="271"/>
      <c r="AT45" s="271"/>
      <c r="AU45" s="271"/>
      <c r="AV45" s="271"/>
      <c r="AW45" s="271"/>
      <c r="AX45" s="271"/>
      <c r="AY45" s="271"/>
      <c r="AZ45" s="271"/>
      <c r="BA45" s="271"/>
      <c r="BB45" s="272"/>
      <c r="BC45" s="273" t="s">
        <v>73</v>
      </c>
      <c r="BD45" s="273"/>
      <c r="BE45" s="268" t="s">
        <v>76</v>
      </c>
      <c r="BF45" s="269"/>
      <c r="BG45" s="268" t="s">
        <v>76</v>
      </c>
      <c r="BH45" s="269"/>
      <c r="BI45" s="268" t="s">
        <v>76</v>
      </c>
      <c r="BJ45" s="269"/>
      <c r="BK45" s="268" t="s">
        <v>73</v>
      </c>
      <c r="BL45" s="269"/>
    </row>
    <row r="46" spans="1:64" s="43" customFormat="1" ht="14.25" customHeight="1">
      <c r="A46" s="304">
        <f ca="1">MAX(A$5:INDIRECT("A"&amp;ROW()-1))+1</f>
        <v>40</v>
      </c>
      <c r="B46" s="305"/>
      <c r="C46" s="286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87"/>
      <c r="P46" s="287"/>
      <c r="Q46" s="287"/>
      <c r="R46" s="287"/>
      <c r="S46" s="287"/>
      <c r="T46" s="287"/>
      <c r="U46" s="287"/>
      <c r="V46" s="288"/>
      <c r="W46" s="270" t="s">
        <v>29</v>
      </c>
      <c r="X46" s="271"/>
      <c r="Y46" s="271"/>
      <c r="Z46" s="271"/>
      <c r="AA46" s="271"/>
      <c r="AB46" s="271"/>
      <c r="AC46" s="271"/>
      <c r="AD46" s="271"/>
      <c r="AE46" s="271"/>
      <c r="AF46" s="271"/>
      <c r="AG46" s="271"/>
      <c r="AH46" s="271"/>
      <c r="AI46" s="271"/>
      <c r="AJ46" s="271"/>
      <c r="AK46" s="272"/>
      <c r="AL46" s="270"/>
      <c r="AM46" s="271"/>
      <c r="AN46" s="271"/>
      <c r="AO46" s="271"/>
      <c r="AP46" s="271"/>
      <c r="AQ46" s="271"/>
      <c r="AR46" s="271"/>
      <c r="AS46" s="271"/>
      <c r="AT46" s="271"/>
      <c r="AU46" s="271"/>
      <c r="AV46" s="271"/>
      <c r="AW46" s="271"/>
      <c r="AX46" s="271"/>
      <c r="AY46" s="271"/>
      <c r="AZ46" s="271"/>
      <c r="BA46" s="271"/>
      <c r="BB46" s="272"/>
      <c r="BC46" s="273" t="s">
        <v>73</v>
      </c>
      <c r="BD46" s="273"/>
      <c r="BE46" s="268" t="s">
        <v>76</v>
      </c>
      <c r="BF46" s="269"/>
      <c r="BG46" s="268" t="s">
        <v>76</v>
      </c>
      <c r="BH46" s="269"/>
      <c r="BI46" s="268" t="s">
        <v>76</v>
      </c>
      <c r="BJ46" s="269"/>
      <c r="BK46" s="268" t="s">
        <v>73</v>
      </c>
      <c r="BL46" s="269"/>
    </row>
    <row r="47" spans="1:64" s="43" customFormat="1" ht="14.25" customHeight="1">
      <c r="A47" s="304">
        <f ca="1">MAX(A$5:INDIRECT("A"&amp;ROW()-1))+1</f>
        <v>41</v>
      </c>
      <c r="B47" s="305"/>
      <c r="C47" s="286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  <c r="P47" s="287"/>
      <c r="Q47" s="287"/>
      <c r="R47" s="287"/>
      <c r="S47" s="287"/>
      <c r="T47" s="287"/>
      <c r="U47" s="287"/>
      <c r="V47" s="288"/>
      <c r="W47" s="270" t="s">
        <v>32</v>
      </c>
      <c r="X47" s="271"/>
      <c r="Y47" s="271"/>
      <c r="Z47" s="271"/>
      <c r="AA47" s="271"/>
      <c r="AB47" s="271"/>
      <c r="AC47" s="271"/>
      <c r="AD47" s="271"/>
      <c r="AE47" s="271"/>
      <c r="AF47" s="271"/>
      <c r="AG47" s="271"/>
      <c r="AH47" s="271"/>
      <c r="AI47" s="271"/>
      <c r="AJ47" s="271"/>
      <c r="AK47" s="272"/>
      <c r="AL47" s="270"/>
      <c r="AM47" s="271"/>
      <c r="AN47" s="271"/>
      <c r="AO47" s="271"/>
      <c r="AP47" s="271"/>
      <c r="AQ47" s="271"/>
      <c r="AR47" s="271"/>
      <c r="AS47" s="271"/>
      <c r="AT47" s="271"/>
      <c r="AU47" s="271"/>
      <c r="AV47" s="271"/>
      <c r="AW47" s="271"/>
      <c r="AX47" s="271"/>
      <c r="AY47" s="271"/>
      <c r="AZ47" s="271"/>
      <c r="BA47" s="271"/>
      <c r="BB47" s="272"/>
      <c r="BC47" s="273" t="s">
        <v>76</v>
      </c>
      <c r="BD47" s="273"/>
      <c r="BE47" s="268" t="s">
        <v>87</v>
      </c>
      <c r="BF47" s="269"/>
      <c r="BG47" s="268" t="s">
        <v>87</v>
      </c>
      <c r="BH47" s="269"/>
      <c r="BI47" s="268" t="s">
        <v>87</v>
      </c>
      <c r="BJ47" s="269"/>
      <c r="BK47" s="268" t="s">
        <v>87</v>
      </c>
      <c r="BL47" s="269"/>
    </row>
    <row r="48" spans="1:64" s="43" customFormat="1" ht="14.25" customHeight="1">
      <c r="A48" s="304">
        <f ca="1">MAX(A$5:INDIRECT("A"&amp;ROW()-1))+1</f>
        <v>42</v>
      </c>
      <c r="B48" s="305"/>
      <c r="C48" s="289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0"/>
      <c r="P48" s="290"/>
      <c r="Q48" s="290"/>
      <c r="R48" s="290"/>
      <c r="S48" s="290"/>
      <c r="T48" s="290"/>
      <c r="U48" s="290"/>
      <c r="V48" s="291"/>
      <c r="W48" s="270" t="s">
        <v>86</v>
      </c>
      <c r="X48" s="271"/>
      <c r="Y48" s="271"/>
      <c r="Z48" s="271"/>
      <c r="AA48" s="271"/>
      <c r="AB48" s="271"/>
      <c r="AC48" s="271"/>
      <c r="AD48" s="271"/>
      <c r="AE48" s="271"/>
      <c r="AF48" s="271"/>
      <c r="AG48" s="271"/>
      <c r="AH48" s="271"/>
      <c r="AI48" s="271"/>
      <c r="AJ48" s="271"/>
      <c r="AK48" s="272"/>
      <c r="AL48" s="270"/>
      <c r="AM48" s="271"/>
      <c r="AN48" s="271"/>
      <c r="AO48" s="271"/>
      <c r="AP48" s="271"/>
      <c r="AQ48" s="271"/>
      <c r="AR48" s="271"/>
      <c r="AS48" s="271"/>
      <c r="AT48" s="271"/>
      <c r="AU48" s="271"/>
      <c r="AV48" s="271"/>
      <c r="AW48" s="271"/>
      <c r="AX48" s="271"/>
      <c r="AY48" s="271"/>
      <c r="AZ48" s="271"/>
      <c r="BA48" s="271"/>
      <c r="BB48" s="272"/>
      <c r="BC48" s="273" t="s">
        <v>73</v>
      </c>
      <c r="BD48" s="273"/>
      <c r="BE48" s="273" t="s">
        <v>73</v>
      </c>
      <c r="BF48" s="273"/>
      <c r="BG48" s="273" t="s">
        <v>73</v>
      </c>
      <c r="BH48" s="273"/>
      <c r="BI48" s="273" t="s">
        <v>73</v>
      </c>
      <c r="BJ48" s="273"/>
      <c r="BK48" s="273" t="s">
        <v>73</v>
      </c>
      <c r="BL48" s="273"/>
    </row>
    <row r="49" spans="1:64" s="43" customFormat="1" ht="14.25" customHeight="1">
      <c r="A49" s="304">
        <f ca="1">MAX(A$5:INDIRECT("A"&amp;ROW()-1))+1</f>
        <v>43</v>
      </c>
      <c r="B49" s="305"/>
      <c r="C49" s="264" t="s">
        <v>226</v>
      </c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271"/>
      <c r="S49" s="271"/>
      <c r="T49" s="271"/>
      <c r="U49" s="271"/>
      <c r="V49" s="272"/>
      <c r="W49" s="270" t="s">
        <v>39</v>
      </c>
      <c r="X49" s="271"/>
      <c r="Y49" s="271"/>
      <c r="Z49" s="271"/>
      <c r="AA49" s="271"/>
      <c r="AB49" s="271"/>
      <c r="AC49" s="271"/>
      <c r="AD49" s="271"/>
      <c r="AE49" s="271"/>
      <c r="AF49" s="271"/>
      <c r="AG49" s="271"/>
      <c r="AH49" s="271"/>
      <c r="AI49" s="271"/>
      <c r="AJ49" s="271"/>
      <c r="AK49" s="272"/>
      <c r="AL49" s="270"/>
      <c r="AM49" s="271"/>
      <c r="AN49" s="271"/>
      <c r="AO49" s="271"/>
      <c r="AP49" s="271"/>
      <c r="AQ49" s="271"/>
      <c r="AR49" s="271"/>
      <c r="AS49" s="271"/>
      <c r="AT49" s="271"/>
      <c r="AU49" s="271"/>
      <c r="AV49" s="271"/>
      <c r="AW49" s="271"/>
      <c r="AX49" s="271"/>
      <c r="AY49" s="271"/>
      <c r="AZ49" s="271"/>
      <c r="BA49" s="271"/>
      <c r="BB49" s="272"/>
      <c r="BC49" s="273" t="s">
        <v>76</v>
      </c>
      <c r="BD49" s="273"/>
      <c r="BE49" s="273" t="s">
        <v>76</v>
      </c>
      <c r="BF49" s="273"/>
      <c r="BG49" s="273" t="s">
        <v>76</v>
      </c>
      <c r="BH49" s="273"/>
      <c r="BI49" s="273" t="s">
        <v>76</v>
      </c>
      <c r="BJ49" s="273"/>
      <c r="BK49" s="268" t="s">
        <v>73</v>
      </c>
      <c r="BL49" s="269"/>
    </row>
    <row r="50" spans="1:64" s="43" customFormat="1" ht="14.25" customHeight="1">
      <c r="A50" s="304">
        <f ca="1">MAX(A$5:INDIRECT("A"&amp;ROW()-1))+1</f>
        <v>44</v>
      </c>
      <c r="B50" s="305"/>
      <c r="C50" s="283" t="s">
        <v>227</v>
      </c>
      <c r="D50" s="295"/>
      <c r="E50" s="295"/>
      <c r="F50" s="295"/>
      <c r="G50" s="295"/>
      <c r="H50" s="295"/>
      <c r="I50" s="295"/>
      <c r="J50" s="295"/>
      <c r="K50" s="295"/>
      <c r="L50" s="295"/>
      <c r="M50" s="295"/>
      <c r="N50" s="295"/>
      <c r="O50" s="295"/>
      <c r="P50" s="295"/>
      <c r="Q50" s="295"/>
      <c r="R50" s="295"/>
      <c r="S50" s="295"/>
      <c r="T50" s="295"/>
      <c r="U50" s="295"/>
      <c r="V50" s="296"/>
      <c r="W50" s="270" t="s">
        <v>40</v>
      </c>
      <c r="X50" s="271"/>
      <c r="Y50" s="271"/>
      <c r="Z50" s="271"/>
      <c r="AA50" s="271"/>
      <c r="AB50" s="271"/>
      <c r="AC50" s="271"/>
      <c r="AD50" s="271"/>
      <c r="AE50" s="271"/>
      <c r="AF50" s="271"/>
      <c r="AG50" s="271"/>
      <c r="AH50" s="271"/>
      <c r="AI50" s="271"/>
      <c r="AJ50" s="271"/>
      <c r="AK50" s="272"/>
      <c r="AL50" s="270"/>
      <c r="AM50" s="271"/>
      <c r="AN50" s="271"/>
      <c r="AO50" s="271"/>
      <c r="AP50" s="271"/>
      <c r="AQ50" s="271"/>
      <c r="AR50" s="271"/>
      <c r="AS50" s="271"/>
      <c r="AT50" s="271"/>
      <c r="AU50" s="271"/>
      <c r="AV50" s="271"/>
      <c r="AW50" s="271"/>
      <c r="AX50" s="271"/>
      <c r="AY50" s="271"/>
      <c r="AZ50" s="271"/>
      <c r="BA50" s="271"/>
      <c r="BB50" s="272"/>
      <c r="BC50" s="273" t="s">
        <v>76</v>
      </c>
      <c r="BD50" s="273"/>
      <c r="BE50" s="273" t="s">
        <v>76</v>
      </c>
      <c r="BF50" s="273"/>
      <c r="BG50" s="273" t="s">
        <v>76</v>
      </c>
      <c r="BH50" s="273"/>
      <c r="BI50" s="273" t="s">
        <v>76</v>
      </c>
      <c r="BJ50" s="273"/>
      <c r="BK50" s="268" t="s">
        <v>73</v>
      </c>
      <c r="BL50" s="269"/>
    </row>
    <row r="51" spans="1:64" s="43" customFormat="1" ht="14.25" customHeight="1">
      <c r="A51" s="304">
        <f ca="1">MAX(A$5:INDIRECT("A"&amp;ROW()-1))+1</f>
        <v>45</v>
      </c>
      <c r="B51" s="305"/>
      <c r="C51" s="297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98"/>
      <c r="P51" s="298"/>
      <c r="Q51" s="298"/>
      <c r="R51" s="298"/>
      <c r="S51" s="298"/>
      <c r="T51" s="298"/>
      <c r="U51" s="298"/>
      <c r="V51" s="299"/>
      <c r="W51" s="270" t="s">
        <v>41</v>
      </c>
      <c r="X51" s="271"/>
      <c r="Y51" s="271"/>
      <c r="Z51" s="271"/>
      <c r="AA51" s="271"/>
      <c r="AB51" s="271"/>
      <c r="AC51" s="271"/>
      <c r="AD51" s="271"/>
      <c r="AE51" s="271"/>
      <c r="AF51" s="271"/>
      <c r="AG51" s="271"/>
      <c r="AH51" s="271"/>
      <c r="AI51" s="271"/>
      <c r="AJ51" s="271"/>
      <c r="AK51" s="272"/>
      <c r="AL51" s="270"/>
      <c r="AM51" s="271"/>
      <c r="AN51" s="271"/>
      <c r="AO51" s="271"/>
      <c r="AP51" s="271"/>
      <c r="AQ51" s="271"/>
      <c r="AR51" s="271"/>
      <c r="AS51" s="271"/>
      <c r="AT51" s="271"/>
      <c r="AU51" s="271"/>
      <c r="AV51" s="271"/>
      <c r="AW51" s="271"/>
      <c r="AX51" s="271"/>
      <c r="AY51" s="271"/>
      <c r="AZ51" s="271"/>
      <c r="BA51" s="271"/>
      <c r="BB51" s="272"/>
      <c r="BC51" s="273" t="s">
        <v>76</v>
      </c>
      <c r="BD51" s="273"/>
      <c r="BE51" s="273" t="s">
        <v>76</v>
      </c>
      <c r="BF51" s="273"/>
      <c r="BG51" s="273" t="s">
        <v>76</v>
      </c>
      <c r="BH51" s="273"/>
      <c r="BI51" s="273" t="s">
        <v>76</v>
      </c>
      <c r="BJ51" s="273"/>
      <c r="BK51" s="268" t="s">
        <v>73</v>
      </c>
      <c r="BL51" s="269"/>
    </row>
    <row r="52" spans="1:64" s="43" customFormat="1" ht="14.25" customHeight="1">
      <c r="A52" s="304">
        <f ca="1">MAX(A$5:INDIRECT("A"&amp;ROW()-1))+1</f>
        <v>46</v>
      </c>
      <c r="B52" s="305"/>
      <c r="C52" s="300"/>
      <c r="D52" s="301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  <c r="T52" s="301"/>
      <c r="U52" s="301"/>
      <c r="V52" s="302"/>
      <c r="W52" s="270" t="s">
        <v>90</v>
      </c>
      <c r="X52" s="271"/>
      <c r="Y52" s="271"/>
      <c r="Z52" s="271"/>
      <c r="AA52" s="271"/>
      <c r="AB52" s="271"/>
      <c r="AC52" s="271"/>
      <c r="AD52" s="271"/>
      <c r="AE52" s="271"/>
      <c r="AF52" s="271"/>
      <c r="AG52" s="271"/>
      <c r="AH52" s="271"/>
      <c r="AI52" s="271"/>
      <c r="AJ52" s="271"/>
      <c r="AK52" s="272"/>
      <c r="AL52" s="270"/>
      <c r="AM52" s="271"/>
      <c r="AN52" s="271"/>
      <c r="AO52" s="271"/>
      <c r="AP52" s="271"/>
      <c r="AQ52" s="271"/>
      <c r="AR52" s="271"/>
      <c r="AS52" s="271"/>
      <c r="AT52" s="271"/>
      <c r="AU52" s="271"/>
      <c r="AV52" s="271"/>
      <c r="AW52" s="271"/>
      <c r="AX52" s="271"/>
      <c r="AY52" s="271"/>
      <c r="AZ52" s="271"/>
      <c r="BA52" s="271"/>
      <c r="BB52" s="272"/>
      <c r="BC52" s="273" t="s">
        <v>76</v>
      </c>
      <c r="BD52" s="273"/>
      <c r="BE52" s="273" t="s">
        <v>76</v>
      </c>
      <c r="BF52" s="273"/>
      <c r="BG52" s="273" t="s">
        <v>76</v>
      </c>
      <c r="BH52" s="273"/>
      <c r="BI52" s="273" t="s">
        <v>76</v>
      </c>
      <c r="BJ52" s="273"/>
      <c r="BK52" s="268" t="s">
        <v>73</v>
      </c>
      <c r="BL52" s="269"/>
    </row>
    <row r="53" spans="1:64" s="43" customFormat="1" ht="14.25" customHeight="1">
      <c r="A53" s="304">
        <f ca="1">MAX(A$5:INDIRECT("A"&amp;ROW()-1))+1</f>
        <v>47</v>
      </c>
      <c r="B53" s="305"/>
      <c r="C53" s="283" t="s">
        <v>218</v>
      </c>
      <c r="D53" s="295"/>
      <c r="E53" s="295"/>
      <c r="F53" s="295"/>
      <c r="G53" s="295"/>
      <c r="H53" s="295"/>
      <c r="I53" s="295"/>
      <c r="J53" s="295"/>
      <c r="K53" s="295"/>
      <c r="L53" s="295"/>
      <c r="M53" s="295"/>
      <c r="N53" s="295"/>
      <c r="O53" s="295"/>
      <c r="P53" s="295"/>
      <c r="Q53" s="295"/>
      <c r="R53" s="295"/>
      <c r="S53" s="295"/>
      <c r="T53" s="295"/>
      <c r="U53" s="295"/>
      <c r="V53" s="296"/>
      <c r="W53" s="270" t="s">
        <v>91</v>
      </c>
      <c r="X53" s="271"/>
      <c r="Y53" s="271"/>
      <c r="Z53" s="271"/>
      <c r="AA53" s="271"/>
      <c r="AB53" s="271"/>
      <c r="AC53" s="271"/>
      <c r="AD53" s="271"/>
      <c r="AE53" s="271"/>
      <c r="AF53" s="271"/>
      <c r="AG53" s="271"/>
      <c r="AH53" s="271"/>
      <c r="AI53" s="271"/>
      <c r="AJ53" s="271"/>
      <c r="AK53" s="272"/>
      <c r="AL53" s="270"/>
      <c r="AM53" s="271"/>
      <c r="AN53" s="271"/>
      <c r="AO53" s="271"/>
      <c r="AP53" s="271"/>
      <c r="AQ53" s="271"/>
      <c r="AR53" s="271"/>
      <c r="AS53" s="271"/>
      <c r="AT53" s="271"/>
      <c r="AU53" s="271"/>
      <c r="AV53" s="271"/>
      <c r="AW53" s="271"/>
      <c r="AX53" s="271"/>
      <c r="AY53" s="271"/>
      <c r="AZ53" s="271"/>
      <c r="BA53" s="271"/>
      <c r="BB53" s="272"/>
      <c r="BC53" s="273" t="s">
        <v>76</v>
      </c>
      <c r="BD53" s="273"/>
      <c r="BE53" s="273" t="s">
        <v>76</v>
      </c>
      <c r="BF53" s="273"/>
      <c r="BG53" s="273" t="s">
        <v>76</v>
      </c>
      <c r="BH53" s="273"/>
      <c r="BI53" s="273" t="s">
        <v>76</v>
      </c>
      <c r="BJ53" s="273"/>
      <c r="BK53" s="268" t="s">
        <v>73</v>
      </c>
      <c r="BL53" s="269"/>
    </row>
    <row r="54" spans="1:64" s="43" customFormat="1" ht="14.25" customHeight="1">
      <c r="A54" s="304">
        <f ca="1">MAX(A$5:INDIRECT("A"&amp;ROW()-1))+1</f>
        <v>48</v>
      </c>
      <c r="B54" s="305"/>
      <c r="C54" s="297"/>
      <c r="D54" s="298"/>
      <c r="E54" s="298"/>
      <c r="F54" s="298"/>
      <c r="G54" s="298"/>
      <c r="H54" s="298"/>
      <c r="I54" s="298"/>
      <c r="J54" s="298"/>
      <c r="K54" s="298"/>
      <c r="L54" s="298"/>
      <c r="M54" s="298"/>
      <c r="N54" s="298"/>
      <c r="O54" s="298"/>
      <c r="P54" s="298"/>
      <c r="Q54" s="298"/>
      <c r="R54" s="298"/>
      <c r="S54" s="298"/>
      <c r="T54" s="298"/>
      <c r="U54" s="298"/>
      <c r="V54" s="299"/>
      <c r="W54" s="270" t="s">
        <v>42</v>
      </c>
      <c r="X54" s="271"/>
      <c r="Y54" s="271"/>
      <c r="Z54" s="271"/>
      <c r="AA54" s="271"/>
      <c r="AB54" s="271"/>
      <c r="AC54" s="271"/>
      <c r="AD54" s="271"/>
      <c r="AE54" s="271"/>
      <c r="AF54" s="271"/>
      <c r="AG54" s="271"/>
      <c r="AH54" s="271"/>
      <c r="AI54" s="271"/>
      <c r="AJ54" s="271"/>
      <c r="AK54" s="272"/>
      <c r="AL54" s="270"/>
      <c r="AM54" s="271"/>
      <c r="AN54" s="271"/>
      <c r="AO54" s="271"/>
      <c r="AP54" s="271"/>
      <c r="AQ54" s="271"/>
      <c r="AR54" s="271"/>
      <c r="AS54" s="271"/>
      <c r="AT54" s="271"/>
      <c r="AU54" s="271"/>
      <c r="AV54" s="271"/>
      <c r="AW54" s="271"/>
      <c r="AX54" s="271"/>
      <c r="AY54" s="271"/>
      <c r="AZ54" s="271"/>
      <c r="BA54" s="271"/>
      <c r="BB54" s="272"/>
      <c r="BC54" s="273" t="s">
        <v>76</v>
      </c>
      <c r="BD54" s="273"/>
      <c r="BE54" s="273" t="s">
        <v>76</v>
      </c>
      <c r="BF54" s="273"/>
      <c r="BG54" s="273" t="s">
        <v>76</v>
      </c>
      <c r="BH54" s="273"/>
      <c r="BI54" s="273" t="s">
        <v>76</v>
      </c>
      <c r="BJ54" s="273"/>
      <c r="BK54" s="268" t="s">
        <v>73</v>
      </c>
      <c r="BL54" s="269"/>
    </row>
    <row r="55" spans="1:64" s="43" customFormat="1" ht="14.25" customHeight="1">
      <c r="A55" s="304">
        <f ca="1">MAX(A$5:INDIRECT("A"&amp;ROW()-1))+1</f>
        <v>49</v>
      </c>
      <c r="B55" s="305"/>
      <c r="C55" s="300"/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2"/>
      <c r="W55" s="270" t="s">
        <v>43</v>
      </c>
      <c r="X55" s="271"/>
      <c r="Y55" s="271"/>
      <c r="Z55" s="271"/>
      <c r="AA55" s="271"/>
      <c r="AB55" s="271"/>
      <c r="AC55" s="271"/>
      <c r="AD55" s="271"/>
      <c r="AE55" s="271"/>
      <c r="AF55" s="271"/>
      <c r="AG55" s="271"/>
      <c r="AH55" s="271"/>
      <c r="AI55" s="271"/>
      <c r="AJ55" s="271"/>
      <c r="AK55" s="272"/>
      <c r="AL55" s="270"/>
      <c r="AM55" s="271"/>
      <c r="AN55" s="271"/>
      <c r="AO55" s="271"/>
      <c r="AP55" s="271"/>
      <c r="AQ55" s="271"/>
      <c r="AR55" s="271"/>
      <c r="AS55" s="271"/>
      <c r="AT55" s="271"/>
      <c r="AU55" s="271"/>
      <c r="AV55" s="271"/>
      <c r="AW55" s="271"/>
      <c r="AX55" s="271"/>
      <c r="AY55" s="271"/>
      <c r="AZ55" s="271"/>
      <c r="BA55" s="271"/>
      <c r="BB55" s="272"/>
      <c r="BC55" s="273" t="s">
        <v>76</v>
      </c>
      <c r="BD55" s="273"/>
      <c r="BE55" s="273" t="s">
        <v>76</v>
      </c>
      <c r="BF55" s="273"/>
      <c r="BG55" s="273" t="s">
        <v>76</v>
      </c>
      <c r="BH55" s="273"/>
      <c r="BI55" s="273" t="s">
        <v>76</v>
      </c>
      <c r="BJ55" s="273"/>
      <c r="BK55" s="268" t="s">
        <v>73</v>
      </c>
      <c r="BL55" s="269"/>
    </row>
    <row r="56" spans="1:64" s="43" customFormat="1" ht="14.25" customHeight="1">
      <c r="A56" s="304">
        <f ca="1">MAX(A$5:INDIRECT("A"&amp;ROW()-1))+1</f>
        <v>50</v>
      </c>
      <c r="B56" s="305"/>
      <c r="C56" s="283" t="s">
        <v>219</v>
      </c>
      <c r="D56" s="295"/>
      <c r="E56" s="295"/>
      <c r="F56" s="295"/>
      <c r="G56" s="295"/>
      <c r="H56" s="295"/>
      <c r="I56" s="295"/>
      <c r="J56" s="295"/>
      <c r="K56" s="295"/>
      <c r="L56" s="295"/>
      <c r="M56" s="295"/>
      <c r="N56" s="295"/>
      <c r="O56" s="295"/>
      <c r="P56" s="295"/>
      <c r="Q56" s="295"/>
      <c r="R56" s="295"/>
      <c r="S56" s="295"/>
      <c r="T56" s="295"/>
      <c r="U56" s="295"/>
      <c r="V56" s="296"/>
      <c r="W56" s="270" t="s">
        <v>44</v>
      </c>
      <c r="X56" s="271"/>
      <c r="Y56" s="271"/>
      <c r="Z56" s="271"/>
      <c r="AA56" s="271"/>
      <c r="AB56" s="271"/>
      <c r="AC56" s="271"/>
      <c r="AD56" s="271"/>
      <c r="AE56" s="271"/>
      <c r="AF56" s="271"/>
      <c r="AG56" s="271"/>
      <c r="AH56" s="271"/>
      <c r="AI56" s="271"/>
      <c r="AJ56" s="271"/>
      <c r="AK56" s="272"/>
      <c r="AL56" s="270"/>
      <c r="AM56" s="271"/>
      <c r="AN56" s="271"/>
      <c r="AO56" s="271"/>
      <c r="AP56" s="271"/>
      <c r="AQ56" s="271"/>
      <c r="AR56" s="271"/>
      <c r="AS56" s="271"/>
      <c r="AT56" s="271"/>
      <c r="AU56" s="271"/>
      <c r="AV56" s="271"/>
      <c r="AW56" s="271"/>
      <c r="AX56" s="271"/>
      <c r="AY56" s="271"/>
      <c r="AZ56" s="271"/>
      <c r="BA56" s="271"/>
      <c r="BB56" s="272"/>
      <c r="BC56" s="273" t="s">
        <v>76</v>
      </c>
      <c r="BD56" s="273"/>
      <c r="BE56" s="268" t="s">
        <v>73</v>
      </c>
      <c r="BF56" s="269"/>
      <c r="BG56" s="273" t="s">
        <v>76</v>
      </c>
      <c r="BH56" s="273"/>
      <c r="BI56" s="273" t="s">
        <v>76</v>
      </c>
      <c r="BJ56" s="273"/>
      <c r="BK56" s="268" t="s">
        <v>73</v>
      </c>
      <c r="BL56" s="269"/>
    </row>
    <row r="57" spans="1:64" s="43" customFormat="1" ht="14.25" customHeight="1">
      <c r="A57" s="304">
        <f ca="1">MAX(A$5:INDIRECT("A"&amp;ROW()-1))+1</f>
        <v>51</v>
      </c>
      <c r="B57" s="305"/>
      <c r="C57" s="300"/>
      <c r="D57" s="301"/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2"/>
      <c r="W57" s="270" t="s">
        <v>45</v>
      </c>
      <c r="X57" s="271"/>
      <c r="Y57" s="271"/>
      <c r="Z57" s="271"/>
      <c r="AA57" s="271"/>
      <c r="AB57" s="271"/>
      <c r="AC57" s="271"/>
      <c r="AD57" s="271"/>
      <c r="AE57" s="271"/>
      <c r="AF57" s="271"/>
      <c r="AG57" s="271"/>
      <c r="AH57" s="271"/>
      <c r="AI57" s="271"/>
      <c r="AJ57" s="271"/>
      <c r="AK57" s="272"/>
      <c r="AL57" s="270"/>
      <c r="AM57" s="271"/>
      <c r="AN57" s="271"/>
      <c r="AO57" s="271"/>
      <c r="AP57" s="271"/>
      <c r="AQ57" s="271"/>
      <c r="AR57" s="271"/>
      <c r="AS57" s="271"/>
      <c r="AT57" s="271"/>
      <c r="AU57" s="271"/>
      <c r="AV57" s="271"/>
      <c r="AW57" s="271"/>
      <c r="AX57" s="271"/>
      <c r="AY57" s="271"/>
      <c r="AZ57" s="271"/>
      <c r="BA57" s="271"/>
      <c r="BB57" s="272"/>
      <c r="BC57" s="273" t="s">
        <v>76</v>
      </c>
      <c r="BD57" s="273"/>
      <c r="BE57" s="268" t="s">
        <v>73</v>
      </c>
      <c r="BF57" s="269"/>
      <c r="BG57" s="273" t="s">
        <v>76</v>
      </c>
      <c r="BH57" s="273"/>
      <c r="BI57" s="273" t="s">
        <v>76</v>
      </c>
      <c r="BJ57" s="273"/>
      <c r="BK57" s="268" t="s">
        <v>73</v>
      </c>
      <c r="BL57" s="269"/>
    </row>
    <row r="58" spans="1:64" s="43" customFormat="1" ht="14.25" customHeight="1">
      <c r="A58" s="304">
        <f ca="1">MAX(A$5:INDIRECT("A"&amp;ROW()-1))+1</f>
        <v>52</v>
      </c>
      <c r="B58" s="305"/>
      <c r="C58" s="283" t="s">
        <v>220</v>
      </c>
      <c r="D58" s="295"/>
      <c r="E58" s="295"/>
      <c r="F58" s="295"/>
      <c r="G58" s="295"/>
      <c r="H58" s="295"/>
      <c r="I58" s="295"/>
      <c r="J58" s="295"/>
      <c r="K58" s="295"/>
      <c r="L58" s="295"/>
      <c r="M58" s="295"/>
      <c r="N58" s="295"/>
      <c r="O58" s="295"/>
      <c r="P58" s="295"/>
      <c r="Q58" s="295"/>
      <c r="R58" s="295"/>
      <c r="S58" s="295"/>
      <c r="T58" s="295"/>
      <c r="U58" s="295"/>
      <c r="V58" s="296"/>
      <c r="W58" s="270" t="s">
        <v>46</v>
      </c>
      <c r="X58" s="271"/>
      <c r="Y58" s="271"/>
      <c r="Z58" s="271"/>
      <c r="AA58" s="271"/>
      <c r="AB58" s="271"/>
      <c r="AC58" s="271"/>
      <c r="AD58" s="271"/>
      <c r="AE58" s="271"/>
      <c r="AF58" s="271"/>
      <c r="AG58" s="271"/>
      <c r="AH58" s="271"/>
      <c r="AI58" s="271"/>
      <c r="AJ58" s="271"/>
      <c r="AK58" s="272"/>
      <c r="AL58" s="270"/>
      <c r="AM58" s="271"/>
      <c r="AN58" s="271"/>
      <c r="AO58" s="271"/>
      <c r="AP58" s="271"/>
      <c r="AQ58" s="271"/>
      <c r="AR58" s="271"/>
      <c r="AS58" s="271"/>
      <c r="AT58" s="271"/>
      <c r="AU58" s="271"/>
      <c r="AV58" s="271"/>
      <c r="AW58" s="271"/>
      <c r="AX58" s="271"/>
      <c r="AY58" s="271"/>
      <c r="AZ58" s="271"/>
      <c r="BA58" s="271"/>
      <c r="BB58" s="272"/>
      <c r="BC58" s="273" t="s">
        <v>76</v>
      </c>
      <c r="BD58" s="273"/>
      <c r="BE58" s="273" t="s">
        <v>76</v>
      </c>
      <c r="BF58" s="273"/>
      <c r="BG58" s="273" t="s">
        <v>76</v>
      </c>
      <c r="BH58" s="273"/>
      <c r="BI58" s="273" t="s">
        <v>76</v>
      </c>
      <c r="BJ58" s="273"/>
      <c r="BK58" s="268" t="s">
        <v>73</v>
      </c>
      <c r="BL58" s="269"/>
    </row>
    <row r="59" spans="1:64" s="43" customFormat="1" ht="14.25" customHeight="1">
      <c r="A59" s="304">
        <f ca="1">MAX(A$5:INDIRECT("A"&amp;ROW()-1))+1</f>
        <v>53</v>
      </c>
      <c r="B59" s="305"/>
      <c r="C59" s="297"/>
      <c r="D59" s="298"/>
      <c r="E59" s="298"/>
      <c r="F59" s="298"/>
      <c r="G59" s="298"/>
      <c r="H59" s="298"/>
      <c r="I59" s="298"/>
      <c r="J59" s="298"/>
      <c r="K59" s="298"/>
      <c r="L59" s="298"/>
      <c r="M59" s="298"/>
      <c r="N59" s="298"/>
      <c r="O59" s="298"/>
      <c r="P59" s="298"/>
      <c r="Q59" s="298"/>
      <c r="R59" s="298"/>
      <c r="S59" s="298"/>
      <c r="T59" s="298"/>
      <c r="U59" s="298"/>
      <c r="V59" s="299"/>
      <c r="W59" s="270" t="s">
        <v>47</v>
      </c>
      <c r="X59" s="271"/>
      <c r="Y59" s="271"/>
      <c r="Z59" s="271"/>
      <c r="AA59" s="271"/>
      <c r="AB59" s="271"/>
      <c r="AC59" s="271"/>
      <c r="AD59" s="271"/>
      <c r="AE59" s="271"/>
      <c r="AF59" s="271"/>
      <c r="AG59" s="271"/>
      <c r="AH59" s="271"/>
      <c r="AI59" s="271"/>
      <c r="AJ59" s="271"/>
      <c r="AK59" s="272"/>
      <c r="AL59" s="270"/>
      <c r="AM59" s="271"/>
      <c r="AN59" s="271"/>
      <c r="AO59" s="271"/>
      <c r="AP59" s="271"/>
      <c r="AQ59" s="271"/>
      <c r="AR59" s="271"/>
      <c r="AS59" s="271"/>
      <c r="AT59" s="271"/>
      <c r="AU59" s="271"/>
      <c r="AV59" s="271"/>
      <c r="AW59" s="271"/>
      <c r="AX59" s="271"/>
      <c r="AY59" s="271"/>
      <c r="AZ59" s="271"/>
      <c r="BA59" s="271"/>
      <c r="BB59" s="272"/>
      <c r="BC59" s="273" t="s">
        <v>76</v>
      </c>
      <c r="BD59" s="273"/>
      <c r="BE59" s="273" t="s">
        <v>76</v>
      </c>
      <c r="BF59" s="273"/>
      <c r="BG59" s="273" t="s">
        <v>76</v>
      </c>
      <c r="BH59" s="273"/>
      <c r="BI59" s="273" t="s">
        <v>76</v>
      </c>
      <c r="BJ59" s="273"/>
      <c r="BK59" s="268" t="s">
        <v>73</v>
      </c>
      <c r="BL59" s="269"/>
    </row>
    <row r="60" spans="1:64" s="43" customFormat="1" ht="14.25" customHeight="1">
      <c r="A60" s="304">
        <f ca="1">MAX(A$5:INDIRECT("A"&amp;ROW()-1))+1</f>
        <v>54</v>
      </c>
      <c r="B60" s="305"/>
      <c r="C60" s="297"/>
      <c r="D60" s="298"/>
      <c r="E60" s="298"/>
      <c r="F60" s="298"/>
      <c r="G60" s="298"/>
      <c r="H60" s="298"/>
      <c r="I60" s="298"/>
      <c r="J60" s="298"/>
      <c r="K60" s="298"/>
      <c r="L60" s="298"/>
      <c r="M60" s="298"/>
      <c r="N60" s="298"/>
      <c r="O60" s="298"/>
      <c r="P60" s="298"/>
      <c r="Q60" s="298"/>
      <c r="R60" s="298"/>
      <c r="S60" s="298"/>
      <c r="T60" s="298"/>
      <c r="U60" s="298"/>
      <c r="V60" s="299"/>
      <c r="W60" s="270" t="s">
        <v>49</v>
      </c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2"/>
      <c r="AL60" s="270"/>
      <c r="AM60" s="271"/>
      <c r="AN60" s="271"/>
      <c r="AO60" s="271"/>
      <c r="AP60" s="271"/>
      <c r="AQ60" s="271"/>
      <c r="AR60" s="271"/>
      <c r="AS60" s="271"/>
      <c r="AT60" s="271"/>
      <c r="AU60" s="271"/>
      <c r="AV60" s="271"/>
      <c r="AW60" s="271"/>
      <c r="AX60" s="271"/>
      <c r="AY60" s="271"/>
      <c r="AZ60" s="271"/>
      <c r="BA60" s="271"/>
      <c r="BB60" s="272"/>
      <c r="BC60" s="273" t="s">
        <v>76</v>
      </c>
      <c r="BD60" s="273"/>
      <c r="BE60" s="273" t="s">
        <v>76</v>
      </c>
      <c r="BF60" s="273"/>
      <c r="BG60" s="273" t="s">
        <v>76</v>
      </c>
      <c r="BH60" s="273"/>
      <c r="BI60" s="273" t="s">
        <v>76</v>
      </c>
      <c r="BJ60" s="273"/>
      <c r="BK60" s="268" t="s">
        <v>73</v>
      </c>
      <c r="BL60" s="269"/>
    </row>
    <row r="61" spans="1:64" s="43" customFormat="1" ht="14.25" customHeight="1">
      <c r="A61" s="304">
        <f ca="1">MAX(A$5:INDIRECT("A"&amp;ROW()-1))+1</f>
        <v>55</v>
      </c>
      <c r="B61" s="305"/>
      <c r="C61" s="300"/>
      <c r="D61" s="301"/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  <c r="T61" s="301"/>
      <c r="U61" s="301"/>
      <c r="V61" s="302"/>
      <c r="W61" s="270" t="s">
        <v>48</v>
      </c>
      <c r="X61" s="271"/>
      <c r="Y61" s="271"/>
      <c r="Z61" s="271"/>
      <c r="AA61" s="271"/>
      <c r="AB61" s="271"/>
      <c r="AC61" s="271"/>
      <c r="AD61" s="271"/>
      <c r="AE61" s="271"/>
      <c r="AF61" s="271"/>
      <c r="AG61" s="271"/>
      <c r="AH61" s="271"/>
      <c r="AI61" s="271"/>
      <c r="AJ61" s="271"/>
      <c r="AK61" s="272"/>
      <c r="AL61" s="270"/>
      <c r="AM61" s="271"/>
      <c r="AN61" s="271"/>
      <c r="AO61" s="271"/>
      <c r="AP61" s="271"/>
      <c r="AQ61" s="271"/>
      <c r="AR61" s="271"/>
      <c r="AS61" s="271"/>
      <c r="AT61" s="271"/>
      <c r="AU61" s="271"/>
      <c r="AV61" s="271"/>
      <c r="AW61" s="271"/>
      <c r="AX61" s="271"/>
      <c r="AY61" s="271"/>
      <c r="AZ61" s="271"/>
      <c r="BA61" s="271"/>
      <c r="BB61" s="272"/>
      <c r="BC61" s="273" t="s">
        <v>76</v>
      </c>
      <c r="BD61" s="273"/>
      <c r="BE61" s="273" t="s">
        <v>76</v>
      </c>
      <c r="BF61" s="273"/>
      <c r="BG61" s="273" t="s">
        <v>76</v>
      </c>
      <c r="BH61" s="273"/>
      <c r="BI61" s="273" t="s">
        <v>76</v>
      </c>
      <c r="BJ61" s="273"/>
      <c r="BK61" s="268" t="s">
        <v>73</v>
      </c>
      <c r="BL61" s="269"/>
    </row>
    <row r="62" spans="1:64" s="43" customFormat="1" ht="14.25" customHeight="1">
      <c r="A62" s="304">
        <f ca="1">MAX(A$5:INDIRECT("A"&amp;ROW()-1))+1</f>
        <v>56</v>
      </c>
      <c r="B62" s="305"/>
      <c r="C62" s="283" t="s">
        <v>221</v>
      </c>
      <c r="D62" s="295"/>
      <c r="E62" s="295"/>
      <c r="F62" s="295"/>
      <c r="G62" s="295"/>
      <c r="H62" s="295"/>
      <c r="I62" s="295"/>
      <c r="J62" s="295"/>
      <c r="K62" s="295"/>
      <c r="L62" s="295"/>
      <c r="M62" s="295"/>
      <c r="N62" s="295"/>
      <c r="O62" s="295"/>
      <c r="P62" s="295"/>
      <c r="Q62" s="295"/>
      <c r="R62" s="295"/>
      <c r="S62" s="295"/>
      <c r="T62" s="295"/>
      <c r="U62" s="295"/>
      <c r="V62" s="296"/>
      <c r="W62" s="270" t="s">
        <v>50</v>
      </c>
      <c r="X62" s="271"/>
      <c r="Y62" s="271"/>
      <c r="Z62" s="271"/>
      <c r="AA62" s="271"/>
      <c r="AB62" s="271"/>
      <c r="AC62" s="271"/>
      <c r="AD62" s="271"/>
      <c r="AE62" s="271"/>
      <c r="AF62" s="271"/>
      <c r="AG62" s="271"/>
      <c r="AH62" s="271"/>
      <c r="AI62" s="271"/>
      <c r="AJ62" s="271"/>
      <c r="AK62" s="272"/>
      <c r="AL62" s="270"/>
      <c r="AM62" s="271"/>
      <c r="AN62" s="271"/>
      <c r="AO62" s="271"/>
      <c r="AP62" s="271"/>
      <c r="AQ62" s="271"/>
      <c r="AR62" s="271"/>
      <c r="AS62" s="271"/>
      <c r="AT62" s="271"/>
      <c r="AU62" s="271"/>
      <c r="AV62" s="271"/>
      <c r="AW62" s="271"/>
      <c r="AX62" s="271"/>
      <c r="AY62" s="271"/>
      <c r="AZ62" s="271"/>
      <c r="BA62" s="271"/>
      <c r="BB62" s="272"/>
      <c r="BC62" s="273" t="s">
        <v>76</v>
      </c>
      <c r="BD62" s="273"/>
      <c r="BE62" s="273" t="s">
        <v>76</v>
      </c>
      <c r="BF62" s="273"/>
      <c r="BG62" s="273" t="s">
        <v>76</v>
      </c>
      <c r="BH62" s="273"/>
      <c r="BI62" s="273" t="s">
        <v>76</v>
      </c>
      <c r="BJ62" s="273"/>
      <c r="BK62" s="268" t="s">
        <v>73</v>
      </c>
      <c r="BL62" s="269"/>
    </row>
    <row r="63" spans="1:64" s="43" customFormat="1" ht="14.25" customHeight="1">
      <c r="A63" s="304">
        <f ca="1">MAX(A$5:INDIRECT("A"&amp;ROW()-1))+1</f>
        <v>57</v>
      </c>
      <c r="B63" s="305"/>
      <c r="C63" s="297"/>
      <c r="D63" s="298"/>
      <c r="E63" s="298"/>
      <c r="F63" s="298"/>
      <c r="G63" s="298"/>
      <c r="H63" s="298"/>
      <c r="I63" s="298"/>
      <c r="J63" s="298"/>
      <c r="K63" s="298"/>
      <c r="L63" s="298"/>
      <c r="M63" s="298"/>
      <c r="N63" s="298"/>
      <c r="O63" s="298"/>
      <c r="P63" s="298"/>
      <c r="Q63" s="298"/>
      <c r="R63" s="298"/>
      <c r="S63" s="298"/>
      <c r="T63" s="298"/>
      <c r="U63" s="298"/>
      <c r="V63" s="299"/>
      <c r="W63" s="270" t="s">
        <v>51</v>
      </c>
      <c r="X63" s="271"/>
      <c r="Y63" s="271"/>
      <c r="Z63" s="271"/>
      <c r="AA63" s="271"/>
      <c r="AB63" s="271"/>
      <c r="AC63" s="271"/>
      <c r="AD63" s="271"/>
      <c r="AE63" s="271"/>
      <c r="AF63" s="271"/>
      <c r="AG63" s="271"/>
      <c r="AH63" s="271"/>
      <c r="AI63" s="271"/>
      <c r="AJ63" s="271"/>
      <c r="AK63" s="272"/>
      <c r="AL63" s="270"/>
      <c r="AM63" s="271"/>
      <c r="AN63" s="271"/>
      <c r="AO63" s="271"/>
      <c r="AP63" s="271"/>
      <c r="AQ63" s="271"/>
      <c r="AR63" s="271"/>
      <c r="AS63" s="271"/>
      <c r="AT63" s="271"/>
      <c r="AU63" s="271"/>
      <c r="AV63" s="271"/>
      <c r="AW63" s="271"/>
      <c r="AX63" s="271"/>
      <c r="AY63" s="271"/>
      <c r="AZ63" s="271"/>
      <c r="BA63" s="271"/>
      <c r="BB63" s="272"/>
      <c r="BC63" s="273" t="s">
        <v>76</v>
      </c>
      <c r="BD63" s="273"/>
      <c r="BE63" s="273" t="s">
        <v>76</v>
      </c>
      <c r="BF63" s="273"/>
      <c r="BG63" s="273" t="s">
        <v>76</v>
      </c>
      <c r="BH63" s="273"/>
      <c r="BI63" s="273" t="s">
        <v>76</v>
      </c>
      <c r="BJ63" s="273"/>
      <c r="BK63" s="268" t="s">
        <v>73</v>
      </c>
      <c r="BL63" s="269"/>
    </row>
    <row r="64" spans="1:64" s="43" customFormat="1" ht="14.25" customHeight="1">
      <c r="A64" s="304">
        <f ca="1">MAX(A$5:INDIRECT("A"&amp;ROW()-1))+1</f>
        <v>58</v>
      </c>
      <c r="B64" s="305"/>
      <c r="C64" s="300"/>
      <c r="D64" s="301"/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  <c r="T64" s="301"/>
      <c r="U64" s="301"/>
      <c r="V64" s="302"/>
      <c r="W64" s="270" t="s">
        <v>52</v>
      </c>
      <c r="X64" s="271"/>
      <c r="Y64" s="271"/>
      <c r="Z64" s="271"/>
      <c r="AA64" s="271"/>
      <c r="AB64" s="271"/>
      <c r="AC64" s="271"/>
      <c r="AD64" s="271"/>
      <c r="AE64" s="271"/>
      <c r="AF64" s="271"/>
      <c r="AG64" s="271"/>
      <c r="AH64" s="271"/>
      <c r="AI64" s="271"/>
      <c r="AJ64" s="271"/>
      <c r="AK64" s="272"/>
      <c r="AL64" s="270"/>
      <c r="AM64" s="271"/>
      <c r="AN64" s="271"/>
      <c r="AO64" s="271"/>
      <c r="AP64" s="271"/>
      <c r="AQ64" s="271"/>
      <c r="AR64" s="271"/>
      <c r="AS64" s="271"/>
      <c r="AT64" s="271"/>
      <c r="AU64" s="271"/>
      <c r="AV64" s="271"/>
      <c r="AW64" s="271"/>
      <c r="AX64" s="271"/>
      <c r="AY64" s="271"/>
      <c r="AZ64" s="271"/>
      <c r="BA64" s="271"/>
      <c r="BB64" s="272"/>
      <c r="BC64" s="273" t="s">
        <v>76</v>
      </c>
      <c r="BD64" s="273"/>
      <c r="BE64" s="273" t="s">
        <v>76</v>
      </c>
      <c r="BF64" s="273"/>
      <c r="BG64" s="273" t="s">
        <v>76</v>
      </c>
      <c r="BH64" s="273"/>
      <c r="BI64" s="273" t="s">
        <v>76</v>
      </c>
      <c r="BJ64" s="273"/>
      <c r="BK64" s="268" t="s">
        <v>73</v>
      </c>
      <c r="BL64" s="269"/>
    </row>
    <row r="65" spans="1:64" s="43" customFormat="1" ht="14.25" customHeight="1">
      <c r="A65" s="304">
        <f ca="1">MAX(A$5:INDIRECT("A"&amp;ROW()-1))+1</f>
        <v>59</v>
      </c>
      <c r="B65" s="305"/>
      <c r="C65" s="264" t="s">
        <v>229</v>
      </c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272"/>
      <c r="W65" s="270" t="s">
        <v>92</v>
      </c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2"/>
      <c r="AL65" s="270"/>
      <c r="AM65" s="271"/>
      <c r="AN65" s="271"/>
      <c r="AO65" s="271"/>
      <c r="AP65" s="271"/>
      <c r="AQ65" s="271"/>
      <c r="AR65" s="271"/>
      <c r="AS65" s="271"/>
      <c r="AT65" s="271"/>
      <c r="AU65" s="271"/>
      <c r="AV65" s="271"/>
      <c r="AW65" s="271"/>
      <c r="AX65" s="271"/>
      <c r="AY65" s="271"/>
      <c r="AZ65" s="271"/>
      <c r="BA65" s="271"/>
      <c r="BB65" s="272"/>
      <c r="BC65" s="273" t="s">
        <v>87</v>
      </c>
      <c r="BD65" s="273"/>
      <c r="BE65" s="273" t="s">
        <v>87</v>
      </c>
      <c r="BF65" s="273"/>
      <c r="BG65" s="273" t="s">
        <v>87</v>
      </c>
      <c r="BH65" s="273"/>
      <c r="BI65" s="273" t="s">
        <v>87</v>
      </c>
      <c r="BJ65" s="273"/>
      <c r="BK65" s="273" t="s">
        <v>76</v>
      </c>
      <c r="BL65" s="273"/>
    </row>
    <row r="66" spans="1:64" s="43" customFormat="1" ht="14.25" customHeight="1">
      <c r="A66" s="304">
        <f ca="1">MAX(A$5:INDIRECT("A"&amp;ROW()-1))+1</f>
        <v>60</v>
      </c>
      <c r="B66" s="305"/>
      <c r="C66" s="283" t="s">
        <v>228</v>
      </c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5"/>
      <c r="Q66" s="295"/>
      <c r="R66" s="295"/>
      <c r="S66" s="295"/>
      <c r="T66" s="295"/>
      <c r="U66" s="295"/>
      <c r="V66" s="296"/>
      <c r="W66" s="270" t="s">
        <v>54</v>
      </c>
      <c r="X66" s="271"/>
      <c r="Y66" s="271"/>
      <c r="Z66" s="271"/>
      <c r="AA66" s="271"/>
      <c r="AB66" s="271"/>
      <c r="AC66" s="271"/>
      <c r="AD66" s="271"/>
      <c r="AE66" s="271"/>
      <c r="AF66" s="271"/>
      <c r="AG66" s="271"/>
      <c r="AH66" s="271"/>
      <c r="AI66" s="271"/>
      <c r="AJ66" s="271"/>
      <c r="AK66" s="272"/>
      <c r="AL66" s="270"/>
      <c r="AM66" s="271"/>
      <c r="AN66" s="271"/>
      <c r="AO66" s="271"/>
      <c r="AP66" s="271"/>
      <c r="AQ66" s="271"/>
      <c r="AR66" s="271"/>
      <c r="AS66" s="271"/>
      <c r="AT66" s="271"/>
      <c r="AU66" s="271"/>
      <c r="AV66" s="271"/>
      <c r="AW66" s="271"/>
      <c r="AX66" s="271"/>
      <c r="AY66" s="271"/>
      <c r="AZ66" s="271"/>
      <c r="BA66" s="271"/>
      <c r="BB66" s="272"/>
      <c r="BC66" s="273" t="s">
        <v>87</v>
      </c>
      <c r="BD66" s="273"/>
      <c r="BE66" s="273" t="s">
        <v>87</v>
      </c>
      <c r="BF66" s="273"/>
      <c r="BG66" s="273" t="s">
        <v>87</v>
      </c>
      <c r="BH66" s="273"/>
      <c r="BI66" s="273" t="s">
        <v>87</v>
      </c>
      <c r="BJ66" s="273"/>
      <c r="BK66" s="268" t="s">
        <v>73</v>
      </c>
      <c r="BL66" s="269"/>
    </row>
    <row r="67" spans="1:64" s="43" customFormat="1" ht="14.25" customHeight="1">
      <c r="A67" s="304">
        <f ca="1">MAX(A$5:INDIRECT("A"&amp;ROW()-1))+1</f>
        <v>61</v>
      </c>
      <c r="B67" s="305"/>
      <c r="C67" s="297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8"/>
      <c r="Q67" s="298"/>
      <c r="R67" s="298"/>
      <c r="S67" s="298"/>
      <c r="T67" s="298"/>
      <c r="U67" s="298"/>
      <c r="V67" s="299"/>
      <c r="W67" s="270" t="s">
        <v>96</v>
      </c>
      <c r="X67" s="271"/>
      <c r="Y67" s="271"/>
      <c r="Z67" s="271"/>
      <c r="AA67" s="271"/>
      <c r="AB67" s="271"/>
      <c r="AC67" s="271"/>
      <c r="AD67" s="271"/>
      <c r="AE67" s="271"/>
      <c r="AF67" s="271"/>
      <c r="AG67" s="271"/>
      <c r="AH67" s="271"/>
      <c r="AI67" s="271"/>
      <c r="AJ67" s="271"/>
      <c r="AK67" s="272"/>
      <c r="AL67" s="270"/>
      <c r="AM67" s="271"/>
      <c r="AN67" s="271"/>
      <c r="AO67" s="271"/>
      <c r="AP67" s="271"/>
      <c r="AQ67" s="271"/>
      <c r="AR67" s="271"/>
      <c r="AS67" s="271"/>
      <c r="AT67" s="271"/>
      <c r="AU67" s="271"/>
      <c r="AV67" s="271"/>
      <c r="AW67" s="271"/>
      <c r="AX67" s="271"/>
      <c r="AY67" s="271"/>
      <c r="AZ67" s="271"/>
      <c r="BA67" s="271"/>
      <c r="BB67" s="272"/>
      <c r="BC67" s="273" t="s">
        <v>76</v>
      </c>
      <c r="BD67" s="273"/>
      <c r="BE67" s="273" t="s">
        <v>73</v>
      </c>
      <c r="BF67" s="273"/>
      <c r="BG67" s="273" t="s">
        <v>76</v>
      </c>
      <c r="BH67" s="273"/>
      <c r="BI67" s="273" t="s">
        <v>76</v>
      </c>
      <c r="BJ67" s="273"/>
      <c r="BK67" s="268" t="s">
        <v>73</v>
      </c>
      <c r="BL67" s="269"/>
    </row>
    <row r="68" spans="1:64" s="43" customFormat="1" ht="14.25" customHeight="1">
      <c r="A68" s="304">
        <f ca="1">MAX(A$5:INDIRECT("A"&amp;ROW()-1))+1</f>
        <v>62</v>
      </c>
      <c r="B68" s="305"/>
      <c r="C68" s="300"/>
      <c r="D68" s="301"/>
      <c r="E68" s="301"/>
      <c r="F68" s="301"/>
      <c r="G68" s="301"/>
      <c r="H68" s="301"/>
      <c r="I68" s="301"/>
      <c r="J68" s="301"/>
      <c r="K68" s="301"/>
      <c r="L68" s="301"/>
      <c r="M68" s="301"/>
      <c r="N68" s="301"/>
      <c r="O68" s="301"/>
      <c r="P68" s="301"/>
      <c r="Q68" s="301"/>
      <c r="R68" s="301"/>
      <c r="S68" s="301"/>
      <c r="T68" s="301"/>
      <c r="U68" s="301"/>
      <c r="V68" s="302"/>
      <c r="W68" s="270" t="s">
        <v>95</v>
      </c>
      <c r="X68" s="271"/>
      <c r="Y68" s="271"/>
      <c r="Z68" s="271"/>
      <c r="AA68" s="271"/>
      <c r="AB68" s="271"/>
      <c r="AC68" s="271"/>
      <c r="AD68" s="271"/>
      <c r="AE68" s="271"/>
      <c r="AF68" s="271"/>
      <c r="AG68" s="271"/>
      <c r="AH68" s="271"/>
      <c r="AI68" s="271"/>
      <c r="AJ68" s="271"/>
      <c r="AK68" s="272"/>
      <c r="AL68" s="270"/>
      <c r="AM68" s="271"/>
      <c r="AN68" s="271"/>
      <c r="AO68" s="271"/>
      <c r="AP68" s="271"/>
      <c r="AQ68" s="271"/>
      <c r="AR68" s="271"/>
      <c r="AS68" s="271"/>
      <c r="AT68" s="271"/>
      <c r="AU68" s="271"/>
      <c r="AV68" s="271"/>
      <c r="AW68" s="271"/>
      <c r="AX68" s="271"/>
      <c r="AY68" s="271"/>
      <c r="AZ68" s="271"/>
      <c r="BA68" s="271"/>
      <c r="BB68" s="272"/>
      <c r="BC68" s="273" t="s">
        <v>87</v>
      </c>
      <c r="BD68" s="273"/>
      <c r="BE68" s="273" t="s">
        <v>87</v>
      </c>
      <c r="BF68" s="273"/>
      <c r="BG68" s="273" t="s">
        <v>87</v>
      </c>
      <c r="BH68" s="273"/>
      <c r="BI68" s="273" t="s">
        <v>87</v>
      </c>
      <c r="BJ68" s="273"/>
      <c r="BK68" s="268" t="s">
        <v>73</v>
      </c>
      <c r="BL68" s="269"/>
    </row>
    <row r="69" spans="1:64" s="43" customFormat="1" ht="14.25" customHeight="1">
      <c r="A69" s="304">
        <f ca="1">MAX(A$5:INDIRECT("A"&amp;ROW()-1))+1</f>
        <v>63</v>
      </c>
      <c r="B69" s="305"/>
      <c r="C69" s="283" t="s">
        <v>217</v>
      </c>
      <c r="D69" s="295"/>
      <c r="E69" s="295"/>
      <c r="F69" s="295"/>
      <c r="G69" s="295"/>
      <c r="H69" s="295"/>
      <c r="I69" s="295"/>
      <c r="J69" s="295"/>
      <c r="K69" s="295"/>
      <c r="L69" s="295"/>
      <c r="M69" s="295"/>
      <c r="N69" s="295"/>
      <c r="O69" s="295"/>
      <c r="P69" s="295"/>
      <c r="Q69" s="295"/>
      <c r="R69" s="295"/>
      <c r="S69" s="295"/>
      <c r="T69" s="295"/>
      <c r="U69" s="295"/>
      <c r="V69" s="296"/>
      <c r="W69" s="270" t="s">
        <v>55</v>
      </c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2"/>
      <c r="AL69" s="270"/>
      <c r="AM69" s="271"/>
      <c r="AN69" s="271"/>
      <c r="AO69" s="271"/>
      <c r="AP69" s="271"/>
      <c r="AQ69" s="271"/>
      <c r="AR69" s="271"/>
      <c r="AS69" s="271"/>
      <c r="AT69" s="271"/>
      <c r="AU69" s="271"/>
      <c r="AV69" s="271"/>
      <c r="AW69" s="271"/>
      <c r="AX69" s="271"/>
      <c r="AY69" s="271"/>
      <c r="AZ69" s="271"/>
      <c r="BA69" s="271"/>
      <c r="BB69" s="272"/>
      <c r="BC69" s="273" t="s">
        <v>87</v>
      </c>
      <c r="BD69" s="273"/>
      <c r="BE69" s="273" t="s">
        <v>87</v>
      </c>
      <c r="BF69" s="273"/>
      <c r="BG69" s="273" t="s">
        <v>87</v>
      </c>
      <c r="BH69" s="273"/>
      <c r="BI69" s="273" t="s">
        <v>87</v>
      </c>
      <c r="BJ69" s="273"/>
      <c r="BK69" s="268" t="s">
        <v>73</v>
      </c>
      <c r="BL69" s="269"/>
    </row>
    <row r="70" spans="1:64" s="43" customFormat="1" ht="14.25" customHeight="1">
      <c r="A70" s="304">
        <f ca="1">MAX(A$5:INDIRECT("A"&amp;ROW()-1))+1</f>
        <v>64</v>
      </c>
      <c r="B70" s="305"/>
      <c r="C70" s="297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8"/>
      <c r="Q70" s="298"/>
      <c r="R70" s="298"/>
      <c r="S70" s="298"/>
      <c r="T70" s="298"/>
      <c r="U70" s="298"/>
      <c r="V70" s="299"/>
      <c r="W70" s="270" t="s">
        <v>56</v>
      </c>
      <c r="X70" s="271"/>
      <c r="Y70" s="271"/>
      <c r="Z70" s="271"/>
      <c r="AA70" s="271"/>
      <c r="AB70" s="271"/>
      <c r="AC70" s="271"/>
      <c r="AD70" s="271"/>
      <c r="AE70" s="271"/>
      <c r="AF70" s="271"/>
      <c r="AG70" s="271"/>
      <c r="AH70" s="271"/>
      <c r="AI70" s="271"/>
      <c r="AJ70" s="271"/>
      <c r="AK70" s="272"/>
      <c r="AL70" s="270"/>
      <c r="AM70" s="271"/>
      <c r="AN70" s="271"/>
      <c r="AO70" s="271"/>
      <c r="AP70" s="271"/>
      <c r="AQ70" s="271"/>
      <c r="AR70" s="271"/>
      <c r="AS70" s="271"/>
      <c r="AT70" s="271"/>
      <c r="AU70" s="271"/>
      <c r="AV70" s="271"/>
      <c r="AW70" s="271"/>
      <c r="AX70" s="271"/>
      <c r="AY70" s="271"/>
      <c r="AZ70" s="271"/>
      <c r="BA70" s="271"/>
      <c r="BB70" s="272"/>
      <c r="BC70" s="273" t="s">
        <v>76</v>
      </c>
      <c r="BD70" s="273"/>
      <c r="BE70" s="273" t="s">
        <v>87</v>
      </c>
      <c r="BF70" s="273"/>
      <c r="BG70" s="273" t="s">
        <v>87</v>
      </c>
      <c r="BH70" s="273"/>
      <c r="BI70" s="273" t="s">
        <v>87</v>
      </c>
      <c r="BJ70" s="273"/>
      <c r="BK70" s="268" t="s">
        <v>73</v>
      </c>
      <c r="BL70" s="269"/>
    </row>
    <row r="71" spans="1:64" s="43" customFormat="1" ht="14.25" customHeight="1">
      <c r="A71" s="304">
        <f ca="1">MAX(A$5:INDIRECT("A"&amp;ROW()-1))+1</f>
        <v>65</v>
      </c>
      <c r="B71" s="305"/>
      <c r="C71" s="297"/>
      <c r="D71" s="298"/>
      <c r="E71" s="298"/>
      <c r="F71" s="298"/>
      <c r="G71" s="298"/>
      <c r="H71" s="298"/>
      <c r="I71" s="298"/>
      <c r="J71" s="298"/>
      <c r="K71" s="298"/>
      <c r="L71" s="298"/>
      <c r="M71" s="298"/>
      <c r="N71" s="298"/>
      <c r="O71" s="298"/>
      <c r="P71" s="298"/>
      <c r="Q71" s="298"/>
      <c r="R71" s="298"/>
      <c r="S71" s="298"/>
      <c r="T71" s="298"/>
      <c r="U71" s="298"/>
      <c r="V71" s="299"/>
      <c r="W71" s="270" t="s">
        <v>57</v>
      </c>
      <c r="X71" s="271"/>
      <c r="Y71" s="271"/>
      <c r="Z71" s="271"/>
      <c r="AA71" s="271"/>
      <c r="AB71" s="271"/>
      <c r="AC71" s="271"/>
      <c r="AD71" s="271"/>
      <c r="AE71" s="271"/>
      <c r="AF71" s="271"/>
      <c r="AG71" s="271"/>
      <c r="AH71" s="271"/>
      <c r="AI71" s="271"/>
      <c r="AJ71" s="271"/>
      <c r="AK71" s="272"/>
      <c r="AL71" s="270"/>
      <c r="AM71" s="271"/>
      <c r="AN71" s="271"/>
      <c r="AO71" s="271"/>
      <c r="AP71" s="271"/>
      <c r="AQ71" s="271"/>
      <c r="AR71" s="271"/>
      <c r="AS71" s="271"/>
      <c r="AT71" s="271"/>
      <c r="AU71" s="271"/>
      <c r="AV71" s="271"/>
      <c r="AW71" s="271"/>
      <c r="AX71" s="271"/>
      <c r="AY71" s="271"/>
      <c r="AZ71" s="271"/>
      <c r="BA71" s="271"/>
      <c r="BB71" s="272"/>
      <c r="BC71" s="273" t="s">
        <v>76</v>
      </c>
      <c r="BD71" s="273"/>
      <c r="BE71" s="268" t="s">
        <v>73</v>
      </c>
      <c r="BF71" s="269"/>
      <c r="BG71" s="268" t="s">
        <v>73</v>
      </c>
      <c r="BH71" s="269"/>
      <c r="BI71" s="268" t="s">
        <v>73</v>
      </c>
      <c r="BJ71" s="269"/>
      <c r="BK71" s="268" t="s">
        <v>76</v>
      </c>
      <c r="BL71" s="269"/>
    </row>
    <row r="72" spans="1:64" s="43" customFormat="1" ht="14.25" customHeight="1">
      <c r="A72" s="304">
        <f ca="1">MAX(A$5:INDIRECT("A"&amp;ROW()-1))+1</f>
        <v>66</v>
      </c>
      <c r="B72" s="305"/>
      <c r="C72" s="297"/>
      <c r="D72" s="298"/>
      <c r="E72" s="298"/>
      <c r="F72" s="298"/>
      <c r="G72" s="298"/>
      <c r="H72" s="298"/>
      <c r="I72" s="298"/>
      <c r="J72" s="298"/>
      <c r="K72" s="298"/>
      <c r="L72" s="298"/>
      <c r="M72" s="298"/>
      <c r="N72" s="298"/>
      <c r="O72" s="298"/>
      <c r="P72" s="298"/>
      <c r="Q72" s="298"/>
      <c r="R72" s="298"/>
      <c r="S72" s="298"/>
      <c r="T72" s="298"/>
      <c r="U72" s="298"/>
      <c r="V72" s="299"/>
      <c r="W72" s="270" t="s">
        <v>97</v>
      </c>
      <c r="X72" s="271"/>
      <c r="Y72" s="271"/>
      <c r="Z72" s="271"/>
      <c r="AA72" s="271"/>
      <c r="AB72" s="271"/>
      <c r="AC72" s="271"/>
      <c r="AD72" s="271"/>
      <c r="AE72" s="271"/>
      <c r="AF72" s="271"/>
      <c r="AG72" s="271"/>
      <c r="AH72" s="271"/>
      <c r="AI72" s="271"/>
      <c r="AJ72" s="271"/>
      <c r="AK72" s="272"/>
      <c r="AL72" s="270"/>
      <c r="AM72" s="271"/>
      <c r="AN72" s="271"/>
      <c r="AO72" s="271"/>
      <c r="AP72" s="271"/>
      <c r="AQ72" s="271"/>
      <c r="AR72" s="271"/>
      <c r="AS72" s="271"/>
      <c r="AT72" s="271"/>
      <c r="AU72" s="271"/>
      <c r="AV72" s="271"/>
      <c r="AW72" s="271"/>
      <c r="AX72" s="271"/>
      <c r="AY72" s="271"/>
      <c r="AZ72" s="271"/>
      <c r="BA72" s="271"/>
      <c r="BB72" s="272"/>
      <c r="BC72" s="273" t="s">
        <v>76</v>
      </c>
      <c r="BD72" s="273"/>
      <c r="BE72" s="273" t="s">
        <v>76</v>
      </c>
      <c r="BF72" s="273"/>
      <c r="BG72" s="273" t="s">
        <v>73</v>
      </c>
      <c r="BH72" s="273"/>
      <c r="BI72" s="273" t="s">
        <v>73</v>
      </c>
      <c r="BJ72" s="273"/>
      <c r="BK72" s="273" t="s">
        <v>73</v>
      </c>
      <c r="BL72" s="273"/>
    </row>
    <row r="73" spans="1:64" s="43" customFormat="1" ht="14.25" customHeight="1">
      <c r="A73" s="304">
        <f ca="1">MAX(A$5:INDIRECT("A"&amp;ROW()-1))+1</f>
        <v>67</v>
      </c>
      <c r="B73" s="305"/>
      <c r="C73" s="297"/>
      <c r="D73" s="298"/>
      <c r="E73" s="298"/>
      <c r="F73" s="298"/>
      <c r="G73" s="298"/>
      <c r="H73" s="298"/>
      <c r="I73" s="298"/>
      <c r="J73" s="298"/>
      <c r="K73" s="298"/>
      <c r="L73" s="298"/>
      <c r="M73" s="298"/>
      <c r="N73" s="298"/>
      <c r="O73" s="298"/>
      <c r="P73" s="298"/>
      <c r="Q73" s="298"/>
      <c r="R73" s="298"/>
      <c r="S73" s="298"/>
      <c r="T73" s="298"/>
      <c r="U73" s="298"/>
      <c r="V73" s="299"/>
      <c r="W73" s="270" t="s">
        <v>58</v>
      </c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2"/>
      <c r="AL73" s="270"/>
      <c r="AM73" s="271"/>
      <c r="AN73" s="271"/>
      <c r="AO73" s="271"/>
      <c r="AP73" s="271"/>
      <c r="AQ73" s="271"/>
      <c r="AR73" s="271"/>
      <c r="AS73" s="271"/>
      <c r="AT73" s="271"/>
      <c r="AU73" s="271"/>
      <c r="AV73" s="271"/>
      <c r="AW73" s="271"/>
      <c r="AX73" s="271"/>
      <c r="AY73" s="271"/>
      <c r="AZ73" s="271"/>
      <c r="BA73" s="271"/>
      <c r="BB73" s="272"/>
      <c r="BC73" s="273" t="s">
        <v>76</v>
      </c>
      <c r="BD73" s="273"/>
      <c r="BE73" s="268" t="s">
        <v>76</v>
      </c>
      <c r="BF73" s="269"/>
      <c r="BG73" s="268" t="s">
        <v>73</v>
      </c>
      <c r="BH73" s="269"/>
      <c r="BI73" s="268" t="s">
        <v>73</v>
      </c>
      <c r="BJ73" s="269"/>
      <c r="BK73" s="268" t="s">
        <v>73</v>
      </c>
      <c r="BL73" s="269"/>
    </row>
    <row r="74" spans="1:64" s="43" customFormat="1" ht="14.25" customHeight="1">
      <c r="A74" s="304">
        <f ca="1">MAX(A$5:INDIRECT("A"&amp;ROW()-1))+1</f>
        <v>68</v>
      </c>
      <c r="B74" s="305"/>
      <c r="C74" s="300"/>
      <c r="D74" s="301"/>
      <c r="E74" s="301"/>
      <c r="F74" s="301"/>
      <c r="G74" s="301"/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01"/>
      <c r="U74" s="301"/>
      <c r="V74" s="302"/>
      <c r="W74" s="270" t="s">
        <v>59</v>
      </c>
      <c r="X74" s="271"/>
      <c r="Y74" s="271"/>
      <c r="Z74" s="271"/>
      <c r="AA74" s="271"/>
      <c r="AB74" s="271"/>
      <c r="AC74" s="271"/>
      <c r="AD74" s="271"/>
      <c r="AE74" s="271"/>
      <c r="AF74" s="271"/>
      <c r="AG74" s="271"/>
      <c r="AH74" s="271"/>
      <c r="AI74" s="271"/>
      <c r="AJ74" s="271"/>
      <c r="AK74" s="272"/>
      <c r="AL74" s="270"/>
      <c r="AM74" s="271"/>
      <c r="AN74" s="271"/>
      <c r="AO74" s="271"/>
      <c r="AP74" s="271"/>
      <c r="AQ74" s="271"/>
      <c r="AR74" s="271"/>
      <c r="AS74" s="271"/>
      <c r="AT74" s="271"/>
      <c r="AU74" s="271"/>
      <c r="AV74" s="271"/>
      <c r="AW74" s="271"/>
      <c r="AX74" s="271"/>
      <c r="AY74" s="271"/>
      <c r="AZ74" s="271"/>
      <c r="BA74" s="271"/>
      <c r="BB74" s="272"/>
      <c r="BC74" s="268" t="s">
        <v>76</v>
      </c>
      <c r="BD74" s="269"/>
      <c r="BE74" s="268" t="s">
        <v>76</v>
      </c>
      <c r="BF74" s="269"/>
      <c r="BG74" s="268" t="s">
        <v>73</v>
      </c>
      <c r="BH74" s="269"/>
      <c r="BI74" s="268" t="s">
        <v>76</v>
      </c>
      <c r="BJ74" s="269"/>
      <c r="BK74" s="268" t="s">
        <v>73</v>
      </c>
      <c r="BL74" s="269"/>
    </row>
    <row r="75" spans="1:64" s="43" customFormat="1" ht="14.25" customHeight="1">
      <c r="A75" s="275">
        <f ca="1">MAX(A$5:INDIRECT("A"&amp;ROW()-1))+1</f>
        <v>69</v>
      </c>
      <c r="B75" s="276"/>
      <c r="C75" s="283" t="s">
        <v>213</v>
      </c>
      <c r="D75" s="295"/>
      <c r="E75" s="295"/>
      <c r="F75" s="295"/>
      <c r="G75" s="295"/>
      <c r="H75" s="295"/>
      <c r="I75" s="295"/>
      <c r="J75" s="295"/>
      <c r="K75" s="295"/>
      <c r="L75" s="295"/>
      <c r="M75" s="295"/>
      <c r="N75" s="295"/>
      <c r="O75" s="295"/>
      <c r="P75" s="295"/>
      <c r="Q75" s="295"/>
      <c r="R75" s="295"/>
      <c r="S75" s="295"/>
      <c r="T75" s="295"/>
      <c r="U75" s="295"/>
      <c r="V75" s="296"/>
      <c r="W75" s="270" t="s">
        <v>151</v>
      </c>
      <c r="X75" s="271"/>
      <c r="Y75" s="271"/>
      <c r="Z75" s="271"/>
      <c r="AA75" s="271"/>
      <c r="AB75" s="271"/>
      <c r="AC75" s="271"/>
      <c r="AD75" s="271"/>
      <c r="AE75" s="271"/>
      <c r="AF75" s="271"/>
      <c r="AG75" s="271"/>
      <c r="AH75" s="271"/>
      <c r="AI75" s="271"/>
      <c r="AJ75" s="271"/>
      <c r="AK75" s="272"/>
      <c r="AL75" s="270"/>
      <c r="AM75" s="271"/>
      <c r="AN75" s="271"/>
      <c r="AO75" s="271"/>
      <c r="AP75" s="271"/>
      <c r="AQ75" s="271"/>
      <c r="AR75" s="271"/>
      <c r="AS75" s="271"/>
      <c r="AT75" s="271"/>
      <c r="AU75" s="271"/>
      <c r="AV75" s="271"/>
      <c r="AW75" s="271"/>
      <c r="AX75" s="271"/>
      <c r="AY75" s="271"/>
      <c r="AZ75" s="271"/>
      <c r="BA75" s="271"/>
      <c r="BB75" s="272"/>
      <c r="BC75" s="268" t="s">
        <v>76</v>
      </c>
      <c r="BD75" s="269"/>
      <c r="BE75" s="268" t="s">
        <v>76</v>
      </c>
      <c r="BF75" s="269"/>
      <c r="BG75" s="268" t="s">
        <v>76</v>
      </c>
      <c r="BH75" s="269"/>
      <c r="BI75" s="268" t="s">
        <v>76</v>
      </c>
      <c r="BJ75" s="269"/>
      <c r="BK75" s="268" t="s">
        <v>73</v>
      </c>
      <c r="BL75" s="269"/>
    </row>
    <row r="76" spans="1:64" s="43" customFormat="1" ht="14.25" customHeight="1">
      <c r="A76" s="275">
        <f ca="1">MAX(A$5:INDIRECT("A"&amp;ROW()-1))+1</f>
        <v>70</v>
      </c>
      <c r="B76" s="276"/>
      <c r="C76" s="297"/>
      <c r="D76" s="298"/>
      <c r="E76" s="298"/>
      <c r="F76" s="298"/>
      <c r="G76" s="298"/>
      <c r="H76" s="298"/>
      <c r="I76" s="298"/>
      <c r="J76" s="298"/>
      <c r="K76" s="298"/>
      <c r="L76" s="298"/>
      <c r="M76" s="298"/>
      <c r="N76" s="298"/>
      <c r="O76" s="298"/>
      <c r="P76" s="298"/>
      <c r="Q76" s="298"/>
      <c r="R76" s="298"/>
      <c r="S76" s="298"/>
      <c r="T76" s="298"/>
      <c r="U76" s="298"/>
      <c r="V76" s="299"/>
      <c r="W76" s="270" t="s">
        <v>152</v>
      </c>
      <c r="X76" s="271"/>
      <c r="Y76" s="271"/>
      <c r="Z76" s="271"/>
      <c r="AA76" s="271"/>
      <c r="AB76" s="271"/>
      <c r="AC76" s="271"/>
      <c r="AD76" s="271"/>
      <c r="AE76" s="271"/>
      <c r="AF76" s="271"/>
      <c r="AG76" s="271"/>
      <c r="AH76" s="271"/>
      <c r="AI76" s="271"/>
      <c r="AJ76" s="271"/>
      <c r="AK76" s="272"/>
      <c r="AL76" s="270"/>
      <c r="AM76" s="271"/>
      <c r="AN76" s="271"/>
      <c r="AO76" s="271"/>
      <c r="AP76" s="271"/>
      <c r="AQ76" s="271"/>
      <c r="AR76" s="271"/>
      <c r="AS76" s="271"/>
      <c r="AT76" s="271"/>
      <c r="AU76" s="271"/>
      <c r="AV76" s="271"/>
      <c r="AW76" s="271"/>
      <c r="AX76" s="271"/>
      <c r="AY76" s="271"/>
      <c r="AZ76" s="271"/>
      <c r="BA76" s="271"/>
      <c r="BB76" s="272"/>
      <c r="BC76" s="268" t="s">
        <v>76</v>
      </c>
      <c r="BD76" s="269"/>
      <c r="BE76" s="268" t="s">
        <v>76</v>
      </c>
      <c r="BF76" s="269"/>
      <c r="BG76" s="268" t="s">
        <v>76</v>
      </c>
      <c r="BH76" s="269"/>
      <c r="BI76" s="268" t="s">
        <v>76</v>
      </c>
      <c r="BJ76" s="269"/>
      <c r="BK76" s="268" t="s">
        <v>73</v>
      </c>
      <c r="BL76" s="269"/>
    </row>
    <row r="77" spans="1:64" s="43" customFormat="1" ht="14.25" customHeight="1">
      <c r="A77" s="275">
        <f ca="1">MAX(A$5:INDIRECT("A"&amp;ROW()-1))+1</f>
        <v>71</v>
      </c>
      <c r="B77" s="276"/>
      <c r="C77" s="297"/>
      <c r="D77" s="298"/>
      <c r="E77" s="298"/>
      <c r="F77" s="298"/>
      <c r="G77" s="298"/>
      <c r="H77" s="298"/>
      <c r="I77" s="298"/>
      <c r="J77" s="298"/>
      <c r="K77" s="298"/>
      <c r="L77" s="298"/>
      <c r="M77" s="298"/>
      <c r="N77" s="298"/>
      <c r="O77" s="298"/>
      <c r="P77" s="298"/>
      <c r="Q77" s="298"/>
      <c r="R77" s="298"/>
      <c r="S77" s="298"/>
      <c r="T77" s="298"/>
      <c r="U77" s="298"/>
      <c r="V77" s="299"/>
      <c r="W77" s="270" t="s">
        <v>152</v>
      </c>
      <c r="X77" s="271"/>
      <c r="Y77" s="271"/>
      <c r="Z77" s="271"/>
      <c r="AA77" s="271"/>
      <c r="AB77" s="271"/>
      <c r="AC77" s="271"/>
      <c r="AD77" s="271"/>
      <c r="AE77" s="271"/>
      <c r="AF77" s="271"/>
      <c r="AG77" s="271"/>
      <c r="AH77" s="271"/>
      <c r="AI77" s="271"/>
      <c r="AJ77" s="271"/>
      <c r="AK77" s="272"/>
      <c r="AL77" s="270"/>
      <c r="AM77" s="271"/>
      <c r="AN77" s="271"/>
      <c r="AO77" s="271"/>
      <c r="AP77" s="271"/>
      <c r="AQ77" s="271"/>
      <c r="AR77" s="271"/>
      <c r="AS77" s="271"/>
      <c r="AT77" s="271"/>
      <c r="AU77" s="271"/>
      <c r="AV77" s="271"/>
      <c r="AW77" s="271"/>
      <c r="AX77" s="271"/>
      <c r="AY77" s="271"/>
      <c r="AZ77" s="271"/>
      <c r="BA77" s="271"/>
      <c r="BB77" s="272"/>
      <c r="BC77" s="268" t="s">
        <v>76</v>
      </c>
      <c r="BD77" s="269"/>
      <c r="BE77" s="268" t="s">
        <v>76</v>
      </c>
      <c r="BF77" s="269"/>
      <c r="BG77" s="268" t="s">
        <v>76</v>
      </c>
      <c r="BH77" s="269"/>
      <c r="BI77" s="268" t="s">
        <v>76</v>
      </c>
      <c r="BJ77" s="269"/>
      <c r="BK77" s="268" t="s">
        <v>73</v>
      </c>
      <c r="BL77" s="269"/>
    </row>
    <row r="78" spans="1:64" s="43" customFormat="1" ht="14.25" customHeight="1">
      <c r="A78" s="275">
        <f ca="1">MAX(A$5:INDIRECT("A"&amp;ROW()-1))+1</f>
        <v>72</v>
      </c>
      <c r="B78" s="276"/>
      <c r="C78" s="297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8"/>
      <c r="P78" s="298"/>
      <c r="Q78" s="298"/>
      <c r="R78" s="298"/>
      <c r="S78" s="298"/>
      <c r="T78" s="298"/>
      <c r="U78" s="298"/>
      <c r="V78" s="299"/>
      <c r="W78" s="270" t="s">
        <v>153</v>
      </c>
      <c r="X78" s="271"/>
      <c r="Y78" s="271"/>
      <c r="Z78" s="271"/>
      <c r="AA78" s="271"/>
      <c r="AB78" s="271"/>
      <c r="AC78" s="271"/>
      <c r="AD78" s="271"/>
      <c r="AE78" s="271"/>
      <c r="AF78" s="271"/>
      <c r="AG78" s="271"/>
      <c r="AH78" s="271"/>
      <c r="AI78" s="271"/>
      <c r="AJ78" s="271"/>
      <c r="AK78" s="272"/>
      <c r="AL78" s="270"/>
      <c r="AM78" s="271"/>
      <c r="AN78" s="271"/>
      <c r="AO78" s="271"/>
      <c r="AP78" s="271"/>
      <c r="AQ78" s="271"/>
      <c r="AR78" s="271"/>
      <c r="AS78" s="271"/>
      <c r="AT78" s="271"/>
      <c r="AU78" s="271"/>
      <c r="AV78" s="271"/>
      <c r="AW78" s="271"/>
      <c r="AX78" s="271"/>
      <c r="AY78" s="271"/>
      <c r="AZ78" s="271"/>
      <c r="BA78" s="271"/>
      <c r="BB78" s="272"/>
      <c r="BC78" s="268" t="s">
        <v>76</v>
      </c>
      <c r="BD78" s="269"/>
      <c r="BE78" s="268" t="s">
        <v>76</v>
      </c>
      <c r="BF78" s="269"/>
      <c r="BG78" s="268" t="s">
        <v>76</v>
      </c>
      <c r="BH78" s="269"/>
      <c r="BI78" s="268" t="s">
        <v>76</v>
      </c>
      <c r="BJ78" s="269"/>
      <c r="BK78" s="268" t="s">
        <v>73</v>
      </c>
      <c r="BL78" s="269"/>
    </row>
    <row r="79" spans="1:64" s="43" customFormat="1" ht="14.25" customHeight="1">
      <c r="A79" s="275">
        <f ca="1">MAX(A$5:INDIRECT("A"&amp;ROW()-1))+1</f>
        <v>73</v>
      </c>
      <c r="B79" s="276"/>
      <c r="C79" s="297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8"/>
      <c r="P79" s="298"/>
      <c r="Q79" s="298"/>
      <c r="R79" s="298"/>
      <c r="S79" s="298"/>
      <c r="T79" s="298"/>
      <c r="U79" s="298"/>
      <c r="V79" s="299"/>
      <c r="W79" s="270" t="s">
        <v>153</v>
      </c>
      <c r="X79" s="271"/>
      <c r="Y79" s="271"/>
      <c r="Z79" s="271"/>
      <c r="AA79" s="271"/>
      <c r="AB79" s="271"/>
      <c r="AC79" s="271"/>
      <c r="AD79" s="271"/>
      <c r="AE79" s="271"/>
      <c r="AF79" s="271"/>
      <c r="AG79" s="271"/>
      <c r="AH79" s="271"/>
      <c r="AI79" s="271"/>
      <c r="AJ79" s="271"/>
      <c r="AK79" s="272"/>
      <c r="AL79" s="270"/>
      <c r="AM79" s="271"/>
      <c r="AN79" s="271"/>
      <c r="AO79" s="271"/>
      <c r="AP79" s="271"/>
      <c r="AQ79" s="271"/>
      <c r="AR79" s="271"/>
      <c r="AS79" s="271"/>
      <c r="AT79" s="271"/>
      <c r="AU79" s="271"/>
      <c r="AV79" s="271"/>
      <c r="AW79" s="271"/>
      <c r="AX79" s="271"/>
      <c r="AY79" s="271"/>
      <c r="AZ79" s="271"/>
      <c r="BA79" s="271"/>
      <c r="BB79" s="272"/>
      <c r="BC79" s="268" t="s">
        <v>76</v>
      </c>
      <c r="BD79" s="269"/>
      <c r="BE79" s="268" t="s">
        <v>76</v>
      </c>
      <c r="BF79" s="269"/>
      <c r="BG79" s="268" t="s">
        <v>76</v>
      </c>
      <c r="BH79" s="269"/>
      <c r="BI79" s="268" t="s">
        <v>76</v>
      </c>
      <c r="BJ79" s="269"/>
      <c r="BK79" s="268" t="s">
        <v>73</v>
      </c>
      <c r="BL79" s="269"/>
    </row>
    <row r="80" spans="1:64" s="43" customFormat="1" ht="14.25" customHeight="1">
      <c r="A80" s="275">
        <f ca="1">MAX(A$5:INDIRECT("A"&amp;ROW()-1))+1</f>
        <v>74</v>
      </c>
      <c r="B80" s="276"/>
      <c r="C80" s="300"/>
      <c r="D80" s="301"/>
      <c r="E80" s="301"/>
      <c r="F80" s="301"/>
      <c r="G80" s="301"/>
      <c r="H80" s="301"/>
      <c r="I80" s="301"/>
      <c r="J80" s="301"/>
      <c r="K80" s="301"/>
      <c r="L80" s="301"/>
      <c r="M80" s="301"/>
      <c r="N80" s="301"/>
      <c r="O80" s="301"/>
      <c r="P80" s="301"/>
      <c r="Q80" s="301"/>
      <c r="R80" s="301"/>
      <c r="S80" s="301"/>
      <c r="T80" s="301"/>
      <c r="U80" s="301"/>
      <c r="V80" s="302"/>
      <c r="W80" s="270" t="s">
        <v>154</v>
      </c>
      <c r="X80" s="271"/>
      <c r="Y80" s="271"/>
      <c r="Z80" s="271"/>
      <c r="AA80" s="271"/>
      <c r="AB80" s="271"/>
      <c r="AC80" s="271"/>
      <c r="AD80" s="271"/>
      <c r="AE80" s="271"/>
      <c r="AF80" s="271"/>
      <c r="AG80" s="271"/>
      <c r="AH80" s="271"/>
      <c r="AI80" s="271"/>
      <c r="AJ80" s="271"/>
      <c r="AK80" s="272"/>
      <c r="AL80" s="270"/>
      <c r="AM80" s="271"/>
      <c r="AN80" s="271"/>
      <c r="AO80" s="271"/>
      <c r="AP80" s="271"/>
      <c r="AQ80" s="271"/>
      <c r="AR80" s="271"/>
      <c r="AS80" s="271"/>
      <c r="AT80" s="271"/>
      <c r="AU80" s="271"/>
      <c r="AV80" s="271"/>
      <c r="AW80" s="271"/>
      <c r="AX80" s="271"/>
      <c r="AY80" s="271"/>
      <c r="AZ80" s="271"/>
      <c r="BA80" s="271"/>
      <c r="BB80" s="272"/>
      <c r="BC80" s="273" t="s">
        <v>73</v>
      </c>
      <c r="BD80" s="273"/>
      <c r="BE80" s="273" t="s">
        <v>73</v>
      </c>
      <c r="BF80" s="273"/>
      <c r="BG80" s="268" t="s">
        <v>76</v>
      </c>
      <c r="BH80" s="269"/>
      <c r="BI80" s="273" t="s">
        <v>76</v>
      </c>
      <c r="BJ80" s="273"/>
      <c r="BK80" s="268" t="s">
        <v>73</v>
      </c>
      <c r="BL80" s="269"/>
    </row>
    <row r="81" spans="1:65" s="43" customFormat="1" ht="14.25" customHeight="1">
      <c r="A81" s="275">
        <f ca="1">MAX(A$5:INDIRECT("A"&amp;ROW()-1))+1</f>
        <v>75</v>
      </c>
      <c r="B81" s="276"/>
      <c r="C81" s="264" t="s">
        <v>214</v>
      </c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272"/>
      <c r="W81" s="270" t="s">
        <v>105</v>
      </c>
      <c r="X81" s="271"/>
      <c r="Y81" s="271"/>
      <c r="Z81" s="271"/>
      <c r="AA81" s="271"/>
      <c r="AB81" s="271"/>
      <c r="AC81" s="271"/>
      <c r="AD81" s="271"/>
      <c r="AE81" s="271"/>
      <c r="AF81" s="271"/>
      <c r="AG81" s="271"/>
      <c r="AH81" s="271"/>
      <c r="AI81" s="271"/>
      <c r="AJ81" s="271"/>
      <c r="AK81" s="272"/>
      <c r="AL81" s="270"/>
      <c r="AM81" s="271"/>
      <c r="AN81" s="271"/>
      <c r="AO81" s="271"/>
      <c r="AP81" s="271"/>
      <c r="AQ81" s="271"/>
      <c r="AR81" s="271"/>
      <c r="AS81" s="271"/>
      <c r="AT81" s="271"/>
      <c r="AU81" s="271"/>
      <c r="AV81" s="271"/>
      <c r="AW81" s="271"/>
      <c r="AX81" s="271"/>
      <c r="AY81" s="271"/>
      <c r="AZ81" s="271"/>
      <c r="BA81" s="271"/>
      <c r="BB81" s="272"/>
      <c r="BC81" s="273" t="s">
        <v>73</v>
      </c>
      <c r="BD81" s="273"/>
      <c r="BE81" s="273" t="s">
        <v>73</v>
      </c>
      <c r="BF81" s="273"/>
      <c r="BG81" s="273" t="s">
        <v>73</v>
      </c>
      <c r="BH81" s="273"/>
      <c r="BI81" s="273" t="s">
        <v>73</v>
      </c>
      <c r="BJ81" s="273"/>
      <c r="BK81" s="273" t="s">
        <v>73</v>
      </c>
      <c r="BL81" s="273"/>
    </row>
    <row r="82" spans="1:65" s="43" customFormat="1" ht="14.25" customHeight="1">
      <c r="A82" s="275">
        <f ca="1">MAX(A$5:INDIRECT("A"&amp;ROW()-1))+1</f>
        <v>76</v>
      </c>
      <c r="B82" s="276"/>
      <c r="C82" s="283" t="s">
        <v>215</v>
      </c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5"/>
      <c r="W82" s="264" t="s">
        <v>106</v>
      </c>
      <c r="X82" s="265"/>
      <c r="Y82" s="265"/>
      <c r="Z82" s="265"/>
      <c r="AA82" s="265"/>
      <c r="AB82" s="265"/>
      <c r="AC82" s="265"/>
      <c r="AD82" s="265"/>
      <c r="AE82" s="265"/>
      <c r="AF82" s="265"/>
      <c r="AG82" s="265"/>
      <c r="AH82" s="265"/>
      <c r="AI82" s="265"/>
      <c r="AJ82" s="265"/>
      <c r="AK82" s="266"/>
      <c r="AL82" s="264"/>
      <c r="AM82" s="265"/>
      <c r="AN82" s="265"/>
      <c r="AO82" s="265"/>
      <c r="AP82" s="265"/>
      <c r="AQ82" s="265"/>
      <c r="AR82" s="265"/>
      <c r="AS82" s="265"/>
      <c r="AT82" s="265"/>
      <c r="AU82" s="265"/>
      <c r="AV82" s="265"/>
      <c r="AW82" s="265"/>
      <c r="AX82" s="265"/>
      <c r="AY82" s="265"/>
      <c r="AZ82" s="265"/>
      <c r="BA82" s="265"/>
      <c r="BB82" s="266"/>
      <c r="BC82" s="261" t="s">
        <v>76</v>
      </c>
      <c r="BD82" s="261"/>
      <c r="BE82" s="261" t="s">
        <v>73</v>
      </c>
      <c r="BF82" s="261"/>
      <c r="BG82" s="261" t="s">
        <v>73</v>
      </c>
      <c r="BH82" s="261"/>
      <c r="BI82" s="261" t="s">
        <v>73</v>
      </c>
      <c r="BJ82" s="261"/>
      <c r="BK82" s="261" t="s">
        <v>73</v>
      </c>
      <c r="BL82" s="261"/>
      <c r="BM82" s="27"/>
    </row>
    <row r="83" spans="1:65" s="43" customFormat="1" ht="13.5">
      <c r="A83" s="304">
        <f ca="1">MAX(A$5:INDIRECT("A"&amp;ROW()-1))+1</f>
        <v>77</v>
      </c>
      <c r="B83" s="305"/>
      <c r="C83" s="286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7"/>
      <c r="P83" s="287"/>
      <c r="Q83" s="287"/>
      <c r="R83" s="287"/>
      <c r="S83" s="287"/>
      <c r="T83" s="287"/>
      <c r="U83" s="287"/>
      <c r="V83" s="288"/>
      <c r="W83" s="283" t="s">
        <v>108</v>
      </c>
      <c r="X83" s="284"/>
      <c r="Y83" s="284"/>
      <c r="Z83" s="284"/>
      <c r="AA83" s="284"/>
      <c r="AB83" s="284"/>
      <c r="AC83" s="284"/>
      <c r="AD83" s="284"/>
      <c r="AE83" s="284"/>
      <c r="AF83" s="284"/>
      <c r="AG83" s="284"/>
      <c r="AH83" s="284"/>
      <c r="AI83" s="284"/>
      <c r="AJ83" s="284"/>
      <c r="AK83" s="285"/>
      <c r="AL83" s="399"/>
      <c r="AM83" s="284"/>
      <c r="AN83" s="284"/>
      <c r="AO83" s="284"/>
      <c r="AP83" s="284"/>
      <c r="AQ83" s="284"/>
      <c r="AR83" s="284"/>
      <c r="AS83" s="284"/>
      <c r="AT83" s="284"/>
      <c r="AU83" s="284"/>
      <c r="AV83" s="284"/>
      <c r="AW83" s="284"/>
      <c r="AX83" s="284"/>
      <c r="AY83" s="284"/>
      <c r="AZ83" s="284"/>
      <c r="BA83" s="284"/>
      <c r="BB83" s="285"/>
      <c r="BC83" s="400" t="s">
        <v>73</v>
      </c>
      <c r="BD83" s="401"/>
      <c r="BE83" s="400" t="s">
        <v>76</v>
      </c>
      <c r="BF83" s="401"/>
      <c r="BG83" s="400" t="s">
        <v>73</v>
      </c>
      <c r="BH83" s="401"/>
      <c r="BI83" s="400" t="s">
        <v>73</v>
      </c>
      <c r="BJ83" s="401"/>
      <c r="BK83" s="400" t="s">
        <v>76</v>
      </c>
      <c r="BL83" s="401"/>
      <c r="BM83" s="27"/>
    </row>
    <row r="84" spans="1:65" s="43" customFormat="1" ht="14.25" customHeight="1">
      <c r="A84" s="275">
        <f ca="1">MAX(A$5:INDIRECT("A"&amp;ROW()-1))+1</f>
        <v>78</v>
      </c>
      <c r="B84" s="276"/>
      <c r="C84" s="286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287"/>
      <c r="S84" s="287"/>
      <c r="T84" s="287"/>
      <c r="U84" s="287"/>
      <c r="V84" s="288"/>
      <c r="W84" s="264" t="s">
        <v>107</v>
      </c>
      <c r="X84" s="265"/>
      <c r="Y84" s="265"/>
      <c r="Z84" s="265"/>
      <c r="AA84" s="265"/>
      <c r="AB84" s="265"/>
      <c r="AC84" s="265"/>
      <c r="AD84" s="265"/>
      <c r="AE84" s="265"/>
      <c r="AF84" s="265"/>
      <c r="AG84" s="265"/>
      <c r="AH84" s="265"/>
      <c r="AI84" s="265"/>
      <c r="AJ84" s="265"/>
      <c r="AK84" s="266"/>
      <c r="AL84" s="264"/>
      <c r="AM84" s="265"/>
      <c r="AN84" s="265"/>
      <c r="AO84" s="265"/>
      <c r="AP84" s="265"/>
      <c r="AQ84" s="265"/>
      <c r="AR84" s="265"/>
      <c r="AS84" s="265"/>
      <c r="AT84" s="265"/>
      <c r="AU84" s="265"/>
      <c r="AV84" s="265"/>
      <c r="AW84" s="265"/>
      <c r="AX84" s="265"/>
      <c r="AY84" s="265"/>
      <c r="AZ84" s="265"/>
      <c r="BA84" s="265"/>
      <c r="BB84" s="266"/>
      <c r="BC84" s="261" t="s">
        <v>73</v>
      </c>
      <c r="BD84" s="261"/>
      <c r="BE84" s="261" t="s">
        <v>73</v>
      </c>
      <c r="BF84" s="261"/>
      <c r="BG84" s="261" t="s">
        <v>76</v>
      </c>
      <c r="BH84" s="261"/>
      <c r="BI84" s="261" t="s">
        <v>76</v>
      </c>
      <c r="BJ84" s="261"/>
      <c r="BK84" s="261" t="s">
        <v>73</v>
      </c>
      <c r="BL84" s="261"/>
      <c r="BM84" s="27"/>
    </row>
    <row r="85" spans="1:65" s="43" customFormat="1" ht="14.25" customHeight="1">
      <c r="A85" s="275">
        <f ca="1">MAX(A$5:INDIRECT("A"&amp;ROW()-1))+1</f>
        <v>79</v>
      </c>
      <c r="B85" s="276"/>
      <c r="C85" s="286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8"/>
      <c r="W85" s="264" t="s">
        <v>107</v>
      </c>
      <c r="X85" s="265"/>
      <c r="Y85" s="265"/>
      <c r="Z85" s="265"/>
      <c r="AA85" s="265"/>
      <c r="AB85" s="265"/>
      <c r="AC85" s="265"/>
      <c r="AD85" s="265"/>
      <c r="AE85" s="265"/>
      <c r="AF85" s="265"/>
      <c r="AG85" s="265"/>
      <c r="AH85" s="265"/>
      <c r="AI85" s="265"/>
      <c r="AJ85" s="265"/>
      <c r="AK85" s="266"/>
      <c r="AL85" s="264"/>
      <c r="AM85" s="265"/>
      <c r="AN85" s="265"/>
      <c r="AO85" s="265"/>
      <c r="AP85" s="265"/>
      <c r="AQ85" s="265"/>
      <c r="AR85" s="265"/>
      <c r="AS85" s="265"/>
      <c r="AT85" s="265"/>
      <c r="AU85" s="265"/>
      <c r="AV85" s="265"/>
      <c r="AW85" s="265"/>
      <c r="AX85" s="265"/>
      <c r="AY85" s="265"/>
      <c r="AZ85" s="265"/>
      <c r="BA85" s="265"/>
      <c r="BB85" s="266"/>
      <c r="BC85" s="261" t="s">
        <v>76</v>
      </c>
      <c r="BD85" s="261"/>
      <c r="BE85" s="261" t="s">
        <v>73</v>
      </c>
      <c r="BF85" s="261"/>
      <c r="BG85" s="261" t="s">
        <v>76</v>
      </c>
      <c r="BH85" s="261"/>
      <c r="BI85" s="261" t="s">
        <v>76</v>
      </c>
      <c r="BJ85" s="261"/>
      <c r="BK85" s="261" t="s">
        <v>73</v>
      </c>
      <c r="BL85" s="261"/>
      <c r="BM85" s="27"/>
    </row>
    <row r="86" spans="1:65" s="43" customFormat="1" ht="14.25" customHeight="1">
      <c r="A86" s="312">
        <f ca="1">MAX(A$5:INDIRECT("A"&amp;ROW()-1))+1</f>
        <v>80</v>
      </c>
      <c r="B86" s="313"/>
      <c r="C86" s="277"/>
      <c r="D86" s="278"/>
      <c r="E86" s="278"/>
      <c r="F86" s="278"/>
      <c r="G86" s="278"/>
      <c r="H86" s="278"/>
      <c r="I86" s="278"/>
      <c r="J86" s="278"/>
      <c r="K86" s="278"/>
      <c r="L86" s="278"/>
      <c r="M86" s="278"/>
      <c r="N86" s="278"/>
      <c r="O86" s="278"/>
      <c r="P86" s="278"/>
      <c r="Q86" s="278"/>
      <c r="R86" s="278"/>
      <c r="S86" s="278"/>
      <c r="T86" s="278"/>
      <c r="U86" s="278"/>
      <c r="V86" s="279"/>
      <c r="W86" s="264" t="s">
        <v>252</v>
      </c>
      <c r="X86" s="265"/>
      <c r="Y86" s="265"/>
      <c r="Z86" s="265"/>
      <c r="AA86" s="265"/>
      <c r="AB86" s="265"/>
      <c r="AC86" s="265"/>
      <c r="AD86" s="265"/>
      <c r="AE86" s="265"/>
      <c r="AF86" s="265"/>
      <c r="AG86" s="265"/>
      <c r="AH86" s="265"/>
      <c r="AI86" s="265"/>
      <c r="AJ86" s="265"/>
      <c r="AK86" s="266"/>
      <c r="AL86" s="264"/>
      <c r="AM86" s="265"/>
      <c r="AN86" s="265"/>
      <c r="AO86" s="265"/>
      <c r="AP86" s="265"/>
      <c r="AQ86" s="265"/>
      <c r="AR86" s="265"/>
      <c r="AS86" s="265"/>
      <c r="AT86" s="265"/>
      <c r="AU86" s="265"/>
      <c r="AV86" s="265"/>
      <c r="AW86" s="265"/>
      <c r="AX86" s="265"/>
      <c r="AY86" s="265"/>
      <c r="AZ86" s="265"/>
      <c r="BA86" s="265"/>
      <c r="BB86" s="266"/>
      <c r="BC86" s="267" t="s">
        <v>76</v>
      </c>
      <c r="BD86" s="267"/>
      <c r="BE86" s="267" t="s">
        <v>73</v>
      </c>
      <c r="BF86" s="267"/>
      <c r="BG86" s="267" t="s">
        <v>76</v>
      </c>
      <c r="BH86" s="267"/>
      <c r="BI86" s="267" t="s">
        <v>76</v>
      </c>
      <c r="BJ86" s="267"/>
      <c r="BK86" s="267" t="s">
        <v>73</v>
      </c>
      <c r="BL86" s="267"/>
      <c r="BM86" s="27"/>
    </row>
    <row r="87" spans="1:65" s="43" customFormat="1" ht="14.25" customHeight="1">
      <c r="A87" s="275">
        <f ca="1">MAX(A$5:INDIRECT("A"&amp;ROW()-1))+1</f>
        <v>81</v>
      </c>
      <c r="B87" s="276"/>
      <c r="C87" s="283" t="s">
        <v>216</v>
      </c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5"/>
      <c r="W87" s="264" t="s">
        <v>110</v>
      </c>
      <c r="X87" s="265"/>
      <c r="Y87" s="265"/>
      <c r="Z87" s="265"/>
      <c r="AA87" s="265"/>
      <c r="AB87" s="265"/>
      <c r="AC87" s="265"/>
      <c r="AD87" s="265"/>
      <c r="AE87" s="265"/>
      <c r="AF87" s="265"/>
      <c r="AG87" s="265"/>
      <c r="AH87" s="265"/>
      <c r="AI87" s="265"/>
      <c r="AJ87" s="265"/>
      <c r="AK87" s="266"/>
      <c r="AL87" s="264"/>
      <c r="AM87" s="265"/>
      <c r="AN87" s="265"/>
      <c r="AO87" s="265"/>
      <c r="AP87" s="265"/>
      <c r="AQ87" s="265"/>
      <c r="AR87" s="265"/>
      <c r="AS87" s="265"/>
      <c r="AT87" s="265"/>
      <c r="AU87" s="265"/>
      <c r="AV87" s="265"/>
      <c r="AW87" s="265"/>
      <c r="AX87" s="265"/>
      <c r="AY87" s="265"/>
      <c r="AZ87" s="265"/>
      <c r="BA87" s="265"/>
      <c r="BB87" s="266"/>
      <c r="BC87" s="261" t="s">
        <v>76</v>
      </c>
      <c r="BD87" s="261"/>
      <c r="BE87" s="261" t="s">
        <v>76</v>
      </c>
      <c r="BF87" s="261"/>
      <c r="BG87" s="261" t="s">
        <v>76</v>
      </c>
      <c r="BH87" s="261"/>
      <c r="BI87" s="261" t="s">
        <v>76</v>
      </c>
      <c r="BJ87" s="261"/>
      <c r="BK87" s="261" t="s">
        <v>73</v>
      </c>
      <c r="BL87" s="261"/>
      <c r="BM87" s="27"/>
    </row>
    <row r="88" spans="1:65" s="43" customFormat="1" ht="14.25" customHeight="1">
      <c r="A88" s="275">
        <f ca="1">MAX(A$5:INDIRECT("A"&amp;ROW()-1))+1</f>
        <v>82</v>
      </c>
      <c r="B88" s="276"/>
      <c r="C88" s="289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0"/>
      <c r="P88" s="290"/>
      <c r="Q88" s="290"/>
      <c r="R88" s="290"/>
      <c r="S88" s="290"/>
      <c r="T88" s="290"/>
      <c r="U88" s="290"/>
      <c r="V88" s="291"/>
      <c r="W88" s="264" t="s">
        <v>109</v>
      </c>
      <c r="X88" s="265"/>
      <c r="Y88" s="265"/>
      <c r="Z88" s="265"/>
      <c r="AA88" s="265"/>
      <c r="AB88" s="265"/>
      <c r="AC88" s="265"/>
      <c r="AD88" s="265"/>
      <c r="AE88" s="265"/>
      <c r="AF88" s="265"/>
      <c r="AG88" s="265"/>
      <c r="AH88" s="265"/>
      <c r="AI88" s="265"/>
      <c r="AJ88" s="265"/>
      <c r="AK88" s="266"/>
      <c r="AL88" s="264"/>
      <c r="AM88" s="265"/>
      <c r="AN88" s="265"/>
      <c r="AO88" s="265"/>
      <c r="AP88" s="265"/>
      <c r="AQ88" s="265"/>
      <c r="AR88" s="265"/>
      <c r="AS88" s="265"/>
      <c r="AT88" s="265"/>
      <c r="AU88" s="265"/>
      <c r="AV88" s="265"/>
      <c r="AW88" s="265"/>
      <c r="AX88" s="265"/>
      <c r="AY88" s="265"/>
      <c r="AZ88" s="265"/>
      <c r="BA88" s="265"/>
      <c r="BB88" s="266"/>
      <c r="BC88" s="261" t="s">
        <v>73</v>
      </c>
      <c r="BD88" s="261"/>
      <c r="BE88" s="261" t="s">
        <v>73</v>
      </c>
      <c r="BF88" s="261"/>
      <c r="BG88" s="261" t="s">
        <v>73</v>
      </c>
      <c r="BH88" s="261"/>
      <c r="BI88" s="261" t="s">
        <v>76</v>
      </c>
      <c r="BJ88" s="261"/>
      <c r="BK88" s="261" t="s">
        <v>73</v>
      </c>
      <c r="BL88" s="261"/>
      <c r="BM88" s="27"/>
    </row>
    <row r="89" spans="1:65" s="43" customFormat="1" ht="14.25" customHeight="1">
      <c r="A89" s="275">
        <f ca="1">MAX(A$5:INDIRECT("A"&amp;ROW()-1))+1</f>
        <v>83</v>
      </c>
      <c r="B89" s="276"/>
      <c r="C89" s="314" t="s">
        <v>262</v>
      </c>
      <c r="D89" s="315"/>
      <c r="E89" s="315"/>
      <c r="F89" s="315"/>
      <c r="G89" s="315"/>
      <c r="H89" s="315"/>
      <c r="I89" s="315"/>
      <c r="J89" s="315"/>
      <c r="K89" s="315"/>
      <c r="L89" s="315"/>
      <c r="M89" s="315"/>
      <c r="N89" s="315"/>
      <c r="O89" s="315"/>
      <c r="P89" s="315"/>
      <c r="Q89" s="315"/>
      <c r="R89" s="315"/>
      <c r="S89" s="315"/>
      <c r="T89" s="315"/>
      <c r="U89" s="315"/>
      <c r="V89" s="316"/>
      <c r="W89" s="264" t="s">
        <v>120</v>
      </c>
      <c r="X89" s="265"/>
      <c r="Y89" s="265"/>
      <c r="Z89" s="265"/>
      <c r="AA89" s="265"/>
      <c r="AB89" s="265"/>
      <c r="AC89" s="265"/>
      <c r="AD89" s="265"/>
      <c r="AE89" s="265"/>
      <c r="AF89" s="265"/>
      <c r="AG89" s="265"/>
      <c r="AH89" s="265"/>
      <c r="AI89" s="265"/>
      <c r="AJ89" s="265"/>
      <c r="AK89" s="266"/>
      <c r="AL89" s="264"/>
      <c r="AM89" s="265"/>
      <c r="AN89" s="265"/>
      <c r="AO89" s="265"/>
      <c r="AP89" s="265"/>
      <c r="AQ89" s="265"/>
      <c r="AR89" s="265"/>
      <c r="AS89" s="265"/>
      <c r="AT89" s="265"/>
      <c r="AU89" s="265"/>
      <c r="AV89" s="265"/>
      <c r="AW89" s="265"/>
      <c r="AX89" s="265"/>
      <c r="AY89" s="265"/>
      <c r="AZ89" s="265"/>
      <c r="BA89" s="265"/>
      <c r="BB89" s="266"/>
      <c r="BC89" s="261" t="s">
        <v>76</v>
      </c>
      <c r="BD89" s="261"/>
      <c r="BE89" s="261" t="s">
        <v>76</v>
      </c>
      <c r="BF89" s="261"/>
      <c r="BG89" s="261" t="s">
        <v>76</v>
      </c>
      <c r="BH89" s="261"/>
      <c r="BI89" s="261" t="s">
        <v>76</v>
      </c>
      <c r="BJ89" s="261"/>
      <c r="BK89" s="261" t="s">
        <v>73</v>
      </c>
      <c r="BL89" s="261"/>
      <c r="BM89" s="27"/>
    </row>
    <row r="90" spans="1:65" s="43" customFormat="1" ht="14.25" customHeight="1">
      <c r="A90" s="275">
        <f ca="1">MAX(A$5:INDIRECT("A"&amp;ROW()-1))+1</f>
        <v>84</v>
      </c>
      <c r="B90" s="276"/>
      <c r="C90" s="317"/>
      <c r="D90" s="318"/>
      <c r="E90" s="318"/>
      <c r="F90" s="318"/>
      <c r="G90" s="318"/>
      <c r="H90" s="318"/>
      <c r="I90" s="318"/>
      <c r="J90" s="318"/>
      <c r="K90" s="318"/>
      <c r="L90" s="318"/>
      <c r="M90" s="318"/>
      <c r="N90" s="318"/>
      <c r="O90" s="318"/>
      <c r="P90" s="318"/>
      <c r="Q90" s="318"/>
      <c r="R90" s="318"/>
      <c r="S90" s="318"/>
      <c r="T90" s="318"/>
      <c r="U90" s="318"/>
      <c r="V90" s="319"/>
      <c r="W90" s="264" t="s">
        <v>121</v>
      </c>
      <c r="X90" s="265"/>
      <c r="Y90" s="265"/>
      <c r="Z90" s="265"/>
      <c r="AA90" s="265"/>
      <c r="AB90" s="265"/>
      <c r="AC90" s="265"/>
      <c r="AD90" s="265"/>
      <c r="AE90" s="265"/>
      <c r="AF90" s="265"/>
      <c r="AG90" s="265"/>
      <c r="AH90" s="265"/>
      <c r="AI90" s="265"/>
      <c r="AJ90" s="265"/>
      <c r="AK90" s="266"/>
      <c r="AL90" s="264"/>
      <c r="AM90" s="265"/>
      <c r="AN90" s="265"/>
      <c r="AO90" s="265"/>
      <c r="AP90" s="265"/>
      <c r="AQ90" s="265"/>
      <c r="AR90" s="265"/>
      <c r="AS90" s="265"/>
      <c r="AT90" s="265"/>
      <c r="AU90" s="265"/>
      <c r="AV90" s="265"/>
      <c r="AW90" s="265"/>
      <c r="AX90" s="265"/>
      <c r="AY90" s="265"/>
      <c r="AZ90" s="265"/>
      <c r="BA90" s="265"/>
      <c r="BB90" s="266"/>
      <c r="BC90" s="261" t="s">
        <v>76</v>
      </c>
      <c r="BD90" s="261"/>
      <c r="BE90" s="261" t="s">
        <v>76</v>
      </c>
      <c r="BF90" s="261"/>
      <c r="BG90" s="261" t="s">
        <v>76</v>
      </c>
      <c r="BH90" s="261"/>
      <c r="BI90" s="261" t="s">
        <v>76</v>
      </c>
      <c r="BJ90" s="261"/>
      <c r="BK90" s="261" t="s">
        <v>73</v>
      </c>
      <c r="BL90" s="261"/>
      <c r="BM90" s="27"/>
    </row>
    <row r="91" spans="1:65" s="43" customFormat="1" ht="14.25" customHeight="1">
      <c r="A91" s="275">
        <f ca="1">MAX(A$5:INDIRECT("A"&amp;ROW()-1))+1</f>
        <v>85</v>
      </c>
      <c r="B91" s="276"/>
      <c r="C91" s="317"/>
      <c r="D91" s="318"/>
      <c r="E91" s="318"/>
      <c r="F91" s="318"/>
      <c r="G91" s="318"/>
      <c r="H91" s="318"/>
      <c r="I91" s="318"/>
      <c r="J91" s="318"/>
      <c r="K91" s="318"/>
      <c r="L91" s="318"/>
      <c r="M91" s="318"/>
      <c r="N91" s="318"/>
      <c r="O91" s="318"/>
      <c r="P91" s="318"/>
      <c r="Q91" s="318"/>
      <c r="R91" s="318"/>
      <c r="S91" s="318"/>
      <c r="T91" s="318"/>
      <c r="U91" s="318"/>
      <c r="V91" s="319"/>
      <c r="W91" s="264" t="s">
        <v>122</v>
      </c>
      <c r="X91" s="265"/>
      <c r="Y91" s="265"/>
      <c r="Z91" s="265"/>
      <c r="AA91" s="265"/>
      <c r="AB91" s="265"/>
      <c r="AC91" s="265"/>
      <c r="AD91" s="265"/>
      <c r="AE91" s="265"/>
      <c r="AF91" s="265"/>
      <c r="AG91" s="265"/>
      <c r="AH91" s="265"/>
      <c r="AI91" s="265"/>
      <c r="AJ91" s="265"/>
      <c r="AK91" s="266"/>
      <c r="AL91" s="264"/>
      <c r="AM91" s="265"/>
      <c r="AN91" s="265"/>
      <c r="AO91" s="265"/>
      <c r="AP91" s="265"/>
      <c r="AQ91" s="265"/>
      <c r="AR91" s="265"/>
      <c r="AS91" s="265"/>
      <c r="AT91" s="265"/>
      <c r="AU91" s="265"/>
      <c r="AV91" s="265"/>
      <c r="AW91" s="265"/>
      <c r="AX91" s="265"/>
      <c r="AY91" s="265"/>
      <c r="AZ91" s="265"/>
      <c r="BA91" s="265"/>
      <c r="BB91" s="266"/>
      <c r="BC91" s="261" t="s">
        <v>76</v>
      </c>
      <c r="BD91" s="261"/>
      <c r="BE91" s="261" t="s">
        <v>76</v>
      </c>
      <c r="BF91" s="261"/>
      <c r="BG91" s="261" t="s">
        <v>76</v>
      </c>
      <c r="BH91" s="261"/>
      <c r="BI91" s="261" t="s">
        <v>76</v>
      </c>
      <c r="BJ91" s="261"/>
      <c r="BK91" s="261" t="s">
        <v>73</v>
      </c>
      <c r="BL91" s="261"/>
      <c r="BM91" s="27"/>
    </row>
    <row r="92" spans="1:65" s="43" customFormat="1" ht="14.25" customHeight="1">
      <c r="A92" s="275">
        <f ca="1">MAX(A$5:INDIRECT("A"&amp;ROW()-1))+1</f>
        <v>86</v>
      </c>
      <c r="B92" s="276"/>
      <c r="C92" s="317"/>
      <c r="D92" s="318"/>
      <c r="E92" s="318"/>
      <c r="F92" s="318"/>
      <c r="G92" s="318"/>
      <c r="H92" s="318"/>
      <c r="I92" s="318"/>
      <c r="J92" s="318"/>
      <c r="K92" s="318"/>
      <c r="L92" s="318"/>
      <c r="M92" s="318"/>
      <c r="N92" s="318"/>
      <c r="O92" s="318"/>
      <c r="P92" s="318"/>
      <c r="Q92" s="318"/>
      <c r="R92" s="318"/>
      <c r="S92" s="318"/>
      <c r="T92" s="318"/>
      <c r="U92" s="318"/>
      <c r="V92" s="319"/>
      <c r="W92" s="264" t="s">
        <v>123</v>
      </c>
      <c r="X92" s="265"/>
      <c r="Y92" s="265"/>
      <c r="Z92" s="265"/>
      <c r="AA92" s="265"/>
      <c r="AB92" s="265"/>
      <c r="AC92" s="265"/>
      <c r="AD92" s="265"/>
      <c r="AE92" s="265"/>
      <c r="AF92" s="265"/>
      <c r="AG92" s="265"/>
      <c r="AH92" s="265"/>
      <c r="AI92" s="265"/>
      <c r="AJ92" s="265"/>
      <c r="AK92" s="266"/>
      <c r="AL92" s="264"/>
      <c r="AM92" s="265"/>
      <c r="AN92" s="265"/>
      <c r="AO92" s="265"/>
      <c r="AP92" s="265"/>
      <c r="AQ92" s="265"/>
      <c r="AR92" s="265"/>
      <c r="AS92" s="265"/>
      <c r="AT92" s="265"/>
      <c r="AU92" s="265"/>
      <c r="AV92" s="265"/>
      <c r="AW92" s="265"/>
      <c r="AX92" s="265"/>
      <c r="AY92" s="265"/>
      <c r="AZ92" s="265"/>
      <c r="BA92" s="265"/>
      <c r="BB92" s="266"/>
      <c r="BC92" s="261" t="s">
        <v>76</v>
      </c>
      <c r="BD92" s="261"/>
      <c r="BE92" s="261" t="s">
        <v>76</v>
      </c>
      <c r="BF92" s="261"/>
      <c r="BG92" s="261" t="s">
        <v>76</v>
      </c>
      <c r="BH92" s="261"/>
      <c r="BI92" s="261" t="s">
        <v>76</v>
      </c>
      <c r="BJ92" s="261"/>
      <c r="BK92" s="261" t="s">
        <v>73</v>
      </c>
      <c r="BL92" s="261"/>
      <c r="BM92" s="27"/>
    </row>
    <row r="93" spans="1:65" s="43" customFormat="1" ht="14.25" customHeight="1">
      <c r="A93" s="275">
        <f ca="1">MAX(A$5:INDIRECT("A"&amp;ROW()-1))+1</f>
        <v>87</v>
      </c>
      <c r="B93" s="276"/>
      <c r="C93" s="317"/>
      <c r="D93" s="318"/>
      <c r="E93" s="318"/>
      <c r="F93" s="318"/>
      <c r="G93" s="318"/>
      <c r="H93" s="318"/>
      <c r="I93" s="318"/>
      <c r="J93" s="318"/>
      <c r="K93" s="318"/>
      <c r="L93" s="318"/>
      <c r="M93" s="318"/>
      <c r="N93" s="318"/>
      <c r="O93" s="318"/>
      <c r="P93" s="318"/>
      <c r="Q93" s="318"/>
      <c r="R93" s="318"/>
      <c r="S93" s="318"/>
      <c r="T93" s="318"/>
      <c r="U93" s="318"/>
      <c r="V93" s="319"/>
      <c r="W93" s="270" t="s">
        <v>124</v>
      </c>
      <c r="X93" s="271"/>
      <c r="Y93" s="271"/>
      <c r="Z93" s="271"/>
      <c r="AA93" s="271"/>
      <c r="AB93" s="271"/>
      <c r="AC93" s="271"/>
      <c r="AD93" s="271"/>
      <c r="AE93" s="271"/>
      <c r="AF93" s="271"/>
      <c r="AG93" s="271"/>
      <c r="AH93" s="271"/>
      <c r="AI93" s="271"/>
      <c r="AJ93" s="271"/>
      <c r="AK93" s="272"/>
      <c r="AL93" s="270"/>
      <c r="AM93" s="271"/>
      <c r="AN93" s="271"/>
      <c r="AO93" s="271"/>
      <c r="AP93" s="271"/>
      <c r="AQ93" s="271"/>
      <c r="AR93" s="271"/>
      <c r="AS93" s="271"/>
      <c r="AT93" s="271"/>
      <c r="AU93" s="271"/>
      <c r="AV93" s="271"/>
      <c r="AW93" s="271"/>
      <c r="AX93" s="271"/>
      <c r="AY93" s="271"/>
      <c r="AZ93" s="271"/>
      <c r="BA93" s="271"/>
      <c r="BB93" s="272"/>
      <c r="BC93" s="273" t="s">
        <v>76</v>
      </c>
      <c r="BD93" s="273"/>
      <c r="BE93" s="273" t="s">
        <v>76</v>
      </c>
      <c r="BF93" s="273"/>
      <c r="BG93" s="273" t="s">
        <v>76</v>
      </c>
      <c r="BH93" s="273"/>
      <c r="BI93" s="273" t="s">
        <v>76</v>
      </c>
      <c r="BJ93" s="273"/>
      <c r="BK93" s="273" t="s">
        <v>73</v>
      </c>
      <c r="BL93" s="273"/>
    </row>
    <row r="94" spans="1:65" s="43" customFormat="1" ht="14.25" customHeight="1">
      <c r="A94" s="275">
        <f ca="1">MAX(A$5:INDIRECT("A"&amp;ROW()-1))+1</f>
        <v>88</v>
      </c>
      <c r="B94" s="276"/>
      <c r="C94" s="317"/>
      <c r="D94" s="318"/>
      <c r="E94" s="318"/>
      <c r="F94" s="318"/>
      <c r="G94" s="318"/>
      <c r="H94" s="318"/>
      <c r="I94" s="318"/>
      <c r="J94" s="318"/>
      <c r="K94" s="318"/>
      <c r="L94" s="318"/>
      <c r="M94" s="318"/>
      <c r="N94" s="318"/>
      <c r="O94" s="318"/>
      <c r="P94" s="318"/>
      <c r="Q94" s="318"/>
      <c r="R94" s="318"/>
      <c r="S94" s="318"/>
      <c r="T94" s="318"/>
      <c r="U94" s="318"/>
      <c r="V94" s="319"/>
      <c r="W94" s="270" t="s">
        <v>125</v>
      </c>
      <c r="X94" s="271"/>
      <c r="Y94" s="271"/>
      <c r="Z94" s="271"/>
      <c r="AA94" s="271"/>
      <c r="AB94" s="271"/>
      <c r="AC94" s="271"/>
      <c r="AD94" s="271"/>
      <c r="AE94" s="271"/>
      <c r="AF94" s="271"/>
      <c r="AG94" s="271"/>
      <c r="AH94" s="271"/>
      <c r="AI94" s="271"/>
      <c r="AJ94" s="271"/>
      <c r="AK94" s="272"/>
      <c r="AL94" s="270"/>
      <c r="AM94" s="271"/>
      <c r="AN94" s="271"/>
      <c r="AO94" s="271"/>
      <c r="AP94" s="271"/>
      <c r="AQ94" s="271"/>
      <c r="AR94" s="271"/>
      <c r="AS94" s="271"/>
      <c r="AT94" s="271"/>
      <c r="AU94" s="271"/>
      <c r="AV94" s="271"/>
      <c r="AW94" s="271"/>
      <c r="AX94" s="271"/>
      <c r="AY94" s="271"/>
      <c r="AZ94" s="271"/>
      <c r="BA94" s="271"/>
      <c r="BB94" s="272"/>
      <c r="BC94" s="273" t="s">
        <v>76</v>
      </c>
      <c r="BD94" s="273"/>
      <c r="BE94" s="273" t="s">
        <v>76</v>
      </c>
      <c r="BF94" s="273"/>
      <c r="BG94" s="273" t="s">
        <v>76</v>
      </c>
      <c r="BH94" s="273"/>
      <c r="BI94" s="273" t="s">
        <v>76</v>
      </c>
      <c r="BJ94" s="273"/>
      <c r="BK94" s="273" t="s">
        <v>73</v>
      </c>
      <c r="BL94" s="273"/>
    </row>
    <row r="95" spans="1:65" s="43" customFormat="1" ht="14.25" customHeight="1">
      <c r="A95" s="275">
        <f ca="1">MAX(A$5:INDIRECT("A"&amp;ROW()-1))+1</f>
        <v>89</v>
      </c>
      <c r="B95" s="276"/>
      <c r="C95" s="317"/>
      <c r="D95" s="318"/>
      <c r="E95" s="318"/>
      <c r="F95" s="318"/>
      <c r="G95" s="318"/>
      <c r="H95" s="318"/>
      <c r="I95" s="318"/>
      <c r="J95" s="318"/>
      <c r="K95" s="318"/>
      <c r="L95" s="318"/>
      <c r="M95" s="318"/>
      <c r="N95" s="318"/>
      <c r="O95" s="318"/>
      <c r="P95" s="318"/>
      <c r="Q95" s="318"/>
      <c r="R95" s="318"/>
      <c r="S95" s="318"/>
      <c r="T95" s="318"/>
      <c r="U95" s="318"/>
      <c r="V95" s="319"/>
      <c r="W95" s="270" t="s">
        <v>126</v>
      </c>
      <c r="X95" s="271"/>
      <c r="Y95" s="271"/>
      <c r="Z95" s="271"/>
      <c r="AA95" s="271"/>
      <c r="AB95" s="271"/>
      <c r="AC95" s="271"/>
      <c r="AD95" s="271"/>
      <c r="AE95" s="271"/>
      <c r="AF95" s="271"/>
      <c r="AG95" s="271"/>
      <c r="AH95" s="271"/>
      <c r="AI95" s="271"/>
      <c r="AJ95" s="271"/>
      <c r="AK95" s="272"/>
      <c r="AL95" s="270"/>
      <c r="AM95" s="271"/>
      <c r="AN95" s="271"/>
      <c r="AO95" s="271"/>
      <c r="AP95" s="271"/>
      <c r="AQ95" s="271"/>
      <c r="AR95" s="271"/>
      <c r="AS95" s="271"/>
      <c r="AT95" s="271"/>
      <c r="AU95" s="271"/>
      <c r="AV95" s="271"/>
      <c r="AW95" s="271"/>
      <c r="AX95" s="271"/>
      <c r="AY95" s="271"/>
      <c r="AZ95" s="271"/>
      <c r="BA95" s="271"/>
      <c r="BB95" s="272"/>
      <c r="BC95" s="273" t="s">
        <v>76</v>
      </c>
      <c r="BD95" s="273"/>
      <c r="BE95" s="273" t="s">
        <v>76</v>
      </c>
      <c r="BF95" s="273"/>
      <c r="BG95" s="273" t="s">
        <v>76</v>
      </c>
      <c r="BH95" s="273"/>
      <c r="BI95" s="273" t="s">
        <v>76</v>
      </c>
      <c r="BJ95" s="273"/>
      <c r="BK95" s="273" t="s">
        <v>73</v>
      </c>
      <c r="BL95" s="273"/>
    </row>
    <row r="96" spans="1:65" s="43" customFormat="1" ht="14.25" customHeight="1">
      <c r="A96" s="275">
        <f ca="1">MAX(A$5:INDIRECT("A"&amp;ROW()-1))+1</f>
        <v>90</v>
      </c>
      <c r="B96" s="276"/>
      <c r="C96" s="317"/>
      <c r="D96" s="318"/>
      <c r="E96" s="318"/>
      <c r="F96" s="318"/>
      <c r="G96" s="318"/>
      <c r="H96" s="318"/>
      <c r="I96" s="318"/>
      <c r="J96" s="318"/>
      <c r="K96" s="318"/>
      <c r="L96" s="318"/>
      <c r="M96" s="318"/>
      <c r="N96" s="318"/>
      <c r="O96" s="318"/>
      <c r="P96" s="318"/>
      <c r="Q96" s="318"/>
      <c r="R96" s="318"/>
      <c r="S96" s="318"/>
      <c r="T96" s="318"/>
      <c r="U96" s="318"/>
      <c r="V96" s="319"/>
      <c r="W96" s="270" t="s">
        <v>127</v>
      </c>
      <c r="X96" s="271"/>
      <c r="Y96" s="271"/>
      <c r="Z96" s="271"/>
      <c r="AA96" s="271"/>
      <c r="AB96" s="271"/>
      <c r="AC96" s="271"/>
      <c r="AD96" s="271"/>
      <c r="AE96" s="271"/>
      <c r="AF96" s="271"/>
      <c r="AG96" s="271"/>
      <c r="AH96" s="271"/>
      <c r="AI96" s="271"/>
      <c r="AJ96" s="271"/>
      <c r="AK96" s="272"/>
      <c r="AL96" s="270"/>
      <c r="AM96" s="271"/>
      <c r="AN96" s="271"/>
      <c r="AO96" s="271"/>
      <c r="AP96" s="271"/>
      <c r="AQ96" s="271"/>
      <c r="AR96" s="271"/>
      <c r="AS96" s="271"/>
      <c r="AT96" s="271"/>
      <c r="AU96" s="271"/>
      <c r="AV96" s="271"/>
      <c r="AW96" s="271"/>
      <c r="AX96" s="271"/>
      <c r="AY96" s="271"/>
      <c r="AZ96" s="271"/>
      <c r="BA96" s="271"/>
      <c r="BB96" s="272"/>
      <c r="BC96" s="273" t="s">
        <v>76</v>
      </c>
      <c r="BD96" s="273"/>
      <c r="BE96" s="273" t="s">
        <v>76</v>
      </c>
      <c r="BF96" s="273"/>
      <c r="BG96" s="273" t="s">
        <v>76</v>
      </c>
      <c r="BH96" s="273"/>
      <c r="BI96" s="273" t="s">
        <v>76</v>
      </c>
      <c r="BJ96" s="273"/>
      <c r="BK96" s="273" t="s">
        <v>73</v>
      </c>
      <c r="BL96" s="273"/>
    </row>
    <row r="97" spans="1:64" s="43" customFormat="1" ht="14.25" customHeight="1">
      <c r="A97" s="275">
        <f ca="1">MAX(A$5:INDIRECT("A"&amp;ROW()-1))+1</f>
        <v>91</v>
      </c>
      <c r="B97" s="276"/>
      <c r="C97" s="317"/>
      <c r="D97" s="318"/>
      <c r="E97" s="318"/>
      <c r="F97" s="318"/>
      <c r="G97" s="318"/>
      <c r="H97" s="318"/>
      <c r="I97" s="318"/>
      <c r="J97" s="318"/>
      <c r="K97" s="318"/>
      <c r="L97" s="318"/>
      <c r="M97" s="318"/>
      <c r="N97" s="318"/>
      <c r="O97" s="318"/>
      <c r="P97" s="318"/>
      <c r="Q97" s="318"/>
      <c r="R97" s="318"/>
      <c r="S97" s="318"/>
      <c r="T97" s="318"/>
      <c r="U97" s="318"/>
      <c r="V97" s="319"/>
      <c r="W97" s="270" t="s">
        <v>128</v>
      </c>
      <c r="X97" s="271"/>
      <c r="Y97" s="271"/>
      <c r="Z97" s="271"/>
      <c r="AA97" s="271"/>
      <c r="AB97" s="271"/>
      <c r="AC97" s="271"/>
      <c r="AD97" s="271"/>
      <c r="AE97" s="271"/>
      <c r="AF97" s="271"/>
      <c r="AG97" s="271"/>
      <c r="AH97" s="271"/>
      <c r="AI97" s="271"/>
      <c r="AJ97" s="271"/>
      <c r="AK97" s="272"/>
      <c r="AL97" s="270"/>
      <c r="AM97" s="271"/>
      <c r="AN97" s="271"/>
      <c r="AO97" s="271"/>
      <c r="AP97" s="271"/>
      <c r="AQ97" s="271"/>
      <c r="AR97" s="271"/>
      <c r="AS97" s="271"/>
      <c r="AT97" s="271"/>
      <c r="AU97" s="271"/>
      <c r="AV97" s="271"/>
      <c r="AW97" s="271"/>
      <c r="AX97" s="271"/>
      <c r="AY97" s="271"/>
      <c r="AZ97" s="271"/>
      <c r="BA97" s="271"/>
      <c r="BB97" s="272"/>
      <c r="BC97" s="273" t="s">
        <v>76</v>
      </c>
      <c r="BD97" s="273"/>
      <c r="BE97" s="273" t="s">
        <v>76</v>
      </c>
      <c r="BF97" s="273"/>
      <c r="BG97" s="273" t="s">
        <v>76</v>
      </c>
      <c r="BH97" s="273"/>
      <c r="BI97" s="273" t="s">
        <v>76</v>
      </c>
      <c r="BJ97" s="273"/>
      <c r="BK97" s="273" t="s">
        <v>73</v>
      </c>
      <c r="BL97" s="273"/>
    </row>
    <row r="98" spans="1:64" s="43" customFormat="1" ht="14.25" customHeight="1">
      <c r="A98" s="275">
        <f ca="1">MAX(A$5:INDIRECT("A"&amp;ROW()-1))+1</f>
        <v>92</v>
      </c>
      <c r="B98" s="276"/>
      <c r="C98" s="317"/>
      <c r="D98" s="318"/>
      <c r="E98" s="318"/>
      <c r="F98" s="318"/>
      <c r="G98" s="318"/>
      <c r="H98" s="318"/>
      <c r="I98" s="318"/>
      <c r="J98" s="318"/>
      <c r="K98" s="318"/>
      <c r="L98" s="318"/>
      <c r="M98" s="318"/>
      <c r="N98" s="318"/>
      <c r="O98" s="318"/>
      <c r="P98" s="318"/>
      <c r="Q98" s="318"/>
      <c r="R98" s="318"/>
      <c r="S98" s="318"/>
      <c r="T98" s="318"/>
      <c r="U98" s="318"/>
      <c r="V98" s="319"/>
      <c r="W98" s="270" t="s">
        <v>129</v>
      </c>
      <c r="X98" s="271"/>
      <c r="Y98" s="271"/>
      <c r="Z98" s="271"/>
      <c r="AA98" s="271"/>
      <c r="AB98" s="271"/>
      <c r="AC98" s="271"/>
      <c r="AD98" s="271"/>
      <c r="AE98" s="271"/>
      <c r="AF98" s="271"/>
      <c r="AG98" s="271"/>
      <c r="AH98" s="271"/>
      <c r="AI98" s="271"/>
      <c r="AJ98" s="271"/>
      <c r="AK98" s="272"/>
      <c r="AL98" s="270"/>
      <c r="AM98" s="271"/>
      <c r="AN98" s="271"/>
      <c r="AO98" s="271"/>
      <c r="AP98" s="271"/>
      <c r="AQ98" s="271"/>
      <c r="AR98" s="271"/>
      <c r="AS98" s="271"/>
      <c r="AT98" s="271"/>
      <c r="AU98" s="271"/>
      <c r="AV98" s="271"/>
      <c r="AW98" s="271"/>
      <c r="AX98" s="271"/>
      <c r="AY98" s="271"/>
      <c r="AZ98" s="271"/>
      <c r="BA98" s="271"/>
      <c r="BB98" s="272"/>
      <c r="BC98" s="273" t="s">
        <v>76</v>
      </c>
      <c r="BD98" s="273"/>
      <c r="BE98" s="273" t="s">
        <v>76</v>
      </c>
      <c r="BF98" s="273"/>
      <c r="BG98" s="273" t="s">
        <v>76</v>
      </c>
      <c r="BH98" s="273"/>
      <c r="BI98" s="273" t="s">
        <v>76</v>
      </c>
      <c r="BJ98" s="273"/>
      <c r="BK98" s="273" t="s">
        <v>73</v>
      </c>
      <c r="BL98" s="273"/>
    </row>
    <row r="99" spans="1:64" s="43" customFormat="1" ht="14.25" customHeight="1">
      <c r="A99" s="275">
        <f ca="1">MAX(A$5:INDIRECT("A"&amp;ROW()-1))+1</f>
        <v>93</v>
      </c>
      <c r="B99" s="276"/>
      <c r="C99" s="317"/>
      <c r="D99" s="318"/>
      <c r="E99" s="318"/>
      <c r="F99" s="318"/>
      <c r="G99" s="318"/>
      <c r="H99" s="318"/>
      <c r="I99" s="318"/>
      <c r="J99" s="318"/>
      <c r="K99" s="318"/>
      <c r="L99" s="318"/>
      <c r="M99" s="318"/>
      <c r="N99" s="318"/>
      <c r="O99" s="318"/>
      <c r="P99" s="318"/>
      <c r="Q99" s="318"/>
      <c r="R99" s="318"/>
      <c r="S99" s="318"/>
      <c r="T99" s="318"/>
      <c r="U99" s="318"/>
      <c r="V99" s="319"/>
      <c r="W99" s="270" t="s">
        <v>130</v>
      </c>
      <c r="X99" s="271"/>
      <c r="Y99" s="271"/>
      <c r="Z99" s="271"/>
      <c r="AA99" s="271"/>
      <c r="AB99" s="271"/>
      <c r="AC99" s="271"/>
      <c r="AD99" s="271"/>
      <c r="AE99" s="271"/>
      <c r="AF99" s="271"/>
      <c r="AG99" s="271"/>
      <c r="AH99" s="271"/>
      <c r="AI99" s="271"/>
      <c r="AJ99" s="271"/>
      <c r="AK99" s="272"/>
      <c r="AL99" s="270"/>
      <c r="AM99" s="271"/>
      <c r="AN99" s="271"/>
      <c r="AO99" s="271"/>
      <c r="AP99" s="271"/>
      <c r="AQ99" s="271"/>
      <c r="AR99" s="271"/>
      <c r="AS99" s="271"/>
      <c r="AT99" s="271"/>
      <c r="AU99" s="271"/>
      <c r="AV99" s="271"/>
      <c r="AW99" s="271"/>
      <c r="AX99" s="271"/>
      <c r="AY99" s="271"/>
      <c r="AZ99" s="271"/>
      <c r="BA99" s="271"/>
      <c r="BB99" s="272"/>
      <c r="BC99" s="273" t="s">
        <v>76</v>
      </c>
      <c r="BD99" s="273"/>
      <c r="BE99" s="273" t="s">
        <v>76</v>
      </c>
      <c r="BF99" s="273"/>
      <c r="BG99" s="273" t="s">
        <v>76</v>
      </c>
      <c r="BH99" s="273"/>
      <c r="BI99" s="273" t="s">
        <v>76</v>
      </c>
      <c r="BJ99" s="273"/>
      <c r="BK99" s="273" t="s">
        <v>73</v>
      </c>
      <c r="BL99" s="273"/>
    </row>
    <row r="100" spans="1:64" s="43" customFormat="1" ht="14.25" customHeight="1">
      <c r="A100" s="275">
        <f ca="1">MAX(A$5:INDIRECT("A"&amp;ROW()-1))+1</f>
        <v>94</v>
      </c>
      <c r="B100" s="276"/>
      <c r="C100" s="317"/>
      <c r="D100" s="318"/>
      <c r="E100" s="318"/>
      <c r="F100" s="318"/>
      <c r="G100" s="318"/>
      <c r="H100" s="318"/>
      <c r="I100" s="318"/>
      <c r="J100" s="318"/>
      <c r="K100" s="318"/>
      <c r="L100" s="318"/>
      <c r="M100" s="318"/>
      <c r="N100" s="318"/>
      <c r="O100" s="318"/>
      <c r="P100" s="318"/>
      <c r="Q100" s="318"/>
      <c r="R100" s="318"/>
      <c r="S100" s="318"/>
      <c r="T100" s="318"/>
      <c r="U100" s="318"/>
      <c r="V100" s="319"/>
      <c r="W100" s="270" t="s">
        <v>131</v>
      </c>
      <c r="X100" s="271"/>
      <c r="Y100" s="271"/>
      <c r="Z100" s="271"/>
      <c r="AA100" s="271"/>
      <c r="AB100" s="271"/>
      <c r="AC100" s="271"/>
      <c r="AD100" s="271"/>
      <c r="AE100" s="271"/>
      <c r="AF100" s="271"/>
      <c r="AG100" s="271"/>
      <c r="AH100" s="271"/>
      <c r="AI100" s="271"/>
      <c r="AJ100" s="271"/>
      <c r="AK100" s="272"/>
      <c r="AL100" s="270"/>
      <c r="AM100" s="271"/>
      <c r="AN100" s="271"/>
      <c r="AO100" s="271"/>
      <c r="AP100" s="271"/>
      <c r="AQ100" s="271"/>
      <c r="AR100" s="271"/>
      <c r="AS100" s="271"/>
      <c r="AT100" s="271"/>
      <c r="AU100" s="271"/>
      <c r="AV100" s="271"/>
      <c r="AW100" s="271"/>
      <c r="AX100" s="271"/>
      <c r="AY100" s="271"/>
      <c r="AZ100" s="271"/>
      <c r="BA100" s="271"/>
      <c r="BB100" s="272"/>
      <c r="BC100" s="273" t="s">
        <v>76</v>
      </c>
      <c r="BD100" s="273"/>
      <c r="BE100" s="273" t="s">
        <v>76</v>
      </c>
      <c r="BF100" s="273"/>
      <c r="BG100" s="273" t="s">
        <v>76</v>
      </c>
      <c r="BH100" s="273"/>
      <c r="BI100" s="273" t="s">
        <v>76</v>
      </c>
      <c r="BJ100" s="273"/>
      <c r="BK100" s="273" t="s">
        <v>73</v>
      </c>
      <c r="BL100" s="273"/>
    </row>
    <row r="101" spans="1:64" s="43" customFormat="1" ht="14.25" customHeight="1">
      <c r="A101" s="275">
        <f ca="1">MAX(A$5:INDIRECT("A"&amp;ROW()-1))+1</f>
        <v>95</v>
      </c>
      <c r="B101" s="276"/>
      <c r="C101" s="320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2"/>
      <c r="W101" s="270" t="s">
        <v>132</v>
      </c>
      <c r="X101" s="271"/>
      <c r="Y101" s="271"/>
      <c r="Z101" s="271"/>
      <c r="AA101" s="271"/>
      <c r="AB101" s="271"/>
      <c r="AC101" s="271"/>
      <c r="AD101" s="271"/>
      <c r="AE101" s="271"/>
      <c r="AF101" s="271"/>
      <c r="AG101" s="271"/>
      <c r="AH101" s="271"/>
      <c r="AI101" s="271"/>
      <c r="AJ101" s="271"/>
      <c r="AK101" s="272"/>
      <c r="AL101" s="270"/>
      <c r="AM101" s="271"/>
      <c r="AN101" s="271"/>
      <c r="AO101" s="271"/>
      <c r="AP101" s="271"/>
      <c r="AQ101" s="271"/>
      <c r="AR101" s="271"/>
      <c r="AS101" s="271"/>
      <c r="AT101" s="271"/>
      <c r="AU101" s="271"/>
      <c r="AV101" s="271"/>
      <c r="AW101" s="271"/>
      <c r="AX101" s="271"/>
      <c r="AY101" s="271"/>
      <c r="AZ101" s="271"/>
      <c r="BA101" s="271"/>
      <c r="BB101" s="272"/>
      <c r="BC101" s="273" t="s">
        <v>76</v>
      </c>
      <c r="BD101" s="273"/>
      <c r="BE101" s="273" t="s">
        <v>76</v>
      </c>
      <c r="BF101" s="273"/>
      <c r="BG101" s="273" t="s">
        <v>76</v>
      </c>
      <c r="BH101" s="273"/>
      <c r="BI101" s="273" t="s">
        <v>76</v>
      </c>
      <c r="BJ101" s="273"/>
      <c r="BK101" s="273" t="s">
        <v>73</v>
      </c>
      <c r="BL101" s="273"/>
    </row>
    <row r="102" spans="1:64" s="43" customFormat="1" ht="14.25" customHeight="1">
      <c r="A102" s="275">
        <f ca="1">MAX(A$5:INDIRECT("A"&amp;ROW()-1))+1</f>
        <v>96</v>
      </c>
      <c r="B102" s="276"/>
      <c r="C102" s="283" t="s">
        <v>230</v>
      </c>
      <c r="D102" s="295"/>
      <c r="E102" s="295"/>
      <c r="F102" s="295"/>
      <c r="G102" s="295"/>
      <c r="H102" s="295"/>
      <c r="I102" s="295"/>
      <c r="J102" s="295"/>
      <c r="K102" s="295"/>
      <c r="L102" s="295"/>
      <c r="M102" s="295"/>
      <c r="N102" s="295"/>
      <c r="O102" s="295"/>
      <c r="P102" s="295"/>
      <c r="Q102" s="295"/>
      <c r="R102" s="295"/>
      <c r="S102" s="295"/>
      <c r="T102" s="295"/>
      <c r="U102" s="295"/>
      <c r="V102" s="296"/>
      <c r="W102" s="270" t="s">
        <v>133</v>
      </c>
      <c r="X102" s="271"/>
      <c r="Y102" s="271"/>
      <c r="Z102" s="271"/>
      <c r="AA102" s="271"/>
      <c r="AB102" s="271"/>
      <c r="AC102" s="271"/>
      <c r="AD102" s="271"/>
      <c r="AE102" s="271"/>
      <c r="AF102" s="271"/>
      <c r="AG102" s="271"/>
      <c r="AH102" s="271"/>
      <c r="AI102" s="271"/>
      <c r="AJ102" s="271"/>
      <c r="AK102" s="272"/>
      <c r="AL102" s="270"/>
      <c r="AM102" s="271"/>
      <c r="AN102" s="271"/>
      <c r="AO102" s="271"/>
      <c r="AP102" s="271"/>
      <c r="AQ102" s="271"/>
      <c r="AR102" s="271"/>
      <c r="AS102" s="271"/>
      <c r="AT102" s="271"/>
      <c r="AU102" s="271"/>
      <c r="AV102" s="271"/>
      <c r="AW102" s="271"/>
      <c r="AX102" s="271"/>
      <c r="AY102" s="271"/>
      <c r="AZ102" s="271"/>
      <c r="BA102" s="271"/>
      <c r="BB102" s="272"/>
      <c r="BC102" s="273" t="s">
        <v>76</v>
      </c>
      <c r="BD102" s="273"/>
      <c r="BE102" s="273" t="s">
        <v>76</v>
      </c>
      <c r="BF102" s="273"/>
      <c r="BG102" s="273" t="s">
        <v>76</v>
      </c>
      <c r="BH102" s="273"/>
      <c r="BI102" s="273" t="s">
        <v>76</v>
      </c>
      <c r="BJ102" s="273"/>
      <c r="BK102" s="273" t="s">
        <v>73</v>
      </c>
      <c r="BL102" s="273"/>
    </row>
    <row r="103" spans="1:64" s="43" customFormat="1" ht="14.25" customHeight="1">
      <c r="A103" s="275">
        <f ca="1">MAX(A$5:INDIRECT("A"&amp;ROW()-1))+1</f>
        <v>97</v>
      </c>
      <c r="B103" s="276"/>
      <c r="C103" s="297"/>
      <c r="D103" s="298"/>
      <c r="E103" s="298"/>
      <c r="F103" s="298"/>
      <c r="G103" s="298"/>
      <c r="H103" s="298"/>
      <c r="I103" s="298"/>
      <c r="J103" s="298"/>
      <c r="K103" s="298"/>
      <c r="L103" s="298"/>
      <c r="M103" s="298"/>
      <c r="N103" s="298"/>
      <c r="O103" s="298"/>
      <c r="P103" s="298"/>
      <c r="Q103" s="298"/>
      <c r="R103" s="298"/>
      <c r="S103" s="298"/>
      <c r="T103" s="298"/>
      <c r="U103" s="298"/>
      <c r="V103" s="299"/>
      <c r="W103" s="270" t="s">
        <v>134</v>
      </c>
      <c r="X103" s="271"/>
      <c r="Y103" s="271"/>
      <c r="Z103" s="271"/>
      <c r="AA103" s="271"/>
      <c r="AB103" s="271"/>
      <c r="AC103" s="271"/>
      <c r="AD103" s="271"/>
      <c r="AE103" s="271"/>
      <c r="AF103" s="271"/>
      <c r="AG103" s="271"/>
      <c r="AH103" s="271"/>
      <c r="AI103" s="271"/>
      <c r="AJ103" s="271"/>
      <c r="AK103" s="272"/>
      <c r="AL103" s="270"/>
      <c r="AM103" s="271"/>
      <c r="AN103" s="271"/>
      <c r="AO103" s="271"/>
      <c r="AP103" s="271"/>
      <c r="AQ103" s="271"/>
      <c r="AR103" s="271"/>
      <c r="AS103" s="271"/>
      <c r="AT103" s="271"/>
      <c r="AU103" s="271"/>
      <c r="AV103" s="271"/>
      <c r="AW103" s="271"/>
      <c r="AX103" s="271"/>
      <c r="AY103" s="271"/>
      <c r="AZ103" s="271"/>
      <c r="BA103" s="271"/>
      <c r="BB103" s="272"/>
      <c r="BC103" s="273" t="s">
        <v>76</v>
      </c>
      <c r="BD103" s="273"/>
      <c r="BE103" s="273" t="s">
        <v>76</v>
      </c>
      <c r="BF103" s="273"/>
      <c r="BG103" s="273" t="s">
        <v>76</v>
      </c>
      <c r="BH103" s="273"/>
      <c r="BI103" s="273" t="s">
        <v>76</v>
      </c>
      <c r="BJ103" s="273"/>
      <c r="BK103" s="273" t="s">
        <v>73</v>
      </c>
      <c r="BL103" s="273"/>
    </row>
    <row r="104" spans="1:64" s="43" customFormat="1" ht="14.25" customHeight="1">
      <c r="A104" s="275">
        <f ca="1">MAX(A$5:INDIRECT("A"&amp;ROW()-1))+1</f>
        <v>98</v>
      </c>
      <c r="B104" s="276"/>
      <c r="C104" s="297"/>
      <c r="D104" s="298"/>
      <c r="E104" s="298"/>
      <c r="F104" s="298"/>
      <c r="G104" s="298"/>
      <c r="H104" s="298"/>
      <c r="I104" s="298"/>
      <c r="J104" s="298"/>
      <c r="K104" s="298"/>
      <c r="L104" s="298"/>
      <c r="M104" s="298"/>
      <c r="N104" s="298"/>
      <c r="O104" s="298"/>
      <c r="P104" s="298"/>
      <c r="Q104" s="298"/>
      <c r="R104" s="298"/>
      <c r="S104" s="298"/>
      <c r="T104" s="298"/>
      <c r="U104" s="298"/>
      <c r="V104" s="299"/>
      <c r="W104" s="270" t="s">
        <v>135</v>
      </c>
      <c r="X104" s="271"/>
      <c r="Y104" s="271"/>
      <c r="Z104" s="271"/>
      <c r="AA104" s="271"/>
      <c r="AB104" s="271"/>
      <c r="AC104" s="271"/>
      <c r="AD104" s="271"/>
      <c r="AE104" s="271"/>
      <c r="AF104" s="271"/>
      <c r="AG104" s="271"/>
      <c r="AH104" s="271"/>
      <c r="AI104" s="271"/>
      <c r="AJ104" s="271"/>
      <c r="AK104" s="272"/>
      <c r="AL104" s="270"/>
      <c r="AM104" s="271"/>
      <c r="AN104" s="271"/>
      <c r="AO104" s="271"/>
      <c r="AP104" s="271"/>
      <c r="AQ104" s="271"/>
      <c r="AR104" s="271"/>
      <c r="AS104" s="271"/>
      <c r="AT104" s="271"/>
      <c r="AU104" s="271"/>
      <c r="AV104" s="271"/>
      <c r="AW104" s="271"/>
      <c r="AX104" s="271"/>
      <c r="AY104" s="271"/>
      <c r="AZ104" s="271"/>
      <c r="BA104" s="271"/>
      <c r="BB104" s="272"/>
      <c r="BC104" s="273" t="s">
        <v>76</v>
      </c>
      <c r="BD104" s="273"/>
      <c r="BE104" s="273" t="s">
        <v>76</v>
      </c>
      <c r="BF104" s="273"/>
      <c r="BG104" s="273" t="s">
        <v>76</v>
      </c>
      <c r="BH104" s="273"/>
      <c r="BI104" s="273" t="s">
        <v>76</v>
      </c>
      <c r="BJ104" s="273"/>
      <c r="BK104" s="273" t="s">
        <v>73</v>
      </c>
      <c r="BL104" s="273"/>
    </row>
    <row r="105" spans="1:64" s="43" customFormat="1" ht="14.25" customHeight="1">
      <c r="A105" s="275">
        <f ca="1">MAX(A$5:INDIRECT("A"&amp;ROW()-1))+1</f>
        <v>99</v>
      </c>
      <c r="B105" s="276"/>
      <c r="C105" s="300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1"/>
      <c r="O105" s="301"/>
      <c r="P105" s="301"/>
      <c r="Q105" s="301"/>
      <c r="R105" s="301"/>
      <c r="S105" s="301"/>
      <c r="T105" s="301"/>
      <c r="U105" s="301"/>
      <c r="V105" s="302"/>
      <c r="W105" s="270" t="s">
        <v>136</v>
      </c>
      <c r="X105" s="271"/>
      <c r="Y105" s="271"/>
      <c r="Z105" s="271"/>
      <c r="AA105" s="271"/>
      <c r="AB105" s="271"/>
      <c r="AC105" s="271"/>
      <c r="AD105" s="271"/>
      <c r="AE105" s="271"/>
      <c r="AF105" s="271"/>
      <c r="AG105" s="271"/>
      <c r="AH105" s="271"/>
      <c r="AI105" s="271"/>
      <c r="AJ105" s="271"/>
      <c r="AK105" s="272"/>
      <c r="AL105" s="270"/>
      <c r="AM105" s="271"/>
      <c r="AN105" s="271"/>
      <c r="AO105" s="271"/>
      <c r="AP105" s="271"/>
      <c r="AQ105" s="271"/>
      <c r="AR105" s="271"/>
      <c r="AS105" s="271"/>
      <c r="AT105" s="271"/>
      <c r="AU105" s="271"/>
      <c r="AV105" s="271"/>
      <c r="AW105" s="271"/>
      <c r="AX105" s="271"/>
      <c r="AY105" s="271"/>
      <c r="AZ105" s="271"/>
      <c r="BA105" s="271"/>
      <c r="BB105" s="272"/>
      <c r="BC105" s="273" t="s">
        <v>76</v>
      </c>
      <c r="BD105" s="273"/>
      <c r="BE105" s="273" t="s">
        <v>76</v>
      </c>
      <c r="BF105" s="273"/>
      <c r="BG105" s="273" t="s">
        <v>76</v>
      </c>
      <c r="BH105" s="273"/>
      <c r="BI105" s="273" t="s">
        <v>76</v>
      </c>
      <c r="BJ105" s="273"/>
      <c r="BK105" s="273" t="s">
        <v>73</v>
      </c>
      <c r="BL105" s="273"/>
    </row>
    <row r="106" spans="1:64" s="43" customFormat="1" ht="14.25" customHeight="1">
      <c r="A106" s="275">
        <f ca="1">MAX(A$5:INDIRECT("A"&amp;ROW()-1))+1</f>
        <v>100</v>
      </c>
      <c r="B106" s="276"/>
      <c r="C106" s="264" t="s">
        <v>233</v>
      </c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272"/>
      <c r="W106" s="270" t="s">
        <v>183</v>
      </c>
      <c r="X106" s="271"/>
      <c r="Y106" s="271"/>
      <c r="Z106" s="271"/>
      <c r="AA106" s="271"/>
      <c r="AB106" s="271"/>
      <c r="AC106" s="271"/>
      <c r="AD106" s="271"/>
      <c r="AE106" s="271"/>
      <c r="AF106" s="271"/>
      <c r="AG106" s="271"/>
      <c r="AH106" s="271"/>
      <c r="AI106" s="271"/>
      <c r="AJ106" s="271"/>
      <c r="AK106" s="272"/>
      <c r="AL106" s="270"/>
      <c r="AM106" s="271"/>
      <c r="AN106" s="271"/>
      <c r="AO106" s="271"/>
      <c r="AP106" s="271"/>
      <c r="AQ106" s="271"/>
      <c r="AR106" s="271"/>
      <c r="AS106" s="271"/>
      <c r="AT106" s="271"/>
      <c r="AU106" s="271"/>
      <c r="AV106" s="271"/>
      <c r="AW106" s="271"/>
      <c r="AX106" s="271"/>
      <c r="AY106" s="271"/>
      <c r="AZ106" s="271"/>
      <c r="BA106" s="271"/>
      <c r="BB106" s="272"/>
      <c r="BC106" s="273" t="s">
        <v>76</v>
      </c>
      <c r="BD106" s="273"/>
      <c r="BE106" s="273" t="s">
        <v>76</v>
      </c>
      <c r="BF106" s="273"/>
      <c r="BG106" s="273" t="s">
        <v>73</v>
      </c>
      <c r="BH106" s="273"/>
      <c r="BI106" s="273" t="s">
        <v>76</v>
      </c>
      <c r="BJ106" s="273"/>
      <c r="BK106" s="273" t="s">
        <v>76</v>
      </c>
      <c r="BL106" s="273"/>
    </row>
    <row r="107" spans="1:64" s="43" customFormat="1" ht="14.25" customHeight="1">
      <c r="A107" s="275">
        <f ca="1">MAX(A$5:INDIRECT("A"&amp;ROW()-1))+1</f>
        <v>101</v>
      </c>
      <c r="B107" s="276"/>
      <c r="C107" s="264" t="s">
        <v>231</v>
      </c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272"/>
      <c r="W107" s="270" t="s">
        <v>137</v>
      </c>
      <c r="X107" s="271"/>
      <c r="Y107" s="271"/>
      <c r="Z107" s="271"/>
      <c r="AA107" s="271"/>
      <c r="AB107" s="271"/>
      <c r="AC107" s="271"/>
      <c r="AD107" s="271"/>
      <c r="AE107" s="271"/>
      <c r="AF107" s="271"/>
      <c r="AG107" s="271"/>
      <c r="AH107" s="271"/>
      <c r="AI107" s="271"/>
      <c r="AJ107" s="271"/>
      <c r="AK107" s="272"/>
      <c r="AL107" s="270"/>
      <c r="AM107" s="271"/>
      <c r="AN107" s="271"/>
      <c r="AO107" s="271"/>
      <c r="AP107" s="271"/>
      <c r="AQ107" s="271"/>
      <c r="AR107" s="271"/>
      <c r="AS107" s="271"/>
      <c r="AT107" s="271"/>
      <c r="AU107" s="271"/>
      <c r="AV107" s="271"/>
      <c r="AW107" s="271"/>
      <c r="AX107" s="271"/>
      <c r="AY107" s="271"/>
      <c r="AZ107" s="271"/>
      <c r="BA107" s="271"/>
      <c r="BB107" s="272"/>
      <c r="BC107" s="273" t="s">
        <v>76</v>
      </c>
      <c r="BD107" s="273"/>
      <c r="BE107" s="273" t="s">
        <v>76</v>
      </c>
      <c r="BF107" s="273"/>
      <c r="BG107" s="273" t="s">
        <v>76</v>
      </c>
      <c r="BH107" s="273"/>
      <c r="BI107" s="273" t="s">
        <v>76</v>
      </c>
      <c r="BJ107" s="273"/>
      <c r="BK107" s="273" t="s">
        <v>73</v>
      </c>
      <c r="BL107" s="273"/>
    </row>
    <row r="108" spans="1:64" s="43" customFormat="1" ht="14.25" customHeight="1">
      <c r="A108" s="275">
        <f ca="1">MAX(A$5:INDIRECT("A"&amp;ROW()-1))+1</f>
        <v>102</v>
      </c>
      <c r="B108" s="276"/>
      <c r="C108" s="264" t="s">
        <v>232</v>
      </c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272"/>
      <c r="W108" s="270" t="s">
        <v>138</v>
      </c>
      <c r="X108" s="271"/>
      <c r="Y108" s="271"/>
      <c r="Z108" s="271"/>
      <c r="AA108" s="271"/>
      <c r="AB108" s="271"/>
      <c r="AC108" s="271"/>
      <c r="AD108" s="271"/>
      <c r="AE108" s="271"/>
      <c r="AF108" s="271"/>
      <c r="AG108" s="271"/>
      <c r="AH108" s="271"/>
      <c r="AI108" s="271"/>
      <c r="AJ108" s="271"/>
      <c r="AK108" s="272"/>
      <c r="AL108" s="270"/>
      <c r="AM108" s="271"/>
      <c r="AN108" s="271"/>
      <c r="AO108" s="271"/>
      <c r="AP108" s="271"/>
      <c r="AQ108" s="271"/>
      <c r="AR108" s="271"/>
      <c r="AS108" s="271"/>
      <c r="AT108" s="271"/>
      <c r="AU108" s="271"/>
      <c r="AV108" s="271"/>
      <c r="AW108" s="271"/>
      <c r="AX108" s="271"/>
      <c r="AY108" s="271"/>
      <c r="AZ108" s="271"/>
      <c r="BA108" s="271"/>
      <c r="BB108" s="272"/>
      <c r="BC108" s="273" t="s">
        <v>76</v>
      </c>
      <c r="BD108" s="273"/>
      <c r="BE108" s="273" t="s">
        <v>76</v>
      </c>
      <c r="BF108" s="273"/>
      <c r="BG108" s="273" t="s">
        <v>76</v>
      </c>
      <c r="BH108" s="273"/>
      <c r="BI108" s="273" t="s">
        <v>76</v>
      </c>
      <c r="BJ108" s="273"/>
      <c r="BK108" s="273" t="s">
        <v>73</v>
      </c>
      <c r="BL108" s="273"/>
    </row>
    <row r="109" spans="1:64" s="43" customFormat="1" ht="14.25" customHeight="1">
      <c r="A109" s="275">
        <f ca="1">MAX(A$5:INDIRECT("A"&amp;ROW()-1))+1</f>
        <v>103</v>
      </c>
      <c r="B109" s="276"/>
      <c r="C109" s="283" t="s">
        <v>212</v>
      </c>
      <c r="D109" s="295"/>
      <c r="E109" s="295"/>
      <c r="F109" s="295"/>
      <c r="G109" s="295"/>
      <c r="H109" s="295"/>
      <c r="I109" s="295"/>
      <c r="J109" s="295"/>
      <c r="K109" s="295"/>
      <c r="L109" s="295"/>
      <c r="M109" s="295"/>
      <c r="N109" s="295"/>
      <c r="O109" s="295"/>
      <c r="P109" s="295"/>
      <c r="Q109" s="295"/>
      <c r="R109" s="295"/>
      <c r="S109" s="295"/>
      <c r="T109" s="295"/>
      <c r="U109" s="295"/>
      <c r="V109" s="296"/>
      <c r="W109" s="270" t="s">
        <v>139</v>
      </c>
      <c r="X109" s="271"/>
      <c r="Y109" s="271"/>
      <c r="Z109" s="271"/>
      <c r="AA109" s="271"/>
      <c r="AB109" s="271"/>
      <c r="AC109" s="271"/>
      <c r="AD109" s="271"/>
      <c r="AE109" s="271"/>
      <c r="AF109" s="271"/>
      <c r="AG109" s="271"/>
      <c r="AH109" s="271"/>
      <c r="AI109" s="271"/>
      <c r="AJ109" s="271"/>
      <c r="AK109" s="272"/>
      <c r="AL109" s="270"/>
      <c r="AM109" s="271"/>
      <c r="AN109" s="271"/>
      <c r="AO109" s="271"/>
      <c r="AP109" s="271"/>
      <c r="AQ109" s="271"/>
      <c r="AR109" s="271"/>
      <c r="AS109" s="271"/>
      <c r="AT109" s="271"/>
      <c r="AU109" s="271"/>
      <c r="AV109" s="271"/>
      <c r="AW109" s="271"/>
      <c r="AX109" s="271"/>
      <c r="AY109" s="271"/>
      <c r="AZ109" s="271"/>
      <c r="BA109" s="271"/>
      <c r="BB109" s="272"/>
      <c r="BC109" s="273" t="s">
        <v>76</v>
      </c>
      <c r="BD109" s="273"/>
      <c r="BE109" s="273" t="s">
        <v>76</v>
      </c>
      <c r="BF109" s="273"/>
      <c r="BG109" s="273" t="s">
        <v>76</v>
      </c>
      <c r="BH109" s="273"/>
      <c r="BI109" s="273" t="s">
        <v>76</v>
      </c>
      <c r="BJ109" s="273"/>
      <c r="BK109" s="273" t="s">
        <v>73</v>
      </c>
      <c r="BL109" s="273"/>
    </row>
    <row r="110" spans="1:64" s="43" customFormat="1" ht="14.25" customHeight="1">
      <c r="A110" s="275">
        <f ca="1">MAX(A$5:INDIRECT("A"&amp;ROW()-1))+1</f>
        <v>104</v>
      </c>
      <c r="B110" s="276"/>
      <c r="C110" s="297"/>
      <c r="D110" s="298"/>
      <c r="E110" s="298"/>
      <c r="F110" s="298"/>
      <c r="G110" s="298"/>
      <c r="H110" s="298"/>
      <c r="I110" s="298"/>
      <c r="J110" s="298"/>
      <c r="K110" s="298"/>
      <c r="L110" s="298"/>
      <c r="M110" s="298"/>
      <c r="N110" s="298"/>
      <c r="O110" s="298"/>
      <c r="P110" s="298"/>
      <c r="Q110" s="298"/>
      <c r="R110" s="298"/>
      <c r="S110" s="298"/>
      <c r="T110" s="298"/>
      <c r="U110" s="298"/>
      <c r="V110" s="299"/>
      <c r="W110" s="270" t="s">
        <v>140</v>
      </c>
      <c r="X110" s="271"/>
      <c r="Y110" s="271"/>
      <c r="Z110" s="271"/>
      <c r="AA110" s="271"/>
      <c r="AB110" s="271"/>
      <c r="AC110" s="271"/>
      <c r="AD110" s="271"/>
      <c r="AE110" s="271"/>
      <c r="AF110" s="271"/>
      <c r="AG110" s="271"/>
      <c r="AH110" s="271"/>
      <c r="AI110" s="271"/>
      <c r="AJ110" s="271"/>
      <c r="AK110" s="272"/>
      <c r="AL110" s="270"/>
      <c r="AM110" s="271"/>
      <c r="AN110" s="271"/>
      <c r="AO110" s="271"/>
      <c r="AP110" s="271"/>
      <c r="AQ110" s="271"/>
      <c r="AR110" s="271"/>
      <c r="AS110" s="271"/>
      <c r="AT110" s="271"/>
      <c r="AU110" s="271"/>
      <c r="AV110" s="271"/>
      <c r="AW110" s="271"/>
      <c r="AX110" s="271"/>
      <c r="AY110" s="271"/>
      <c r="AZ110" s="271"/>
      <c r="BA110" s="271"/>
      <c r="BB110" s="272"/>
      <c r="BC110" s="273" t="s">
        <v>76</v>
      </c>
      <c r="BD110" s="273"/>
      <c r="BE110" s="273" t="s">
        <v>76</v>
      </c>
      <c r="BF110" s="273"/>
      <c r="BG110" s="273" t="s">
        <v>76</v>
      </c>
      <c r="BH110" s="273"/>
      <c r="BI110" s="273" t="s">
        <v>76</v>
      </c>
      <c r="BJ110" s="273"/>
      <c r="BK110" s="273" t="s">
        <v>73</v>
      </c>
      <c r="BL110" s="273"/>
    </row>
    <row r="111" spans="1:64" s="43" customFormat="1" ht="14.25" customHeight="1">
      <c r="A111" s="275">
        <f ca="1">MAX(A$5:INDIRECT("A"&amp;ROW()-1))+1</f>
        <v>105</v>
      </c>
      <c r="B111" s="276"/>
      <c r="C111" s="300"/>
      <c r="D111" s="301"/>
      <c r="E111" s="301"/>
      <c r="F111" s="301"/>
      <c r="G111" s="301"/>
      <c r="H111" s="301"/>
      <c r="I111" s="301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  <c r="T111" s="301"/>
      <c r="U111" s="301"/>
      <c r="V111" s="302"/>
      <c r="W111" s="270" t="s">
        <v>140</v>
      </c>
      <c r="X111" s="271"/>
      <c r="Y111" s="271"/>
      <c r="Z111" s="271"/>
      <c r="AA111" s="271"/>
      <c r="AB111" s="271"/>
      <c r="AC111" s="271"/>
      <c r="AD111" s="271"/>
      <c r="AE111" s="271"/>
      <c r="AF111" s="271"/>
      <c r="AG111" s="271"/>
      <c r="AH111" s="271"/>
      <c r="AI111" s="271"/>
      <c r="AJ111" s="271"/>
      <c r="AK111" s="272"/>
      <c r="AL111" s="270"/>
      <c r="AM111" s="271"/>
      <c r="AN111" s="271"/>
      <c r="AO111" s="271"/>
      <c r="AP111" s="271"/>
      <c r="AQ111" s="271"/>
      <c r="AR111" s="271"/>
      <c r="AS111" s="271"/>
      <c r="AT111" s="271"/>
      <c r="AU111" s="271"/>
      <c r="AV111" s="271"/>
      <c r="AW111" s="271"/>
      <c r="AX111" s="271"/>
      <c r="AY111" s="271"/>
      <c r="AZ111" s="271"/>
      <c r="BA111" s="271"/>
      <c r="BB111" s="272"/>
      <c r="BC111" s="273" t="s">
        <v>76</v>
      </c>
      <c r="BD111" s="273"/>
      <c r="BE111" s="273" t="s">
        <v>76</v>
      </c>
      <c r="BF111" s="273"/>
      <c r="BG111" s="273" t="s">
        <v>76</v>
      </c>
      <c r="BH111" s="273"/>
      <c r="BI111" s="273" t="s">
        <v>76</v>
      </c>
      <c r="BJ111" s="273"/>
      <c r="BK111" s="273" t="s">
        <v>73</v>
      </c>
      <c r="BL111" s="273"/>
    </row>
    <row r="112" spans="1:64" s="43" customFormat="1" ht="14.25" customHeight="1">
      <c r="A112" s="275">
        <f ca="1">MAX(A$5:INDIRECT("A"&amp;ROW()-1))+1</f>
        <v>106</v>
      </c>
      <c r="B112" s="276"/>
      <c r="C112" s="283" t="s">
        <v>211</v>
      </c>
      <c r="D112" s="295"/>
      <c r="E112" s="295"/>
      <c r="F112" s="295"/>
      <c r="G112" s="295"/>
      <c r="H112" s="295"/>
      <c r="I112" s="295"/>
      <c r="J112" s="295"/>
      <c r="K112" s="295"/>
      <c r="L112" s="295"/>
      <c r="M112" s="295"/>
      <c r="N112" s="295"/>
      <c r="O112" s="295"/>
      <c r="P112" s="295"/>
      <c r="Q112" s="295"/>
      <c r="R112" s="295"/>
      <c r="S112" s="295"/>
      <c r="T112" s="295"/>
      <c r="U112" s="295"/>
      <c r="V112" s="296"/>
      <c r="W112" s="270" t="s">
        <v>146</v>
      </c>
      <c r="X112" s="271"/>
      <c r="Y112" s="271"/>
      <c r="Z112" s="271"/>
      <c r="AA112" s="271"/>
      <c r="AB112" s="271"/>
      <c r="AC112" s="271"/>
      <c r="AD112" s="271"/>
      <c r="AE112" s="271"/>
      <c r="AF112" s="271"/>
      <c r="AG112" s="271"/>
      <c r="AH112" s="271"/>
      <c r="AI112" s="271"/>
      <c r="AJ112" s="271"/>
      <c r="AK112" s="272"/>
      <c r="AL112" s="270"/>
      <c r="AM112" s="271"/>
      <c r="AN112" s="271"/>
      <c r="AO112" s="271"/>
      <c r="AP112" s="271"/>
      <c r="AQ112" s="271"/>
      <c r="AR112" s="271"/>
      <c r="AS112" s="271"/>
      <c r="AT112" s="271"/>
      <c r="AU112" s="271"/>
      <c r="AV112" s="271"/>
      <c r="AW112" s="271"/>
      <c r="AX112" s="271"/>
      <c r="AY112" s="271"/>
      <c r="AZ112" s="271"/>
      <c r="BA112" s="271"/>
      <c r="BB112" s="272"/>
      <c r="BC112" s="273" t="s">
        <v>76</v>
      </c>
      <c r="BD112" s="273"/>
      <c r="BE112" s="273" t="s">
        <v>76</v>
      </c>
      <c r="BF112" s="273"/>
      <c r="BG112" s="273" t="s">
        <v>76</v>
      </c>
      <c r="BH112" s="273"/>
      <c r="BI112" s="273" t="s">
        <v>76</v>
      </c>
      <c r="BJ112" s="273"/>
      <c r="BK112" s="273" t="s">
        <v>73</v>
      </c>
      <c r="BL112" s="273"/>
    </row>
    <row r="113" spans="1:64" s="43" customFormat="1" ht="14.25" customHeight="1">
      <c r="A113" s="275">
        <f ca="1">MAX(A$5:INDIRECT("A"&amp;ROW()-1))+1</f>
        <v>107</v>
      </c>
      <c r="B113" s="276"/>
      <c r="C113" s="297"/>
      <c r="D113" s="298"/>
      <c r="E113" s="298"/>
      <c r="F113" s="298"/>
      <c r="G113" s="298"/>
      <c r="H113" s="298"/>
      <c r="I113" s="298"/>
      <c r="J113" s="298"/>
      <c r="K113" s="298"/>
      <c r="L113" s="298"/>
      <c r="M113" s="298"/>
      <c r="N113" s="298"/>
      <c r="O113" s="298"/>
      <c r="P113" s="298"/>
      <c r="Q113" s="298"/>
      <c r="R113" s="298"/>
      <c r="S113" s="298"/>
      <c r="T113" s="298"/>
      <c r="U113" s="298"/>
      <c r="V113" s="299"/>
      <c r="W113" s="270" t="s">
        <v>141</v>
      </c>
      <c r="X113" s="271"/>
      <c r="Y113" s="271"/>
      <c r="Z113" s="271"/>
      <c r="AA113" s="271"/>
      <c r="AB113" s="271"/>
      <c r="AC113" s="271"/>
      <c r="AD113" s="271"/>
      <c r="AE113" s="271"/>
      <c r="AF113" s="271"/>
      <c r="AG113" s="271"/>
      <c r="AH113" s="271"/>
      <c r="AI113" s="271"/>
      <c r="AJ113" s="271"/>
      <c r="AK113" s="272"/>
      <c r="AL113" s="270"/>
      <c r="AM113" s="271"/>
      <c r="AN113" s="271"/>
      <c r="AO113" s="271"/>
      <c r="AP113" s="271"/>
      <c r="AQ113" s="271"/>
      <c r="AR113" s="271"/>
      <c r="AS113" s="271"/>
      <c r="AT113" s="271"/>
      <c r="AU113" s="271"/>
      <c r="AV113" s="271"/>
      <c r="AW113" s="271"/>
      <c r="AX113" s="271"/>
      <c r="AY113" s="271"/>
      <c r="AZ113" s="271"/>
      <c r="BA113" s="271"/>
      <c r="BB113" s="272"/>
      <c r="BC113" s="273" t="s">
        <v>76</v>
      </c>
      <c r="BD113" s="273"/>
      <c r="BE113" s="273" t="s">
        <v>76</v>
      </c>
      <c r="BF113" s="273"/>
      <c r="BG113" s="273" t="s">
        <v>76</v>
      </c>
      <c r="BH113" s="273"/>
      <c r="BI113" s="273" t="s">
        <v>76</v>
      </c>
      <c r="BJ113" s="273"/>
      <c r="BK113" s="273" t="s">
        <v>73</v>
      </c>
      <c r="BL113" s="273"/>
    </row>
    <row r="114" spans="1:64" s="43" customFormat="1" ht="14.25" customHeight="1">
      <c r="A114" s="275">
        <f ca="1">MAX(A$5:INDIRECT("A"&amp;ROW()-1))+1</f>
        <v>108</v>
      </c>
      <c r="B114" s="276"/>
      <c r="C114" s="297"/>
      <c r="D114" s="298"/>
      <c r="E114" s="298"/>
      <c r="F114" s="298"/>
      <c r="G114" s="298"/>
      <c r="H114" s="298"/>
      <c r="I114" s="298"/>
      <c r="J114" s="298"/>
      <c r="K114" s="298"/>
      <c r="L114" s="298"/>
      <c r="M114" s="298"/>
      <c r="N114" s="298"/>
      <c r="O114" s="298"/>
      <c r="P114" s="298"/>
      <c r="Q114" s="298"/>
      <c r="R114" s="298"/>
      <c r="S114" s="298"/>
      <c r="T114" s="298"/>
      <c r="U114" s="298"/>
      <c r="V114" s="299"/>
      <c r="W114" s="270" t="s">
        <v>142</v>
      </c>
      <c r="X114" s="271"/>
      <c r="Y114" s="271"/>
      <c r="Z114" s="271"/>
      <c r="AA114" s="271"/>
      <c r="AB114" s="271"/>
      <c r="AC114" s="271"/>
      <c r="AD114" s="271"/>
      <c r="AE114" s="271"/>
      <c r="AF114" s="271"/>
      <c r="AG114" s="271"/>
      <c r="AH114" s="271"/>
      <c r="AI114" s="271"/>
      <c r="AJ114" s="271"/>
      <c r="AK114" s="272"/>
      <c r="AL114" s="270"/>
      <c r="AM114" s="271"/>
      <c r="AN114" s="271"/>
      <c r="AO114" s="271"/>
      <c r="AP114" s="271"/>
      <c r="AQ114" s="271"/>
      <c r="AR114" s="271"/>
      <c r="AS114" s="271"/>
      <c r="AT114" s="271"/>
      <c r="AU114" s="271"/>
      <c r="AV114" s="271"/>
      <c r="AW114" s="271"/>
      <c r="AX114" s="271"/>
      <c r="AY114" s="271"/>
      <c r="AZ114" s="271"/>
      <c r="BA114" s="271"/>
      <c r="BB114" s="272"/>
      <c r="BC114" s="268" t="s">
        <v>76</v>
      </c>
      <c r="BD114" s="269"/>
      <c r="BE114" s="268" t="s">
        <v>76</v>
      </c>
      <c r="BF114" s="269"/>
      <c r="BG114" s="268" t="s">
        <v>76</v>
      </c>
      <c r="BH114" s="269"/>
      <c r="BI114" s="268" t="s">
        <v>76</v>
      </c>
      <c r="BJ114" s="269"/>
      <c r="BK114" s="268" t="s">
        <v>73</v>
      </c>
      <c r="BL114" s="269"/>
    </row>
    <row r="115" spans="1:64" s="43" customFormat="1" ht="14.25" customHeight="1">
      <c r="A115" s="275">
        <f ca="1">MAX(A$5:INDIRECT("A"&amp;ROW()-1))+1</f>
        <v>109</v>
      </c>
      <c r="B115" s="276"/>
      <c r="C115" s="297"/>
      <c r="D115" s="298"/>
      <c r="E115" s="298"/>
      <c r="F115" s="298"/>
      <c r="G115" s="298"/>
      <c r="H115" s="298"/>
      <c r="I115" s="298"/>
      <c r="J115" s="298"/>
      <c r="K115" s="298"/>
      <c r="L115" s="298"/>
      <c r="M115" s="298"/>
      <c r="N115" s="298"/>
      <c r="O115" s="298"/>
      <c r="P115" s="298"/>
      <c r="Q115" s="298"/>
      <c r="R115" s="298"/>
      <c r="S115" s="298"/>
      <c r="T115" s="298"/>
      <c r="U115" s="298"/>
      <c r="V115" s="299"/>
      <c r="W115" s="270" t="s">
        <v>143</v>
      </c>
      <c r="X115" s="271"/>
      <c r="Y115" s="271"/>
      <c r="Z115" s="271"/>
      <c r="AA115" s="271"/>
      <c r="AB115" s="271"/>
      <c r="AC115" s="271"/>
      <c r="AD115" s="271"/>
      <c r="AE115" s="271"/>
      <c r="AF115" s="271"/>
      <c r="AG115" s="271"/>
      <c r="AH115" s="271"/>
      <c r="AI115" s="271"/>
      <c r="AJ115" s="271"/>
      <c r="AK115" s="272"/>
      <c r="AL115" s="270"/>
      <c r="AM115" s="271"/>
      <c r="AN115" s="271"/>
      <c r="AO115" s="271"/>
      <c r="AP115" s="271"/>
      <c r="AQ115" s="271"/>
      <c r="AR115" s="271"/>
      <c r="AS115" s="271"/>
      <c r="AT115" s="271"/>
      <c r="AU115" s="271"/>
      <c r="AV115" s="271"/>
      <c r="AW115" s="271"/>
      <c r="AX115" s="271"/>
      <c r="AY115" s="271"/>
      <c r="AZ115" s="271"/>
      <c r="BA115" s="271"/>
      <c r="BB115" s="272"/>
      <c r="BC115" s="268" t="s">
        <v>76</v>
      </c>
      <c r="BD115" s="269"/>
      <c r="BE115" s="268" t="s">
        <v>76</v>
      </c>
      <c r="BF115" s="269"/>
      <c r="BG115" s="268" t="s">
        <v>76</v>
      </c>
      <c r="BH115" s="269"/>
      <c r="BI115" s="268" t="s">
        <v>76</v>
      </c>
      <c r="BJ115" s="269"/>
      <c r="BK115" s="268" t="s">
        <v>73</v>
      </c>
      <c r="BL115" s="269"/>
    </row>
    <row r="116" spans="1:64" s="43" customFormat="1" ht="14.25" customHeight="1">
      <c r="A116" s="275">
        <f ca="1">MAX(A$5:INDIRECT("A"&amp;ROW()-1))+1</f>
        <v>110</v>
      </c>
      <c r="B116" s="276"/>
      <c r="C116" s="297"/>
      <c r="D116" s="298"/>
      <c r="E116" s="298"/>
      <c r="F116" s="298"/>
      <c r="G116" s="298"/>
      <c r="H116" s="298"/>
      <c r="I116" s="298"/>
      <c r="J116" s="298"/>
      <c r="K116" s="298"/>
      <c r="L116" s="298"/>
      <c r="M116" s="298"/>
      <c r="N116" s="298"/>
      <c r="O116" s="298"/>
      <c r="P116" s="298"/>
      <c r="Q116" s="298"/>
      <c r="R116" s="298"/>
      <c r="S116" s="298"/>
      <c r="T116" s="298"/>
      <c r="U116" s="298"/>
      <c r="V116" s="299"/>
      <c r="W116" s="270" t="s">
        <v>144</v>
      </c>
      <c r="X116" s="271"/>
      <c r="Y116" s="271"/>
      <c r="Z116" s="271"/>
      <c r="AA116" s="271"/>
      <c r="AB116" s="271"/>
      <c r="AC116" s="271"/>
      <c r="AD116" s="271"/>
      <c r="AE116" s="271"/>
      <c r="AF116" s="271"/>
      <c r="AG116" s="271"/>
      <c r="AH116" s="271"/>
      <c r="AI116" s="271"/>
      <c r="AJ116" s="271"/>
      <c r="AK116" s="272"/>
      <c r="AL116" s="270"/>
      <c r="AM116" s="271"/>
      <c r="AN116" s="271"/>
      <c r="AO116" s="271"/>
      <c r="AP116" s="271"/>
      <c r="AQ116" s="271"/>
      <c r="AR116" s="271"/>
      <c r="AS116" s="271"/>
      <c r="AT116" s="271"/>
      <c r="AU116" s="271"/>
      <c r="AV116" s="271"/>
      <c r="AW116" s="271"/>
      <c r="AX116" s="271"/>
      <c r="AY116" s="271"/>
      <c r="AZ116" s="271"/>
      <c r="BA116" s="271"/>
      <c r="BB116" s="272"/>
      <c r="BC116" s="268" t="s">
        <v>76</v>
      </c>
      <c r="BD116" s="269"/>
      <c r="BE116" s="268" t="s">
        <v>76</v>
      </c>
      <c r="BF116" s="269"/>
      <c r="BG116" s="268" t="s">
        <v>76</v>
      </c>
      <c r="BH116" s="269"/>
      <c r="BI116" s="268" t="s">
        <v>76</v>
      </c>
      <c r="BJ116" s="269"/>
      <c r="BK116" s="268" t="s">
        <v>73</v>
      </c>
      <c r="BL116" s="269"/>
    </row>
    <row r="117" spans="1:64" s="43" customFormat="1" ht="14.25" customHeight="1">
      <c r="A117" s="275">
        <f ca="1">MAX(A$5:INDIRECT("A"&amp;ROW()-1))+1</f>
        <v>111</v>
      </c>
      <c r="B117" s="276"/>
      <c r="C117" s="300"/>
      <c r="D117" s="301"/>
      <c r="E117" s="301"/>
      <c r="F117" s="301"/>
      <c r="G117" s="301"/>
      <c r="H117" s="301"/>
      <c r="I117" s="301"/>
      <c r="J117" s="301"/>
      <c r="K117" s="301"/>
      <c r="L117" s="301"/>
      <c r="M117" s="301"/>
      <c r="N117" s="301"/>
      <c r="O117" s="301"/>
      <c r="P117" s="301"/>
      <c r="Q117" s="301"/>
      <c r="R117" s="301"/>
      <c r="S117" s="301"/>
      <c r="T117" s="301"/>
      <c r="U117" s="301"/>
      <c r="V117" s="302"/>
      <c r="W117" s="270" t="s">
        <v>145</v>
      </c>
      <c r="X117" s="271"/>
      <c r="Y117" s="271"/>
      <c r="Z117" s="271"/>
      <c r="AA117" s="271"/>
      <c r="AB117" s="271"/>
      <c r="AC117" s="271"/>
      <c r="AD117" s="271"/>
      <c r="AE117" s="271"/>
      <c r="AF117" s="271"/>
      <c r="AG117" s="271"/>
      <c r="AH117" s="271"/>
      <c r="AI117" s="271"/>
      <c r="AJ117" s="271"/>
      <c r="AK117" s="272"/>
      <c r="AL117" s="270"/>
      <c r="AM117" s="271"/>
      <c r="AN117" s="271"/>
      <c r="AO117" s="271"/>
      <c r="AP117" s="271"/>
      <c r="AQ117" s="271"/>
      <c r="AR117" s="271"/>
      <c r="AS117" s="271"/>
      <c r="AT117" s="271"/>
      <c r="AU117" s="271"/>
      <c r="AV117" s="271"/>
      <c r="AW117" s="271"/>
      <c r="AX117" s="271"/>
      <c r="AY117" s="271"/>
      <c r="AZ117" s="271"/>
      <c r="BA117" s="271"/>
      <c r="BB117" s="272"/>
      <c r="BC117" s="268" t="s">
        <v>76</v>
      </c>
      <c r="BD117" s="269"/>
      <c r="BE117" s="268" t="s">
        <v>76</v>
      </c>
      <c r="BF117" s="269"/>
      <c r="BG117" s="268" t="s">
        <v>76</v>
      </c>
      <c r="BH117" s="269"/>
      <c r="BI117" s="268" t="s">
        <v>76</v>
      </c>
      <c r="BJ117" s="269"/>
      <c r="BK117" s="268" t="s">
        <v>73</v>
      </c>
      <c r="BL117" s="269"/>
    </row>
    <row r="118" spans="1:64" s="43" customFormat="1" ht="14.25" customHeight="1">
      <c r="A118" s="275">
        <f ca="1">MAX(A$5:INDIRECT("A"&amp;ROW()-1))+1</f>
        <v>112</v>
      </c>
      <c r="B118" s="276"/>
      <c r="C118" s="283" t="s">
        <v>208</v>
      </c>
      <c r="D118" s="295"/>
      <c r="E118" s="295"/>
      <c r="F118" s="295"/>
      <c r="G118" s="295"/>
      <c r="H118" s="295"/>
      <c r="I118" s="295"/>
      <c r="J118" s="295"/>
      <c r="K118" s="295"/>
      <c r="L118" s="295"/>
      <c r="M118" s="295"/>
      <c r="N118" s="295"/>
      <c r="O118" s="295"/>
      <c r="P118" s="295"/>
      <c r="Q118" s="295"/>
      <c r="R118" s="295"/>
      <c r="S118" s="295"/>
      <c r="T118" s="295"/>
      <c r="U118" s="295"/>
      <c r="V118" s="296"/>
      <c r="W118" s="270" t="s">
        <v>147</v>
      </c>
      <c r="X118" s="271"/>
      <c r="Y118" s="271"/>
      <c r="Z118" s="271"/>
      <c r="AA118" s="271"/>
      <c r="AB118" s="271"/>
      <c r="AC118" s="271"/>
      <c r="AD118" s="271"/>
      <c r="AE118" s="271"/>
      <c r="AF118" s="271"/>
      <c r="AG118" s="271"/>
      <c r="AH118" s="271"/>
      <c r="AI118" s="271"/>
      <c r="AJ118" s="271"/>
      <c r="AK118" s="272"/>
      <c r="AL118" s="270"/>
      <c r="AM118" s="271"/>
      <c r="AN118" s="271"/>
      <c r="AO118" s="271"/>
      <c r="AP118" s="271"/>
      <c r="AQ118" s="271"/>
      <c r="AR118" s="271"/>
      <c r="AS118" s="271"/>
      <c r="AT118" s="271"/>
      <c r="AU118" s="271"/>
      <c r="AV118" s="271"/>
      <c r="AW118" s="271"/>
      <c r="AX118" s="271"/>
      <c r="AY118" s="271"/>
      <c r="AZ118" s="271"/>
      <c r="BA118" s="271"/>
      <c r="BB118" s="272"/>
      <c r="BC118" s="268" t="s">
        <v>76</v>
      </c>
      <c r="BD118" s="269"/>
      <c r="BE118" s="268" t="s">
        <v>76</v>
      </c>
      <c r="BF118" s="269"/>
      <c r="BG118" s="268" t="s">
        <v>76</v>
      </c>
      <c r="BH118" s="269"/>
      <c r="BI118" s="268" t="s">
        <v>76</v>
      </c>
      <c r="BJ118" s="269"/>
      <c r="BK118" s="268" t="s">
        <v>73</v>
      </c>
      <c r="BL118" s="269"/>
    </row>
    <row r="119" spans="1:64" s="43" customFormat="1" ht="14.25" customHeight="1">
      <c r="A119" s="275">
        <f ca="1">MAX(A$5:INDIRECT("A"&amp;ROW()-1))+1</f>
        <v>113</v>
      </c>
      <c r="B119" s="276"/>
      <c r="C119" s="297"/>
      <c r="D119" s="298"/>
      <c r="E119" s="298"/>
      <c r="F119" s="298"/>
      <c r="G119" s="298"/>
      <c r="H119" s="298"/>
      <c r="I119" s="298"/>
      <c r="J119" s="298"/>
      <c r="K119" s="298"/>
      <c r="L119" s="298"/>
      <c r="M119" s="298"/>
      <c r="N119" s="298"/>
      <c r="O119" s="298"/>
      <c r="P119" s="298"/>
      <c r="Q119" s="298"/>
      <c r="R119" s="298"/>
      <c r="S119" s="298"/>
      <c r="T119" s="298"/>
      <c r="U119" s="298"/>
      <c r="V119" s="299"/>
      <c r="W119" s="270" t="s">
        <v>148</v>
      </c>
      <c r="X119" s="271"/>
      <c r="Y119" s="271"/>
      <c r="Z119" s="271"/>
      <c r="AA119" s="271"/>
      <c r="AB119" s="271"/>
      <c r="AC119" s="271"/>
      <c r="AD119" s="271"/>
      <c r="AE119" s="271"/>
      <c r="AF119" s="271"/>
      <c r="AG119" s="271"/>
      <c r="AH119" s="271"/>
      <c r="AI119" s="271"/>
      <c r="AJ119" s="271"/>
      <c r="AK119" s="272"/>
      <c r="AL119" s="270"/>
      <c r="AM119" s="271"/>
      <c r="AN119" s="271"/>
      <c r="AO119" s="271"/>
      <c r="AP119" s="271"/>
      <c r="AQ119" s="271"/>
      <c r="AR119" s="271"/>
      <c r="AS119" s="271"/>
      <c r="AT119" s="271"/>
      <c r="AU119" s="271"/>
      <c r="AV119" s="271"/>
      <c r="AW119" s="271"/>
      <c r="AX119" s="271"/>
      <c r="AY119" s="271"/>
      <c r="AZ119" s="271"/>
      <c r="BA119" s="271"/>
      <c r="BB119" s="272"/>
      <c r="BC119" s="268" t="s">
        <v>76</v>
      </c>
      <c r="BD119" s="269"/>
      <c r="BE119" s="268" t="s">
        <v>76</v>
      </c>
      <c r="BF119" s="269"/>
      <c r="BG119" s="268" t="s">
        <v>76</v>
      </c>
      <c r="BH119" s="269"/>
      <c r="BI119" s="268" t="s">
        <v>76</v>
      </c>
      <c r="BJ119" s="269"/>
      <c r="BK119" s="268" t="s">
        <v>73</v>
      </c>
      <c r="BL119" s="269"/>
    </row>
    <row r="120" spans="1:64" s="43" customFormat="1" ht="14.25" customHeight="1">
      <c r="A120" s="275">
        <f ca="1">MAX(A$5:INDIRECT("A"&amp;ROW()-1))+1</f>
        <v>114</v>
      </c>
      <c r="B120" s="276"/>
      <c r="C120" s="297"/>
      <c r="D120" s="298"/>
      <c r="E120" s="298"/>
      <c r="F120" s="298"/>
      <c r="G120" s="298"/>
      <c r="H120" s="298"/>
      <c r="I120" s="298"/>
      <c r="J120" s="298"/>
      <c r="K120" s="298"/>
      <c r="L120" s="298"/>
      <c r="M120" s="298"/>
      <c r="N120" s="298"/>
      <c r="O120" s="298"/>
      <c r="P120" s="298"/>
      <c r="Q120" s="298"/>
      <c r="R120" s="298"/>
      <c r="S120" s="298"/>
      <c r="T120" s="298"/>
      <c r="U120" s="298"/>
      <c r="V120" s="299"/>
      <c r="W120" s="270" t="s">
        <v>150</v>
      </c>
      <c r="X120" s="271"/>
      <c r="Y120" s="271"/>
      <c r="Z120" s="271"/>
      <c r="AA120" s="271"/>
      <c r="AB120" s="271"/>
      <c r="AC120" s="271"/>
      <c r="AD120" s="271"/>
      <c r="AE120" s="271"/>
      <c r="AF120" s="271"/>
      <c r="AG120" s="271"/>
      <c r="AH120" s="271"/>
      <c r="AI120" s="271"/>
      <c r="AJ120" s="271"/>
      <c r="AK120" s="272"/>
      <c r="AL120" s="270"/>
      <c r="AM120" s="271"/>
      <c r="AN120" s="271"/>
      <c r="AO120" s="271"/>
      <c r="AP120" s="271"/>
      <c r="AQ120" s="271"/>
      <c r="AR120" s="271"/>
      <c r="AS120" s="271"/>
      <c r="AT120" s="271"/>
      <c r="AU120" s="271"/>
      <c r="AV120" s="271"/>
      <c r="AW120" s="271"/>
      <c r="AX120" s="271"/>
      <c r="AY120" s="271"/>
      <c r="AZ120" s="271"/>
      <c r="BA120" s="271"/>
      <c r="BB120" s="272"/>
      <c r="BC120" s="268" t="s">
        <v>76</v>
      </c>
      <c r="BD120" s="269"/>
      <c r="BE120" s="268" t="s">
        <v>76</v>
      </c>
      <c r="BF120" s="269"/>
      <c r="BG120" s="268" t="s">
        <v>76</v>
      </c>
      <c r="BH120" s="269"/>
      <c r="BI120" s="268" t="s">
        <v>76</v>
      </c>
      <c r="BJ120" s="269"/>
      <c r="BK120" s="268" t="s">
        <v>73</v>
      </c>
      <c r="BL120" s="269"/>
    </row>
    <row r="121" spans="1:64" s="43" customFormat="1" ht="14.25" customHeight="1">
      <c r="A121" s="275">
        <f ca="1">MAX(A$5:INDIRECT("A"&amp;ROW()-1))+1</f>
        <v>115</v>
      </c>
      <c r="B121" s="276"/>
      <c r="C121" s="300"/>
      <c r="D121" s="301"/>
      <c r="E121" s="301"/>
      <c r="F121" s="301"/>
      <c r="G121" s="301"/>
      <c r="H121" s="301"/>
      <c r="I121" s="301"/>
      <c r="J121" s="301"/>
      <c r="K121" s="301"/>
      <c r="L121" s="301"/>
      <c r="M121" s="301"/>
      <c r="N121" s="301"/>
      <c r="O121" s="301"/>
      <c r="P121" s="301"/>
      <c r="Q121" s="301"/>
      <c r="R121" s="301"/>
      <c r="S121" s="301"/>
      <c r="T121" s="301"/>
      <c r="U121" s="301"/>
      <c r="V121" s="302"/>
      <c r="W121" s="270" t="s">
        <v>149</v>
      </c>
      <c r="X121" s="271"/>
      <c r="Y121" s="271"/>
      <c r="Z121" s="271"/>
      <c r="AA121" s="271"/>
      <c r="AB121" s="271"/>
      <c r="AC121" s="271"/>
      <c r="AD121" s="271"/>
      <c r="AE121" s="271"/>
      <c r="AF121" s="271"/>
      <c r="AG121" s="271"/>
      <c r="AH121" s="271"/>
      <c r="AI121" s="271"/>
      <c r="AJ121" s="271"/>
      <c r="AK121" s="272"/>
      <c r="AL121" s="270"/>
      <c r="AM121" s="271"/>
      <c r="AN121" s="271"/>
      <c r="AO121" s="271"/>
      <c r="AP121" s="271"/>
      <c r="AQ121" s="271"/>
      <c r="AR121" s="271"/>
      <c r="AS121" s="271"/>
      <c r="AT121" s="271"/>
      <c r="AU121" s="271"/>
      <c r="AV121" s="271"/>
      <c r="AW121" s="271"/>
      <c r="AX121" s="271"/>
      <c r="AY121" s="271"/>
      <c r="AZ121" s="271"/>
      <c r="BA121" s="271"/>
      <c r="BB121" s="272"/>
      <c r="BC121" s="268" t="s">
        <v>76</v>
      </c>
      <c r="BD121" s="269"/>
      <c r="BE121" s="268" t="s">
        <v>76</v>
      </c>
      <c r="BF121" s="269"/>
      <c r="BG121" s="268" t="s">
        <v>76</v>
      </c>
      <c r="BH121" s="269"/>
      <c r="BI121" s="268" t="s">
        <v>76</v>
      </c>
      <c r="BJ121" s="269"/>
      <c r="BK121" s="268" t="s">
        <v>73</v>
      </c>
      <c r="BL121" s="269"/>
    </row>
    <row r="122" spans="1:64" s="43" customFormat="1" ht="14.25" customHeight="1">
      <c r="A122" s="275">
        <f ca="1">MAX(A$5:INDIRECT("A"&amp;ROW()-1))+1</f>
        <v>116</v>
      </c>
      <c r="B122" s="276"/>
      <c r="C122" s="283" t="s">
        <v>209</v>
      </c>
      <c r="D122" s="295"/>
      <c r="E122" s="295"/>
      <c r="F122" s="295"/>
      <c r="G122" s="295"/>
      <c r="H122" s="295"/>
      <c r="I122" s="295"/>
      <c r="J122" s="295"/>
      <c r="K122" s="295"/>
      <c r="L122" s="295"/>
      <c r="M122" s="295"/>
      <c r="N122" s="295"/>
      <c r="O122" s="295"/>
      <c r="P122" s="295"/>
      <c r="Q122" s="295"/>
      <c r="R122" s="295"/>
      <c r="S122" s="295"/>
      <c r="T122" s="295"/>
      <c r="U122" s="295"/>
      <c r="V122" s="296"/>
      <c r="W122" s="270" t="s">
        <v>155</v>
      </c>
      <c r="X122" s="271"/>
      <c r="Y122" s="271"/>
      <c r="Z122" s="271"/>
      <c r="AA122" s="271"/>
      <c r="AB122" s="271"/>
      <c r="AC122" s="271"/>
      <c r="AD122" s="271"/>
      <c r="AE122" s="271"/>
      <c r="AF122" s="271"/>
      <c r="AG122" s="271"/>
      <c r="AH122" s="271"/>
      <c r="AI122" s="271"/>
      <c r="AJ122" s="271"/>
      <c r="AK122" s="272"/>
      <c r="AL122" s="270"/>
      <c r="AM122" s="271"/>
      <c r="AN122" s="271"/>
      <c r="AO122" s="271"/>
      <c r="AP122" s="271"/>
      <c r="AQ122" s="271"/>
      <c r="AR122" s="271"/>
      <c r="AS122" s="271"/>
      <c r="AT122" s="271"/>
      <c r="AU122" s="271"/>
      <c r="AV122" s="271"/>
      <c r="AW122" s="271"/>
      <c r="AX122" s="271"/>
      <c r="AY122" s="271"/>
      <c r="AZ122" s="271"/>
      <c r="BA122" s="271"/>
      <c r="BB122" s="272"/>
      <c r="BC122" s="273" t="s">
        <v>76</v>
      </c>
      <c r="BD122" s="273"/>
      <c r="BE122" s="273" t="s">
        <v>76</v>
      </c>
      <c r="BF122" s="273"/>
      <c r="BG122" s="273" t="s">
        <v>73</v>
      </c>
      <c r="BH122" s="273"/>
      <c r="BI122" s="273" t="s">
        <v>76</v>
      </c>
      <c r="BJ122" s="273"/>
      <c r="BK122" s="273" t="s">
        <v>73</v>
      </c>
      <c r="BL122" s="273"/>
    </row>
    <row r="123" spans="1:64" s="43" customFormat="1" ht="14.25" customHeight="1">
      <c r="A123" s="275">
        <f ca="1">MAX(A$5:INDIRECT("A"&amp;ROW()-1))+1</f>
        <v>117</v>
      </c>
      <c r="B123" s="276"/>
      <c r="C123" s="300"/>
      <c r="D123" s="301"/>
      <c r="E123" s="301"/>
      <c r="F123" s="301"/>
      <c r="G123" s="301"/>
      <c r="H123" s="301"/>
      <c r="I123" s="301"/>
      <c r="J123" s="301"/>
      <c r="K123" s="301"/>
      <c r="L123" s="301"/>
      <c r="M123" s="301"/>
      <c r="N123" s="301"/>
      <c r="O123" s="301"/>
      <c r="P123" s="301"/>
      <c r="Q123" s="301"/>
      <c r="R123" s="301"/>
      <c r="S123" s="301"/>
      <c r="T123" s="301"/>
      <c r="U123" s="301"/>
      <c r="V123" s="302"/>
      <c r="W123" s="270" t="s">
        <v>156</v>
      </c>
      <c r="X123" s="271"/>
      <c r="Y123" s="271"/>
      <c r="Z123" s="271"/>
      <c r="AA123" s="271"/>
      <c r="AB123" s="271"/>
      <c r="AC123" s="271"/>
      <c r="AD123" s="271"/>
      <c r="AE123" s="271"/>
      <c r="AF123" s="271"/>
      <c r="AG123" s="271"/>
      <c r="AH123" s="271"/>
      <c r="AI123" s="271"/>
      <c r="AJ123" s="271"/>
      <c r="AK123" s="272"/>
      <c r="AL123" s="270"/>
      <c r="AM123" s="271"/>
      <c r="AN123" s="271"/>
      <c r="AO123" s="271"/>
      <c r="AP123" s="271"/>
      <c r="AQ123" s="271"/>
      <c r="AR123" s="271"/>
      <c r="AS123" s="271"/>
      <c r="AT123" s="271"/>
      <c r="AU123" s="271"/>
      <c r="AV123" s="271"/>
      <c r="AW123" s="271"/>
      <c r="AX123" s="271"/>
      <c r="AY123" s="271"/>
      <c r="AZ123" s="271"/>
      <c r="BA123" s="271"/>
      <c r="BB123" s="272"/>
      <c r="BC123" s="273" t="s">
        <v>76</v>
      </c>
      <c r="BD123" s="273"/>
      <c r="BE123" s="273" t="s">
        <v>76</v>
      </c>
      <c r="BF123" s="273"/>
      <c r="BG123" s="273" t="s">
        <v>76</v>
      </c>
      <c r="BH123" s="273"/>
      <c r="BI123" s="273" t="s">
        <v>76</v>
      </c>
      <c r="BJ123" s="273"/>
      <c r="BK123" s="273" t="s">
        <v>73</v>
      </c>
      <c r="BL123" s="273"/>
    </row>
    <row r="124" spans="1:64" s="43" customFormat="1" ht="14.25" customHeight="1">
      <c r="A124" s="275">
        <f ca="1">MAX(A$5:INDIRECT("A"&amp;ROW()-1))+1</f>
        <v>118</v>
      </c>
      <c r="B124" s="276"/>
      <c r="C124" s="283" t="s">
        <v>210</v>
      </c>
      <c r="D124" s="295"/>
      <c r="E124" s="295"/>
      <c r="F124" s="295"/>
      <c r="G124" s="295"/>
      <c r="H124" s="295"/>
      <c r="I124" s="295"/>
      <c r="J124" s="295"/>
      <c r="K124" s="295"/>
      <c r="L124" s="295"/>
      <c r="M124" s="295"/>
      <c r="N124" s="295"/>
      <c r="O124" s="295"/>
      <c r="P124" s="295"/>
      <c r="Q124" s="295"/>
      <c r="R124" s="295"/>
      <c r="S124" s="295"/>
      <c r="T124" s="295"/>
      <c r="U124" s="295"/>
      <c r="V124" s="296"/>
      <c r="W124" s="270" t="s">
        <v>158</v>
      </c>
      <c r="X124" s="271"/>
      <c r="Y124" s="271"/>
      <c r="Z124" s="271"/>
      <c r="AA124" s="271"/>
      <c r="AB124" s="271"/>
      <c r="AC124" s="271"/>
      <c r="AD124" s="271"/>
      <c r="AE124" s="271"/>
      <c r="AF124" s="271"/>
      <c r="AG124" s="271"/>
      <c r="AH124" s="271"/>
      <c r="AI124" s="271"/>
      <c r="AJ124" s="271"/>
      <c r="AK124" s="272"/>
      <c r="AL124" s="270"/>
      <c r="AM124" s="271"/>
      <c r="AN124" s="271"/>
      <c r="AO124" s="271"/>
      <c r="AP124" s="271"/>
      <c r="AQ124" s="271"/>
      <c r="AR124" s="271"/>
      <c r="AS124" s="271"/>
      <c r="AT124" s="271"/>
      <c r="AU124" s="271"/>
      <c r="AV124" s="271"/>
      <c r="AW124" s="271"/>
      <c r="AX124" s="271"/>
      <c r="AY124" s="271"/>
      <c r="AZ124" s="271"/>
      <c r="BA124" s="271"/>
      <c r="BB124" s="272"/>
      <c r="BC124" s="273" t="s">
        <v>76</v>
      </c>
      <c r="BD124" s="273"/>
      <c r="BE124" s="273" t="s">
        <v>76</v>
      </c>
      <c r="BF124" s="273"/>
      <c r="BG124" s="273" t="s">
        <v>76</v>
      </c>
      <c r="BH124" s="273"/>
      <c r="BI124" s="273" t="s">
        <v>76</v>
      </c>
      <c r="BJ124" s="273"/>
      <c r="BK124" s="273" t="s">
        <v>73</v>
      </c>
      <c r="BL124" s="273"/>
    </row>
    <row r="125" spans="1:64" s="43" customFormat="1" ht="14.25" customHeight="1">
      <c r="A125" s="275">
        <f ca="1">MAX(A$5:INDIRECT("A"&amp;ROW()-1))+1</f>
        <v>119</v>
      </c>
      <c r="B125" s="276"/>
      <c r="C125" s="297"/>
      <c r="D125" s="298"/>
      <c r="E125" s="298"/>
      <c r="F125" s="298"/>
      <c r="G125" s="298"/>
      <c r="H125" s="298"/>
      <c r="I125" s="298"/>
      <c r="J125" s="298"/>
      <c r="K125" s="298"/>
      <c r="L125" s="298"/>
      <c r="M125" s="298"/>
      <c r="N125" s="298"/>
      <c r="O125" s="298"/>
      <c r="P125" s="298"/>
      <c r="Q125" s="298"/>
      <c r="R125" s="298"/>
      <c r="S125" s="298"/>
      <c r="T125" s="298"/>
      <c r="U125" s="298"/>
      <c r="V125" s="299"/>
      <c r="W125" s="270" t="s">
        <v>157</v>
      </c>
      <c r="X125" s="271"/>
      <c r="Y125" s="271"/>
      <c r="Z125" s="271"/>
      <c r="AA125" s="271"/>
      <c r="AB125" s="271"/>
      <c r="AC125" s="271"/>
      <c r="AD125" s="271"/>
      <c r="AE125" s="271"/>
      <c r="AF125" s="271"/>
      <c r="AG125" s="271"/>
      <c r="AH125" s="271"/>
      <c r="AI125" s="271"/>
      <c r="AJ125" s="271"/>
      <c r="AK125" s="272"/>
      <c r="AL125" s="270"/>
      <c r="AM125" s="271"/>
      <c r="AN125" s="271"/>
      <c r="AO125" s="271"/>
      <c r="AP125" s="271"/>
      <c r="AQ125" s="271"/>
      <c r="AR125" s="271"/>
      <c r="AS125" s="271"/>
      <c r="AT125" s="271"/>
      <c r="AU125" s="271"/>
      <c r="AV125" s="271"/>
      <c r="AW125" s="271"/>
      <c r="AX125" s="271"/>
      <c r="AY125" s="271"/>
      <c r="AZ125" s="271"/>
      <c r="BA125" s="271"/>
      <c r="BB125" s="272"/>
      <c r="BC125" s="273" t="s">
        <v>76</v>
      </c>
      <c r="BD125" s="273"/>
      <c r="BE125" s="273" t="s">
        <v>76</v>
      </c>
      <c r="BF125" s="273"/>
      <c r="BG125" s="273" t="s">
        <v>76</v>
      </c>
      <c r="BH125" s="273"/>
      <c r="BI125" s="273" t="s">
        <v>76</v>
      </c>
      <c r="BJ125" s="273"/>
      <c r="BK125" s="273" t="s">
        <v>73</v>
      </c>
      <c r="BL125" s="273"/>
    </row>
    <row r="126" spans="1:64" s="43" customFormat="1" ht="14.25" customHeight="1">
      <c r="A126" s="275">
        <f ca="1">MAX(A$5:INDIRECT("A"&amp;ROW()-1))+1</f>
        <v>120</v>
      </c>
      <c r="B126" s="276"/>
      <c r="C126" s="297"/>
      <c r="D126" s="298"/>
      <c r="E126" s="298"/>
      <c r="F126" s="298"/>
      <c r="G126" s="298"/>
      <c r="H126" s="298"/>
      <c r="I126" s="298"/>
      <c r="J126" s="298"/>
      <c r="K126" s="298"/>
      <c r="L126" s="298"/>
      <c r="M126" s="298"/>
      <c r="N126" s="298"/>
      <c r="O126" s="298"/>
      <c r="P126" s="298"/>
      <c r="Q126" s="298"/>
      <c r="R126" s="298"/>
      <c r="S126" s="298"/>
      <c r="T126" s="298"/>
      <c r="U126" s="298"/>
      <c r="V126" s="299"/>
      <c r="W126" s="270" t="s">
        <v>159</v>
      </c>
      <c r="X126" s="271"/>
      <c r="Y126" s="271"/>
      <c r="Z126" s="271"/>
      <c r="AA126" s="271"/>
      <c r="AB126" s="271"/>
      <c r="AC126" s="271"/>
      <c r="AD126" s="271"/>
      <c r="AE126" s="271"/>
      <c r="AF126" s="271"/>
      <c r="AG126" s="271"/>
      <c r="AH126" s="271"/>
      <c r="AI126" s="271"/>
      <c r="AJ126" s="271"/>
      <c r="AK126" s="272"/>
      <c r="AL126" s="270"/>
      <c r="AM126" s="271"/>
      <c r="AN126" s="271"/>
      <c r="AO126" s="271"/>
      <c r="AP126" s="271"/>
      <c r="AQ126" s="271"/>
      <c r="AR126" s="271"/>
      <c r="AS126" s="271"/>
      <c r="AT126" s="271"/>
      <c r="AU126" s="271"/>
      <c r="AV126" s="271"/>
      <c r="AW126" s="271"/>
      <c r="AX126" s="271"/>
      <c r="AY126" s="271"/>
      <c r="AZ126" s="271"/>
      <c r="BA126" s="271"/>
      <c r="BB126" s="272"/>
      <c r="BC126" s="273" t="s">
        <v>76</v>
      </c>
      <c r="BD126" s="273"/>
      <c r="BE126" s="273" t="s">
        <v>76</v>
      </c>
      <c r="BF126" s="273"/>
      <c r="BG126" s="273" t="s">
        <v>76</v>
      </c>
      <c r="BH126" s="273"/>
      <c r="BI126" s="273" t="s">
        <v>76</v>
      </c>
      <c r="BJ126" s="273"/>
      <c r="BK126" s="273" t="s">
        <v>73</v>
      </c>
      <c r="BL126" s="273"/>
    </row>
    <row r="127" spans="1:64" s="43" customFormat="1" ht="14.25" customHeight="1">
      <c r="A127" s="275">
        <f ca="1">MAX(A$5:INDIRECT("A"&amp;ROW()-1))+1</f>
        <v>121</v>
      </c>
      <c r="B127" s="276"/>
      <c r="C127" s="300"/>
      <c r="D127" s="301"/>
      <c r="E127" s="301"/>
      <c r="F127" s="301"/>
      <c r="G127" s="301"/>
      <c r="H127" s="301"/>
      <c r="I127" s="301"/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  <c r="T127" s="301"/>
      <c r="U127" s="301"/>
      <c r="V127" s="302"/>
      <c r="W127" s="270" t="s">
        <v>160</v>
      </c>
      <c r="X127" s="271"/>
      <c r="Y127" s="271"/>
      <c r="Z127" s="271"/>
      <c r="AA127" s="271"/>
      <c r="AB127" s="271"/>
      <c r="AC127" s="271"/>
      <c r="AD127" s="271"/>
      <c r="AE127" s="271"/>
      <c r="AF127" s="271"/>
      <c r="AG127" s="271"/>
      <c r="AH127" s="271"/>
      <c r="AI127" s="271"/>
      <c r="AJ127" s="271"/>
      <c r="AK127" s="272"/>
      <c r="AL127" s="270"/>
      <c r="AM127" s="271"/>
      <c r="AN127" s="271"/>
      <c r="AO127" s="271"/>
      <c r="AP127" s="271"/>
      <c r="AQ127" s="271"/>
      <c r="AR127" s="271"/>
      <c r="AS127" s="271"/>
      <c r="AT127" s="271"/>
      <c r="AU127" s="271"/>
      <c r="AV127" s="271"/>
      <c r="AW127" s="271"/>
      <c r="AX127" s="271"/>
      <c r="AY127" s="271"/>
      <c r="AZ127" s="271"/>
      <c r="BA127" s="271"/>
      <c r="BB127" s="272"/>
      <c r="BC127" s="273" t="s">
        <v>76</v>
      </c>
      <c r="BD127" s="273"/>
      <c r="BE127" s="273" t="s">
        <v>76</v>
      </c>
      <c r="BF127" s="273"/>
      <c r="BG127" s="273" t="s">
        <v>73</v>
      </c>
      <c r="BH127" s="273"/>
      <c r="BI127" s="273" t="s">
        <v>76</v>
      </c>
      <c r="BJ127" s="273"/>
      <c r="BK127" s="273" t="s">
        <v>76</v>
      </c>
      <c r="BL127" s="273"/>
    </row>
    <row r="128" spans="1:64" s="43" customFormat="1" ht="14.25" customHeight="1">
      <c r="A128" s="275">
        <f ca="1">MAX(A$5:INDIRECT("A"&amp;ROW()-1))+1</f>
        <v>122</v>
      </c>
      <c r="B128" s="276"/>
      <c r="C128" s="283" t="s">
        <v>207</v>
      </c>
      <c r="D128" s="295"/>
      <c r="E128" s="295"/>
      <c r="F128" s="295"/>
      <c r="G128" s="295"/>
      <c r="H128" s="295"/>
      <c r="I128" s="295"/>
      <c r="J128" s="295"/>
      <c r="K128" s="295"/>
      <c r="L128" s="295"/>
      <c r="M128" s="295"/>
      <c r="N128" s="295"/>
      <c r="O128" s="295"/>
      <c r="P128" s="295"/>
      <c r="Q128" s="295"/>
      <c r="R128" s="295"/>
      <c r="S128" s="295"/>
      <c r="T128" s="295"/>
      <c r="U128" s="295"/>
      <c r="V128" s="296"/>
      <c r="W128" s="270" t="s">
        <v>162</v>
      </c>
      <c r="X128" s="271"/>
      <c r="Y128" s="271"/>
      <c r="Z128" s="271"/>
      <c r="AA128" s="271"/>
      <c r="AB128" s="271"/>
      <c r="AC128" s="271"/>
      <c r="AD128" s="271"/>
      <c r="AE128" s="271"/>
      <c r="AF128" s="271"/>
      <c r="AG128" s="271"/>
      <c r="AH128" s="271"/>
      <c r="AI128" s="271"/>
      <c r="AJ128" s="271"/>
      <c r="AK128" s="272"/>
      <c r="AL128" s="270"/>
      <c r="AM128" s="271"/>
      <c r="AN128" s="271"/>
      <c r="AO128" s="271"/>
      <c r="AP128" s="271"/>
      <c r="AQ128" s="271"/>
      <c r="AR128" s="271"/>
      <c r="AS128" s="271"/>
      <c r="AT128" s="271"/>
      <c r="AU128" s="271"/>
      <c r="AV128" s="271"/>
      <c r="AW128" s="271"/>
      <c r="AX128" s="271"/>
      <c r="AY128" s="271"/>
      <c r="AZ128" s="271"/>
      <c r="BA128" s="271"/>
      <c r="BB128" s="272"/>
      <c r="BC128" s="273" t="s">
        <v>76</v>
      </c>
      <c r="BD128" s="273"/>
      <c r="BE128" s="273" t="s">
        <v>76</v>
      </c>
      <c r="BF128" s="273"/>
      <c r="BG128" s="273" t="s">
        <v>76</v>
      </c>
      <c r="BH128" s="273"/>
      <c r="BI128" s="273" t="s">
        <v>76</v>
      </c>
      <c r="BJ128" s="273"/>
      <c r="BK128" s="273" t="s">
        <v>73</v>
      </c>
      <c r="BL128" s="273"/>
    </row>
    <row r="129" spans="1:64" s="43" customFormat="1" ht="14.25" customHeight="1">
      <c r="A129" s="275">
        <f ca="1">MAX(A$5:INDIRECT("A"&amp;ROW()-1))+1</f>
        <v>123</v>
      </c>
      <c r="B129" s="276"/>
      <c r="C129" s="297"/>
      <c r="D129" s="298"/>
      <c r="E129" s="298"/>
      <c r="F129" s="298"/>
      <c r="G129" s="298"/>
      <c r="H129" s="298"/>
      <c r="I129" s="298"/>
      <c r="J129" s="298"/>
      <c r="K129" s="298"/>
      <c r="L129" s="298"/>
      <c r="M129" s="298"/>
      <c r="N129" s="298"/>
      <c r="O129" s="298"/>
      <c r="P129" s="298"/>
      <c r="Q129" s="298"/>
      <c r="R129" s="298"/>
      <c r="S129" s="298"/>
      <c r="T129" s="298"/>
      <c r="U129" s="298"/>
      <c r="V129" s="299"/>
      <c r="W129" s="270" t="s">
        <v>163</v>
      </c>
      <c r="X129" s="271"/>
      <c r="Y129" s="271"/>
      <c r="Z129" s="271"/>
      <c r="AA129" s="271"/>
      <c r="AB129" s="271"/>
      <c r="AC129" s="271"/>
      <c r="AD129" s="271"/>
      <c r="AE129" s="271"/>
      <c r="AF129" s="271"/>
      <c r="AG129" s="271"/>
      <c r="AH129" s="271"/>
      <c r="AI129" s="271"/>
      <c r="AJ129" s="271"/>
      <c r="AK129" s="272"/>
      <c r="AL129" s="270"/>
      <c r="AM129" s="271"/>
      <c r="AN129" s="271"/>
      <c r="AO129" s="271"/>
      <c r="AP129" s="271"/>
      <c r="AQ129" s="271"/>
      <c r="AR129" s="271"/>
      <c r="AS129" s="271"/>
      <c r="AT129" s="271"/>
      <c r="AU129" s="271"/>
      <c r="AV129" s="271"/>
      <c r="AW129" s="271"/>
      <c r="AX129" s="271"/>
      <c r="AY129" s="271"/>
      <c r="AZ129" s="271"/>
      <c r="BA129" s="271"/>
      <c r="BB129" s="272"/>
      <c r="BC129" s="273" t="s">
        <v>76</v>
      </c>
      <c r="BD129" s="273"/>
      <c r="BE129" s="273" t="s">
        <v>76</v>
      </c>
      <c r="BF129" s="273"/>
      <c r="BG129" s="273" t="s">
        <v>76</v>
      </c>
      <c r="BH129" s="273"/>
      <c r="BI129" s="273" t="s">
        <v>76</v>
      </c>
      <c r="BJ129" s="273"/>
      <c r="BK129" s="273" t="s">
        <v>73</v>
      </c>
      <c r="BL129" s="273"/>
    </row>
    <row r="130" spans="1:64" s="43" customFormat="1" ht="14.25" customHeight="1">
      <c r="A130" s="275">
        <f ca="1">MAX(A$5:INDIRECT("A"&amp;ROW()-1))+1</f>
        <v>124</v>
      </c>
      <c r="B130" s="276"/>
      <c r="C130" s="297"/>
      <c r="D130" s="298"/>
      <c r="E130" s="298"/>
      <c r="F130" s="298"/>
      <c r="G130" s="298"/>
      <c r="H130" s="298"/>
      <c r="I130" s="298"/>
      <c r="J130" s="298"/>
      <c r="K130" s="298"/>
      <c r="L130" s="298"/>
      <c r="M130" s="298"/>
      <c r="N130" s="298"/>
      <c r="O130" s="298"/>
      <c r="P130" s="298"/>
      <c r="Q130" s="298"/>
      <c r="R130" s="298"/>
      <c r="S130" s="298"/>
      <c r="T130" s="298"/>
      <c r="U130" s="298"/>
      <c r="V130" s="299"/>
      <c r="W130" s="270" t="s">
        <v>165</v>
      </c>
      <c r="X130" s="271"/>
      <c r="Y130" s="271"/>
      <c r="Z130" s="271"/>
      <c r="AA130" s="271"/>
      <c r="AB130" s="271"/>
      <c r="AC130" s="271"/>
      <c r="AD130" s="271"/>
      <c r="AE130" s="271"/>
      <c r="AF130" s="271"/>
      <c r="AG130" s="271"/>
      <c r="AH130" s="271"/>
      <c r="AI130" s="271"/>
      <c r="AJ130" s="271"/>
      <c r="AK130" s="272"/>
      <c r="AL130" s="270"/>
      <c r="AM130" s="271"/>
      <c r="AN130" s="271"/>
      <c r="AO130" s="271"/>
      <c r="AP130" s="271"/>
      <c r="AQ130" s="271"/>
      <c r="AR130" s="271"/>
      <c r="AS130" s="271"/>
      <c r="AT130" s="271"/>
      <c r="AU130" s="271"/>
      <c r="AV130" s="271"/>
      <c r="AW130" s="271"/>
      <c r="AX130" s="271"/>
      <c r="AY130" s="271"/>
      <c r="AZ130" s="271"/>
      <c r="BA130" s="271"/>
      <c r="BB130" s="272"/>
      <c r="BC130" s="273" t="s">
        <v>76</v>
      </c>
      <c r="BD130" s="273"/>
      <c r="BE130" s="273" t="s">
        <v>76</v>
      </c>
      <c r="BF130" s="273"/>
      <c r="BG130" s="273" t="s">
        <v>76</v>
      </c>
      <c r="BH130" s="273"/>
      <c r="BI130" s="273" t="s">
        <v>76</v>
      </c>
      <c r="BJ130" s="273"/>
      <c r="BK130" s="273" t="s">
        <v>73</v>
      </c>
      <c r="BL130" s="273"/>
    </row>
    <row r="131" spans="1:64" s="43" customFormat="1" ht="14.25" customHeight="1">
      <c r="A131" s="275">
        <f ca="1">MAX(A$5:INDIRECT("A"&amp;ROW()-1))+1</f>
        <v>125</v>
      </c>
      <c r="B131" s="276"/>
      <c r="C131" s="297"/>
      <c r="D131" s="298"/>
      <c r="E131" s="298"/>
      <c r="F131" s="298"/>
      <c r="G131" s="298"/>
      <c r="H131" s="298"/>
      <c r="I131" s="298"/>
      <c r="J131" s="298"/>
      <c r="K131" s="298"/>
      <c r="L131" s="298"/>
      <c r="M131" s="298"/>
      <c r="N131" s="298"/>
      <c r="O131" s="298"/>
      <c r="P131" s="298"/>
      <c r="Q131" s="298"/>
      <c r="R131" s="298"/>
      <c r="S131" s="298"/>
      <c r="T131" s="298"/>
      <c r="U131" s="298"/>
      <c r="V131" s="299"/>
      <c r="W131" s="270" t="s">
        <v>166</v>
      </c>
      <c r="X131" s="271"/>
      <c r="Y131" s="271"/>
      <c r="Z131" s="271"/>
      <c r="AA131" s="271"/>
      <c r="AB131" s="271"/>
      <c r="AC131" s="271"/>
      <c r="AD131" s="271"/>
      <c r="AE131" s="271"/>
      <c r="AF131" s="271"/>
      <c r="AG131" s="271"/>
      <c r="AH131" s="271"/>
      <c r="AI131" s="271"/>
      <c r="AJ131" s="271"/>
      <c r="AK131" s="272"/>
      <c r="AL131" s="270"/>
      <c r="AM131" s="271"/>
      <c r="AN131" s="271"/>
      <c r="AO131" s="271"/>
      <c r="AP131" s="271"/>
      <c r="AQ131" s="271"/>
      <c r="AR131" s="271"/>
      <c r="AS131" s="271"/>
      <c r="AT131" s="271"/>
      <c r="AU131" s="271"/>
      <c r="AV131" s="271"/>
      <c r="AW131" s="271"/>
      <c r="AX131" s="271"/>
      <c r="AY131" s="271"/>
      <c r="AZ131" s="271"/>
      <c r="BA131" s="271"/>
      <c r="BB131" s="272"/>
      <c r="BC131" s="273" t="s">
        <v>76</v>
      </c>
      <c r="BD131" s="273"/>
      <c r="BE131" s="273" t="s">
        <v>76</v>
      </c>
      <c r="BF131" s="273"/>
      <c r="BG131" s="273" t="s">
        <v>76</v>
      </c>
      <c r="BH131" s="273"/>
      <c r="BI131" s="273" t="s">
        <v>76</v>
      </c>
      <c r="BJ131" s="273"/>
      <c r="BK131" s="273" t="s">
        <v>73</v>
      </c>
      <c r="BL131" s="273"/>
    </row>
    <row r="132" spans="1:64" s="43" customFormat="1" ht="14.25" customHeight="1">
      <c r="A132" s="275">
        <f ca="1">MAX(A$5:INDIRECT("A"&amp;ROW()-1))+1</f>
        <v>126</v>
      </c>
      <c r="B132" s="276"/>
      <c r="C132" s="297"/>
      <c r="D132" s="298"/>
      <c r="E132" s="298"/>
      <c r="F132" s="298"/>
      <c r="G132" s="298"/>
      <c r="H132" s="298"/>
      <c r="I132" s="298"/>
      <c r="J132" s="298"/>
      <c r="K132" s="298"/>
      <c r="L132" s="298"/>
      <c r="M132" s="298"/>
      <c r="N132" s="298"/>
      <c r="O132" s="298"/>
      <c r="P132" s="298"/>
      <c r="Q132" s="298"/>
      <c r="R132" s="298"/>
      <c r="S132" s="298"/>
      <c r="T132" s="298"/>
      <c r="U132" s="298"/>
      <c r="V132" s="299"/>
      <c r="W132" s="270" t="s">
        <v>164</v>
      </c>
      <c r="X132" s="271"/>
      <c r="Y132" s="271"/>
      <c r="Z132" s="271"/>
      <c r="AA132" s="271"/>
      <c r="AB132" s="271"/>
      <c r="AC132" s="271"/>
      <c r="AD132" s="271"/>
      <c r="AE132" s="271"/>
      <c r="AF132" s="271"/>
      <c r="AG132" s="271"/>
      <c r="AH132" s="271"/>
      <c r="AI132" s="271"/>
      <c r="AJ132" s="271"/>
      <c r="AK132" s="272"/>
      <c r="AL132" s="270"/>
      <c r="AM132" s="271"/>
      <c r="AN132" s="271"/>
      <c r="AO132" s="271"/>
      <c r="AP132" s="271"/>
      <c r="AQ132" s="271"/>
      <c r="AR132" s="271"/>
      <c r="AS132" s="271"/>
      <c r="AT132" s="271"/>
      <c r="AU132" s="271"/>
      <c r="AV132" s="271"/>
      <c r="AW132" s="271"/>
      <c r="AX132" s="271"/>
      <c r="AY132" s="271"/>
      <c r="AZ132" s="271"/>
      <c r="BA132" s="271"/>
      <c r="BB132" s="272"/>
      <c r="BC132" s="273" t="s">
        <v>76</v>
      </c>
      <c r="BD132" s="273"/>
      <c r="BE132" s="273" t="s">
        <v>76</v>
      </c>
      <c r="BF132" s="273"/>
      <c r="BG132" s="273" t="s">
        <v>76</v>
      </c>
      <c r="BH132" s="273"/>
      <c r="BI132" s="273" t="s">
        <v>76</v>
      </c>
      <c r="BJ132" s="273"/>
      <c r="BK132" s="273" t="s">
        <v>73</v>
      </c>
      <c r="BL132" s="273"/>
    </row>
    <row r="133" spans="1:64" s="43" customFormat="1" ht="14.25" customHeight="1">
      <c r="A133" s="275">
        <f ca="1">MAX(A$5:INDIRECT("A"&amp;ROW()-1))+1</f>
        <v>127</v>
      </c>
      <c r="B133" s="276"/>
      <c r="C133" s="297"/>
      <c r="D133" s="298"/>
      <c r="E133" s="298"/>
      <c r="F133" s="298"/>
      <c r="G133" s="298"/>
      <c r="H133" s="298"/>
      <c r="I133" s="298"/>
      <c r="J133" s="298"/>
      <c r="K133" s="298"/>
      <c r="L133" s="298"/>
      <c r="M133" s="298"/>
      <c r="N133" s="298"/>
      <c r="O133" s="298"/>
      <c r="P133" s="298"/>
      <c r="Q133" s="298"/>
      <c r="R133" s="298"/>
      <c r="S133" s="298"/>
      <c r="T133" s="298"/>
      <c r="U133" s="298"/>
      <c r="V133" s="299"/>
      <c r="W133" s="270" t="s">
        <v>169</v>
      </c>
      <c r="X133" s="271"/>
      <c r="Y133" s="271"/>
      <c r="Z133" s="271"/>
      <c r="AA133" s="271"/>
      <c r="AB133" s="271"/>
      <c r="AC133" s="271"/>
      <c r="AD133" s="271"/>
      <c r="AE133" s="271"/>
      <c r="AF133" s="271"/>
      <c r="AG133" s="271"/>
      <c r="AH133" s="271"/>
      <c r="AI133" s="271"/>
      <c r="AJ133" s="271"/>
      <c r="AK133" s="272"/>
      <c r="AL133" s="270"/>
      <c r="AM133" s="271"/>
      <c r="AN133" s="271"/>
      <c r="AO133" s="271"/>
      <c r="AP133" s="271"/>
      <c r="AQ133" s="271"/>
      <c r="AR133" s="271"/>
      <c r="AS133" s="271"/>
      <c r="AT133" s="271"/>
      <c r="AU133" s="271"/>
      <c r="AV133" s="271"/>
      <c r="AW133" s="271"/>
      <c r="AX133" s="271"/>
      <c r="AY133" s="271"/>
      <c r="AZ133" s="271"/>
      <c r="BA133" s="271"/>
      <c r="BB133" s="272"/>
      <c r="BC133" s="273" t="s">
        <v>76</v>
      </c>
      <c r="BD133" s="273"/>
      <c r="BE133" s="273" t="s">
        <v>76</v>
      </c>
      <c r="BF133" s="273"/>
      <c r="BG133" s="273" t="s">
        <v>76</v>
      </c>
      <c r="BH133" s="273"/>
      <c r="BI133" s="273" t="s">
        <v>76</v>
      </c>
      <c r="BJ133" s="273"/>
      <c r="BK133" s="273" t="s">
        <v>73</v>
      </c>
      <c r="BL133" s="273"/>
    </row>
    <row r="134" spans="1:64" s="43" customFormat="1" ht="14.25" customHeight="1">
      <c r="A134" s="275">
        <f ca="1">MAX(A$5:INDIRECT("A"&amp;ROW()-1))+1</f>
        <v>128</v>
      </c>
      <c r="B134" s="276"/>
      <c r="C134" s="297"/>
      <c r="D134" s="298"/>
      <c r="E134" s="298"/>
      <c r="F134" s="298"/>
      <c r="G134" s="298"/>
      <c r="H134" s="298"/>
      <c r="I134" s="298"/>
      <c r="J134" s="298"/>
      <c r="K134" s="298"/>
      <c r="L134" s="298"/>
      <c r="M134" s="298"/>
      <c r="N134" s="298"/>
      <c r="O134" s="298"/>
      <c r="P134" s="298"/>
      <c r="Q134" s="298"/>
      <c r="R134" s="298"/>
      <c r="S134" s="298"/>
      <c r="T134" s="298"/>
      <c r="U134" s="298"/>
      <c r="V134" s="299"/>
      <c r="W134" s="270" t="s">
        <v>170</v>
      </c>
      <c r="X134" s="271"/>
      <c r="Y134" s="271"/>
      <c r="Z134" s="271"/>
      <c r="AA134" s="271"/>
      <c r="AB134" s="271"/>
      <c r="AC134" s="271"/>
      <c r="AD134" s="271"/>
      <c r="AE134" s="271"/>
      <c r="AF134" s="271"/>
      <c r="AG134" s="271"/>
      <c r="AH134" s="271"/>
      <c r="AI134" s="271"/>
      <c r="AJ134" s="271"/>
      <c r="AK134" s="272"/>
      <c r="AL134" s="270"/>
      <c r="AM134" s="271"/>
      <c r="AN134" s="271"/>
      <c r="AO134" s="271"/>
      <c r="AP134" s="271"/>
      <c r="AQ134" s="271"/>
      <c r="AR134" s="271"/>
      <c r="AS134" s="271"/>
      <c r="AT134" s="271"/>
      <c r="AU134" s="271"/>
      <c r="AV134" s="271"/>
      <c r="AW134" s="271"/>
      <c r="AX134" s="271"/>
      <c r="AY134" s="271"/>
      <c r="AZ134" s="271"/>
      <c r="BA134" s="271"/>
      <c r="BB134" s="272"/>
      <c r="BC134" s="273" t="s">
        <v>76</v>
      </c>
      <c r="BD134" s="273"/>
      <c r="BE134" s="273" t="s">
        <v>76</v>
      </c>
      <c r="BF134" s="273"/>
      <c r="BG134" s="273" t="s">
        <v>76</v>
      </c>
      <c r="BH134" s="273"/>
      <c r="BI134" s="273" t="s">
        <v>76</v>
      </c>
      <c r="BJ134" s="273"/>
      <c r="BK134" s="273" t="s">
        <v>73</v>
      </c>
      <c r="BL134" s="273"/>
    </row>
    <row r="135" spans="1:64" s="43" customFormat="1" ht="14.25" customHeight="1">
      <c r="A135" s="275">
        <f ca="1">MAX(A$5:INDIRECT("A"&amp;ROW()-1))+1</f>
        <v>129</v>
      </c>
      <c r="B135" s="276"/>
      <c r="C135" s="297"/>
      <c r="D135" s="298"/>
      <c r="E135" s="298"/>
      <c r="F135" s="298"/>
      <c r="G135" s="298"/>
      <c r="H135" s="298"/>
      <c r="I135" s="298"/>
      <c r="J135" s="298"/>
      <c r="K135" s="298"/>
      <c r="L135" s="298"/>
      <c r="M135" s="298"/>
      <c r="N135" s="298"/>
      <c r="O135" s="298"/>
      <c r="P135" s="298"/>
      <c r="Q135" s="298"/>
      <c r="R135" s="298"/>
      <c r="S135" s="298"/>
      <c r="T135" s="298"/>
      <c r="U135" s="298"/>
      <c r="V135" s="299"/>
      <c r="W135" s="270" t="s">
        <v>171</v>
      </c>
      <c r="X135" s="271"/>
      <c r="Y135" s="271"/>
      <c r="Z135" s="271"/>
      <c r="AA135" s="271"/>
      <c r="AB135" s="271"/>
      <c r="AC135" s="271"/>
      <c r="AD135" s="271"/>
      <c r="AE135" s="271"/>
      <c r="AF135" s="271"/>
      <c r="AG135" s="271"/>
      <c r="AH135" s="271"/>
      <c r="AI135" s="271"/>
      <c r="AJ135" s="271"/>
      <c r="AK135" s="272"/>
      <c r="AL135" s="270"/>
      <c r="AM135" s="271"/>
      <c r="AN135" s="271"/>
      <c r="AO135" s="271"/>
      <c r="AP135" s="271"/>
      <c r="AQ135" s="271"/>
      <c r="AR135" s="271"/>
      <c r="AS135" s="271"/>
      <c r="AT135" s="271"/>
      <c r="AU135" s="271"/>
      <c r="AV135" s="271"/>
      <c r="AW135" s="271"/>
      <c r="AX135" s="271"/>
      <c r="AY135" s="271"/>
      <c r="AZ135" s="271"/>
      <c r="BA135" s="271"/>
      <c r="BB135" s="272"/>
      <c r="BC135" s="273" t="s">
        <v>76</v>
      </c>
      <c r="BD135" s="273"/>
      <c r="BE135" s="273" t="s">
        <v>76</v>
      </c>
      <c r="BF135" s="273"/>
      <c r="BG135" s="273" t="s">
        <v>76</v>
      </c>
      <c r="BH135" s="273"/>
      <c r="BI135" s="273" t="s">
        <v>76</v>
      </c>
      <c r="BJ135" s="273"/>
      <c r="BK135" s="273" t="s">
        <v>73</v>
      </c>
      <c r="BL135" s="273"/>
    </row>
    <row r="136" spans="1:64" s="43" customFormat="1" ht="14.25" customHeight="1">
      <c r="A136" s="275">
        <f ca="1">MAX(A$5:INDIRECT("A"&amp;ROW()-1))+1</f>
        <v>130</v>
      </c>
      <c r="B136" s="276"/>
      <c r="C136" s="297"/>
      <c r="D136" s="298"/>
      <c r="E136" s="298"/>
      <c r="F136" s="298"/>
      <c r="G136" s="298"/>
      <c r="H136" s="298"/>
      <c r="I136" s="298"/>
      <c r="J136" s="298"/>
      <c r="K136" s="298"/>
      <c r="L136" s="298"/>
      <c r="M136" s="298"/>
      <c r="N136" s="298"/>
      <c r="O136" s="298"/>
      <c r="P136" s="298"/>
      <c r="Q136" s="298"/>
      <c r="R136" s="298"/>
      <c r="S136" s="298"/>
      <c r="T136" s="298"/>
      <c r="U136" s="298"/>
      <c r="V136" s="299"/>
      <c r="W136" s="270" t="s">
        <v>161</v>
      </c>
      <c r="X136" s="271"/>
      <c r="Y136" s="271"/>
      <c r="Z136" s="271"/>
      <c r="AA136" s="271"/>
      <c r="AB136" s="271"/>
      <c r="AC136" s="271"/>
      <c r="AD136" s="271"/>
      <c r="AE136" s="271"/>
      <c r="AF136" s="271"/>
      <c r="AG136" s="271"/>
      <c r="AH136" s="271"/>
      <c r="AI136" s="271"/>
      <c r="AJ136" s="271"/>
      <c r="AK136" s="272"/>
      <c r="AL136" s="270"/>
      <c r="AM136" s="271"/>
      <c r="AN136" s="271"/>
      <c r="AO136" s="271"/>
      <c r="AP136" s="271"/>
      <c r="AQ136" s="271"/>
      <c r="AR136" s="271"/>
      <c r="AS136" s="271"/>
      <c r="AT136" s="271"/>
      <c r="AU136" s="271"/>
      <c r="AV136" s="271"/>
      <c r="AW136" s="271"/>
      <c r="AX136" s="271"/>
      <c r="AY136" s="271"/>
      <c r="AZ136" s="271"/>
      <c r="BA136" s="271"/>
      <c r="BB136" s="272"/>
      <c r="BC136" s="273" t="s">
        <v>76</v>
      </c>
      <c r="BD136" s="273"/>
      <c r="BE136" s="273" t="s">
        <v>73</v>
      </c>
      <c r="BF136" s="273"/>
      <c r="BG136" s="273" t="s">
        <v>76</v>
      </c>
      <c r="BH136" s="273"/>
      <c r="BI136" s="273" t="s">
        <v>76</v>
      </c>
      <c r="BJ136" s="273"/>
      <c r="BK136" s="273" t="s">
        <v>73</v>
      </c>
      <c r="BL136" s="273"/>
    </row>
    <row r="137" spans="1:64" s="43" customFormat="1" ht="14.25" customHeight="1">
      <c r="A137" s="275">
        <f ca="1">MAX(A$5:INDIRECT("A"&amp;ROW()-1))+1</f>
        <v>131</v>
      </c>
      <c r="B137" s="276"/>
      <c r="C137" s="297"/>
      <c r="D137" s="298"/>
      <c r="E137" s="298"/>
      <c r="F137" s="298"/>
      <c r="G137" s="298"/>
      <c r="H137" s="298"/>
      <c r="I137" s="298"/>
      <c r="J137" s="298"/>
      <c r="K137" s="298"/>
      <c r="L137" s="298"/>
      <c r="M137" s="298"/>
      <c r="N137" s="298"/>
      <c r="O137" s="298"/>
      <c r="P137" s="298"/>
      <c r="Q137" s="298"/>
      <c r="R137" s="298"/>
      <c r="S137" s="298"/>
      <c r="T137" s="298"/>
      <c r="U137" s="298"/>
      <c r="V137" s="299"/>
      <c r="W137" s="270" t="s">
        <v>167</v>
      </c>
      <c r="X137" s="271"/>
      <c r="Y137" s="271"/>
      <c r="Z137" s="271"/>
      <c r="AA137" s="271"/>
      <c r="AB137" s="271"/>
      <c r="AC137" s="271"/>
      <c r="AD137" s="271"/>
      <c r="AE137" s="271"/>
      <c r="AF137" s="271"/>
      <c r="AG137" s="271"/>
      <c r="AH137" s="271"/>
      <c r="AI137" s="271"/>
      <c r="AJ137" s="271"/>
      <c r="AK137" s="272"/>
      <c r="AL137" s="270"/>
      <c r="AM137" s="271"/>
      <c r="AN137" s="271"/>
      <c r="AO137" s="271"/>
      <c r="AP137" s="271"/>
      <c r="AQ137" s="271"/>
      <c r="AR137" s="271"/>
      <c r="AS137" s="271"/>
      <c r="AT137" s="271"/>
      <c r="AU137" s="271"/>
      <c r="AV137" s="271"/>
      <c r="AW137" s="271"/>
      <c r="AX137" s="271"/>
      <c r="AY137" s="271"/>
      <c r="AZ137" s="271"/>
      <c r="BA137" s="271"/>
      <c r="BB137" s="272"/>
      <c r="BC137" s="273" t="s">
        <v>76</v>
      </c>
      <c r="BD137" s="273"/>
      <c r="BE137" s="273" t="s">
        <v>76</v>
      </c>
      <c r="BF137" s="273"/>
      <c r="BG137" s="273" t="s">
        <v>76</v>
      </c>
      <c r="BH137" s="273"/>
      <c r="BI137" s="273" t="s">
        <v>76</v>
      </c>
      <c r="BJ137" s="273"/>
      <c r="BK137" s="273" t="s">
        <v>73</v>
      </c>
      <c r="BL137" s="273"/>
    </row>
    <row r="138" spans="1:64" s="43" customFormat="1" ht="14.25" customHeight="1">
      <c r="A138" s="275">
        <f ca="1">MAX(A$5:INDIRECT("A"&amp;ROW()-1))+1</f>
        <v>132</v>
      </c>
      <c r="B138" s="276"/>
      <c r="C138" s="297"/>
      <c r="D138" s="298"/>
      <c r="E138" s="298"/>
      <c r="F138" s="298"/>
      <c r="G138" s="298"/>
      <c r="H138" s="298"/>
      <c r="I138" s="298"/>
      <c r="J138" s="298"/>
      <c r="K138" s="298"/>
      <c r="L138" s="298"/>
      <c r="M138" s="298"/>
      <c r="N138" s="298"/>
      <c r="O138" s="298"/>
      <c r="P138" s="298"/>
      <c r="Q138" s="298"/>
      <c r="R138" s="298"/>
      <c r="S138" s="298"/>
      <c r="T138" s="298"/>
      <c r="U138" s="298"/>
      <c r="V138" s="299"/>
      <c r="W138" s="270" t="s">
        <v>168</v>
      </c>
      <c r="X138" s="271"/>
      <c r="Y138" s="271"/>
      <c r="Z138" s="271"/>
      <c r="AA138" s="271"/>
      <c r="AB138" s="271"/>
      <c r="AC138" s="271"/>
      <c r="AD138" s="271"/>
      <c r="AE138" s="271"/>
      <c r="AF138" s="271"/>
      <c r="AG138" s="271"/>
      <c r="AH138" s="271"/>
      <c r="AI138" s="271"/>
      <c r="AJ138" s="271"/>
      <c r="AK138" s="272"/>
      <c r="AL138" s="270"/>
      <c r="AM138" s="271"/>
      <c r="AN138" s="271"/>
      <c r="AO138" s="271"/>
      <c r="AP138" s="271"/>
      <c r="AQ138" s="271"/>
      <c r="AR138" s="271"/>
      <c r="AS138" s="271"/>
      <c r="AT138" s="271"/>
      <c r="AU138" s="271"/>
      <c r="AV138" s="271"/>
      <c r="AW138" s="271"/>
      <c r="AX138" s="271"/>
      <c r="AY138" s="271"/>
      <c r="AZ138" s="271"/>
      <c r="BA138" s="271"/>
      <c r="BB138" s="272"/>
      <c r="BC138" s="273" t="s">
        <v>76</v>
      </c>
      <c r="BD138" s="273"/>
      <c r="BE138" s="273" t="s">
        <v>76</v>
      </c>
      <c r="BF138" s="273"/>
      <c r="BG138" s="273" t="s">
        <v>76</v>
      </c>
      <c r="BH138" s="273"/>
      <c r="BI138" s="273" t="s">
        <v>76</v>
      </c>
      <c r="BJ138" s="273"/>
      <c r="BK138" s="273" t="s">
        <v>73</v>
      </c>
      <c r="BL138" s="273"/>
    </row>
    <row r="139" spans="1:64" s="43" customFormat="1" ht="14.25" customHeight="1">
      <c r="A139" s="275">
        <f ca="1">MAX(A$5:INDIRECT("A"&amp;ROW()-1))+1</f>
        <v>133</v>
      </c>
      <c r="B139" s="276"/>
      <c r="C139" s="297"/>
      <c r="D139" s="298"/>
      <c r="E139" s="298"/>
      <c r="F139" s="298"/>
      <c r="G139" s="298"/>
      <c r="H139" s="298"/>
      <c r="I139" s="298"/>
      <c r="J139" s="298"/>
      <c r="K139" s="298"/>
      <c r="L139" s="298"/>
      <c r="M139" s="298"/>
      <c r="N139" s="298"/>
      <c r="O139" s="298"/>
      <c r="P139" s="298"/>
      <c r="Q139" s="298"/>
      <c r="R139" s="298"/>
      <c r="S139" s="298"/>
      <c r="T139" s="298"/>
      <c r="U139" s="298"/>
      <c r="V139" s="299"/>
      <c r="W139" s="270" t="s">
        <v>172</v>
      </c>
      <c r="X139" s="271"/>
      <c r="Y139" s="271"/>
      <c r="Z139" s="271"/>
      <c r="AA139" s="271"/>
      <c r="AB139" s="271"/>
      <c r="AC139" s="271"/>
      <c r="AD139" s="271"/>
      <c r="AE139" s="271"/>
      <c r="AF139" s="271"/>
      <c r="AG139" s="271"/>
      <c r="AH139" s="271"/>
      <c r="AI139" s="271"/>
      <c r="AJ139" s="271"/>
      <c r="AK139" s="272"/>
      <c r="AL139" s="270"/>
      <c r="AM139" s="271"/>
      <c r="AN139" s="271"/>
      <c r="AO139" s="271"/>
      <c r="AP139" s="271"/>
      <c r="AQ139" s="271"/>
      <c r="AR139" s="271"/>
      <c r="AS139" s="271"/>
      <c r="AT139" s="271"/>
      <c r="AU139" s="271"/>
      <c r="AV139" s="271"/>
      <c r="AW139" s="271"/>
      <c r="AX139" s="271"/>
      <c r="AY139" s="271"/>
      <c r="AZ139" s="271"/>
      <c r="BA139" s="271"/>
      <c r="BB139" s="272"/>
      <c r="BC139" s="273" t="s">
        <v>76</v>
      </c>
      <c r="BD139" s="273"/>
      <c r="BE139" s="273" t="s">
        <v>76</v>
      </c>
      <c r="BF139" s="273"/>
      <c r="BG139" s="273" t="s">
        <v>76</v>
      </c>
      <c r="BH139" s="273"/>
      <c r="BI139" s="273" t="s">
        <v>76</v>
      </c>
      <c r="BJ139" s="273"/>
      <c r="BK139" s="273" t="s">
        <v>73</v>
      </c>
      <c r="BL139" s="273"/>
    </row>
    <row r="140" spans="1:64" s="43" customFormat="1" ht="14.25" customHeight="1">
      <c r="A140" s="275">
        <f ca="1">MAX(A$5:INDIRECT("A"&amp;ROW()-1))+1</f>
        <v>134</v>
      </c>
      <c r="B140" s="276"/>
      <c r="C140" s="297"/>
      <c r="D140" s="298"/>
      <c r="E140" s="298"/>
      <c r="F140" s="298"/>
      <c r="G140" s="298"/>
      <c r="H140" s="298"/>
      <c r="I140" s="298"/>
      <c r="J140" s="298"/>
      <c r="K140" s="298"/>
      <c r="L140" s="298"/>
      <c r="M140" s="298"/>
      <c r="N140" s="298"/>
      <c r="O140" s="298"/>
      <c r="P140" s="298"/>
      <c r="Q140" s="298"/>
      <c r="R140" s="298"/>
      <c r="S140" s="298"/>
      <c r="T140" s="298"/>
      <c r="U140" s="298"/>
      <c r="V140" s="299"/>
      <c r="W140" s="264" t="s">
        <v>173</v>
      </c>
      <c r="X140" s="271"/>
      <c r="Y140" s="271"/>
      <c r="Z140" s="271"/>
      <c r="AA140" s="271"/>
      <c r="AB140" s="271"/>
      <c r="AC140" s="271"/>
      <c r="AD140" s="271"/>
      <c r="AE140" s="271"/>
      <c r="AF140" s="271"/>
      <c r="AG140" s="271"/>
      <c r="AH140" s="271"/>
      <c r="AI140" s="271"/>
      <c r="AJ140" s="271"/>
      <c r="AK140" s="272"/>
      <c r="AL140" s="270"/>
      <c r="AM140" s="271"/>
      <c r="AN140" s="271"/>
      <c r="AO140" s="271"/>
      <c r="AP140" s="271"/>
      <c r="AQ140" s="271"/>
      <c r="AR140" s="271"/>
      <c r="AS140" s="271"/>
      <c r="AT140" s="271"/>
      <c r="AU140" s="271"/>
      <c r="AV140" s="271"/>
      <c r="AW140" s="271"/>
      <c r="AX140" s="271"/>
      <c r="AY140" s="271"/>
      <c r="AZ140" s="271"/>
      <c r="BA140" s="271"/>
      <c r="BB140" s="272"/>
      <c r="BC140" s="273" t="s">
        <v>76</v>
      </c>
      <c r="BD140" s="273"/>
      <c r="BE140" s="273" t="s">
        <v>73</v>
      </c>
      <c r="BF140" s="273"/>
      <c r="BG140" s="273" t="s">
        <v>73</v>
      </c>
      <c r="BH140" s="273"/>
      <c r="BI140" s="273" t="s">
        <v>73</v>
      </c>
      <c r="BJ140" s="273"/>
      <c r="BK140" s="273" t="s">
        <v>73</v>
      </c>
      <c r="BL140" s="273"/>
    </row>
    <row r="141" spans="1:64" s="43" customFormat="1" ht="14.25" customHeight="1">
      <c r="A141" s="275">
        <f ca="1">MAX(A$5:INDIRECT("A"&amp;ROW()-1))+1</f>
        <v>135</v>
      </c>
      <c r="B141" s="276"/>
      <c r="C141" s="297"/>
      <c r="D141" s="298"/>
      <c r="E141" s="298"/>
      <c r="F141" s="298"/>
      <c r="G141" s="298"/>
      <c r="H141" s="298"/>
      <c r="I141" s="298"/>
      <c r="J141" s="298"/>
      <c r="K141" s="298"/>
      <c r="L141" s="298"/>
      <c r="M141" s="298"/>
      <c r="N141" s="298"/>
      <c r="O141" s="298"/>
      <c r="P141" s="298"/>
      <c r="Q141" s="298"/>
      <c r="R141" s="298"/>
      <c r="S141" s="298"/>
      <c r="T141" s="298"/>
      <c r="U141" s="298"/>
      <c r="V141" s="299"/>
      <c r="W141" s="270" t="s">
        <v>167</v>
      </c>
      <c r="X141" s="271"/>
      <c r="Y141" s="271"/>
      <c r="Z141" s="271"/>
      <c r="AA141" s="271"/>
      <c r="AB141" s="271"/>
      <c r="AC141" s="271"/>
      <c r="AD141" s="271"/>
      <c r="AE141" s="271"/>
      <c r="AF141" s="271"/>
      <c r="AG141" s="271"/>
      <c r="AH141" s="271"/>
      <c r="AI141" s="271"/>
      <c r="AJ141" s="271"/>
      <c r="AK141" s="272"/>
      <c r="AL141" s="270"/>
      <c r="AM141" s="271"/>
      <c r="AN141" s="271"/>
      <c r="AO141" s="271"/>
      <c r="AP141" s="271"/>
      <c r="AQ141" s="271"/>
      <c r="AR141" s="271"/>
      <c r="AS141" s="271"/>
      <c r="AT141" s="271"/>
      <c r="AU141" s="271"/>
      <c r="AV141" s="271"/>
      <c r="AW141" s="271"/>
      <c r="AX141" s="271"/>
      <c r="AY141" s="271"/>
      <c r="AZ141" s="271"/>
      <c r="BA141" s="271"/>
      <c r="BB141" s="272"/>
      <c r="BC141" s="273" t="s">
        <v>76</v>
      </c>
      <c r="BD141" s="273"/>
      <c r="BE141" s="273" t="s">
        <v>76</v>
      </c>
      <c r="BF141" s="273"/>
      <c r="BG141" s="273" t="s">
        <v>76</v>
      </c>
      <c r="BH141" s="273"/>
      <c r="BI141" s="273" t="s">
        <v>76</v>
      </c>
      <c r="BJ141" s="273"/>
      <c r="BK141" s="273" t="s">
        <v>73</v>
      </c>
      <c r="BL141" s="273"/>
    </row>
    <row r="142" spans="1:64" s="43" customFormat="1" ht="14.25" customHeight="1">
      <c r="A142" s="275">
        <f ca="1">MAX(A$5:INDIRECT("A"&amp;ROW()-1))+1</f>
        <v>136</v>
      </c>
      <c r="B142" s="276"/>
      <c r="C142" s="300"/>
      <c r="D142" s="301"/>
      <c r="E142" s="301"/>
      <c r="F142" s="301"/>
      <c r="G142" s="301"/>
      <c r="H142" s="301"/>
      <c r="I142" s="301"/>
      <c r="J142" s="301"/>
      <c r="K142" s="301"/>
      <c r="L142" s="301"/>
      <c r="M142" s="301"/>
      <c r="N142" s="301"/>
      <c r="O142" s="301"/>
      <c r="P142" s="301"/>
      <c r="Q142" s="301"/>
      <c r="R142" s="301"/>
      <c r="S142" s="301"/>
      <c r="T142" s="301"/>
      <c r="U142" s="301"/>
      <c r="V142" s="302"/>
      <c r="W142" s="270" t="s">
        <v>168</v>
      </c>
      <c r="X142" s="271"/>
      <c r="Y142" s="271"/>
      <c r="Z142" s="271"/>
      <c r="AA142" s="271"/>
      <c r="AB142" s="271"/>
      <c r="AC142" s="271"/>
      <c r="AD142" s="271"/>
      <c r="AE142" s="271"/>
      <c r="AF142" s="271"/>
      <c r="AG142" s="271"/>
      <c r="AH142" s="271"/>
      <c r="AI142" s="271"/>
      <c r="AJ142" s="271"/>
      <c r="AK142" s="272"/>
      <c r="AL142" s="270"/>
      <c r="AM142" s="271"/>
      <c r="AN142" s="271"/>
      <c r="AO142" s="271"/>
      <c r="AP142" s="271"/>
      <c r="AQ142" s="271"/>
      <c r="AR142" s="271"/>
      <c r="AS142" s="271"/>
      <c r="AT142" s="271"/>
      <c r="AU142" s="271"/>
      <c r="AV142" s="271"/>
      <c r="AW142" s="271"/>
      <c r="AX142" s="271"/>
      <c r="AY142" s="271"/>
      <c r="AZ142" s="271"/>
      <c r="BA142" s="271"/>
      <c r="BB142" s="272"/>
      <c r="BC142" s="273" t="s">
        <v>76</v>
      </c>
      <c r="BD142" s="273"/>
      <c r="BE142" s="273" t="s">
        <v>76</v>
      </c>
      <c r="BF142" s="273"/>
      <c r="BG142" s="273" t="s">
        <v>76</v>
      </c>
      <c r="BH142" s="273"/>
      <c r="BI142" s="273" t="s">
        <v>76</v>
      </c>
      <c r="BJ142" s="273"/>
      <c r="BK142" s="273" t="s">
        <v>73</v>
      </c>
      <c r="BL142" s="273"/>
    </row>
    <row r="143" spans="1:64" s="43" customFormat="1" ht="14.25" customHeight="1">
      <c r="A143" s="275">
        <f ca="1">MAX(A$5:INDIRECT("A"&amp;ROW()-1))+1</f>
        <v>137</v>
      </c>
      <c r="B143" s="276"/>
      <c r="C143" s="283" t="s">
        <v>206</v>
      </c>
      <c r="D143" s="295"/>
      <c r="E143" s="295"/>
      <c r="F143" s="295"/>
      <c r="G143" s="295"/>
      <c r="H143" s="295"/>
      <c r="I143" s="295"/>
      <c r="J143" s="295"/>
      <c r="K143" s="295"/>
      <c r="L143" s="295"/>
      <c r="M143" s="295"/>
      <c r="N143" s="295"/>
      <c r="O143" s="295"/>
      <c r="P143" s="295"/>
      <c r="Q143" s="295"/>
      <c r="R143" s="295"/>
      <c r="S143" s="295"/>
      <c r="T143" s="295"/>
      <c r="U143" s="295"/>
      <c r="V143" s="296"/>
      <c r="W143" s="270" t="s">
        <v>174</v>
      </c>
      <c r="X143" s="271"/>
      <c r="Y143" s="271"/>
      <c r="Z143" s="271"/>
      <c r="AA143" s="271"/>
      <c r="AB143" s="271"/>
      <c r="AC143" s="271"/>
      <c r="AD143" s="271"/>
      <c r="AE143" s="271"/>
      <c r="AF143" s="271"/>
      <c r="AG143" s="271"/>
      <c r="AH143" s="271"/>
      <c r="AI143" s="271"/>
      <c r="AJ143" s="271"/>
      <c r="AK143" s="272"/>
      <c r="AL143" s="270"/>
      <c r="AM143" s="271"/>
      <c r="AN143" s="271"/>
      <c r="AO143" s="271"/>
      <c r="AP143" s="271"/>
      <c r="AQ143" s="271"/>
      <c r="AR143" s="271"/>
      <c r="AS143" s="271"/>
      <c r="AT143" s="271"/>
      <c r="AU143" s="271"/>
      <c r="AV143" s="271"/>
      <c r="AW143" s="271"/>
      <c r="AX143" s="271"/>
      <c r="AY143" s="271"/>
      <c r="AZ143" s="271"/>
      <c r="BA143" s="271"/>
      <c r="BB143" s="272"/>
      <c r="BC143" s="273" t="s">
        <v>76</v>
      </c>
      <c r="BD143" s="273"/>
      <c r="BE143" s="273" t="s">
        <v>73</v>
      </c>
      <c r="BF143" s="273"/>
      <c r="BG143" s="273" t="s">
        <v>73</v>
      </c>
      <c r="BH143" s="273"/>
      <c r="BI143" s="273" t="s">
        <v>73</v>
      </c>
      <c r="BJ143" s="273"/>
      <c r="BK143" s="273" t="s">
        <v>73</v>
      </c>
      <c r="BL143" s="273"/>
    </row>
    <row r="144" spans="1:64" s="43" customFormat="1" ht="14.25" customHeight="1">
      <c r="A144" s="275">
        <f ca="1">MAX(A$5:INDIRECT("A"&amp;ROW()-1))+1</f>
        <v>138</v>
      </c>
      <c r="B144" s="276"/>
      <c r="C144" s="297"/>
      <c r="D144" s="298"/>
      <c r="E144" s="298"/>
      <c r="F144" s="298"/>
      <c r="G144" s="298"/>
      <c r="H144" s="298"/>
      <c r="I144" s="298"/>
      <c r="J144" s="298"/>
      <c r="K144" s="298"/>
      <c r="L144" s="298"/>
      <c r="M144" s="298"/>
      <c r="N144" s="298"/>
      <c r="O144" s="298"/>
      <c r="P144" s="298"/>
      <c r="Q144" s="298"/>
      <c r="R144" s="298"/>
      <c r="S144" s="298"/>
      <c r="T144" s="298"/>
      <c r="U144" s="298"/>
      <c r="V144" s="299"/>
      <c r="W144" s="270" t="s">
        <v>175</v>
      </c>
      <c r="X144" s="271"/>
      <c r="Y144" s="271"/>
      <c r="Z144" s="271"/>
      <c r="AA144" s="271"/>
      <c r="AB144" s="271"/>
      <c r="AC144" s="271"/>
      <c r="AD144" s="271"/>
      <c r="AE144" s="271"/>
      <c r="AF144" s="271"/>
      <c r="AG144" s="271"/>
      <c r="AH144" s="271"/>
      <c r="AI144" s="271"/>
      <c r="AJ144" s="271"/>
      <c r="AK144" s="272"/>
      <c r="AL144" s="270"/>
      <c r="AM144" s="271"/>
      <c r="AN144" s="271"/>
      <c r="AO144" s="271"/>
      <c r="AP144" s="271"/>
      <c r="AQ144" s="271"/>
      <c r="AR144" s="271"/>
      <c r="AS144" s="271"/>
      <c r="AT144" s="271"/>
      <c r="AU144" s="271"/>
      <c r="AV144" s="271"/>
      <c r="AW144" s="271"/>
      <c r="AX144" s="271"/>
      <c r="AY144" s="271"/>
      <c r="AZ144" s="271"/>
      <c r="BA144" s="271"/>
      <c r="BB144" s="272"/>
      <c r="BC144" s="273" t="s">
        <v>76</v>
      </c>
      <c r="BD144" s="273"/>
      <c r="BE144" s="273" t="s">
        <v>73</v>
      </c>
      <c r="BF144" s="273"/>
      <c r="BG144" s="273" t="s">
        <v>73</v>
      </c>
      <c r="BH144" s="273"/>
      <c r="BI144" s="273" t="s">
        <v>73</v>
      </c>
      <c r="BJ144" s="273"/>
      <c r="BK144" s="273" t="s">
        <v>73</v>
      </c>
      <c r="BL144" s="273"/>
    </row>
    <row r="145" spans="1:69" s="43" customFormat="1" ht="14.25" customHeight="1">
      <c r="A145" s="275">
        <f ca="1">MAX(A$5:INDIRECT("A"&amp;ROW()-1))+1</f>
        <v>139</v>
      </c>
      <c r="B145" s="276"/>
      <c r="C145" s="300"/>
      <c r="D145" s="301"/>
      <c r="E145" s="301"/>
      <c r="F145" s="301"/>
      <c r="G145" s="301"/>
      <c r="H145" s="301"/>
      <c r="I145" s="301"/>
      <c r="J145" s="301"/>
      <c r="K145" s="301"/>
      <c r="L145" s="301"/>
      <c r="M145" s="301"/>
      <c r="N145" s="301"/>
      <c r="O145" s="301"/>
      <c r="P145" s="301"/>
      <c r="Q145" s="301"/>
      <c r="R145" s="301"/>
      <c r="S145" s="301"/>
      <c r="T145" s="301"/>
      <c r="U145" s="301"/>
      <c r="V145" s="302"/>
      <c r="W145" s="270" t="s">
        <v>176</v>
      </c>
      <c r="X145" s="271"/>
      <c r="Y145" s="271"/>
      <c r="Z145" s="271"/>
      <c r="AA145" s="271"/>
      <c r="AB145" s="271"/>
      <c r="AC145" s="271"/>
      <c r="AD145" s="271"/>
      <c r="AE145" s="271"/>
      <c r="AF145" s="271"/>
      <c r="AG145" s="271"/>
      <c r="AH145" s="271"/>
      <c r="AI145" s="271"/>
      <c r="AJ145" s="271"/>
      <c r="AK145" s="272"/>
      <c r="AL145" s="270"/>
      <c r="AM145" s="271"/>
      <c r="AN145" s="271"/>
      <c r="AO145" s="271"/>
      <c r="AP145" s="271"/>
      <c r="AQ145" s="271"/>
      <c r="AR145" s="271"/>
      <c r="AS145" s="271"/>
      <c r="AT145" s="271"/>
      <c r="AU145" s="271"/>
      <c r="AV145" s="271"/>
      <c r="AW145" s="271"/>
      <c r="AX145" s="271"/>
      <c r="AY145" s="271"/>
      <c r="AZ145" s="271"/>
      <c r="BA145" s="271"/>
      <c r="BB145" s="272"/>
      <c r="BC145" s="273" t="s">
        <v>76</v>
      </c>
      <c r="BD145" s="273"/>
      <c r="BE145" s="273" t="s">
        <v>76</v>
      </c>
      <c r="BF145" s="273"/>
      <c r="BG145" s="273" t="s">
        <v>73</v>
      </c>
      <c r="BH145" s="273"/>
      <c r="BI145" s="273" t="s">
        <v>76</v>
      </c>
      <c r="BJ145" s="273"/>
      <c r="BK145" s="273" t="s">
        <v>73</v>
      </c>
      <c r="BL145" s="273"/>
    </row>
    <row r="146" spans="1:69" s="43" customFormat="1" ht="14.25" customHeight="1">
      <c r="A146" s="275">
        <f ca="1">MAX(A$5:INDIRECT("A"&amp;ROW()-1))+1</f>
        <v>140</v>
      </c>
      <c r="B146" s="276"/>
      <c r="C146" s="283" t="s">
        <v>204</v>
      </c>
      <c r="D146" s="295"/>
      <c r="E146" s="295"/>
      <c r="F146" s="295"/>
      <c r="G146" s="295"/>
      <c r="H146" s="295"/>
      <c r="I146" s="295"/>
      <c r="J146" s="295"/>
      <c r="K146" s="295"/>
      <c r="L146" s="295"/>
      <c r="M146" s="295"/>
      <c r="N146" s="295"/>
      <c r="O146" s="295"/>
      <c r="P146" s="295"/>
      <c r="Q146" s="295"/>
      <c r="R146" s="295"/>
      <c r="S146" s="295"/>
      <c r="T146" s="295"/>
      <c r="U146" s="295"/>
      <c r="V146" s="296"/>
      <c r="W146" s="270" t="s">
        <v>177</v>
      </c>
      <c r="X146" s="271"/>
      <c r="Y146" s="271"/>
      <c r="Z146" s="271"/>
      <c r="AA146" s="271"/>
      <c r="AB146" s="271"/>
      <c r="AC146" s="271"/>
      <c r="AD146" s="271"/>
      <c r="AE146" s="271"/>
      <c r="AF146" s="271"/>
      <c r="AG146" s="271"/>
      <c r="AH146" s="271"/>
      <c r="AI146" s="271"/>
      <c r="AJ146" s="271"/>
      <c r="AK146" s="272"/>
      <c r="AL146" s="270"/>
      <c r="AM146" s="271"/>
      <c r="AN146" s="271"/>
      <c r="AO146" s="271"/>
      <c r="AP146" s="271"/>
      <c r="AQ146" s="271"/>
      <c r="AR146" s="271"/>
      <c r="AS146" s="271"/>
      <c r="AT146" s="271"/>
      <c r="AU146" s="271"/>
      <c r="AV146" s="271"/>
      <c r="AW146" s="271"/>
      <c r="AX146" s="271"/>
      <c r="AY146" s="271"/>
      <c r="AZ146" s="271"/>
      <c r="BA146" s="271"/>
      <c r="BB146" s="272"/>
      <c r="BC146" s="273" t="s">
        <v>76</v>
      </c>
      <c r="BD146" s="273"/>
      <c r="BE146" s="273" t="s">
        <v>76</v>
      </c>
      <c r="BF146" s="273"/>
      <c r="BG146" s="273" t="s">
        <v>76</v>
      </c>
      <c r="BH146" s="273"/>
      <c r="BI146" s="273" t="s">
        <v>76</v>
      </c>
      <c r="BJ146" s="273"/>
      <c r="BK146" s="273" t="s">
        <v>73</v>
      </c>
      <c r="BL146" s="273"/>
    </row>
    <row r="147" spans="1:69" s="43" customFormat="1" ht="14.25" customHeight="1">
      <c r="A147" s="275">
        <f ca="1">MAX(A$5:INDIRECT("A"&amp;ROW()-1))+1</f>
        <v>141</v>
      </c>
      <c r="B147" s="276"/>
      <c r="C147" s="297"/>
      <c r="D147" s="298"/>
      <c r="E147" s="298"/>
      <c r="F147" s="298"/>
      <c r="G147" s="298"/>
      <c r="H147" s="298"/>
      <c r="I147" s="298"/>
      <c r="J147" s="298"/>
      <c r="K147" s="298"/>
      <c r="L147" s="298"/>
      <c r="M147" s="298"/>
      <c r="N147" s="298"/>
      <c r="O147" s="298"/>
      <c r="P147" s="298"/>
      <c r="Q147" s="298"/>
      <c r="R147" s="298"/>
      <c r="S147" s="298"/>
      <c r="T147" s="298"/>
      <c r="U147" s="298"/>
      <c r="V147" s="299"/>
      <c r="W147" s="270" t="s">
        <v>178</v>
      </c>
      <c r="X147" s="271"/>
      <c r="Y147" s="271"/>
      <c r="Z147" s="271"/>
      <c r="AA147" s="271"/>
      <c r="AB147" s="271"/>
      <c r="AC147" s="271"/>
      <c r="AD147" s="271"/>
      <c r="AE147" s="271"/>
      <c r="AF147" s="271"/>
      <c r="AG147" s="271"/>
      <c r="AH147" s="271"/>
      <c r="AI147" s="271"/>
      <c r="AJ147" s="271"/>
      <c r="AK147" s="272"/>
      <c r="AL147" s="270"/>
      <c r="AM147" s="271"/>
      <c r="AN147" s="271"/>
      <c r="AO147" s="271"/>
      <c r="AP147" s="271"/>
      <c r="AQ147" s="271"/>
      <c r="AR147" s="271"/>
      <c r="AS147" s="271"/>
      <c r="AT147" s="271"/>
      <c r="AU147" s="271"/>
      <c r="AV147" s="271"/>
      <c r="AW147" s="271"/>
      <c r="AX147" s="271"/>
      <c r="AY147" s="271"/>
      <c r="AZ147" s="271"/>
      <c r="BA147" s="271"/>
      <c r="BB147" s="272"/>
      <c r="BC147" s="273" t="s">
        <v>76</v>
      </c>
      <c r="BD147" s="273"/>
      <c r="BE147" s="273" t="s">
        <v>76</v>
      </c>
      <c r="BF147" s="273"/>
      <c r="BG147" s="273" t="s">
        <v>76</v>
      </c>
      <c r="BH147" s="273"/>
      <c r="BI147" s="273" t="s">
        <v>76</v>
      </c>
      <c r="BJ147" s="273"/>
      <c r="BK147" s="273" t="s">
        <v>73</v>
      </c>
      <c r="BL147" s="273"/>
    </row>
    <row r="148" spans="1:69" s="43" customFormat="1" ht="14.25" customHeight="1">
      <c r="A148" s="275">
        <f ca="1">MAX(A$5:INDIRECT("A"&amp;ROW()-1))+1</f>
        <v>142</v>
      </c>
      <c r="B148" s="276"/>
      <c r="C148" s="297"/>
      <c r="D148" s="298"/>
      <c r="E148" s="298"/>
      <c r="F148" s="298"/>
      <c r="G148" s="298"/>
      <c r="H148" s="298"/>
      <c r="I148" s="298"/>
      <c r="J148" s="298"/>
      <c r="K148" s="298"/>
      <c r="L148" s="298"/>
      <c r="M148" s="298"/>
      <c r="N148" s="298"/>
      <c r="O148" s="298"/>
      <c r="P148" s="298"/>
      <c r="Q148" s="298"/>
      <c r="R148" s="298"/>
      <c r="S148" s="298"/>
      <c r="T148" s="298"/>
      <c r="U148" s="298"/>
      <c r="V148" s="299"/>
      <c r="W148" s="270" t="s">
        <v>179</v>
      </c>
      <c r="X148" s="271"/>
      <c r="Y148" s="271"/>
      <c r="Z148" s="271"/>
      <c r="AA148" s="271"/>
      <c r="AB148" s="271"/>
      <c r="AC148" s="271"/>
      <c r="AD148" s="271"/>
      <c r="AE148" s="271"/>
      <c r="AF148" s="271"/>
      <c r="AG148" s="271"/>
      <c r="AH148" s="271"/>
      <c r="AI148" s="271"/>
      <c r="AJ148" s="271"/>
      <c r="AK148" s="272"/>
      <c r="AL148" s="270"/>
      <c r="AM148" s="271"/>
      <c r="AN148" s="271"/>
      <c r="AO148" s="271"/>
      <c r="AP148" s="271"/>
      <c r="AQ148" s="271"/>
      <c r="AR148" s="271"/>
      <c r="AS148" s="271"/>
      <c r="AT148" s="271"/>
      <c r="AU148" s="271"/>
      <c r="AV148" s="271"/>
      <c r="AW148" s="271"/>
      <c r="AX148" s="271"/>
      <c r="AY148" s="271"/>
      <c r="AZ148" s="271"/>
      <c r="BA148" s="271"/>
      <c r="BB148" s="272"/>
      <c r="BC148" s="273" t="s">
        <v>76</v>
      </c>
      <c r="BD148" s="273"/>
      <c r="BE148" s="273" t="s">
        <v>76</v>
      </c>
      <c r="BF148" s="273"/>
      <c r="BG148" s="273" t="s">
        <v>76</v>
      </c>
      <c r="BH148" s="273"/>
      <c r="BI148" s="273" t="s">
        <v>76</v>
      </c>
      <c r="BJ148" s="273"/>
      <c r="BK148" s="273" t="s">
        <v>73</v>
      </c>
      <c r="BL148" s="273"/>
    </row>
    <row r="149" spans="1:69" s="43" customFormat="1" ht="14.25" customHeight="1">
      <c r="A149" s="275">
        <f ca="1">MAX(A$5:INDIRECT("A"&amp;ROW()-1))+1</f>
        <v>143</v>
      </c>
      <c r="B149" s="276"/>
      <c r="C149" s="297"/>
      <c r="D149" s="298"/>
      <c r="E149" s="298"/>
      <c r="F149" s="298"/>
      <c r="G149" s="298"/>
      <c r="H149" s="298"/>
      <c r="I149" s="298"/>
      <c r="J149" s="298"/>
      <c r="K149" s="298"/>
      <c r="L149" s="298"/>
      <c r="M149" s="298"/>
      <c r="N149" s="298"/>
      <c r="O149" s="298"/>
      <c r="P149" s="298"/>
      <c r="Q149" s="298"/>
      <c r="R149" s="298"/>
      <c r="S149" s="298"/>
      <c r="T149" s="298"/>
      <c r="U149" s="298"/>
      <c r="V149" s="299"/>
      <c r="W149" s="270" t="s">
        <v>180</v>
      </c>
      <c r="X149" s="271"/>
      <c r="Y149" s="271"/>
      <c r="Z149" s="271"/>
      <c r="AA149" s="271"/>
      <c r="AB149" s="271"/>
      <c r="AC149" s="271"/>
      <c r="AD149" s="271"/>
      <c r="AE149" s="271"/>
      <c r="AF149" s="271"/>
      <c r="AG149" s="271"/>
      <c r="AH149" s="271"/>
      <c r="AI149" s="271"/>
      <c r="AJ149" s="271"/>
      <c r="AK149" s="272"/>
      <c r="AL149" s="270"/>
      <c r="AM149" s="271"/>
      <c r="AN149" s="271"/>
      <c r="AO149" s="271"/>
      <c r="AP149" s="271"/>
      <c r="AQ149" s="271"/>
      <c r="AR149" s="271"/>
      <c r="AS149" s="271"/>
      <c r="AT149" s="271"/>
      <c r="AU149" s="271"/>
      <c r="AV149" s="271"/>
      <c r="AW149" s="271"/>
      <c r="AX149" s="271"/>
      <c r="AY149" s="271"/>
      <c r="AZ149" s="271"/>
      <c r="BA149" s="271"/>
      <c r="BB149" s="272"/>
      <c r="BC149" s="273" t="s">
        <v>76</v>
      </c>
      <c r="BD149" s="273"/>
      <c r="BE149" s="273" t="s">
        <v>76</v>
      </c>
      <c r="BF149" s="273"/>
      <c r="BG149" s="273" t="s">
        <v>76</v>
      </c>
      <c r="BH149" s="273"/>
      <c r="BI149" s="273" t="s">
        <v>76</v>
      </c>
      <c r="BJ149" s="273"/>
      <c r="BK149" s="273" t="s">
        <v>73</v>
      </c>
      <c r="BL149" s="273"/>
    </row>
    <row r="150" spans="1:69" s="43" customFormat="1" ht="14.25" customHeight="1">
      <c r="A150" s="275">
        <f ca="1">MAX(A$5:INDIRECT("A"&amp;ROW()-1))+1</f>
        <v>144</v>
      </c>
      <c r="B150" s="276"/>
      <c r="C150" s="297"/>
      <c r="D150" s="298"/>
      <c r="E150" s="298"/>
      <c r="F150" s="298"/>
      <c r="G150" s="298"/>
      <c r="H150" s="298"/>
      <c r="I150" s="298"/>
      <c r="J150" s="298"/>
      <c r="K150" s="298"/>
      <c r="L150" s="298"/>
      <c r="M150" s="298"/>
      <c r="N150" s="298"/>
      <c r="O150" s="298"/>
      <c r="P150" s="298"/>
      <c r="Q150" s="298"/>
      <c r="R150" s="298"/>
      <c r="S150" s="298"/>
      <c r="T150" s="298"/>
      <c r="U150" s="298"/>
      <c r="V150" s="299"/>
      <c r="W150" s="270" t="s">
        <v>179</v>
      </c>
      <c r="X150" s="271"/>
      <c r="Y150" s="271"/>
      <c r="Z150" s="271"/>
      <c r="AA150" s="271"/>
      <c r="AB150" s="271"/>
      <c r="AC150" s="271"/>
      <c r="AD150" s="271"/>
      <c r="AE150" s="271"/>
      <c r="AF150" s="271"/>
      <c r="AG150" s="271"/>
      <c r="AH150" s="271"/>
      <c r="AI150" s="271"/>
      <c r="AJ150" s="271"/>
      <c r="AK150" s="272"/>
      <c r="AL150" s="270"/>
      <c r="AM150" s="271"/>
      <c r="AN150" s="271"/>
      <c r="AO150" s="271"/>
      <c r="AP150" s="271"/>
      <c r="AQ150" s="271"/>
      <c r="AR150" s="271"/>
      <c r="AS150" s="271"/>
      <c r="AT150" s="271"/>
      <c r="AU150" s="271"/>
      <c r="AV150" s="271"/>
      <c r="AW150" s="271"/>
      <c r="AX150" s="271"/>
      <c r="AY150" s="271"/>
      <c r="AZ150" s="271"/>
      <c r="BA150" s="271"/>
      <c r="BB150" s="272"/>
      <c r="BC150" s="273" t="s">
        <v>76</v>
      </c>
      <c r="BD150" s="273"/>
      <c r="BE150" s="273" t="s">
        <v>76</v>
      </c>
      <c r="BF150" s="273"/>
      <c r="BG150" s="273" t="s">
        <v>76</v>
      </c>
      <c r="BH150" s="273"/>
      <c r="BI150" s="273" t="s">
        <v>76</v>
      </c>
      <c r="BJ150" s="273"/>
      <c r="BK150" s="273" t="s">
        <v>73</v>
      </c>
      <c r="BL150" s="273"/>
    </row>
    <row r="151" spans="1:69" s="43" customFormat="1" ht="14.25" customHeight="1">
      <c r="A151" s="275">
        <f ca="1">MAX(A$5:INDIRECT("A"&amp;ROW()-1))+1</f>
        <v>145</v>
      </c>
      <c r="B151" s="276"/>
      <c r="C151" s="297"/>
      <c r="D151" s="298"/>
      <c r="E151" s="298"/>
      <c r="F151" s="298"/>
      <c r="G151" s="298"/>
      <c r="H151" s="298"/>
      <c r="I151" s="298"/>
      <c r="J151" s="298"/>
      <c r="K151" s="298"/>
      <c r="L151" s="298"/>
      <c r="M151" s="298"/>
      <c r="N151" s="298"/>
      <c r="O151" s="298"/>
      <c r="P151" s="298"/>
      <c r="Q151" s="298"/>
      <c r="R151" s="298"/>
      <c r="S151" s="298"/>
      <c r="T151" s="298"/>
      <c r="U151" s="298"/>
      <c r="V151" s="299"/>
      <c r="W151" s="270" t="s">
        <v>180</v>
      </c>
      <c r="X151" s="271"/>
      <c r="Y151" s="271"/>
      <c r="Z151" s="271"/>
      <c r="AA151" s="271"/>
      <c r="AB151" s="271"/>
      <c r="AC151" s="271"/>
      <c r="AD151" s="271"/>
      <c r="AE151" s="271"/>
      <c r="AF151" s="271"/>
      <c r="AG151" s="271"/>
      <c r="AH151" s="271"/>
      <c r="AI151" s="271"/>
      <c r="AJ151" s="271"/>
      <c r="AK151" s="272"/>
      <c r="AL151" s="270"/>
      <c r="AM151" s="271"/>
      <c r="AN151" s="271"/>
      <c r="AO151" s="271"/>
      <c r="AP151" s="271"/>
      <c r="AQ151" s="271"/>
      <c r="AR151" s="271"/>
      <c r="AS151" s="271"/>
      <c r="AT151" s="271"/>
      <c r="AU151" s="271"/>
      <c r="AV151" s="271"/>
      <c r="AW151" s="271"/>
      <c r="AX151" s="271"/>
      <c r="AY151" s="271"/>
      <c r="AZ151" s="271"/>
      <c r="BA151" s="271"/>
      <c r="BB151" s="272"/>
      <c r="BC151" s="273" t="s">
        <v>76</v>
      </c>
      <c r="BD151" s="273"/>
      <c r="BE151" s="273" t="s">
        <v>76</v>
      </c>
      <c r="BF151" s="273"/>
      <c r="BG151" s="273" t="s">
        <v>76</v>
      </c>
      <c r="BH151" s="273"/>
      <c r="BI151" s="273" t="s">
        <v>76</v>
      </c>
      <c r="BJ151" s="273"/>
      <c r="BK151" s="273" t="s">
        <v>73</v>
      </c>
      <c r="BL151" s="273"/>
    </row>
    <row r="152" spans="1:69" s="43" customFormat="1" ht="14.25" customHeight="1">
      <c r="A152" s="275">
        <f ca="1">MAX(A$5:INDIRECT("A"&amp;ROW()-1))+1</f>
        <v>146</v>
      </c>
      <c r="B152" s="276"/>
      <c r="C152" s="300"/>
      <c r="D152" s="301"/>
      <c r="E152" s="301"/>
      <c r="F152" s="301"/>
      <c r="G152" s="301"/>
      <c r="H152" s="301"/>
      <c r="I152" s="301"/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  <c r="T152" s="301"/>
      <c r="U152" s="301"/>
      <c r="V152" s="302"/>
      <c r="W152" s="270" t="s">
        <v>181</v>
      </c>
      <c r="X152" s="271"/>
      <c r="Y152" s="271"/>
      <c r="Z152" s="271"/>
      <c r="AA152" s="271"/>
      <c r="AB152" s="271"/>
      <c r="AC152" s="271"/>
      <c r="AD152" s="271"/>
      <c r="AE152" s="271"/>
      <c r="AF152" s="271"/>
      <c r="AG152" s="271"/>
      <c r="AH152" s="271"/>
      <c r="AI152" s="271"/>
      <c r="AJ152" s="271"/>
      <c r="AK152" s="272"/>
      <c r="AL152" s="270"/>
      <c r="AM152" s="271"/>
      <c r="AN152" s="271"/>
      <c r="AO152" s="271"/>
      <c r="AP152" s="271"/>
      <c r="AQ152" s="271"/>
      <c r="AR152" s="271"/>
      <c r="AS152" s="271"/>
      <c r="AT152" s="271"/>
      <c r="AU152" s="271"/>
      <c r="AV152" s="271"/>
      <c r="AW152" s="271"/>
      <c r="AX152" s="271"/>
      <c r="AY152" s="271"/>
      <c r="AZ152" s="271"/>
      <c r="BA152" s="271"/>
      <c r="BB152" s="272"/>
      <c r="BC152" s="273" t="s">
        <v>76</v>
      </c>
      <c r="BD152" s="273"/>
      <c r="BE152" s="273" t="s">
        <v>73</v>
      </c>
      <c r="BF152" s="273"/>
      <c r="BG152" s="273" t="s">
        <v>73</v>
      </c>
      <c r="BH152" s="273"/>
      <c r="BI152" s="273" t="s">
        <v>73</v>
      </c>
      <c r="BJ152" s="273"/>
      <c r="BK152" s="273" t="s">
        <v>73</v>
      </c>
      <c r="BL152" s="273"/>
    </row>
    <row r="153" spans="1:69" s="43" customFormat="1" ht="14.25" customHeight="1">
      <c r="A153" s="275">
        <f ca="1">MAX(A$5:INDIRECT("A"&amp;ROW()-1))+1</f>
        <v>147</v>
      </c>
      <c r="B153" s="276"/>
      <c r="C153" s="283" t="s">
        <v>205</v>
      </c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5"/>
      <c r="W153" s="264" t="s">
        <v>182</v>
      </c>
      <c r="X153" s="265"/>
      <c r="Y153" s="265"/>
      <c r="Z153" s="265"/>
      <c r="AA153" s="265"/>
      <c r="AB153" s="265"/>
      <c r="AC153" s="265"/>
      <c r="AD153" s="265"/>
      <c r="AE153" s="265"/>
      <c r="AF153" s="265"/>
      <c r="AG153" s="265"/>
      <c r="AH153" s="265"/>
      <c r="AI153" s="265"/>
      <c r="AJ153" s="265"/>
      <c r="AK153" s="266"/>
      <c r="AL153" s="264"/>
      <c r="AM153" s="265"/>
      <c r="AN153" s="265"/>
      <c r="AO153" s="265"/>
      <c r="AP153" s="265"/>
      <c r="AQ153" s="265"/>
      <c r="AR153" s="265"/>
      <c r="AS153" s="265"/>
      <c r="AT153" s="265"/>
      <c r="AU153" s="265"/>
      <c r="AV153" s="265"/>
      <c r="AW153" s="265"/>
      <c r="AX153" s="265"/>
      <c r="AY153" s="265"/>
      <c r="AZ153" s="265"/>
      <c r="BA153" s="265"/>
      <c r="BB153" s="266"/>
      <c r="BC153" s="261" t="s">
        <v>76</v>
      </c>
      <c r="BD153" s="261"/>
      <c r="BE153" s="261" t="s">
        <v>73</v>
      </c>
      <c r="BF153" s="261"/>
      <c r="BG153" s="261" t="s">
        <v>73</v>
      </c>
      <c r="BH153" s="261"/>
      <c r="BI153" s="261" t="s">
        <v>73</v>
      </c>
      <c r="BJ153" s="261"/>
      <c r="BK153" s="261" t="s">
        <v>73</v>
      </c>
      <c r="BL153" s="261"/>
      <c r="BM153" s="27"/>
      <c r="BN153" s="27"/>
      <c r="BO153" s="27"/>
      <c r="BP153" s="27"/>
      <c r="BQ153" s="27"/>
    </row>
    <row r="154" spans="1:69" s="43" customFormat="1" ht="14.25" customHeight="1">
      <c r="A154" s="275">
        <f ca="1">MAX(A$5:INDIRECT("A"&amp;ROW()-1))+1</f>
        <v>148</v>
      </c>
      <c r="B154" s="276"/>
      <c r="C154" s="286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8"/>
      <c r="W154" s="264" t="s">
        <v>182</v>
      </c>
      <c r="X154" s="265"/>
      <c r="Y154" s="265"/>
      <c r="Z154" s="265"/>
      <c r="AA154" s="265"/>
      <c r="AB154" s="265"/>
      <c r="AC154" s="265"/>
      <c r="AD154" s="265"/>
      <c r="AE154" s="265"/>
      <c r="AF154" s="265"/>
      <c r="AG154" s="265"/>
      <c r="AH154" s="265"/>
      <c r="AI154" s="265"/>
      <c r="AJ154" s="265"/>
      <c r="AK154" s="266"/>
      <c r="AL154" s="264"/>
      <c r="AM154" s="265"/>
      <c r="AN154" s="265"/>
      <c r="AO154" s="265"/>
      <c r="AP154" s="265"/>
      <c r="AQ154" s="265"/>
      <c r="AR154" s="265"/>
      <c r="AS154" s="265"/>
      <c r="AT154" s="265"/>
      <c r="AU154" s="265"/>
      <c r="AV154" s="265"/>
      <c r="AW154" s="265"/>
      <c r="AX154" s="265"/>
      <c r="AY154" s="265"/>
      <c r="AZ154" s="265"/>
      <c r="BA154" s="265"/>
      <c r="BB154" s="266"/>
      <c r="BC154" s="261" t="s">
        <v>76</v>
      </c>
      <c r="BD154" s="261"/>
      <c r="BE154" s="261" t="s">
        <v>76</v>
      </c>
      <c r="BF154" s="261"/>
      <c r="BG154" s="261" t="s">
        <v>73</v>
      </c>
      <c r="BH154" s="261"/>
      <c r="BI154" s="261" t="s">
        <v>73</v>
      </c>
      <c r="BJ154" s="261"/>
      <c r="BK154" s="261" t="s">
        <v>73</v>
      </c>
      <c r="BL154" s="261"/>
      <c r="BM154" s="27"/>
      <c r="BN154" s="27"/>
      <c r="BO154" s="27"/>
      <c r="BP154" s="27"/>
      <c r="BQ154" s="27"/>
    </row>
    <row r="155" spans="1:69" s="43" customFormat="1" ht="14.25" customHeight="1">
      <c r="A155" s="275">
        <f ca="1">MAX(A$5:INDIRECT("A"&amp;ROW()-1))+1</f>
        <v>149</v>
      </c>
      <c r="B155" s="276"/>
      <c r="C155" s="289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1"/>
      <c r="W155" s="264" t="s">
        <v>182</v>
      </c>
      <c r="X155" s="265"/>
      <c r="Y155" s="265"/>
      <c r="Z155" s="265"/>
      <c r="AA155" s="265"/>
      <c r="AB155" s="265"/>
      <c r="AC155" s="265"/>
      <c r="AD155" s="265"/>
      <c r="AE155" s="265"/>
      <c r="AF155" s="265"/>
      <c r="AG155" s="265"/>
      <c r="AH155" s="265"/>
      <c r="AI155" s="265"/>
      <c r="AJ155" s="265"/>
      <c r="AK155" s="266"/>
      <c r="AL155" s="264"/>
      <c r="AM155" s="265"/>
      <c r="AN155" s="265"/>
      <c r="AO155" s="265"/>
      <c r="AP155" s="265"/>
      <c r="AQ155" s="265"/>
      <c r="AR155" s="265"/>
      <c r="AS155" s="265"/>
      <c r="AT155" s="265"/>
      <c r="AU155" s="265"/>
      <c r="AV155" s="265"/>
      <c r="AW155" s="265"/>
      <c r="AX155" s="265"/>
      <c r="AY155" s="265"/>
      <c r="AZ155" s="265"/>
      <c r="BA155" s="265"/>
      <c r="BB155" s="266"/>
      <c r="BC155" s="261" t="s">
        <v>76</v>
      </c>
      <c r="BD155" s="261"/>
      <c r="BE155" s="261" t="s">
        <v>76</v>
      </c>
      <c r="BF155" s="261"/>
      <c r="BG155" s="261" t="s">
        <v>73</v>
      </c>
      <c r="BH155" s="261"/>
      <c r="BI155" s="261" t="s">
        <v>73</v>
      </c>
      <c r="BJ155" s="261"/>
      <c r="BK155" s="261" t="s">
        <v>73</v>
      </c>
      <c r="BL155" s="261"/>
      <c r="BM155" s="27"/>
      <c r="BN155" s="27"/>
      <c r="BO155" s="27"/>
      <c r="BP155" s="27"/>
      <c r="BQ155" s="27"/>
    </row>
    <row r="156" spans="1:69" s="43" customFormat="1" ht="14.25" customHeight="1">
      <c r="A156" s="275">
        <f ca="1">MAX(A$5:INDIRECT("A"&amp;ROW()-1))+1</f>
        <v>150</v>
      </c>
      <c r="B156" s="276"/>
      <c r="C156" s="283" t="s">
        <v>202</v>
      </c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5"/>
      <c r="W156" s="264" t="s">
        <v>111</v>
      </c>
      <c r="X156" s="265"/>
      <c r="Y156" s="265"/>
      <c r="Z156" s="265"/>
      <c r="AA156" s="265"/>
      <c r="AB156" s="265"/>
      <c r="AC156" s="265"/>
      <c r="AD156" s="265"/>
      <c r="AE156" s="265"/>
      <c r="AF156" s="265"/>
      <c r="AG156" s="265"/>
      <c r="AH156" s="265"/>
      <c r="AI156" s="265"/>
      <c r="AJ156" s="265"/>
      <c r="AK156" s="266"/>
      <c r="AL156" s="264"/>
      <c r="AM156" s="265"/>
      <c r="AN156" s="265"/>
      <c r="AO156" s="265"/>
      <c r="AP156" s="265"/>
      <c r="AQ156" s="265"/>
      <c r="AR156" s="265"/>
      <c r="AS156" s="265"/>
      <c r="AT156" s="265"/>
      <c r="AU156" s="265"/>
      <c r="AV156" s="265"/>
      <c r="AW156" s="265"/>
      <c r="AX156" s="265"/>
      <c r="AY156" s="265"/>
      <c r="AZ156" s="265"/>
      <c r="BA156" s="265"/>
      <c r="BB156" s="266"/>
      <c r="BC156" s="261" t="s">
        <v>76</v>
      </c>
      <c r="BD156" s="261"/>
      <c r="BE156" s="261" t="s">
        <v>76</v>
      </c>
      <c r="BF156" s="261"/>
      <c r="BG156" s="261" t="s">
        <v>76</v>
      </c>
      <c r="BH156" s="261"/>
      <c r="BI156" s="261" t="s">
        <v>76</v>
      </c>
      <c r="BJ156" s="261"/>
      <c r="BK156" s="261" t="s">
        <v>73</v>
      </c>
      <c r="BL156" s="261"/>
      <c r="BM156" s="27"/>
      <c r="BN156" s="27"/>
      <c r="BO156" s="27"/>
      <c r="BP156" s="27"/>
      <c r="BQ156" s="27"/>
    </row>
    <row r="157" spans="1:69" s="43" customFormat="1" ht="14.25" customHeight="1">
      <c r="A157" s="275">
        <f ca="1">MAX(A$5:INDIRECT("A"&amp;ROW()-1))+1</f>
        <v>151</v>
      </c>
      <c r="B157" s="276"/>
      <c r="C157" s="286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287"/>
      <c r="P157" s="287"/>
      <c r="Q157" s="287"/>
      <c r="R157" s="287"/>
      <c r="S157" s="287"/>
      <c r="T157" s="287"/>
      <c r="U157" s="287"/>
      <c r="V157" s="288"/>
      <c r="W157" s="264" t="s">
        <v>264</v>
      </c>
      <c r="X157" s="265"/>
      <c r="Y157" s="265"/>
      <c r="Z157" s="265"/>
      <c r="AA157" s="265"/>
      <c r="AB157" s="265"/>
      <c r="AC157" s="265"/>
      <c r="AD157" s="265"/>
      <c r="AE157" s="265"/>
      <c r="AF157" s="265"/>
      <c r="AG157" s="265"/>
      <c r="AH157" s="265"/>
      <c r="AI157" s="265"/>
      <c r="AJ157" s="265"/>
      <c r="AK157" s="266"/>
      <c r="AL157" s="264"/>
      <c r="AM157" s="265"/>
      <c r="AN157" s="265"/>
      <c r="AO157" s="265"/>
      <c r="AP157" s="265"/>
      <c r="AQ157" s="265"/>
      <c r="AR157" s="265"/>
      <c r="AS157" s="265"/>
      <c r="AT157" s="265"/>
      <c r="AU157" s="265"/>
      <c r="AV157" s="265"/>
      <c r="AW157" s="265"/>
      <c r="AX157" s="265"/>
      <c r="AY157" s="265"/>
      <c r="AZ157" s="265"/>
      <c r="BA157" s="265"/>
      <c r="BB157" s="266"/>
      <c r="BC157" s="261" t="s">
        <v>76</v>
      </c>
      <c r="BD157" s="261"/>
      <c r="BE157" s="261" t="s">
        <v>76</v>
      </c>
      <c r="BF157" s="261"/>
      <c r="BG157" s="261" t="s">
        <v>73</v>
      </c>
      <c r="BH157" s="261"/>
      <c r="BI157" s="261" t="s">
        <v>76</v>
      </c>
      <c r="BJ157" s="261"/>
      <c r="BK157" s="261" t="s">
        <v>73</v>
      </c>
      <c r="BL157" s="261"/>
      <c r="BM157" s="27"/>
      <c r="BN157" s="27"/>
      <c r="BO157" s="27"/>
      <c r="BP157" s="27"/>
      <c r="BQ157" s="27"/>
    </row>
    <row r="158" spans="1:69" s="43" customFormat="1" ht="14.25" customHeight="1">
      <c r="A158" s="275">
        <f ca="1">MAX(A$5:INDIRECT("A"&amp;ROW()-1))+1</f>
        <v>152</v>
      </c>
      <c r="B158" s="276"/>
      <c r="C158" s="289"/>
      <c r="D158" s="290"/>
      <c r="E158" s="290"/>
      <c r="F158" s="290"/>
      <c r="G158" s="290"/>
      <c r="H158" s="290"/>
      <c r="I158" s="290"/>
      <c r="J158" s="290"/>
      <c r="K158" s="290"/>
      <c r="L158" s="290"/>
      <c r="M158" s="290"/>
      <c r="N158" s="290"/>
      <c r="O158" s="290"/>
      <c r="P158" s="290"/>
      <c r="Q158" s="290"/>
      <c r="R158" s="290"/>
      <c r="S158" s="290"/>
      <c r="T158" s="290"/>
      <c r="U158" s="290"/>
      <c r="V158" s="291"/>
      <c r="W158" s="264" t="s">
        <v>265</v>
      </c>
      <c r="X158" s="265"/>
      <c r="Y158" s="265"/>
      <c r="Z158" s="265"/>
      <c r="AA158" s="265"/>
      <c r="AB158" s="265"/>
      <c r="AC158" s="265"/>
      <c r="AD158" s="265"/>
      <c r="AE158" s="265"/>
      <c r="AF158" s="265"/>
      <c r="AG158" s="265"/>
      <c r="AH158" s="265"/>
      <c r="AI158" s="265"/>
      <c r="AJ158" s="265"/>
      <c r="AK158" s="266"/>
      <c r="AL158" s="264"/>
      <c r="AM158" s="265"/>
      <c r="AN158" s="265"/>
      <c r="AO158" s="265"/>
      <c r="AP158" s="265"/>
      <c r="AQ158" s="265"/>
      <c r="AR158" s="265"/>
      <c r="AS158" s="265"/>
      <c r="AT158" s="265"/>
      <c r="AU158" s="265"/>
      <c r="AV158" s="265"/>
      <c r="AW158" s="265"/>
      <c r="AX158" s="265"/>
      <c r="AY158" s="265"/>
      <c r="AZ158" s="265"/>
      <c r="BA158" s="265"/>
      <c r="BB158" s="266"/>
      <c r="BC158" s="261" t="s">
        <v>76</v>
      </c>
      <c r="BD158" s="261"/>
      <c r="BE158" s="261" t="s">
        <v>76</v>
      </c>
      <c r="BF158" s="261"/>
      <c r="BG158" s="261" t="s">
        <v>73</v>
      </c>
      <c r="BH158" s="261"/>
      <c r="BI158" s="261" t="s">
        <v>76</v>
      </c>
      <c r="BJ158" s="261"/>
      <c r="BK158" s="261" t="s">
        <v>73</v>
      </c>
      <c r="BL158" s="261"/>
      <c r="BM158" s="27"/>
      <c r="BN158" s="27"/>
      <c r="BO158" s="27"/>
      <c r="BP158" s="27"/>
      <c r="BQ158" s="27"/>
    </row>
    <row r="159" spans="1:69" s="43" customFormat="1" ht="14.25" customHeight="1">
      <c r="A159" s="275">
        <f ca="1">MAX(A$5:INDIRECT("A"&amp;ROW()-1))+1</f>
        <v>153</v>
      </c>
      <c r="B159" s="276"/>
      <c r="C159" s="283" t="s">
        <v>201</v>
      </c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5"/>
      <c r="W159" s="280" t="s">
        <v>112</v>
      </c>
      <c r="X159" s="281"/>
      <c r="Y159" s="281"/>
      <c r="Z159" s="281"/>
      <c r="AA159" s="281"/>
      <c r="AB159" s="281"/>
      <c r="AC159" s="281"/>
      <c r="AD159" s="281"/>
      <c r="AE159" s="281"/>
      <c r="AF159" s="281"/>
      <c r="AG159" s="281"/>
      <c r="AH159" s="281"/>
      <c r="AI159" s="281"/>
      <c r="AJ159" s="281"/>
      <c r="AK159" s="282"/>
      <c r="AL159" s="280"/>
      <c r="AM159" s="281"/>
      <c r="AN159" s="281"/>
      <c r="AO159" s="281"/>
      <c r="AP159" s="281"/>
      <c r="AQ159" s="281"/>
      <c r="AR159" s="281"/>
      <c r="AS159" s="281"/>
      <c r="AT159" s="281"/>
      <c r="AU159" s="281"/>
      <c r="AV159" s="281"/>
      <c r="AW159" s="281"/>
      <c r="AX159" s="281"/>
      <c r="AY159" s="281"/>
      <c r="AZ159" s="281"/>
      <c r="BA159" s="281"/>
      <c r="BB159" s="282"/>
      <c r="BC159" s="274" t="s">
        <v>76</v>
      </c>
      <c r="BD159" s="274"/>
      <c r="BE159" s="274" t="s">
        <v>76</v>
      </c>
      <c r="BF159" s="274"/>
      <c r="BG159" s="274" t="s">
        <v>73</v>
      </c>
      <c r="BH159" s="274"/>
      <c r="BI159" s="274" t="s">
        <v>76</v>
      </c>
      <c r="BJ159" s="274"/>
      <c r="BK159" s="274" t="s">
        <v>73</v>
      </c>
      <c r="BL159" s="274"/>
      <c r="BM159" s="27"/>
      <c r="BN159" s="27"/>
      <c r="BO159" s="27"/>
      <c r="BP159" s="27"/>
      <c r="BQ159" s="27"/>
    </row>
    <row r="160" spans="1:69" s="43" customFormat="1" ht="14.25" customHeight="1">
      <c r="A160" s="275">
        <f ca="1">MAX(A$5:INDIRECT("A"&amp;ROW()-1))+1</f>
        <v>154</v>
      </c>
      <c r="B160" s="276"/>
      <c r="C160" s="286"/>
      <c r="D160" s="287"/>
      <c r="E160" s="287"/>
      <c r="F160" s="287"/>
      <c r="G160" s="287"/>
      <c r="H160" s="287"/>
      <c r="I160" s="287"/>
      <c r="J160" s="287"/>
      <c r="K160" s="287"/>
      <c r="L160" s="287"/>
      <c r="M160" s="287"/>
      <c r="N160" s="287"/>
      <c r="O160" s="287"/>
      <c r="P160" s="287"/>
      <c r="Q160" s="287"/>
      <c r="R160" s="287"/>
      <c r="S160" s="287"/>
      <c r="T160" s="287"/>
      <c r="U160" s="287"/>
      <c r="V160" s="288"/>
      <c r="W160" s="258" t="s">
        <v>236</v>
      </c>
      <c r="X160" s="259"/>
      <c r="Y160" s="259"/>
      <c r="Z160" s="259"/>
      <c r="AA160" s="259"/>
      <c r="AB160" s="259"/>
      <c r="AC160" s="259"/>
      <c r="AD160" s="259"/>
      <c r="AE160" s="259"/>
      <c r="AF160" s="259"/>
      <c r="AG160" s="259"/>
      <c r="AH160" s="259"/>
      <c r="AI160" s="259"/>
      <c r="AJ160" s="259"/>
      <c r="AK160" s="260"/>
      <c r="AL160" s="258"/>
      <c r="AM160" s="259"/>
      <c r="AN160" s="259"/>
      <c r="AO160" s="259"/>
      <c r="AP160" s="259"/>
      <c r="AQ160" s="259"/>
      <c r="AR160" s="259"/>
      <c r="AS160" s="259"/>
      <c r="AT160" s="259"/>
      <c r="AU160" s="259"/>
      <c r="AV160" s="259"/>
      <c r="AW160" s="259"/>
      <c r="AX160" s="259"/>
      <c r="AY160" s="259"/>
      <c r="AZ160" s="259"/>
      <c r="BA160" s="259"/>
      <c r="BB160" s="260"/>
      <c r="BC160" s="261" t="s">
        <v>76</v>
      </c>
      <c r="BD160" s="261"/>
      <c r="BE160" s="261" t="s">
        <v>76</v>
      </c>
      <c r="BF160" s="261"/>
      <c r="BG160" s="261" t="s">
        <v>73</v>
      </c>
      <c r="BH160" s="261"/>
      <c r="BI160" s="261" t="s">
        <v>76</v>
      </c>
      <c r="BJ160" s="261"/>
      <c r="BK160" s="261" t="s">
        <v>73</v>
      </c>
      <c r="BL160" s="261"/>
      <c r="BM160" s="27"/>
      <c r="BN160" s="27"/>
      <c r="BO160" s="27"/>
      <c r="BP160" s="27"/>
      <c r="BQ160" s="27"/>
    </row>
    <row r="161" spans="1:69" s="43" customFormat="1" ht="14.25" customHeight="1">
      <c r="A161" s="275">
        <f ca="1">MAX(A$5:INDIRECT("A"&amp;ROW()-1))+1</f>
        <v>155</v>
      </c>
      <c r="B161" s="276"/>
      <c r="C161" s="286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287"/>
      <c r="P161" s="287"/>
      <c r="Q161" s="287"/>
      <c r="R161" s="287"/>
      <c r="S161" s="287"/>
      <c r="T161" s="287"/>
      <c r="U161" s="287"/>
      <c r="V161" s="288"/>
      <c r="W161" s="280" t="s">
        <v>113</v>
      </c>
      <c r="X161" s="281"/>
      <c r="Y161" s="281"/>
      <c r="Z161" s="281"/>
      <c r="AA161" s="281"/>
      <c r="AB161" s="281"/>
      <c r="AC161" s="281"/>
      <c r="AD161" s="281"/>
      <c r="AE161" s="281"/>
      <c r="AF161" s="281"/>
      <c r="AG161" s="281"/>
      <c r="AH161" s="281"/>
      <c r="AI161" s="281"/>
      <c r="AJ161" s="281"/>
      <c r="AK161" s="282"/>
      <c r="AL161" s="280"/>
      <c r="AM161" s="281"/>
      <c r="AN161" s="281"/>
      <c r="AO161" s="281"/>
      <c r="AP161" s="281"/>
      <c r="AQ161" s="281"/>
      <c r="AR161" s="281"/>
      <c r="AS161" s="281"/>
      <c r="AT161" s="281"/>
      <c r="AU161" s="281"/>
      <c r="AV161" s="281"/>
      <c r="AW161" s="281"/>
      <c r="AX161" s="281"/>
      <c r="AY161" s="281"/>
      <c r="AZ161" s="281"/>
      <c r="BA161" s="281"/>
      <c r="BB161" s="282"/>
      <c r="BC161" s="274" t="s">
        <v>76</v>
      </c>
      <c r="BD161" s="274"/>
      <c r="BE161" s="274" t="s">
        <v>76</v>
      </c>
      <c r="BF161" s="274"/>
      <c r="BG161" s="274" t="s">
        <v>73</v>
      </c>
      <c r="BH161" s="274"/>
      <c r="BI161" s="274" t="s">
        <v>76</v>
      </c>
      <c r="BJ161" s="274"/>
      <c r="BK161" s="274" t="s">
        <v>73</v>
      </c>
      <c r="BL161" s="274"/>
      <c r="BM161" s="27"/>
      <c r="BN161" s="27"/>
      <c r="BO161" s="27"/>
      <c r="BP161" s="27"/>
      <c r="BQ161" s="27"/>
    </row>
    <row r="162" spans="1:69" s="43" customFormat="1" ht="13.5">
      <c r="A162" s="275">
        <f ca="1">MAX(A$5:INDIRECT("A"&amp;ROW()-1))+1</f>
        <v>156</v>
      </c>
      <c r="B162" s="276"/>
      <c r="C162" s="289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0"/>
      <c r="T162" s="290"/>
      <c r="U162" s="290"/>
      <c r="V162" s="291"/>
      <c r="W162" s="264" t="s">
        <v>238</v>
      </c>
      <c r="X162" s="265"/>
      <c r="Y162" s="265"/>
      <c r="Z162" s="265"/>
      <c r="AA162" s="265"/>
      <c r="AB162" s="265"/>
      <c r="AC162" s="265"/>
      <c r="AD162" s="265"/>
      <c r="AE162" s="265"/>
      <c r="AF162" s="265"/>
      <c r="AG162" s="265"/>
      <c r="AH162" s="265"/>
      <c r="AI162" s="265"/>
      <c r="AJ162" s="265"/>
      <c r="AK162" s="266"/>
      <c r="AL162" s="292"/>
      <c r="AM162" s="293"/>
      <c r="AN162" s="293"/>
      <c r="AO162" s="293"/>
      <c r="AP162" s="293"/>
      <c r="AQ162" s="293"/>
      <c r="AR162" s="293"/>
      <c r="AS162" s="293"/>
      <c r="AT162" s="293"/>
      <c r="AU162" s="293"/>
      <c r="AV162" s="293"/>
      <c r="AW162" s="293"/>
      <c r="AX162" s="293"/>
      <c r="AY162" s="293"/>
      <c r="AZ162" s="293"/>
      <c r="BA162" s="293"/>
      <c r="BB162" s="294"/>
      <c r="BC162" s="267" t="s">
        <v>76</v>
      </c>
      <c r="BD162" s="267"/>
      <c r="BE162" s="267" t="s">
        <v>76</v>
      </c>
      <c r="BF162" s="267"/>
      <c r="BG162" s="267" t="s">
        <v>73</v>
      </c>
      <c r="BH162" s="267"/>
      <c r="BI162" s="267" t="s">
        <v>76</v>
      </c>
      <c r="BJ162" s="267"/>
      <c r="BK162" s="267" t="s">
        <v>73</v>
      </c>
      <c r="BL162" s="267"/>
      <c r="BM162" s="27"/>
      <c r="BN162" s="27"/>
      <c r="BO162" s="27"/>
      <c r="BP162" s="27"/>
      <c r="BQ162" s="27"/>
    </row>
    <row r="163" spans="1:69" s="43" customFormat="1" ht="14.25" customHeight="1">
      <c r="A163" s="275">
        <f ca="1">MAX(A$5:INDIRECT("A"&amp;ROW()-1))+1</f>
        <v>157</v>
      </c>
      <c r="B163" s="276"/>
      <c r="C163" s="283" t="s">
        <v>200</v>
      </c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5"/>
      <c r="W163" s="264" t="s">
        <v>116</v>
      </c>
      <c r="X163" s="265"/>
      <c r="Y163" s="265"/>
      <c r="Z163" s="265"/>
      <c r="AA163" s="265"/>
      <c r="AB163" s="265"/>
      <c r="AC163" s="265"/>
      <c r="AD163" s="265"/>
      <c r="AE163" s="265"/>
      <c r="AF163" s="265"/>
      <c r="AG163" s="265"/>
      <c r="AH163" s="265"/>
      <c r="AI163" s="265"/>
      <c r="AJ163" s="265"/>
      <c r="AK163" s="266"/>
      <c r="AL163" s="264"/>
      <c r="AM163" s="265"/>
      <c r="AN163" s="265"/>
      <c r="AO163" s="265"/>
      <c r="AP163" s="265"/>
      <c r="AQ163" s="265"/>
      <c r="AR163" s="265"/>
      <c r="AS163" s="265"/>
      <c r="AT163" s="265"/>
      <c r="AU163" s="265"/>
      <c r="AV163" s="265"/>
      <c r="AW163" s="265"/>
      <c r="AX163" s="265"/>
      <c r="AY163" s="265"/>
      <c r="AZ163" s="265"/>
      <c r="BA163" s="265"/>
      <c r="BB163" s="266"/>
      <c r="BC163" s="267" t="s">
        <v>76</v>
      </c>
      <c r="BD163" s="267"/>
      <c r="BE163" s="267" t="s">
        <v>76</v>
      </c>
      <c r="BF163" s="267"/>
      <c r="BG163" s="267" t="s">
        <v>76</v>
      </c>
      <c r="BH163" s="267"/>
      <c r="BI163" s="267" t="s">
        <v>76</v>
      </c>
      <c r="BJ163" s="267"/>
      <c r="BK163" s="267" t="s">
        <v>73</v>
      </c>
      <c r="BL163" s="267"/>
      <c r="BM163" s="27"/>
      <c r="BN163" s="27"/>
      <c r="BO163" s="27"/>
      <c r="BP163" s="27"/>
      <c r="BQ163" s="27"/>
    </row>
    <row r="164" spans="1:69" s="43" customFormat="1" ht="14.25" customHeight="1">
      <c r="A164" s="275">
        <f ca="1">MAX(A$5:INDIRECT("A"&amp;ROW()-1))+1</f>
        <v>158</v>
      </c>
      <c r="B164" s="276"/>
      <c r="C164" s="286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  <c r="Q164" s="287"/>
      <c r="R164" s="287"/>
      <c r="S164" s="287"/>
      <c r="T164" s="287"/>
      <c r="U164" s="287"/>
      <c r="V164" s="288"/>
      <c r="W164" s="264" t="s">
        <v>117</v>
      </c>
      <c r="X164" s="265"/>
      <c r="Y164" s="265"/>
      <c r="Z164" s="265"/>
      <c r="AA164" s="265"/>
      <c r="AB164" s="265"/>
      <c r="AC164" s="265"/>
      <c r="AD164" s="265"/>
      <c r="AE164" s="265"/>
      <c r="AF164" s="265"/>
      <c r="AG164" s="265"/>
      <c r="AH164" s="265"/>
      <c r="AI164" s="265"/>
      <c r="AJ164" s="265"/>
      <c r="AK164" s="266"/>
      <c r="AL164" s="264"/>
      <c r="AM164" s="265"/>
      <c r="AN164" s="265"/>
      <c r="AO164" s="265"/>
      <c r="AP164" s="265"/>
      <c r="AQ164" s="265"/>
      <c r="AR164" s="265"/>
      <c r="AS164" s="265"/>
      <c r="AT164" s="265"/>
      <c r="AU164" s="265"/>
      <c r="AV164" s="265"/>
      <c r="AW164" s="265"/>
      <c r="AX164" s="265"/>
      <c r="AY164" s="265"/>
      <c r="AZ164" s="265"/>
      <c r="BA164" s="265"/>
      <c r="BB164" s="266"/>
      <c r="BC164" s="267" t="s">
        <v>76</v>
      </c>
      <c r="BD164" s="267"/>
      <c r="BE164" s="267" t="s">
        <v>76</v>
      </c>
      <c r="BF164" s="267"/>
      <c r="BG164" s="267" t="s">
        <v>76</v>
      </c>
      <c r="BH164" s="267"/>
      <c r="BI164" s="267" t="s">
        <v>76</v>
      </c>
      <c r="BJ164" s="267"/>
      <c r="BK164" s="267" t="s">
        <v>73</v>
      </c>
      <c r="BL164" s="267"/>
      <c r="BM164" s="27"/>
      <c r="BN164" s="27"/>
      <c r="BO164" s="27"/>
      <c r="BP164" s="27"/>
      <c r="BQ164" s="27"/>
    </row>
    <row r="165" spans="1:69" s="43" customFormat="1" ht="14.25" customHeight="1">
      <c r="A165" s="275">
        <f ca="1">MAX(A$5:INDIRECT("A"&amp;ROW()-1))+1</f>
        <v>159</v>
      </c>
      <c r="B165" s="276"/>
      <c r="C165" s="286"/>
      <c r="D165" s="287"/>
      <c r="E165" s="287"/>
      <c r="F165" s="287"/>
      <c r="G165" s="287"/>
      <c r="H165" s="287"/>
      <c r="I165" s="287"/>
      <c r="J165" s="287"/>
      <c r="K165" s="287"/>
      <c r="L165" s="287"/>
      <c r="M165" s="287"/>
      <c r="N165" s="287"/>
      <c r="O165" s="287"/>
      <c r="P165" s="287"/>
      <c r="Q165" s="287"/>
      <c r="R165" s="287"/>
      <c r="S165" s="287"/>
      <c r="T165" s="287"/>
      <c r="U165" s="287"/>
      <c r="V165" s="288"/>
      <c r="W165" s="264" t="s">
        <v>118</v>
      </c>
      <c r="X165" s="265"/>
      <c r="Y165" s="265"/>
      <c r="Z165" s="265"/>
      <c r="AA165" s="265"/>
      <c r="AB165" s="265"/>
      <c r="AC165" s="265"/>
      <c r="AD165" s="265"/>
      <c r="AE165" s="265"/>
      <c r="AF165" s="265"/>
      <c r="AG165" s="265"/>
      <c r="AH165" s="265"/>
      <c r="AI165" s="265"/>
      <c r="AJ165" s="265"/>
      <c r="AK165" s="266"/>
      <c r="AL165" s="264"/>
      <c r="AM165" s="265"/>
      <c r="AN165" s="265"/>
      <c r="AO165" s="265"/>
      <c r="AP165" s="265"/>
      <c r="AQ165" s="265"/>
      <c r="AR165" s="265"/>
      <c r="AS165" s="265"/>
      <c r="AT165" s="265"/>
      <c r="AU165" s="265"/>
      <c r="AV165" s="265"/>
      <c r="AW165" s="265"/>
      <c r="AX165" s="265"/>
      <c r="AY165" s="265"/>
      <c r="AZ165" s="265"/>
      <c r="BA165" s="265"/>
      <c r="BB165" s="266"/>
      <c r="BC165" s="267" t="s">
        <v>76</v>
      </c>
      <c r="BD165" s="267"/>
      <c r="BE165" s="267" t="s">
        <v>76</v>
      </c>
      <c r="BF165" s="267"/>
      <c r="BG165" s="267" t="s">
        <v>76</v>
      </c>
      <c r="BH165" s="267"/>
      <c r="BI165" s="267" t="s">
        <v>76</v>
      </c>
      <c r="BJ165" s="267"/>
      <c r="BK165" s="267" t="s">
        <v>73</v>
      </c>
      <c r="BL165" s="267"/>
      <c r="BM165" s="27"/>
      <c r="BN165" s="27"/>
      <c r="BO165" s="27"/>
      <c r="BP165" s="27"/>
      <c r="BQ165" s="27"/>
    </row>
    <row r="166" spans="1:69" s="43" customFormat="1" ht="14.25" customHeight="1">
      <c r="A166" s="275">
        <f ca="1">MAX(A$5:INDIRECT("A"&amp;ROW()-1))+1</f>
        <v>160</v>
      </c>
      <c r="B166" s="276"/>
      <c r="C166" s="286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7"/>
      <c r="P166" s="287"/>
      <c r="Q166" s="287"/>
      <c r="R166" s="287"/>
      <c r="S166" s="287"/>
      <c r="T166" s="287"/>
      <c r="U166" s="287"/>
      <c r="V166" s="288"/>
      <c r="W166" s="264" t="s">
        <v>114</v>
      </c>
      <c r="X166" s="265"/>
      <c r="Y166" s="265"/>
      <c r="Z166" s="265"/>
      <c r="AA166" s="265"/>
      <c r="AB166" s="265"/>
      <c r="AC166" s="265"/>
      <c r="AD166" s="265"/>
      <c r="AE166" s="265"/>
      <c r="AF166" s="265"/>
      <c r="AG166" s="265"/>
      <c r="AH166" s="265"/>
      <c r="AI166" s="265"/>
      <c r="AJ166" s="265"/>
      <c r="AK166" s="266"/>
      <c r="AL166" s="264"/>
      <c r="AM166" s="265"/>
      <c r="AN166" s="265"/>
      <c r="AO166" s="265"/>
      <c r="AP166" s="265"/>
      <c r="AQ166" s="265"/>
      <c r="AR166" s="265"/>
      <c r="AS166" s="265"/>
      <c r="AT166" s="265"/>
      <c r="AU166" s="265"/>
      <c r="AV166" s="265"/>
      <c r="AW166" s="265"/>
      <c r="AX166" s="265"/>
      <c r="AY166" s="265"/>
      <c r="AZ166" s="265"/>
      <c r="BA166" s="265"/>
      <c r="BB166" s="266"/>
      <c r="BC166" s="267" t="s">
        <v>76</v>
      </c>
      <c r="BD166" s="267"/>
      <c r="BE166" s="267" t="s">
        <v>76</v>
      </c>
      <c r="BF166" s="267"/>
      <c r="BG166" s="267" t="s">
        <v>76</v>
      </c>
      <c r="BH166" s="267"/>
      <c r="BI166" s="267" t="s">
        <v>76</v>
      </c>
      <c r="BJ166" s="267"/>
      <c r="BK166" s="267" t="s">
        <v>73</v>
      </c>
      <c r="BL166" s="267"/>
      <c r="BM166" s="27"/>
      <c r="BN166" s="27"/>
      <c r="BO166" s="27"/>
      <c r="BP166" s="27"/>
      <c r="BQ166" s="27"/>
    </row>
    <row r="167" spans="1:69" s="43" customFormat="1" ht="14.25" customHeight="1">
      <c r="A167" s="275">
        <f ca="1">MAX(A$5:INDIRECT("A"&amp;ROW()-1))+1</f>
        <v>161</v>
      </c>
      <c r="B167" s="276"/>
      <c r="C167" s="286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287"/>
      <c r="P167" s="287"/>
      <c r="Q167" s="287"/>
      <c r="R167" s="287"/>
      <c r="S167" s="287"/>
      <c r="T167" s="287"/>
      <c r="U167" s="287"/>
      <c r="V167" s="288"/>
      <c r="W167" s="264" t="s">
        <v>115</v>
      </c>
      <c r="X167" s="265"/>
      <c r="Y167" s="265"/>
      <c r="Z167" s="265"/>
      <c r="AA167" s="265"/>
      <c r="AB167" s="265"/>
      <c r="AC167" s="265"/>
      <c r="AD167" s="265"/>
      <c r="AE167" s="265"/>
      <c r="AF167" s="265"/>
      <c r="AG167" s="265"/>
      <c r="AH167" s="265"/>
      <c r="AI167" s="265"/>
      <c r="AJ167" s="265"/>
      <c r="AK167" s="266"/>
      <c r="AL167" s="264"/>
      <c r="AM167" s="265"/>
      <c r="AN167" s="265"/>
      <c r="AO167" s="265"/>
      <c r="AP167" s="265"/>
      <c r="AQ167" s="265"/>
      <c r="AR167" s="265"/>
      <c r="AS167" s="265"/>
      <c r="AT167" s="265"/>
      <c r="AU167" s="265"/>
      <c r="AV167" s="265"/>
      <c r="AW167" s="265"/>
      <c r="AX167" s="265"/>
      <c r="AY167" s="265"/>
      <c r="AZ167" s="265"/>
      <c r="BA167" s="265"/>
      <c r="BB167" s="266"/>
      <c r="BC167" s="267" t="s">
        <v>76</v>
      </c>
      <c r="BD167" s="267"/>
      <c r="BE167" s="267" t="s">
        <v>76</v>
      </c>
      <c r="BF167" s="267"/>
      <c r="BG167" s="267" t="s">
        <v>76</v>
      </c>
      <c r="BH167" s="267"/>
      <c r="BI167" s="267" t="s">
        <v>76</v>
      </c>
      <c r="BJ167" s="267"/>
      <c r="BK167" s="267" t="s">
        <v>73</v>
      </c>
      <c r="BL167" s="267"/>
      <c r="BM167" s="27"/>
      <c r="BN167" s="27"/>
      <c r="BO167" s="27"/>
      <c r="BP167" s="27"/>
      <c r="BQ167" s="27"/>
    </row>
    <row r="168" spans="1:69" s="43" customFormat="1" ht="14.25" customHeight="1">
      <c r="A168" s="275">
        <f ca="1">MAX(A$5:INDIRECT("A"&amp;ROW()-1))+1</f>
        <v>162</v>
      </c>
      <c r="B168" s="276"/>
      <c r="C168" s="289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0"/>
      <c r="P168" s="290"/>
      <c r="Q168" s="290"/>
      <c r="R168" s="290"/>
      <c r="S168" s="290"/>
      <c r="T168" s="290"/>
      <c r="U168" s="290"/>
      <c r="V168" s="291"/>
      <c r="W168" s="264" t="s">
        <v>119</v>
      </c>
      <c r="X168" s="265"/>
      <c r="Y168" s="265"/>
      <c r="Z168" s="265"/>
      <c r="AA168" s="265"/>
      <c r="AB168" s="265"/>
      <c r="AC168" s="265"/>
      <c r="AD168" s="265"/>
      <c r="AE168" s="265"/>
      <c r="AF168" s="265"/>
      <c r="AG168" s="265"/>
      <c r="AH168" s="265"/>
      <c r="AI168" s="265"/>
      <c r="AJ168" s="265"/>
      <c r="AK168" s="266"/>
      <c r="AL168" s="264"/>
      <c r="AM168" s="265"/>
      <c r="AN168" s="265"/>
      <c r="AO168" s="265"/>
      <c r="AP168" s="265"/>
      <c r="AQ168" s="265"/>
      <c r="AR168" s="265"/>
      <c r="AS168" s="265"/>
      <c r="AT168" s="265"/>
      <c r="AU168" s="265"/>
      <c r="AV168" s="265"/>
      <c r="AW168" s="265"/>
      <c r="AX168" s="265"/>
      <c r="AY168" s="265"/>
      <c r="AZ168" s="265"/>
      <c r="BA168" s="265"/>
      <c r="BB168" s="266"/>
      <c r="BC168" s="267" t="s">
        <v>76</v>
      </c>
      <c r="BD168" s="267"/>
      <c r="BE168" s="267" t="s">
        <v>76</v>
      </c>
      <c r="BF168" s="267"/>
      <c r="BG168" s="267" t="s">
        <v>76</v>
      </c>
      <c r="BH168" s="267"/>
      <c r="BI168" s="267" t="s">
        <v>76</v>
      </c>
      <c r="BJ168" s="267"/>
      <c r="BK168" s="267" t="s">
        <v>73</v>
      </c>
      <c r="BL168" s="267"/>
      <c r="BM168" s="27"/>
      <c r="BN168" s="27"/>
      <c r="BO168" s="27"/>
      <c r="BP168" s="27"/>
      <c r="BQ168" s="27"/>
    </row>
    <row r="169" spans="1:69" s="43" customFormat="1" ht="14.25" customHeight="1">
      <c r="A169" s="304">
        <f ca="1">MAX(A$5:INDIRECT("A"&amp;ROW()-1))+1</f>
        <v>163</v>
      </c>
      <c r="B169" s="305"/>
      <c r="C169" s="283" t="s">
        <v>203</v>
      </c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5"/>
      <c r="W169" s="306" t="s">
        <v>99</v>
      </c>
      <c r="X169" s="307"/>
      <c r="Y169" s="307"/>
      <c r="Z169" s="307"/>
      <c r="AA169" s="307"/>
      <c r="AB169" s="307"/>
      <c r="AC169" s="307"/>
      <c r="AD169" s="307"/>
      <c r="AE169" s="307"/>
      <c r="AF169" s="307"/>
      <c r="AG169" s="307"/>
      <c r="AH169" s="307"/>
      <c r="AI169" s="307"/>
      <c r="AJ169" s="307"/>
      <c r="AK169" s="308"/>
      <c r="AL169" s="309"/>
      <c r="AM169" s="310"/>
      <c r="AN169" s="310"/>
      <c r="AO169" s="310"/>
      <c r="AP169" s="310"/>
      <c r="AQ169" s="310"/>
      <c r="AR169" s="310"/>
      <c r="AS169" s="310"/>
      <c r="AT169" s="310"/>
      <c r="AU169" s="310"/>
      <c r="AV169" s="310"/>
      <c r="AW169" s="310"/>
      <c r="AX169" s="310"/>
      <c r="AY169" s="310"/>
      <c r="AZ169" s="310"/>
      <c r="BA169" s="310"/>
      <c r="BB169" s="311"/>
      <c r="BC169" s="304" t="s">
        <v>73</v>
      </c>
      <c r="BD169" s="305"/>
      <c r="BE169" s="304" t="s">
        <v>73</v>
      </c>
      <c r="BF169" s="305"/>
      <c r="BG169" s="304" t="s">
        <v>73</v>
      </c>
      <c r="BH169" s="305"/>
      <c r="BI169" s="304" t="s">
        <v>73</v>
      </c>
      <c r="BJ169" s="305"/>
      <c r="BK169" s="304" t="s">
        <v>73</v>
      </c>
      <c r="BL169" s="305"/>
    </row>
    <row r="170" spans="1:69" s="43" customFormat="1" ht="14.25" customHeight="1">
      <c r="A170" s="275">
        <f ca="1">MAX(A$5:INDIRECT("A"&amp;ROW()-1))+1</f>
        <v>164</v>
      </c>
      <c r="B170" s="276"/>
      <c r="C170" s="286"/>
      <c r="D170" s="287"/>
      <c r="E170" s="287"/>
      <c r="F170" s="287"/>
      <c r="G170" s="287"/>
      <c r="H170" s="287"/>
      <c r="I170" s="287"/>
      <c r="J170" s="287"/>
      <c r="K170" s="287"/>
      <c r="L170" s="287"/>
      <c r="M170" s="287"/>
      <c r="N170" s="287"/>
      <c r="O170" s="287"/>
      <c r="P170" s="287"/>
      <c r="Q170" s="287"/>
      <c r="R170" s="287"/>
      <c r="S170" s="287"/>
      <c r="T170" s="287"/>
      <c r="U170" s="287"/>
      <c r="V170" s="288"/>
      <c r="W170" s="270" t="s">
        <v>100</v>
      </c>
      <c r="X170" s="271"/>
      <c r="Y170" s="271"/>
      <c r="Z170" s="271"/>
      <c r="AA170" s="271"/>
      <c r="AB170" s="271"/>
      <c r="AC170" s="271"/>
      <c r="AD170" s="271"/>
      <c r="AE170" s="271"/>
      <c r="AF170" s="271"/>
      <c r="AG170" s="271"/>
      <c r="AH170" s="271"/>
      <c r="AI170" s="271"/>
      <c r="AJ170" s="271"/>
      <c r="AK170" s="272"/>
      <c r="AL170" s="270"/>
      <c r="AM170" s="271"/>
      <c r="AN170" s="271"/>
      <c r="AO170" s="271"/>
      <c r="AP170" s="271"/>
      <c r="AQ170" s="271"/>
      <c r="AR170" s="271"/>
      <c r="AS170" s="271"/>
      <c r="AT170" s="271"/>
      <c r="AU170" s="271"/>
      <c r="AV170" s="271"/>
      <c r="AW170" s="271"/>
      <c r="AX170" s="271"/>
      <c r="AY170" s="271"/>
      <c r="AZ170" s="271"/>
      <c r="BA170" s="271"/>
      <c r="BB170" s="272"/>
      <c r="BC170" s="303" t="s">
        <v>76</v>
      </c>
      <c r="BD170" s="303"/>
      <c r="BE170" s="303" t="s">
        <v>76</v>
      </c>
      <c r="BF170" s="303"/>
      <c r="BG170" s="303" t="s">
        <v>76</v>
      </c>
      <c r="BH170" s="303"/>
      <c r="BI170" s="303" t="s">
        <v>76</v>
      </c>
      <c r="BJ170" s="303"/>
      <c r="BK170" s="303" t="s">
        <v>73</v>
      </c>
      <c r="BL170" s="303"/>
    </row>
    <row r="171" spans="1:69" s="43" customFormat="1" ht="14.25" customHeight="1">
      <c r="A171" s="275">
        <f ca="1">MAX(A$5:INDIRECT("A"&amp;ROW()-1))+1</f>
        <v>165</v>
      </c>
      <c r="B171" s="276"/>
      <c r="C171" s="286"/>
      <c r="D171" s="287"/>
      <c r="E171" s="287"/>
      <c r="F171" s="287"/>
      <c r="G171" s="287"/>
      <c r="H171" s="287"/>
      <c r="I171" s="287"/>
      <c r="J171" s="287"/>
      <c r="K171" s="287"/>
      <c r="L171" s="287"/>
      <c r="M171" s="287"/>
      <c r="N171" s="287"/>
      <c r="O171" s="287"/>
      <c r="P171" s="287"/>
      <c r="Q171" s="287"/>
      <c r="R171" s="287"/>
      <c r="S171" s="287"/>
      <c r="T171" s="287"/>
      <c r="U171" s="287"/>
      <c r="V171" s="288"/>
      <c r="W171" s="270" t="s">
        <v>101</v>
      </c>
      <c r="X171" s="271"/>
      <c r="Y171" s="271"/>
      <c r="Z171" s="271"/>
      <c r="AA171" s="271"/>
      <c r="AB171" s="271"/>
      <c r="AC171" s="271"/>
      <c r="AD171" s="271"/>
      <c r="AE171" s="271"/>
      <c r="AF171" s="271"/>
      <c r="AG171" s="271"/>
      <c r="AH171" s="271"/>
      <c r="AI171" s="271"/>
      <c r="AJ171" s="271"/>
      <c r="AK171" s="272"/>
      <c r="AL171" s="270"/>
      <c r="AM171" s="271"/>
      <c r="AN171" s="271"/>
      <c r="AO171" s="271"/>
      <c r="AP171" s="271"/>
      <c r="AQ171" s="271"/>
      <c r="AR171" s="271"/>
      <c r="AS171" s="271"/>
      <c r="AT171" s="271"/>
      <c r="AU171" s="271"/>
      <c r="AV171" s="271"/>
      <c r="AW171" s="271"/>
      <c r="AX171" s="271"/>
      <c r="AY171" s="271"/>
      <c r="AZ171" s="271"/>
      <c r="BA171" s="271"/>
      <c r="BB171" s="272"/>
      <c r="BC171" s="303" t="s">
        <v>76</v>
      </c>
      <c r="BD171" s="303"/>
      <c r="BE171" s="303" t="s">
        <v>76</v>
      </c>
      <c r="BF171" s="303"/>
      <c r="BG171" s="303" t="s">
        <v>76</v>
      </c>
      <c r="BH171" s="303"/>
      <c r="BI171" s="303" t="s">
        <v>76</v>
      </c>
      <c r="BJ171" s="303"/>
      <c r="BK171" s="303" t="s">
        <v>73</v>
      </c>
      <c r="BL171" s="303"/>
    </row>
    <row r="172" spans="1:69" s="43" customFormat="1" ht="14.25" customHeight="1">
      <c r="A172" s="275">
        <f ca="1">MAX(A$5:INDIRECT("A"&amp;ROW()-1))+1</f>
        <v>166</v>
      </c>
      <c r="B172" s="276"/>
      <c r="C172" s="286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287"/>
      <c r="P172" s="287"/>
      <c r="Q172" s="287"/>
      <c r="R172" s="287"/>
      <c r="S172" s="287"/>
      <c r="T172" s="287"/>
      <c r="U172" s="287"/>
      <c r="V172" s="288"/>
      <c r="W172" s="270" t="s">
        <v>102</v>
      </c>
      <c r="X172" s="271"/>
      <c r="Y172" s="271"/>
      <c r="Z172" s="271"/>
      <c r="AA172" s="271"/>
      <c r="AB172" s="271"/>
      <c r="AC172" s="271"/>
      <c r="AD172" s="271"/>
      <c r="AE172" s="271"/>
      <c r="AF172" s="271"/>
      <c r="AG172" s="271"/>
      <c r="AH172" s="271"/>
      <c r="AI172" s="271"/>
      <c r="AJ172" s="271"/>
      <c r="AK172" s="272"/>
      <c r="AL172" s="270"/>
      <c r="AM172" s="271"/>
      <c r="AN172" s="271"/>
      <c r="AO172" s="271"/>
      <c r="AP172" s="271"/>
      <c r="AQ172" s="271"/>
      <c r="AR172" s="271"/>
      <c r="AS172" s="271"/>
      <c r="AT172" s="271"/>
      <c r="AU172" s="271"/>
      <c r="AV172" s="271"/>
      <c r="AW172" s="271"/>
      <c r="AX172" s="271"/>
      <c r="AY172" s="271"/>
      <c r="AZ172" s="271"/>
      <c r="BA172" s="271"/>
      <c r="BB172" s="272"/>
      <c r="BC172" s="303" t="s">
        <v>76</v>
      </c>
      <c r="BD172" s="303"/>
      <c r="BE172" s="303" t="s">
        <v>76</v>
      </c>
      <c r="BF172" s="303"/>
      <c r="BG172" s="303" t="s">
        <v>76</v>
      </c>
      <c r="BH172" s="303"/>
      <c r="BI172" s="303" t="s">
        <v>76</v>
      </c>
      <c r="BJ172" s="303"/>
      <c r="BK172" s="303" t="s">
        <v>73</v>
      </c>
      <c r="BL172" s="303"/>
    </row>
    <row r="173" spans="1:69" s="43" customFormat="1" ht="14.25" customHeight="1">
      <c r="A173" s="275">
        <f ca="1">MAX(A$5:INDIRECT("A"&amp;ROW()-1))+1</f>
        <v>167</v>
      </c>
      <c r="B173" s="276"/>
      <c r="C173" s="286"/>
      <c r="D173" s="287"/>
      <c r="E173" s="287"/>
      <c r="F173" s="287"/>
      <c r="G173" s="287"/>
      <c r="H173" s="287"/>
      <c r="I173" s="287"/>
      <c r="J173" s="287"/>
      <c r="K173" s="287"/>
      <c r="L173" s="287"/>
      <c r="M173" s="287"/>
      <c r="N173" s="287"/>
      <c r="O173" s="287"/>
      <c r="P173" s="287"/>
      <c r="Q173" s="287"/>
      <c r="R173" s="287"/>
      <c r="S173" s="287"/>
      <c r="T173" s="287"/>
      <c r="U173" s="287"/>
      <c r="V173" s="288"/>
      <c r="W173" s="270" t="s">
        <v>103</v>
      </c>
      <c r="X173" s="271"/>
      <c r="Y173" s="271"/>
      <c r="Z173" s="271"/>
      <c r="AA173" s="271"/>
      <c r="AB173" s="271"/>
      <c r="AC173" s="271"/>
      <c r="AD173" s="271"/>
      <c r="AE173" s="271"/>
      <c r="AF173" s="271"/>
      <c r="AG173" s="271"/>
      <c r="AH173" s="271"/>
      <c r="AI173" s="271"/>
      <c r="AJ173" s="271"/>
      <c r="AK173" s="272"/>
      <c r="AL173" s="270"/>
      <c r="AM173" s="271"/>
      <c r="AN173" s="271"/>
      <c r="AO173" s="271"/>
      <c r="AP173" s="271"/>
      <c r="AQ173" s="271"/>
      <c r="AR173" s="271"/>
      <c r="AS173" s="271"/>
      <c r="AT173" s="271"/>
      <c r="AU173" s="271"/>
      <c r="AV173" s="271"/>
      <c r="AW173" s="271"/>
      <c r="AX173" s="271"/>
      <c r="AY173" s="271"/>
      <c r="AZ173" s="271"/>
      <c r="BA173" s="271"/>
      <c r="BB173" s="272"/>
      <c r="BC173" s="303" t="s">
        <v>76</v>
      </c>
      <c r="BD173" s="303"/>
      <c r="BE173" s="303" t="s">
        <v>76</v>
      </c>
      <c r="BF173" s="303"/>
      <c r="BG173" s="303" t="s">
        <v>76</v>
      </c>
      <c r="BH173" s="303"/>
      <c r="BI173" s="303" t="s">
        <v>76</v>
      </c>
      <c r="BJ173" s="303"/>
      <c r="BK173" s="303" t="s">
        <v>73</v>
      </c>
      <c r="BL173" s="303"/>
    </row>
    <row r="174" spans="1:69" s="43" customFormat="1" ht="14.25" customHeight="1">
      <c r="A174" s="275">
        <f ca="1">MAX(A$5:INDIRECT("A"&amp;ROW()-1))+1</f>
        <v>168</v>
      </c>
      <c r="B174" s="276"/>
      <c r="C174" s="289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0"/>
      <c r="P174" s="290"/>
      <c r="Q174" s="290"/>
      <c r="R174" s="290"/>
      <c r="S174" s="290"/>
      <c r="T174" s="290"/>
      <c r="U174" s="290"/>
      <c r="V174" s="291"/>
      <c r="W174" s="270" t="s">
        <v>104</v>
      </c>
      <c r="X174" s="271"/>
      <c r="Y174" s="271"/>
      <c r="Z174" s="271"/>
      <c r="AA174" s="271"/>
      <c r="AB174" s="271"/>
      <c r="AC174" s="271"/>
      <c r="AD174" s="271"/>
      <c r="AE174" s="271"/>
      <c r="AF174" s="271"/>
      <c r="AG174" s="271"/>
      <c r="AH174" s="271"/>
      <c r="AI174" s="271"/>
      <c r="AJ174" s="271"/>
      <c r="AK174" s="272"/>
      <c r="AL174" s="270"/>
      <c r="AM174" s="271"/>
      <c r="AN174" s="271"/>
      <c r="AO174" s="271"/>
      <c r="AP174" s="271"/>
      <c r="AQ174" s="271"/>
      <c r="AR174" s="271"/>
      <c r="AS174" s="271"/>
      <c r="AT174" s="271"/>
      <c r="AU174" s="271"/>
      <c r="AV174" s="271"/>
      <c r="AW174" s="271"/>
      <c r="AX174" s="271"/>
      <c r="AY174" s="271"/>
      <c r="AZ174" s="271"/>
      <c r="BA174" s="271"/>
      <c r="BB174" s="272"/>
      <c r="BC174" s="303" t="s">
        <v>76</v>
      </c>
      <c r="BD174" s="303"/>
      <c r="BE174" s="303" t="s">
        <v>76</v>
      </c>
      <c r="BF174" s="303"/>
      <c r="BG174" s="303" t="s">
        <v>76</v>
      </c>
      <c r="BH174" s="303"/>
      <c r="BI174" s="303" t="s">
        <v>76</v>
      </c>
      <c r="BJ174" s="303"/>
      <c r="BK174" s="303" t="s">
        <v>73</v>
      </c>
      <c r="BL174" s="303"/>
    </row>
    <row r="175" spans="1:69" s="43" customFormat="1" ht="14.25" customHeight="1">
      <c r="A175" s="304">
        <f ca="1">MAX(A$5:INDIRECT("A"&amp;ROW()-1))+1</f>
        <v>169</v>
      </c>
      <c r="B175" s="305"/>
      <c r="C175" s="283" t="s">
        <v>240</v>
      </c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5"/>
      <c r="W175" s="270" t="s">
        <v>61</v>
      </c>
      <c r="X175" s="271"/>
      <c r="Y175" s="271"/>
      <c r="Z175" s="271"/>
      <c r="AA175" s="271"/>
      <c r="AB175" s="271"/>
      <c r="AC175" s="271"/>
      <c r="AD175" s="271"/>
      <c r="AE175" s="271"/>
      <c r="AF175" s="271"/>
      <c r="AG175" s="271"/>
      <c r="AH175" s="271"/>
      <c r="AI175" s="271"/>
      <c r="AJ175" s="271"/>
      <c r="AK175" s="272"/>
      <c r="AL175" s="270"/>
      <c r="AM175" s="271"/>
      <c r="AN175" s="271"/>
      <c r="AO175" s="271"/>
      <c r="AP175" s="271"/>
      <c r="AQ175" s="271"/>
      <c r="AR175" s="271"/>
      <c r="AS175" s="271"/>
      <c r="AT175" s="271"/>
      <c r="AU175" s="271"/>
      <c r="AV175" s="271"/>
      <c r="AW175" s="271"/>
      <c r="AX175" s="271"/>
      <c r="AY175" s="271"/>
      <c r="AZ175" s="271"/>
      <c r="BA175" s="271"/>
      <c r="BB175" s="272"/>
      <c r="BC175" s="303" t="s">
        <v>73</v>
      </c>
      <c r="BD175" s="303"/>
      <c r="BE175" s="303" t="s">
        <v>73</v>
      </c>
      <c r="BF175" s="303"/>
      <c r="BG175" s="303" t="s">
        <v>73</v>
      </c>
      <c r="BH175" s="303"/>
      <c r="BI175" s="303" t="s">
        <v>73</v>
      </c>
      <c r="BJ175" s="303"/>
      <c r="BK175" s="303" t="s">
        <v>73</v>
      </c>
      <c r="BL175" s="303"/>
    </row>
    <row r="176" spans="1:69" s="43" customFormat="1" ht="14.25" customHeight="1">
      <c r="A176" s="304">
        <f ca="1">MAX(A$5:INDIRECT("A"&amp;ROW()-1))+1</f>
        <v>170</v>
      </c>
      <c r="B176" s="305"/>
      <c r="C176" s="286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8"/>
      <c r="W176" s="270" t="s">
        <v>62</v>
      </c>
      <c r="X176" s="271"/>
      <c r="Y176" s="271"/>
      <c r="Z176" s="271"/>
      <c r="AA176" s="271"/>
      <c r="AB176" s="271"/>
      <c r="AC176" s="271"/>
      <c r="AD176" s="271"/>
      <c r="AE176" s="271"/>
      <c r="AF176" s="271"/>
      <c r="AG176" s="271"/>
      <c r="AH176" s="271"/>
      <c r="AI176" s="271"/>
      <c r="AJ176" s="271"/>
      <c r="AK176" s="272"/>
      <c r="AL176" s="270"/>
      <c r="AM176" s="271"/>
      <c r="AN176" s="271"/>
      <c r="AO176" s="271"/>
      <c r="AP176" s="271"/>
      <c r="AQ176" s="271"/>
      <c r="AR176" s="271"/>
      <c r="AS176" s="271"/>
      <c r="AT176" s="271"/>
      <c r="AU176" s="271"/>
      <c r="AV176" s="271"/>
      <c r="AW176" s="271"/>
      <c r="AX176" s="271"/>
      <c r="AY176" s="271"/>
      <c r="AZ176" s="271"/>
      <c r="BA176" s="271"/>
      <c r="BB176" s="272"/>
      <c r="BC176" s="275" t="s">
        <v>73</v>
      </c>
      <c r="BD176" s="276"/>
      <c r="BE176" s="275" t="s">
        <v>73</v>
      </c>
      <c r="BF176" s="276"/>
      <c r="BG176" s="275" t="s">
        <v>73</v>
      </c>
      <c r="BH176" s="276"/>
      <c r="BI176" s="275" t="s">
        <v>73</v>
      </c>
      <c r="BJ176" s="276"/>
      <c r="BK176" s="275" t="s">
        <v>73</v>
      </c>
      <c r="BL176" s="276"/>
    </row>
    <row r="177" spans="1:65" s="43" customFormat="1" ht="14.25" customHeight="1">
      <c r="A177" s="304">
        <f ca="1">MAX(A$5:INDIRECT("A"&amp;ROW()-1))+1</f>
        <v>171</v>
      </c>
      <c r="B177" s="305"/>
      <c r="C177" s="286"/>
      <c r="D177" s="287"/>
      <c r="E177" s="287"/>
      <c r="F177" s="287"/>
      <c r="G177" s="287"/>
      <c r="H177" s="287"/>
      <c r="I177" s="287"/>
      <c r="J177" s="287"/>
      <c r="K177" s="287"/>
      <c r="L177" s="287"/>
      <c r="M177" s="287"/>
      <c r="N177" s="287"/>
      <c r="O177" s="287"/>
      <c r="P177" s="287"/>
      <c r="Q177" s="287"/>
      <c r="R177" s="287"/>
      <c r="S177" s="287"/>
      <c r="T177" s="287"/>
      <c r="U177" s="287"/>
      <c r="V177" s="288"/>
      <c r="W177" s="270" t="s">
        <v>63</v>
      </c>
      <c r="X177" s="271"/>
      <c r="Y177" s="271"/>
      <c r="Z177" s="271"/>
      <c r="AA177" s="271"/>
      <c r="AB177" s="271"/>
      <c r="AC177" s="271"/>
      <c r="AD177" s="271"/>
      <c r="AE177" s="271"/>
      <c r="AF177" s="271"/>
      <c r="AG177" s="271"/>
      <c r="AH177" s="271"/>
      <c r="AI177" s="271"/>
      <c r="AJ177" s="271"/>
      <c r="AK177" s="272"/>
      <c r="AL177" s="270"/>
      <c r="AM177" s="271"/>
      <c r="AN177" s="271"/>
      <c r="AO177" s="271"/>
      <c r="AP177" s="271"/>
      <c r="AQ177" s="271"/>
      <c r="AR177" s="271"/>
      <c r="AS177" s="271"/>
      <c r="AT177" s="271"/>
      <c r="AU177" s="271"/>
      <c r="AV177" s="271"/>
      <c r="AW177" s="271"/>
      <c r="AX177" s="271"/>
      <c r="AY177" s="271"/>
      <c r="AZ177" s="271"/>
      <c r="BA177" s="271"/>
      <c r="BB177" s="272"/>
      <c r="BC177" s="275" t="s">
        <v>73</v>
      </c>
      <c r="BD177" s="276"/>
      <c r="BE177" s="275" t="s">
        <v>73</v>
      </c>
      <c r="BF177" s="276"/>
      <c r="BG177" s="275" t="s">
        <v>73</v>
      </c>
      <c r="BH177" s="276"/>
      <c r="BI177" s="275" t="s">
        <v>73</v>
      </c>
      <c r="BJ177" s="276"/>
      <c r="BK177" s="275" t="s">
        <v>73</v>
      </c>
      <c r="BL177" s="276"/>
    </row>
    <row r="178" spans="1:65" s="43" customFormat="1" ht="14.25" customHeight="1">
      <c r="A178" s="304">
        <f ca="1">MAX(A$5:INDIRECT("A"&amp;ROW()-1))+1</f>
        <v>172</v>
      </c>
      <c r="B178" s="305"/>
      <c r="C178" s="286"/>
      <c r="D178" s="287"/>
      <c r="E178" s="287"/>
      <c r="F178" s="287"/>
      <c r="G178" s="287"/>
      <c r="H178" s="287"/>
      <c r="I178" s="287"/>
      <c r="J178" s="287"/>
      <c r="K178" s="287"/>
      <c r="L178" s="287"/>
      <c r="M178" s="287"/>
      <c r="N178" s="287"/>
      <c r="O178" s="287"/>
      <c r="P178" s="287"/>
      <c r="Q178" s="287"/>
      <c r="R178" s="287"/>
      <c r="S178" s="287"/>
      <c r="T178" s="287"/>
      <c r="U178" s="287"/>
      <c r="V178" s="288"/>
      <c r="W178" s="264" t="s">
        <v>184</v>
      </c>
      <c r="X178" s="271"/>
      <c r="Y178" s="271"/>
      <c r="Z178" s="271"/>
      <c r="AA178" s="271"/>
      <c r="AB178" s="271"/>
      <c r="AC178" s="271"/>
      <c r="AD178" s="271"/>
      <c r="AE178" s="271"/>
      <c r="AF178" s="271"/>
      <c r="AG178" s="271"/>
      <c r="AH178" s="271"/>
      <c r="AI178" s="271"/>
      <c r="AJ178" s="271"/>
      <c r="AK178" s="272"/>
      <c r="AL178" s="270"/>
      <c r="AM178" s="271"/>
      <c r="AN178" s="271"/>
      <c r="AO178" s="271"/>
      <c r="AP178" s="271"/>
      <c r="AQ178" s="271"/>
      <c r="AR178" s="271"/>
      <c r="AS178" s="271"/>
      <c r="AT178" s="271"/>
      <c r="AU178" s="271"/>
      <c r="AV178" s="271"/>
      <c r="AW178" s="271"/>
      <c r="AX178" s="271"/>
      <c r="AY178" s="271"/>
      <c r="AZ178" s="271"/>
      <c r="BA178" s="271"/>
      <c r="BB178" s="272"/>
      <c r="BC178" s="275" t="s">
        <v>73</v>
      </c>
      <c r="BD178" s="276"/>
      <c r="BE178" s="275" t="s">
        <v>73</v>
      </c>
      <c r="BF178" s="276"/>
      <c r="BG178" s="275" t="s">
        <v>73</v>
      </c>
      <c r="BH178" s="276"/>
      <c r="BI178" s="275" t="s">
        <v>73</v>
      </c>
      <c r="BJ178" s="276"/>
      <c r="BK178" s="275" t="s">
        <v>73</v>
      </c>
      <c r="BL178" s="276"/>
    </row>
    <row r="179" spans="1:65" s="43" customFormat="1" ht="14.25" customHeight="1">
      <c r="A179" s="304">
        <f ca="1">MAX(A$5:INDIRECT("A"&amp;ROW()-1))+1</f>
        <v>173</v>
      </c>
      <c r="B179" s="305"/>
      <c r="C179" s="286"/>
      <c r="D179" s="287"/>
      <c r="E179" s="287"/>
      <c r="F179" s="287"/>
      <c r="G179" s="287"/>
      <c r="H179" s="287"/>
      <c r="I179" s="287"/>
      <c r="J179" s="287"/>
      <c r="K179" s="287"/>
      <c r="L179" s="287"/>
      <c r="M179" s="287"/>
      <c r="N179" s="287"/>
      <c r="O179" s="287"/>
      <c r="P179" s="287"/>
      <c r="Q179" s="287"/>
      <c r="R179" s="287"/>
      <c r="S179" s="287"/>
      <c r="T179" s="287"/>
      <c r="U179" s="287"/>
      <c r="V179" s="288"/>
      <c r="W179" s="264" t="s">
        <v>185</v>
      </c>
      <c r="X179" s="271"/>
      <c r="Y179" s="271"/>
      <c r="Z179" s="271"/>
      <c r="AA179" s="271"/>
      <c r="AB179" s="271"/>
      <c r="AC179" s="271"/>
      <c r="AD179" s="271"/>
      <c r="AE179" s="271"/>
      <c r="AF179" s="271"/>
      <c r="AG179" s="271"/>
      <c r="AH179" s="271"/>
      <c r="AI179" s="271"/>
      <c r="AJ179" s="271"/>
      <c r="AK179" s="272"/>
      <c r="AL179" s="270"/>
      <c r="AM179" s="271"/>
      <c r="AN179" s="271"/>
      <c r="AO179" s="271"/>
      <c r="AP179" s="271"/>
      <c r="AQ179" s="271"/>
      <c r="AR179" s="271"/>
      <c r="AS179" s="271"/>
      <c r="AT179" s="271"/>
      <c r="AU179" s="271"/>
      <c r="AV179" s="271"/>
      <c r="AW179" s="271"/>
      <c r="AX179" s="271"/>
      <c r="AY179" s="271"/>
      <c r="AZ179" s="271"/>
      <c r="BA179" s="271"/>
      <c r="BB179" s="272"/>
      <c r="BC179" s="275" t="s">
        <v>73</v>
      </c>
      <c r="BD179" s="276"/>
      <c r="BE179" s="275" t="s">
        <v>73</v>
      </c>
      <c r="BF179" s="276"/>
      <c r="BG179" s="275" t="s">
        <v>73</v>
      </c>
      <c r="BH179" s="276"/>
      <c r="BI179" s="275" t="s">
        <v>73</v>
      </c>
      <c r="BJ179" s="276"/>
      <c r="BK179" s="275" t="s">
        <v>73</v>
      </c>
      <c r="BL179" s="276"/>
    </row>
    <row r="180" spans="1:65" s="43" customFormat="1" ht="14.25" customHeight="1">
      <c r="A180" s="304">
        <f ca="1">MAX(A$5:INDIRECT("A"&amp;ROW()-1))+1</f>
        <v>174</v>
      </c>
      <c r="B180" s="305"/>
      <c r="C180" s="286"/>
      <c r="D180" s="287"/>
      <c r="E180" s="287"/>
      <c r="F180" s="287"/>
      <c r="G180" s="287"/>
      <c r="H180" s="287"/>
      <c r="I180" s="287"/>
      <c r="J180" s="287"/>
      <c r="K180" s="287"/>
      <c r="L180" s="287"/>
      <c r="M180" s="287"/>
      <c r="N180" s="287"/>
      <c r="O180" s="287"/>
      <c r="P180" s="287"/>
      <c r="Q180" s="287"/>
      <c r="R180" s="287"/>
      <c r="S180" s="287"/>
      <c r="T180" s="287"/>
      <c r="U180" s="287"/>
      <c r="V180" s="288"/>
      <c r="W180" s="264" t="s">
        <v>186</v>
      </c>
      <c r="X180" s="271"/>
      <c r="Y180" s="271"/>
      <c r="Z180" s="271"/>
      <c r="AA180" s="271"/>
      <c r="AB180" s="271"/>
      <c r="AC180" s="271"/>
      <c r="AD180" s="271"/>
      <c r="AE180" s="271"/>
      <c r="AF180" s="271"/>
      <c r="AG180" s="271"/>
      <c r="AH180" s="271"/>
      <c r="AI180" s="271"/>
      <c r="AJ180" s="271"/>
      <c r="AK180" s="272"/>
      <c r="AL180" s="270"/>
      <c r="AM180" s="271"/>
      <c r="AN180" s="271"/>
      <c r="AO180" s="271"/>
      <c r="AP180" s="271"/>
      <c r="AQ180" s="271"/>
      <c r="AR180" s="271"/>
      <c r="AS180" s="271"/>
      <c r="AT180" s="271"/>
      <c r="AU180" s="271"/>
      <c r="AV180" s="271"/>
      <c r="AW180" s="271"/>
      <c r="AX180" s="271"/>
      <c r="AY180" s="271"/>
      <c r="AZ180" s="271"/>
      <c r="BA180" s="271"/>
      <c r="BB180" s="272"/>
      <c r="BC180" s="303" t="s">
        <v>73</v>
      </c>
      <c r="BD180" s="303"/>
      <c r="BE180" s="303" t="s">
        <v>73</v>
      </c>
      <c r="BF180" s="303"/>
      <c r="BG180" s="303" t="s">
        <v>73</v>
      </c>
      <c r="BH180" s="303"/>
      <c r="BI180" s="303" t="s">
        <v>73</v>
      </c>
      <c r="BJ180" s="303"/>
      <c r="BK180" s="303" t="s">
        <v>73</v>
      </c>
      <c r="BL180" s="303"/>
    </row>
    <row r="181" spans="1:65" s="43" customFormat="1" ht="14.25" customHeight="1">
      <c r="A181" s="304">
        <f ca="1">MAX(A$5:INDIRECT("A"&amp;ROW()-1))+1</f>
        <v>175</v>
      </c>
      <c r="B181" s="305"/>
      <c r="C181" s="286"/>
      <c r="D181" s="287"/>
      <c r="E181" s="287"/>
      <c r="F181" s="287"/>
      <c r="G181" s="287"/>
      <c r="H181" s="287"/>
      <c r="I181" s="287"/>
      <c r="J181" s="287"/>
      <c r="K181" s="287"/>
      <c r="L181" s="287"/>
      <c r="M181" s="287"/>
      <c r="N181" s="287"/>
      <c r="O181" s="287"/>
      <c r="P181" s="287"/>
      <c r="Q181" s="287"/>
      <c r="R181" s="287"/>
      <c r="S181" s="287"/>
      <c r="T181" s="287"/>
      <c r="U181" s="287"/>
      <c r="V181" s="288"/>
      <c r="W181" s="264" t="s">
        <v>187</v>
      </c>
      <c r="X181" s="271"/>
      <c r="Y181" s="271"/>
      <c r="Z181" s="271"/>
      <c r="AA181" s="271"/>
      <c r="AB181" s="271"/>
      <c r="AC181" s="271"/>
      <c r="AD181" s="271"/>
      <c r="AE181" s="271"/>
      <c r="AF181" s="271"/>
      <c r="AG181" s="271"/>
      <c r="AH181" s="271"/>
      <c r="AI181" s="271"/>
      <c r="AJ181" s="271"/>
      <c r="AK181" s="272"/>
      <c r="AL181" s="270"/>
      <c r="AM181" s="271"/>
      <c r="AN181" s="271"/>
      <c r="AO181" s="271"/>
      <c r="AP181" s="271"/>
      <c r="AQ181" s="271"/>
      <c r="AR181" s="271"/>
      <c r="AS181" s="271"/>
      <c r="AT181" s="271"/>
      <c r="AU181" s="271"/>
      <c r="AV181" s="271"/>
      <c r="AW181" s="271"/>
      <c r="AX181" s="271"/>
      <c r="AY181" s="271"/>
      <c r="AZ181" s="271"/>
      <c r="BA181" s="271"/>
      <c r="BB181" s="272"/>
      <c r="BC181" s="303" t="s">
        <v>73</v>
      </c>
      <c r="BD181" s="303"/>
      <c r="BE181" s="303" t="s">
        <v>73</v>
      </c>
      <c r="BF181" s="303"/>
      <c r="BG181" s="303" t="s">
        <v>73</v>
      </c>
      <c r="BH181" s="303"/>
      <c r="BI181" s="303" t="s">
        <v>73</v>
      </c>
      <c r="BJ181" s="303"/>
      <c r="BK181" s="303" t="s">
        <v>73</v>
      </c>
      <c r="BL181" s="303"/>
    </row>
    <row r="182" spans="1:65" s="43" customFormat="1" ht="14.25" customHeight="1">
      <c r="A182" s="304">
        <f ca="1">MAX(A$5:INDIRECT("A"&amp;ROW()-1))+1</f>
        <v>176</v>
      </c>
      <c r="B182" s="305"/>
      <c r="C182" s="286"/>
      <c r="D182" s="287"/>
      <c r="E182" s="287"/>
      <c r="F182" s="287"/>
      <c r="G182" s="287"/>
      <c r="H182" s="287"/>
      <c r="I182" s="287"/>
      <c r="J182" s="287"/>
      <c r="K182" s="287"/>
      <c r="L182" s="287"/>
      <c r="M182" s="287"/>
      <c r="N182" s="287"/>
      <c r="O182" s="287"/>
      <c r="P182" s="287"/>
      <c r="Q182" s="287"/>
      <c r="R182" s="287"/>
      <c r="S182" s="287"/>
      <c r="T182" s="287"/>
      <c r="U182" s="287"/>
      <c r="V182" s="288"/>
      <c r="W182" s="264" t="s">
        <v>188</v>
      </c>
      <c r="X182" s="271"/>
      <c r="Y182" s="271"/>
      <c r="Z182" s="271"/>
      <c r="AA182" s="271"/>
      <c r="AB182" s="271"/>
      <c r="AC182" s="271"/>
      <c r="AD182" s="271"/>
      <c r="AE182" s="271"/>
      <c r="AF182" s="271"/>
      <c r="AG182" s="271"/>
      <c r="AH182" s="271"/>
      <c r="AI182" s="271"/>
      <c r="AJ182" s="271"/>
      <c r="AK182" s="272"/>
      <c r="AL182" s="270"/>
      <c r="AM182" s="271"/>
      <c r="AN182" s="271"/>
      <c r="AO182" s="271"/>
      <c r="AP182" s="271"/>
      <c r="AQ182" s="271"/>
      <c r="AR182" s="271"/>
      <c r="AS182" s="271"/>
      <c r="AT182" s="271"/>
      <c r="AU182" s="271"/>
      <c r="AV182" s="271"/>
      <c r="AW182" s="271"/>
      <c r="AX182" s="271"/>
      <c r="AY182" s="271"/>
      <c r="AZ182" s="271"/>
      <c r="BA182" s="271"/>
      <c r="BB182" s="272"/>
      <c r="BC182" s="303" t="s">
        <v>73</v>
      </c>
      <c r="BD182" s="303"/>
      <c r="BE182" s="303" t="s">
        <v>73</v>
      </c>
      <c r="BF182" s="303"/>
      <c r="BG182" s="303" t="s">
        <v>73</v>
      </c>
      <c r="BH182" s="303"/>
      <c r="BI182" s="303" t="s">
        <v>73</v>
      </c>
      <c r="BJ182" s="303"/>
      <c r="BK182" s="303" t="s">
        <v>73</v>
      </c>
      <c r="BL182" s="303"/>
    </row>
    <row r="183" spans="1:65" s="43" customFormat="1" ht="14.25" customHeight="1">
      <c r="A183" s="304">
        <f ca="1">MAX(A$5:INDIRECT("A"&amp;ROW()-1))+1</f>
        <v>177</v>
      </c>
      <c r="B183" s="305"/>
      <c r="C183" s="289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1"/>
      <c r="W183" s="264" t="s">
        <v>189</v>
      </c>
      <c r="X183" s="271"/>
      <c r="Y183" s="271"/>
      <c r="Z183" s="271"/>
      <c r="AA183" s="271"/>
      <c r="AB183" s="271"/>
      <c r="AC183" s="271"/>
      <c r="AD183" s="271"/>
      <c r="AE183" s="271"/>
      <c r="AF183" s="271"/>
      <c r="AG183" s="271"/>
      <c r="AH183" s="271"/>
      <c r="AI183" s="271"/>
      <c r="AJ183" s="271"/>
      <c r="AK183" s="272"/>
      <c r="AL183" s="270"/>
      <c r="AM183" s="271"/>
      <c r="AN183" s="271"/>
      <c r="AO183" s="271"/>
      <c r="AP183" s="271"/>
      <c r="AQ183" s="271"/>
      <c r="AR183" s="271"/>
      <c r="AS183" s="271"/>
      <c r="AT183" s="271"/>
      <c r="AU183" s="271"/>
      <c r="AV183" s="271"/>
      <c r="AW183" s="271"/>
      <c r="AX183" s="271"/>
      <c r="AY183" s="271"/>
      <c r="AZ183" s="271"/>
      <c r="BA183" s="271"/>
      <c r="BB183" s="272"/>
      <c r="BC183" s="303" t="s">
        <v>73</v>
      </c>
      <c r="BD183" s="303"/>
      <c r="BE183" s="303" t="s">
        <v>73</v>
      </c>
      <c r="BF183" s="303"/>
      <c r="BG183" s="303" t="s">
        <v>73</v>
      </c>
      <c r="BH183" s="303"/>
      <c r="BI183" s="303" t="s">
        <v>73</v>
      </c>
      <c r="BJ183" s="303"/>
      <c r="BK183" s="303" t="s">
        <v>73</v>
      </c>
      <c r="BL183" s="303"/>
    </row>
    <row r="184" spans="1:65" s="43" customFormat="1" ht="14.25" customHeight="1">
      <c r="A184" s="312">
        <f ca="1">MAX(A$5:INDIRECT("A"&amp;ROW()-1))+1</f>
        <v>178</v>
      </c>
      <c r="B184" s="313"/>
      <c r="C184" s="264" t="s">
        <v>246</v>
      </c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265"/>
      <c r="Q184" s="265"/>
      <c r="R184" s="265"/>
      <c r="S184" s="265"/>
      <c r="T184" s="265"/>
      <c r="U184" s="265"/>
      <c r="V184" s="266"/>
      <c r="W184" s="264" t="s">
        <v>16</v>
      </c>
      <c r="X184" s="265"/>
      <c r="Y184" s="265"/>
      <c r="Z184" s="265"/>
      <c r="AA184" s="265"/>
      <c r="AB184" s="265"/>
      <c r="AC184" s="265"/>
      <c r="AD184" s="265"/>
      <c r="AE184" s="265"/>
      <c r="AF184" s="265"/>
      <c r="AG184" s="265"/>
      <c r="AH184" s="265"/>
      <c r="AI184" s="265"/>
      <c r="AJ184" s="265"/>
      <c r="AK184" s="266"/>
      <c r="AL184" s="264"/>
      <c r="AM184" s="265"/>
      <c r="AN184" s="265"/>
      <c r="AO184" s="265"/>
      <c r="AP184" s="265"/>
      <c r="AQ184" s="265"/>
      <c r="AR184" s="265"/>
      <c r="AS184" s="265"/>
      <c r="AT184" s="265"/>
      <c r="AU184" s="265"/>
      <c r="AV184" s="265"/>
      <c r="AW184" s="265"/>
      <c r="AX184" s="265"/>
      <c r="AY184" s="265"/>
      <c r="AZ184" s="265"/>
      <c r="BA184" s="265"/>
      <c r="BB184" s="266"/>
      <c r="BC184" s="261" t="s">
        <v>76</v>
      </c>
      <c r="BD184" s="261"/>
      <c r="BE184" s="262" t="s">
        <v>76</v>
      </c>
      <c r="BF184" s="263"/>
      <c r="BG184" s="262" t="s">
        <v>76</v>
      </c>
      <c r="BH184" s="263"/>
      <c r="BI184" s="262" t="s">
        <v>76</v>
      </c>
      <c r="BJ184" s="263"/>
      <c r="BK184" s="262" t="s">
        <v>73</v>
      </c>
      <c r="BL184" s="263"/>
    </row>
    <row r="185" spans="1:65" s="43" customFormat="1" ht="14.25" customHeight="1">
      <c r="A185" s="312">
        <f ca="1">MAX(A$5:INDIRECT("A"&amp;ROW()-1))+1</f>
        <v>179</v>
      </c>
      <c r="B185" s="313"/>
      <c r="C185" s="264" t="s">
        <v>247</v>
      </c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265"/>
      <c r="Q185" s="265"/>
      <c r="R185" s="265"/>
      <c r="S185" s="265"/>
      <c r="T185" s="265"/>
      <c r="U185" s="265"/>
      <c r="V185" s="266"/>
      <c r="W185" s="264" t="s">
        <v>248</v>
      </c>
      <c r="X185" s="265"/>
      <c r="Y185" s="265"/>
      <c r="Z185" s="265"/>
      <c r="AA185" s="265"/>
      <c r="AB185" s="265"/>
      <c r="AC185" s="265"/>
      <c r="AD185" s="265"/>
      <c r="AE185" s="265"/>
      <c r="AF185" s="265"/>
      <c r="AG185" s="265"/>
      <c r="AH185" s="265"/>
      <c r="AI185" s="265"/>
      <c r="AJ185" s="265"/>
      <c r="AK185" s="266"/>
      <c r="AL185" s="264"/>
      <c r="AM185" s="265"/>
      <c r="AN185" s="265"/>
      <c r="AO185" s="265"/>
      <c r="AP185" s="265"/>
      <c r="AQ185" s="265"/>
      <c r="AR185" s="265"/>
      <c r="AS185" s="265"/>
      <c r="AT185" s="265"/>
      <c r="AU185" s="265"/>
      <c r="AV185" s="265"/>
      <c r="AW185" s="265"/>
      <c r="AX185" s="265"/>
      <c r="AY185" s="265"/>
      <c r="AZ185" s="265"/>
      <c r="BA185" s="265"/>
      <c r="BB185" s="266"/>
      <c r="BC185" s="267" t="s">
        <v>73</v>
      </c>
      <c r="BD185" s="267"/>
      <c r="BE185" s="267" t="s">
        <v>73</v>
      </c>
      <c r="BF185" s="267"/>
      <c r="BG185" s="267" t="s">
        <v>76</v>
      </c>
      <c r="BH185" s="267"/>
      <c r="BI185" s="267" t="s">
        <v>76</v>
      </c>
      <c r="BJ185" s="267"/>
      <c r="BK185" s="267" t="s">
        <v>73</v>
      </c>
      <c r="BL185" s="267"/>
      <c r="BM185" s="27"/>
    </row>
    <row r="186" spans="1:65" s="43" customFormat="1" ht="14.25" customHeight="1">
      <c r="A186" s="275">
        <f ca="1">MAX(A$5:INDIRECT("A"&amp;ROW()-1))+1</f>
        <v>180</v>
      </c>
      <c r="B186" s="276"/>
      <c r="C186" s="258" t="s">
        <v>254</v>
      </c>
      <c r="D186" s="259"/>
      <c r="E186" s="259"/>
      <c r="F186" s="259"/>
      <c r="G186" s="259"/>
      <c r="H186" s="259"/>
      <c r="I186" s="259"/>
      <c r="J186" s="259"/>
      <c r="K186" s="259"/>
      <c r="L186" s="259"/>
      <c r="M186" s="259"/>
      <c r="N186" s="259"/>
      <c r="O186" s="259"/>
      <c r="P186" s="259"/>
      <c r="Q186" s="259"/>
      <c r="R186" s="259"/>
      <c r="S186" s="259"/>
      <c r="T186" s="259"/>
      <c r="U186" s="259"/>
      <c r="V186" s="260"/>
      <c r="W186" s="258" t="s">
        <v>255</v>
      </c>
      <c r="X186" s="259"/>
      <c r="Y186" s="259"/>
      <c r="Z186" s="259"/>
      <c r="AA186" s="259"/>
      <c r="AB186" s="259"/>
      <c r="AC186" s="259"/>
      <c r="AD186" s="259"/>
      <c r="AE186" s="259"/>
      <c r="AF186" s="259"/>
      <c r="AG186" s="259"/>
      <c r="AH186" s="259"/>
      <c r="AI186" s="259"/>
      <c r="AJ186" s="259"/>
      <c r="AK186" s="260"/>
      <c r="AL186" s="258"/>
      <c r="AM186" s="259"/>
      <c r="AN186" s="259"/>
      <c r="AO186" s="259"/>
      <c r="AP186" s="259"/>
      <c r="AQ186" s="259"/>
      <c r="AR186" s="259"/>
      <c r="AS186" s="259"/>
      <c r="AT186" s="259"/>
      <c r="AU186" s="259"/>
      <c r="AV186" s="259"/>
      <c r="AW186" s="259"/>
      <c r="AX186" s="259"/>
      <c r="AY186" s="259"/>
      <c r="AZ186" s="259"/>
      <c r="BA186" s="259"/>
      <c r="BB186" s="260"/>
      <c r="BC186" s="261" t="s">
        <v>76</v>
      </c>
      <c r="BD186" s="261"/>
      <c r="BE186" s="261" t="s">
        <v>76</v>
      </c>
      <c r="BF186" s="261"/>
      <c r="BG186" s="261" t="s">
        <v>76</v>
      </c>
      <c r="BH186" s="261"/>
      <c r="BI186" s="261" t="s">
        <v>76</v>
      </c>
      <c r="BJ186" s="261"/>
      <c r="BK186" s="262" t="s">
        <v>73</v>
      </c>
      <c r="BL186" s="263"/>
      <c r="BM186" s="27"/>
    </row>
    <row r="187" spans="1:65" s="43" customFormat="1" ht="14.25" customHeight="1">
      <c r="A187" s="275">
        <f ca="1">MAX(A$5:INDIRECT("A"&amp;ROW()-1))+1</f>
        <v>181</v>
      </c>
      <c r="B187" s="276"/>
      <c r="C187" s="258" t="s">
        <v>263</v>
      </c>
      <c r="D187" s="259"/>
      <c r="E187" s="259"/>
      <c r="F187" s="259"/>
      <c r="G187" s="259"/>
      <c r="H187" s="259"/>
      <c r="I187" s="259"/>
      <c r="J187" s="259"/>
      <c r="K187" s="259"/>
      <c r="L187" s="259"/>
      <c r="M187" s="259"/>
      <c r="N187" s="259"/>
      <c r="O187" s="259"/>
      <c r="P187" s="259"/>
      <c r="Q187" s="259"/>
      <c r="R187" s="259"/>
      <c r="S187" s="259"/>
      <c r="T187" s="259"/>
      <c r="U187" s="259"/>
      <c r="V187" s="260"/>
      <c r="W187" s="264" t="s">
        <v>266</v>
      </c>
      <c r="X187" s="265"/>
      <c r="Y187" s="265"/>
      <c r="Z187" s="265"/>
      <c r="AA187" s="265"/>
      <c r="AB187" s="265"/>
      <c r="AC187" s="265"/>
      <c r="AD187" s="265"/>
      <c r="AE187" s="265"/>
      <c r="AF187" s="265"/>
      <c r="AG187" s="265"/>
      <c r="AH187" s="265"/>
      <c r="AI187" s="265"/>
      <c r="AJ187" s="265"/>
      <c r="AK187" s="266"/>
      <c r="AL187" s="61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3"/>
      <c r="BC187" s="267" t="s">
        <v>76</v>
      </c>
      <c r="BD187" s="267"/>
      <c r="BE187" s="267" t="s">
        <v>76</v>
      </c>
      <c r="BF187" s="267"/>
      <c r="BG187" s="267" t="s">
        <v>76</v>
      </c>
      <c r="BH187" s="267"/>
      <c r="BI187" s="267" t="s">
        <v>76</v>
      </c>
      <c r="BJ187" s="267"/>
      <c r="BK187" s="267" t="s">
        <v>73</v>
      </c>
      <c r="BL187" s="267"/>
      <c r="BM187" s="27"/>
    </row>
    <row r="188" spans="1:65" s="43" customFormat="1" ht="13.9" customHeight="1">
      <c r="A188" s="312">
        <f ca="1">MAX(A$5:INDIRECT("A"&amp;ROW()-1))+1</f>
        <v>182</v>
      </c>
      <c r="B188" s="313"/>
      <c r="C188" s="258" t="s">
        <v>258</v>
      </c>
      <c r="D188" s="259"/>
      <c r="E188" s="259"/>
      <c r="F188" s="259"/>
      <c r="G188" s="259"/>
      <c r="H188" s="259"/>
      <c r="I188" s="259"/>
      <c r="J188" s="259"/>
      <c r="K188" s="259"/>
      <c r="L188" s="259"/>
      <c r="M188" s="259"/>
      <c r="N188" s="259"/>
      <c r="O188" s="259"/>
      <c r="P188" s="259"/>
      <c r="Q188" s="259"/>
      <c r="R188" s="259"/>
      <c r="S188" s="259"/>
      <c r="T188" s="259"/>
      <c r="U188" s="259"/>
      <c r="V188" s="260"/>
      <c r="W188" s="258" t="s">
        <v>257</v>
      </c>
      <c r="X188" s="259"/>
      <c r="Y188" s="259"/>
      <c r="Z188" s="259"/>
      <c r="AA188" s="259"/>
      <c r="AB188" s="259"/>
      <c r="AC188" s="259"/>
      <c r="AD188" s="259"/>
      <c r="AE188" s="259"/>
      <c r="AF188" s="259"/>
      <c r="AG188" s="259"/>
      <c r="AH188" s="259"/>
      <c r="AI188" s="259"/>
      <c r="AJ188" s="259"/>
      <c r="AK188" s="260"/>
      <c r="AL188" s="258" t="s">
        <v>256</v>
      </c>
      <c r="AM188" s="259"/>
      <c r="AN188" s="259"/>
      <c r="AO188" s="259"/>
      <c r="AP188" s="259"/>
      <c r="AQ188" s="259"/>
      <c r="AR188" s="259"/>
      <c r="AS188" s="259"/>
      <c r="AT188" s="259"/>
      <c r="AU188" s="259"/>
      <c r="AV188" s="259"/>
      <c r="AW188" s="259"/>
      <c r="AX188" s="259"/>
      <c r="AY188" s="259"/>
      <c r="AZ188" s="259"/>
      <c r="BA188" s="259"/>
      <c r="BB188" s="260"/>
      <c r="BC188" s="262" t="s">
        <v>73</v>
      </c>
      <c r="BD188" s="263"/>
      <c r="BE188" s="262" t="s">
        <v>73</v>
      </c>
      <c r="BF188" s="263"/>
      <c r="BG188" s="261" t="s">
        <v>76</v>
      </c>
      <c r="BH188" s="261"/>
      <c r="BI188" s="261" t="s">
        <v>76</v>
      </c>
      <c r="BJ188" s="261"/>
      <c r="BK188" s="262" t="s">
        <v>73</v>
      </c>
      <c r="BL188" s="263"/>
    </row>
    <row r="189" spans="1:65" s="43" customFormat="1" ht="13.9" customHeight="1">
      <c r="A189" s="312">
        <f ca="1">MAX(A$5:INDIRECT("A"&amp;ROW()-1))+1</f>
        <v>183</v>
      </c>
      <c r="B189" s="313"/>
      <c r="C189" s="258" t="s">
        <v>261</v>
      </c>
      <c r="D189" s="259"/>
      <c r="E189" s="259"/>
      <c r="F189" s="259"/>
      <c r="G189" s="259"/>
      <c r="H189" s="259"/>
      <c r="I189" s="259"/>
      <c r="J189" s="259"/>
      <c r="K189" s="259"/>
      <c r="L189" s="259"/>
      <c r="M189" s="259"/>
      <c r="N189" s="259"/>
      <c r="O189" s="259"/>
      <c r="P189" s="259"/>
      <c r="Q189" s="259"/>
      <c r="R189" s="259"/>
      <c r="S189" s="259"/>
      <c r="T189" s="259"/>
      <c r="U189" s="259"/>
      <c r="V189" s="260"/>
      <c r="W189" s="258" t="s">
        <v>260</v>
      </c>
      <c r="X189" s="259"/>
      <c r="Y189" s="259"/>
      <c r="Z189" s="259"/>
      <c r="AA189" s="259"/>
      <c r="AB189" s="259"/>
      <c r="AC189" s="259"/>
      <c r="AD189" s="259"/>
      <c r="AE189" s="259"/>
      <c r="AF189" s="259"/>
      <c r="AG189" s="259"/>
      <c r="AH189" s="259"/>
      <c r="AI189" s="259"/>
      <c r="AJ189" s="259"/>
      <c r="AK189" s="260"/>
      <c r="AL189" s="258"/>
      <c r="AM189" s="259"/>
      <c r="AN189" s="259"/>
      <c r="AO189" s="259"/>
      <c r="AP189" s="259"/>
      <c r="AQ189" s="259"/>
      <c r="AR189" s="259"/>
      <c r="AS189" s="259"/>
      <c r="AT189" s="259"/>
      <c r="AU189" s="259"/>
      <c r="AV189" s="259"/>
      <c r="AW189" s="259"/>
      <c r="AX189" s="259"/>
      <c r="AY189" s="259"/>
      <c r="AZ189" s="259"/>
      <c r="BA189" s="259"/>
      <c r="BB189" s="260"/>
      <c r="BC189" s="261" t="s">
        <v>76</v>
      </c>
      <c r="BD189" s="261"/>
      <c r="BE189" s="261" t="s">
        <v>76</v>
      </c>
      <c r="BF189" s="261"/>
      <c r="BG189" s="261" t="s">
        <v>76</v>
      </c>
      <c r="BH189" s="261"/>
      <c r="BI189" s="261" t="s">
        <v>76</v>
      </c>
      <c r="BJ189" s="261"/>
      <c r="BK189" s="262" t="s">
        <v>73</v>
      </c>
      <c r="BL189" s="263"/>
    </row>
    <row r="190" spans="1:65" s="43" customFormat="1" ht="14.25" customHeight="1">
      <c r="A190" s="387">
        <f ca="1">MAX(A$5:INDIRECT("A"&amp;ROW()-1))+1</f>
        <v>184</v>
      </c>
      <c r="B190" s="213"/>
      <c r="C190" s="390" t="s">
        <v>273</v>
      </c>
      <c r="D190" s="391"/>
      <c r="E190" s="391"/>
      <c r="F190" s="391"/>
      <c r="G190" s="391"/>
      <c r="H190" s="391"/>
      <c r="I190" s="391"/>
      <c r="J190" s="391"/>
      <c r="K190" s="391"/>
      <c r="L190" s="391"/>
      <c r="M190" s="391"/>
      <c r="N190" s="391"/>
      <c r="O190" s="391"/>
      <c r="P190" s="391"/>
      <c r="Q190" s="391"/>
      <c r="R190" s="391"/>
      <c r="S190" s="391"/>
      <c r="T190" s="391"/>
      <c r="U190" s="391"/>
      <c r="V190" s="392"/>
      <c r="W190" s="252" t="s">
        <v>275</v>
      </c>
      <c r="X190" s="253"/>
      <c r="Y190" s="253"/>
      <c r="Z190" s="253"/>
      <c r="AA190" s="253"/>
      <c r="AB190" s="253"/>
      <c r="AC190" s="253"/>
      <c r="AD190" s="253"/>
      <c r="AE190" s="253"/>
      <c r="AF190" s="253"/>
      <c r="AG190" s="253"/>
      <c r="AH190" s="253"/>
      <c r="AI190" s="253"/>
      <c r="AJ190" s="253"/>
      <c r="AK190" s="254"/>
      <c r="AL190" s="252"/>
      <c r="AM190" s="253"/>
      <c r="AN190" s="253"/>
      <c r="AO190" s="253"/>
      <c r="AP190" s="253"/>
      <c r="AQ190" s="253"/>
      <c r="AR190" s="253"/>
      <c r="AS190" s="253"/>
      <c r="AT190" s="253"/>
      <c r="AU190" s="253"/>
      <c r="AV190" s="253"/>
      <c r="AW190" s="253"/>
      <c r="AX190" s="253"/>
      <c r="AY190" s="253"/>
      <c r="AZ190" s="253"/>
      <c r="BA190" s="253"/>
      <c r="BB190" s="254"/>
      <c r="BC190" s="250" t="s">
        <v>76</v>
      </c>
      <c r="BD190" s="251"/>
      <c r="BE190" s="250" t="s">
        <v>76</v>
      </c>
      <c r="BF190" s="251"/>
      <c r="BG190" s="250" t="s">
        <v>76</v>
      </c>
      <c r="BH190" s="251"/>
      <c r="BI190" s="250" t="s">
        <v>76</v>
      </c>
      <c r="BJ190" s="251"/>
      <c r="BK190" s="250" t="s">
        <v>73</v>
      </c>
      <c r="BL190" s="251"/>
    </row>
    <row r="191" spans="1:65" s="43" customFormat="1" ht="14.25" customHeight="1">
      <c r="A191" s="387">
        <f ca="1">MAX(A$5:INDIRECT("A"&amp;ROW()-1))+1</f>
        <v>185</v>
      </c>
      <c r="B191" s="213"/>
      <c r="C191" s="393"/>
      <c r="D191" s="394"/>
      <c r="E191" s="394"/>
      <c r="F191" s="394"/>
      <c r="G191" s="394"/>
      <c r="H191" s="394"/>
      <c r="I191" s="394"/>
      <c r="J191" s="394"/>
      <c r="K191" s="394"/>
      <c r="L191" s="394"/>
      <c r="M191" s="394"/>
      <c r="N191" s="394"/>
      <c r="O191" s="394"/>
      <c r="P191" s="394"/>
      <c r="Q191" s="394"/>
      <c r="R191" s="394"/>
      <c r="S191" s="394"/>
      <c r="T191" s="394"/>
      <c r="U191" s="394"/>
      <c r="V191" s="395"/>
      <c r="W191" s="252" t="s">
        <v>276</v>
      </c>
      <c r="X191" s="253"/>
      <c r="Y191" s="253"/>
      <c r="Z191" s="253"/>
      <c r="AA191" s="253"/>
      <c r="AB191" s="253"/>
      <c r="AC191" s="253"/>
      <c r="AD191" s="253"/>
      <c r="AE191" s="253"/>
      <c r="AF191" s="253"/>
      <c r="AG191" s="253"/>
      <c r="AH191" s="253"/>
      <c r="AI191" s="253"/>
      <c r="AJ191" s="253"/>
      <c r="AK191" s="254"/>
      <c r="AL191" s="252"/>
      <c r="AM191" s="253"/>
      <c r="AN191" s="253"/>
      <c r="AO191" s="253"/>
      <c r="AP191" s="253"/>
      <c r="AQ191" s="253"/>
      <c r="AR191" s="253"/>
      <c r="AS191" s="253"/>
      <c r="AT191" s="253"/>
      <c r="AU191" s="253"/>
      <c r="AV191" s="253"/>
      <c r="AW191" s="253"/>
      <c r="AX191" s="253"/>
      <c r="AY191" s="253"/>
      <c r="AZ191" s="253"/>
      <c r="BA191" s="253"/>
      <c r="BB191" s="254"/>
      <c r="BC191" s="250" t="s">
        <v>76</v>
      </c>
      <c r="BD191" s="251"/>
      <c r="BE191" s="250" t="s">
        <v>76</v>
      </c>
      <c r="BF191" s="251"/>
      <c r="BG191" s="250" t="s">
        <v>76</v>
      </c>
      <c r="BH191" s="251"/>
      <c r="BI191" s="250" t="s">
        <v>76</v>
      </c>
      <c r="BJ191" s="251"/>
      <c r="BK191" s="250" t="s">
        <v>73</v>
      </c>
      <c r="BL191" s="251"/>
    </row>
    <row r="192" spans="1:65" s="43" customFormat="1" ht="14.25" customHeight="1">
      <c r="A192" s="387">
        <f ca="1">MAX(A$5:INDIRECT("A"&amp;ROW()-1))+1</f>
        <v>186</v>
      </c>
      <c r="B192" s="213"/>
      <c r="C192" s="396"/>
      <c r="D192" s="397"/>
      <c r="E192" s="397"/>
      <c r="F192" s="397"/>
      <c r="G192" s="397"/>
      <c r="H192" s="397"/>
      <c r="I192" s="397"/>
      <c r="J192" s="397"/>
      <c r="K192" s="397"/>
      <c r="L192" s="397"/>
      <c r="M192" s="397"/>
      <c r="N192" s="397"/>
      <c r="O192" s="397"/>
      <c r="P192" s="397"/>
      <c r="Q192" s="397"/>
      <c r="R192" s="397"/>
      <c r="S192" s="397"/>
      <c r="T192" s="397"/>
      <c r="U192" s="397"/>
      <c r="V192" s="398"/>
      <c r="W192" s="252" t="s">
        <v>277</v>
      </c>
      <c r="X192" s="253"/>
      <c r="Y192" s="253"/>
      <c r="Z192" s="253"/>
      <c r="AA192" s="253"/>
      <c r="AB192" s="253"/>
      <c r="AC192" s="253"/>
      <c r="AD192" s="253"/>
      <c r="AE192" s="253"/>
      <c r="AF192" s="253"/>
      <c r="AG192" s="253"/>
      <c r="AH192" s="253"/>
      <c r="AI192" s="253"/>
      <c r="AJ192" s="253"/>
      <c r="AK192" s="254"/>
      <c r="AL192" s="252"/>
      <c r="AM192" s="253"/>
      <c r="AN192" s="253"/>
      <c r="AO192" s="253"/>
      <c r="AP192" s="253"/>
      <c r="AQ192" s="253"/>
      <c r="AR192" s="253"/>
      <c r="AS192" s="253"/>
      <c r="AT192" s="253"/>
      <c r="AU192" s="253"/>
      <c r="AV192" s="253"/>
      <c r="AW192" s="253"/>
      <c r="AX192" s="253"/>
      <c r="AY192" s="253"/>
      <c r="AZ192" s="253"/>
      <c r="BA192" s="253"/>
      <c r="BB192" s="254"/>
      <c r="BC192" s="250" t="s">
        <v>76</v>
      </c>
      <c r="BD192" s="251"/>
      <c r="BE192" s="250" t="s">
        <v>76</v>
      </c>
      <c r="BF192" s="251"/>
      <c r="BG192" s="250" t="s">
        <v>76</v>
      </c>
      <c r="BH192" s="251"/>
      <c r="BI192" s="250" t="s">
        <v>76</v>
      </c>
      <c r="BJ192" s="251"/>
      <c r="BK192" s="250" t="s">
        <v>73</v>
      </c>
      <c r="BL192" s="251"/>
    </row>
    <row r="193" spans="1:64" s="43" customFormat="1" ht="14.25" customHeight="1">
      <c r="A193" s="388">
        <f ca="1">MAX(A$5:INDIRECT("A"&amp;ROW()-1))+1</f>
        <v>187</v>
      </c>
      <c r="B193" s="389"/>
      <c r="C193" s="255" t="s">
        <v>278</v>
      </c>
      <c r="D193" s="256"/>
      <c r="E193" s="256"/>
      <c r="F193" s="256"/>
      <c r="G193" s="256"/>
      <c r="H193" s="256"/>
      <c r="I193" s="256"/>
      <c r="J193" s="256"/>
      <c r="K193" s="256"/>
      <c r="L193" s="256"/>
      <c r="M193" s="256"/>
      <c r="N193" s="256"/>
      <c r="O193" s="256"/>
      <c r="P193" s="256"/>
      <c r="Q193" s="256"/>
      <c r="R193" s="256"/>
      <c r="S193" s="256"/>
      <c r="T193" s="256"/>
      <c r="U193" s="256"/>
      <c r="V193" s="257"/>
      <c r="W193" s="252" t="s">
        <v>274</v>
      </c>
      <c r="X193" s="253"/>
      <c r="Y193" s="253"/>
      <c r="Z193" s="253"/>
      <c r="AA193" s="253"/>
      <c r="AB193" s="253"/>
      <c r="AC193" s="253"/>
      <c r="AD193" s="253"/>
      <c r="AE193" s="253"/>
      <c r="AF193" s="253"/>
      <c r="AG193" s="253"/>
      <c r="AH193" s="253"/>
      <c r="AI193" s="253"/>
      <c r="AJ193" s="253"/>
      <c r="AK193" s="254"/>
      <c r="AL193" s="252"/>
      <c r="AM193" s="253"/>
      <c r="AN193" s="253"/>
      <c r="AO193" s="253"/>
      <c r="AP193" s="253"/>
      <c r="AQ193" s="253"/>
      <c r="AR193" s="253"/>
      <c r="AS193" s="253"/>
      <c r="AT193" s="253"/>
      <c r="AU193" s="253"/>
      <c r="AV193" s="253"/>
      <c r="AW193" s="253"/>
      <c r="AX193" s="253"/>
      <c r="AY193" s="253"/>
      <c r="AZ193" s="253"/>
      <c r="BA193" s="253"/>
      <c r="BB193" s="254"/>
      <c r="BC193" s="250" t="s">
        <v>76</v>
      </c>
      <c r="BD193" s="251"/>
      <c r="BE193" s="250" t="s">
        <v>73</v>
      </c>
      <c r="BF193" s="251"/>
      <c r="BG193" s="250" t="s">
        <v>76</v>
      </c>
      <c r="BH193" s="251"/>
      <c r="BI193" s="250" t="s">
        <v>76</v>
      </c>
      <c r="BJ193" s="251"/>
      <c r="BK193" s="250" t="s">
        <v>73</v>
      </c>
      <c r="BL193" s="251"/>
    </row>
    <row r="194" spans="1:64" s="43" customFormat="1" ht="14.2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5"/>
      <c r="V194" s="45"/>
      <c r="W194" s="45"/>
      <c r="X194" s="45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  <c r="AX194" s="47"/>
      <c r="AY194" s="47"/>
      <c r="AZ194" s="47"/>
      <c r="BA194" s="45"/>
      <c r="BB194" s="45"/>
      <c r="BC194" s="45"/>
      <c r="BD194" s="45"/>
      <c r="BE194" s="45"/>
      <c r="BF194" s="45"/>
      <c r="BG194" s="45"/>
      <c r="BH194" s="45"/>
      <c r="BI194" s="45"/>
      <c r="BJ194" s="45"/>
      <c r="BK194" s="45"/>
      <c r="BL194" s="45"/>
    </row>
    <row r="195" spans="1:64" s="43" customFormat="1" ht="14.2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5"/>
      <c r="V195" s="45"/>
      <c r="W195" s="45"/>
      <c r="X195" s="45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5"/>
      <c r="BB195" s="45"/>
      <c r="BC195" s="45"/>
      <c r="BD195" s="45"/>
      <c r="BE195" s="45"/>
      <c r="BF195" s="45"/>
      <c r="BG195" s="45"/>
      <c r="BH195" s="45"/>
      <c r="BI195" s="45"/>
      <c r="BJ195" s="45"/>
      <c r="BK195" s="45"/>
      <c r="BL195" s="45"/>
    </row>
    <row r="196" spans="1:64" s="43" customFormat="1" ht="14.25" customHeight="1">
      <c r="A196" s="48"/>
      <c r="B196" s="45"/>
      <c r="C196" s="45"/>
      <c r="D196" s="45"/>
      <c r="E196" s="45"/>
      <c r="F196" s="45"/>
      <c r="G196" s="45"/>
      <c r="H196" s="45"/>
      <c r="I196" s="45"/>
      <c r="J196" s="45"/>
      <c r="K196" s="49"/>
      <c r="L196" s="46"/>
      <c r="M196" s="46"/>
      <c r="N196" s="46"/>
      <c r="O196" s="46"/>
      <c r="P196" s="46"/>
      <c r="Q196" s="46"/>
      <c r="R196" s="46"/>
      <c r="S196" s="46"/>
      <c r="T196" s="46"/>
      <c r="U196" s="50"/>
      <c r="V196" s="45"/>
      <c r="W196" s="45"/>
      <c r="X196" s="45"/>
      <c r="Y196" s="51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47"/>
      <c r="AX196" s="47"/>
      <c r="AY196" s="47"/>
      <c r="AZ196" s="47"/>
      <c r="BA196" s="48"/>
      <c r="BB196" s="45"/>
      <c r="BC196" s="45"/>
      <c r="BD196" s="45"/>
      <c r="BE196" s="45"/>
      <c r="BF196" s="45"/>
      <c r="BG196" s="45"/>
      <c r="BH196" s="45"/>
      <c r="BI196" s="45"/>
      <c r="BJ196" s="45"/>
      <c r="BK196" s="45"/>
      <c r="BL196" s="45"/>
    </row>
    <row r="197" spans="1:64" s="43" customFormat="1" ht="14.2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5"/>
      <c r="V197" s="45"/>
      <c r="W197" s="45"/>
      <c r="X197" s="45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  <c r="AX197" s="47"/>
      <c r="AY197" s="47"/>
      <c r="AZ197" s="47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</row>
    <row r="198" spans="1:64" s="43" customFormat="1" ht="14.2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5"/>
      <c r="V198" s="45"/>
      <c r="W198" s="45"/>
      <c r="X198" s="45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  <c r="AX198" s="47"/>
      <c r="AY198" s="47"/>
      <c r="AZ198" s="47"/>
      <c r="BA198" s="45"/>
      <c r="BB198" s="45"/>
      <c r="BC198" s="45"/>
      <c r="BD198" s="45"/>
      <c r="BE198" s="45"/>
      <c r="BF198" s="45"/>
      <c r="BG198" s="45"/>
      <c r="BH198" s="45"/>
      <c r="BI198" s="45"/>
      <c r="BJ198" s="45"/>
      <c r="BK198" s="45"/>
      <c r="BL198" s="45"/>
    </row>
    <row r="199" spans="1:64" s="43" customFormat="1" ht="14.25" customHeight="1">
      <c r="A199" s="48"/>
      <c r="B199" s="45"/>
      <c r="C199" s="45"/>
      <c r="D199" s="45"/>
      <c r="E199" s="45"/>
      <c r="F199" s="45"/>
      <c r="G199" s="45"/>
      <c r="H199" s="45"/>
      <c r="I199" s="45"/>
      <c r="J199" s="45"/>
      <c r="K199" s="49"/>
      <c r="L199" s="46"/>
      <c r="M199" s="46"/>
      <c r="N199" s="46"/>
      <c r="O199" s="46"/>
      <c r="P199" s="46"/>
      <c r="Q199" s="46"/>
      <c r="R199" s="46"/>
      <c r="S199" s="46"/>
      <c r="T199" s="46"/>
      <c r="U199" s="50"/>
      <c r="V199" s="45"/>
      <c r="W199" s="45"/>
      <c r="X199" s="45"/>
      <c r="Y199" s="51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  <c r="AX199" s="47"/>
      <c r="AY199" s="47"/>
      <c r="AZ199" s="47"/>
      <c r="BA199" s="48"/>
      <c r="BB199" s="45"/>
      <c r="BC199" s="45"/>
      <c r="BD199" s="45"/>
      <c r="BE199" s="45"/>
      <c r="BF199" s="45"/>
      <c r="BG199" s="45"/>
      <c r="BH199" s="45"/>
      <c r="BI199" s="45"/>
      <c r="BJ199" s="45"/>
      <c r="BK199" s="45"/>
      <c r="BL199" s="45"/>
    </row>
    <row r="200" spans="1:64" s="43" customFormat="1" ht="14.2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5"/>
      <c r="V200" s="45"/>
      <c r="W200" s="45"/>
      <c r="X200" s="45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  <c r="AX200" s="47"/>
      <c r="AY200" s="47"/>
      <c r="AZ200" s="47"/>
      <c r="BA200" s="45"/>
      <c r="BB200" s="45"/>
      <c r="BC200" s="45"/>
      <c r="BD200" s="45"/>
      <c r="BE200" s="45"/>
      <c r="BF200" s="45"/>
      <c r="BG200" s="45"/>
      <c r="BH200" s="45"/>
      <c r="BI200" s="45"/>
      <c r="BJ200" s="45"/>
      <c r="BK200" s="45"/>
      <c r="BL200" s="45"/>
    </row>
    <row r="201" spans="1:64" s="43" customFormat="1" ht="14.2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5"/>
      <c r="V201" s="45"/>
      <c r="W201" s="45"/>
      <c r="X201" s="45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  <c r="AX201" s="47"/>
      <c r="AY201" s="47"/>
      <c r="AZ201" s="47"/>
      <c r="BA201" s="45"/>
      <c r="BB201" s="45"/>
      <c r="BC201" s="45"/>
      <c r="BD201" s="45"/>
      <c r="BE201" s="45"/>
      <c r="BF201" s="45"/>
      <c r="BG201" s="45"/>
      <c r="BH201" s="45"/>
      <c r="BI201" s="45"/>
      <c r="BJ201" s="45"/>
      <c r="BK201" s="45"/>
      <c r="BL201" s="45"/>
    </row>
    <row r="202" spans="1:64" s="43" customFormat="1" ht="14.25" customHeight="1">
      <c r="A202" s="48"/>
      <c r="B202" s="45"/>
      <c r="C202" s="45"/>
      <c r="D202" s="45"/>
      <c r="E202" s="45"/>
      <c r="F202" s="45"/>
      <c r="G202" s="45"/>
      <c r="H202" s="45"/>
      <c r="I202" s="45"/>
      <c r="J202" s="45"/>
      <c r="K202" s="49"/>
      <c r="L202" s="46"/>
      <c r="M202" s="46"/>
      <c r="N202" s="46"/>
      <c r="O202" s="46"/>
      <c r="P202" s="46"/>
      <c r="Q202" s="46"/>
      <c r="R202" s="46"/>
      <c r="S202" s="46"/>
      <c r="T202" s="46"/>
      <c r="U202" s="50"/>
      <c r="V202" s="45"/>
      <c r="W202" s="45"/>
      <c r="X202" s="45"/>
      <c r="Y202" s="51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8"/>
      <c r="BB202" s="45"/>
      <c r="BC202" s="45"/>
      <c r="BD202" s="45"/>
      <c r="BE202" s="45"/>
      <c r="BF202" s="45"/>
      <c r="BG202" s="45"/>
      <c r="BH202" s="45"/>
      <c r="BI202" s="45"/>
      <c r="BJ202" s="45"/>
      <c r="BK202" s="45"/>
      <c r="BL202" s="45"/>
    </row>
    <row r="203" spans="1:64" s="43" customFormat="1" ht="14.2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5"/>
      <c r="V203" s="45"/>
      <c r="W203" s="45"/>
      <c r="X203" s="45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5"/>
      <c r="BB203" s="45"/>
      <c r="BC203" s="45"/>
      <c r="BD203" s="45"/>
      <c r="BE203" s="45"/>
      <c r="BF203" s="45"/>
      <c r="BG203" s="45"/>
      <c r="BH203" s="45"/>
      <c r="BI203" s="45"/>
      <c r="BJ203" s="45"/>
      <c r="BK203" s="45"/>
      <c r="BL203" s="45"/>
    </row>
    <row r="204" spans="1:64" s="43" customFormat="1" ht="14.2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5"/>
      <c r="V204" s="45"/>
      <c r="W204" s="45"/>
      <c r="X204" s="45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5"/>
      <c r="BB204" s="45"/>
      <c r="BC204" s="45"/>
      <c r="BD204" s="45"/>
      <c r="BE204" s="45"/>
      <c r="BF204" s="45"/>
      <c r="BG204" s="45"/>
      <c r="BH204" s="45"/>
      <c r="BI204" s="45"/>
      <c r="BJ204" s="45"/>
      <c r="BK204" s="45"/>
      <c r="BL204" s="45"/>
    </row>
    <row r="205" spans="1:64" s="43" customFormat="1" ht="14.25" customHeight="1">
      <c r="A205" s="48"/>
      <c r="B205" s="45"/>
      <c r="C205" s="45"/>
      <c r="D205" s="45"/>
      <c r="E205" s="45"/>
      <c r="F205" s="45"/>
      <c r="G205" s="45"/>
      <c r="H205" s="45"/>
      <c r="I205" s="45"/>
      <c r="J205" s="45"/>
      <c r="K205" s="49"/>
      <c r="L205" s="46"/>
      <c r="M205" s="46"/>
      <c r="N205" s="46"/>
      <c r="O205" s="46"/>
      <c r="P205" s="46"/>
      <c r="Q205" s="46"/>
      <c r="R205" s="46"/>
      <c r="S205" s="46"/>
      <c r="T205" s="46"/>
      <c r="U205" s="50"/>
      <c r="V205" s="45"/>
      <c r="W205" s="45"/>
      <c r="X205" s="45"/>
      <c r="Y205" s="51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  <c r="AX205" s="47"/>
      <c r="AY205" s="47"/>
      <c r="AZ205" s="47"/>
      <c r="BA205" s="48"/>
      <c r="BB205" s="45"/>
      <c r="BC205" s="45"/>
      <c r="BD205" s="45"/>
      <c r="BE205" s="45"/>
      <c r="BF205" s="45"/>
      <c r="BG205" s="45"/>
      <c r="BH205" s="45"/>
      <c r="BI205" s="45"/>
      <c r="BJ205" s="45"/>
      <c r="BK205" s="45"/>
      <c r="BL205" s="45"/>
    </row>
    <row r="206" spans="1:64" s="43" customFormat="1" ht="14.2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5"/>
      <c r="V206" s="45"/>
      <c r="W206" s="45"/>
      <c r="X206" s="45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  <c r="AX206" s="47"/>
      <c r="AY206" s="47"/>
      <c r="AZ206" s="47"/>
      <c r="BA206" s="45"/>
      <c r="BB206" s="45"/>
      <c r="BC206" s="45"/>
      <c r="BD206" s="45"/>
      <c r="BE206" s="45"/>
      <c r="BF206" s="45"/>
      <c r="BG206" s="45"/>
      <c r="BH206" s="45"/>
      <c r="BI206" s="45"/>
      <c r="BJ206" s="45"/>
      <c r="BK206" s="45"/>
      <c r="BL206" s="45"/>
    </row>
    <row r="207" spans="1:64" s="43" customFormat="1" ht="13.5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5"/>
      <c r="V207" s="45"/>
      <c r="W207" s="45"/>
      <c r="X207" s="45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  <c r="AX207" s="47"/>
      <c r="AY207" s="47"/>
      <c r="AZ207" s="47"/>
      <c r="BA207" s="45"/>
      <c r="BB207" s="45"/>
      <c r="BC207" s="45"/>
      <c r="BD207" s="45"/>
      <c r="BE207" s="45"/>
      <c r="BF207" s="45"/>
      <c r="BG207" s="45"/>
      <c r="BH207" s="45"/>
      <c r="BI207" s="45"/>
      <c r="BJ207" s="45"/>
      <c r="BK207" s="45"/>
      <c r="BL207" s="45"/>
    </row>
    <row r="208" spans="1:64" s="43" customFormat="1" ht="14.25" customHeight="1">
      <c r="A208" s="48"/>
      <c r="B208" s="45"/>
      <c r="C208" s="45"/>
      <c r="D208" s="45"/>
      <c r="E208" s="45"/>
      <c r="F208" s="45"/>
      <c r="G208" s="45"/>
      <c r="H208" s="45"/>
      <c r="I208" s="45"/>
      <c r="J208" s="45"/>
      <c r="K208" s="49"/>
      <c r="L208" s="46"/>
      <c r="M208" s="46"/>
      <c r="N208" s="46"/>
      <c r="O208" s="46"/>
      <c r="P208" s="46"/>
      <c r="Q208" s="46"/>
      <c r="R208" s="46"/>
      <c r="S208" s="46"/>
      <c r="T208" s="46"/>
      <c r="U208" s="50"/>
      <c r="V208" s="45"/>
      <c r="W208" s="45"/>
      <c r="X208" s="45"/>
      <c r="Y208" s="51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47"/>
      <c r="AX208" s="47"/>
      <c r="AY208" s="47"/>
      <c r="AZ208" s="47"/>
      <c r="BA208" s="48"/>
      <c r="BB208" s="45"/>
      <c r="BC208" s="45"/>
      <c r="BD208" s="45"/>
      <c r="BE208" s="45"/>
      <c r="BF208" s="45"/>
      <c r="BG208" s="45"/>
      <c r="BH208" s="45"/>
      <c r="BI208" s="45"/>
      <c r="BJ208" s="45"/>
      <c r="BK208" s="45"/>
      <c r="BL208" s="45"/>
    </row>
    <row r="209" spans="1:64" s="43" customFormat="1" ht="14.2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5"/>
      <c r="V209" s="45"/>
      <c r="W209" s="45"/>
      <c r="X209" s="45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7"/>
      <c r="AX209" s="47"/>
      <c r="AY209" s="47"/>
      <c r="AZ209" s="47"/>
      <c r="BA209" s="45"/>
      <c r="BB209" s="45"/>
      <c r="BC209" s="45"/>
      <c r="BD209" s="45"/>
      <c r="BE209" s="45"/>
      <c r="BF209" s="45"/>
      <c r="BG209" s="45"/>
      <c r="BH209" s="45"/>
      <c r="BI209" s="45"/>
      <c r="BJ209" s="45"/>
      <c r="BK209" s="45"/>
      <c r="BL209" s="45"/>
    </row>
    <row r="210" spans="1:64" s="43" customFormat="1" ht="14.2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5"/>
      <c r="V210" s="45"/>
      <c r="W210" s="45"/>
      <c r="X210" s="45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5"/>
      <c r="BB210" s="45"/>
      <c r="BC210" s="45"/>
      <c r="BD210" s="45"/>
      <c r="BE210" s="45"/>
      <c r="BF210" s="45"/>
      <c r="BG210" s="45"/>
      <c r="BH210" s="45"/>
      <c r="BI210" s="45"/>
      <c r="BJ210" s="45"/>
      <c r="BK210" s="45"/>
      <c r="BL210" s="45"/>
    </row>
    <row r="211" spans="1:64" s="43" customFormat="1" ht="14.25" customHeight="1">
      <c r="A211" s="48"/>
      <c r="B211" s="45"/>
      <c r="C211" s="45"/>
      <c r="D211" s="45"/>
      <c r="E211" s="45"/>
      <c r="F211" s="45"/>
      <c r="G211" s="45"/>
      <c r="H211" s="45"/>
      <c r="I211" s="45"/>
      <c r="J211" s="45"/>
      <c r="K211" s="49"/>
      <c r="L211" s="46"/>
      <c r="M211" s="46"/>
      <c r="N211" s="46"/>
      <c r="O211" s="46"/>
      <c r="P211" s="46"/>
      <c r="Q211" s="46"/>
      <c r="R211" s="46"/>
      <c r="S211" s="46"/>
      <c r="T211" s="46"/>
      <c r="U211" s="50"/>
      <c r="V211" s="45"/>
      <c r="W211" s="45"/>
      <c r="X211" s="45"/>
      <c r="Y211" s="51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  <c r="AX211" s="47"/>
      <c r="AY211" s="47"/>
      <c r="AZ211" s="47"/>
      <c r="BA211" s="48"/>
      <c r="BB211" s="45"/>
      <c r="BC211" s="45"/>
      <c r="BD211" s="45"/>
      <c r="BE211" s="45"/>
      <c r="BF211" s="45"/>
      <c r="BG211" s="45"/>
      <c r="BH211" s="45"/>
      <c r="BI211" s="45"/>
      <c r="BJ211" s="45"/>
      <c r="BK211" s="45"/>
      <c r="BL211" s="45"/>
    </row>
    <row r="212" spans="1:64" s="43" customFormat="1" ht="14.2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5"/>
      <c r="V212" s="45"/>
      <c r="W212" s="45"/>
      <c r="X212" s="45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5"/>
      <c r="BB212" s="45"/>
      <c r="BC212" s="45"/>
      <c r="BD212" s="45"/>
      <c r="BE212" s="45"/>
      <c r="BF212" s="45"/>
      <c r="BG212" s="45"/>
      <c r="BH212" s="45"/>
      <c r="BI212" s="45"/>
      <c r="BJ212" s="45"/>
      <c r="BK212" s="45"/>
      <c r="BL212" s="45"/>
    </row>
    <row r="213" spans="1:64" s="43" customFormat="1" ht="14.2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5"/>
      <c r="V213" s="45"/>
      <c r="W213" s="45"/>
      <c r="X213" s="45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7"/>
      <c r="AX213" s="47"/>
      <c r="AY213" s="47"/>
      <c r="AZ213" s="47"/>
      <c r="BA213" s="45"/>
      <c r="BB213" s="45"/>
      <c r="BC213" s="45"/>
      <c r="BD213" s="45"/>
      <c r="BE213" s="45"/>
      <c r="BF213" s="45"/>
      <c r="BG213" s="45"/>
      <c r="BH213" s="45"/>
      <c r="BI213" s="45"/>
      <c r="BJ213" s="45"/>
      <c r="BK213" s="45"/>
      <c r="BL213" s="45"/>
    </row>
    <row r="214" spans="1:64" s="43" customFormat="1" ht="14.25" customHeight="1">
      <c r="A214" s="48"/>
      <c r="B214" s="45"/>
      <c r="C214" s="45"/>
      <c r="D214" s="45"/>
      <c r="E214" s="45"/>
      <c r="F214" s="45"/>
      <c r="G214" s="45"/>
      <c r="H214" s="45"/>
      <c r="I214" s="45"/>
      <c r="J214" s="45"/>
      <c r="K214" s="49"/>
      <c r="L214" s="46"/>
      <c r="M214" s="46"/>
      <c r="N214" s="46"/>
      <c r="O214" s="46"/>
      <c r="P214" s="46"/>
      <c r="Q214" s="46"/>
      <c r="R214" s="46"/>
      <c r="S214" s="46"/>
      <c r="T214" s="46"/>
      <c r="U214" s="50"/>
      <c r="V214" s="45"/>
      <c r="W214" s="45"/>
      <c r="X214" s="45"/>
      <c r="Y214" s="51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  <c r="AX214" s="47"/>
      <c r="AY214" s="47"/>
      <c r="AZ214" s="47"/>
      <c r="BA214" s="48"/>
      <c r="BB214" s="45"/>
      <c r="BC214" s="45"/>
      <c r="BD214" s="45"/>
      <c r="BE214" s="45"/>
      <c r="BF214" s="45"/>
      <c r="BG214" s="45"/>
      <c r="BH214" s="45"/>
      <c r="BI214" s="45"/>
      <c r="BJ214" s="45"/>
      <c r="BK214" s="45"/>
      <c r="BL214" s="45"/>
    </row>
    <row r="215" spans="1:64" s="43" customFormat="1" ht="14.2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5"/>
      <c r="V215" s="45"/>
      <c r="W215" s="45"/>
      <c r="X215" s="45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47"/>
      <c r="AX215" s="47"/>
      <c r="AY215" s="47"/>
      <c r="AZ215" s="47"/>
      <c r="BA215" s="45"/>
      <c r="BB215" s="45"/>
      <c r="BC215" s="45"/>
      <c r="BD215" s="45"/>
      <c r="BE215" s="45"/>
      <c r="BF215" s="45"/>
      <c r="BG215" s="45"/>
      <c r="BH215" s="45"/>
      <c r="BI215" s="45"/>
      <c r="BJ215" s="45"/>
      <c r="BK215" s="45"/>
      <c r="BL215" s="45"/>
    </row>
    <row r="216" spans="1:64" s="43" customFormat="1" ht="14.2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5"/>
      <c r="V216" s="45"/>
      <c r="W216" s="45"/>
      <c r="X216" s="45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7"/>
      <c r="AX216" s="47"/>
      <c r="AY216" s="47"/>
      <c r="AZ216" s="47"/>
      <c r="BA216" s="45"/>
      <c r="BB216" s="45"/>
      <c r="BC216" s="45"/>
      <c r="BD216" s="45"/>
      <c r="BE216" s="45"/>
      <c r="BF216" s="45"/>
      <c r="BG216" s="45"/>
      <c r="BH216" s="45"/>
      <c r="BI216" s="45"/>
      <c r="BJ216" s="45"/>
      <c r="BK216" s="45"/>
      <c r="BL216" s="45"/>
    </row>
    <row r="217" spans="1:64" s="43" customFormat="1" ht="14.25" customHeight="1">
      <c r="A217" s="48"/>
      <c r="B217" s="45"/>
      <c r="C217" s="45"/>
      <c r="D217" s="45"/>
      <c r="E217" s="45"/>
      <c r="F217" s="45"/>
      <c r="G217" s="45"/>
      <c r="H217" s="45"/>
      <c r="I217" s="45"/>
      <c r="J217" s="45"/>
      <c r="K217" s="49"/>
      <c r="L217" s="46"/>
      <c r="M217" s="46"/>
      <c r="N217" s="46"/>
      <c r="O217" s="46"/>
      <c r="P217" s="46"/>
      <c r="Q217" s="46"/>
      <c r="R217" s="46"/>
      <c r="S217" s="46"/>
      <c r="T217" s="46"/>
      <c r="U217" s="50"/>
      <c r="V217" s="45"/>
      <c r="W217" s="45"/>
      <c r="X217" s="45"/>
      <c r="Y217" s="51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  <c r="AX217" s="47"/>
      <c r="AY217" s="47"/>
      <c r="AZ217" s="47"/>
      <c r="BA217" s="48"/>
      <c r="BB217" s="45"/>
      <c r="BC217" s="45"/>
      <c r="BD217" s="45"/>
      <c r="BE217" s="45"/>
      <c r="BF217" s="45"/>
      <c r="BG217" s="45"/>
      <c r="BH217" s="45"/>
      <c r="BI217" s="45"/>
      <c r="BJ217" s="45"/>
      <c r="BK217" s="45"/>
      <c r="BL217" s="45"/>
    </row>
    <row r="218" spans="1:64" s="43" customFormat="1" ht="14.2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5"/>
      <c r="V218" s="45"/>
      <c r="W218" s="45"/>
      <c r="X218" s="45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  <c r="AX218" s="47"/>
      <c r="AY218" s="47"/>
      <c r="AZ218" s="47"/>
      <c r="BA218" s="45"/>
      <c r="BB218" s="45"/>
      <c r="BC218" s="45"/>
      <c r="BD218" s="45"/>
      <c r="BE218" s="45"/>
      <c r="BF218" s="45"/>
      <c r="BG218" s="45"/>
      <c r="BH218" s="45"/>
      <c r="BI218" s="45"/>
      <c r="BJ218" s="45"/>
      <c r="BK218" s="45"/>
      <c r="BL218" s="45"/>
    </row>
    <row r="219" spans="1:64" s="43" customFormat="1" ht="14.2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5"/>
      <c r="V219" s="45"/>
      <c r="W219" s="45"/>
      <c r="X219" s="45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  <c r="AX219" s="47"/>
      <c r="AY219" s="47"/>
      <c r="AZ219" s="47"/>
      <c r="BA219" s="45"/>
      <c r="BB219" s="45"/>
      <c r="BC219" s="45"/>
      <c r="BD219" s="45"/>
      <c r="BE219" s="45"/>
      <c r="BF219" s="45"/>
      <c r="BG219" s="45"/>
      <c r="BH219" s="45"/>
      <c r="BI219" s="45"/>
      <c r="BJ219" s="45"/>
      <c r="BK219" s="45"/>
      <c r="BL219" s="45"/>
    </row>
    <row r="220" spans="1:64" s="43" customFormat="1" ht="14.25" customHeight="1">
      <c r="A220" s="48"/>
      <c r="B220" s="45"/>
      <c r="C220" s="45"/>
      <c r="D220" s="45"/>
      <c r="E220" s="45"/>
      <c r="F220" s="45"/>
      <c r="G220" s="45"/>
      <c r="H220" s="45"/>
      <c r="I220" s="45"/>
      <c r="J220" s="45"/>
      <c r="K220" s="49"/>
      <c r="L220" s="46"/>
      <c r="M220" s="46"/>
      <c r="N220" s="46"/>
      <c r="O220" s="46"/>
      <c r="P220" s="46"/>
      <c r="Q220" s="46"/>
      <c r="R220" s="46"/>
      <c r="S220" s="46"/>
      <c r="T220" s="46"/>
      <c r="U220" s="50"/>
      <c r="V220" s="45"/>
      <c r="W220" s="45"/>
      <c r="X220" s="45"/>
      <c r="Y220" s="51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  <c r="AX220" s="47"/>
      <c r="AY220" s="47"/>
      <c r="AZ220" s="47"/>
      <c r="BA220" s="48"/>
      <c r="BB220" s="45"/>
      <c r="BC220" s="45"/>
      <c r="BD220" s="45"/>
      <c r="BE220" s="45"/>
      <c r="BF220" s="45"/>
      <c r="BG220" s="45"/>
      <c r="BH220" s="45"/>
      <c r="BI220" s="45"/>
      <c r="BJ220" s="45"/>
      <c r="BK220" s="45"/>
      <c r="BL220" s="45"/>
    </row>
    <row r="221" spans="1:64" s="43" customFormat="1" ht="14.2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5"/>
      <c r="V221" s="45"/>
      <c r="W221" s="45"/>
      <c r="X221" s="45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47"/>
      <c r="AX221" s="47"/>
      <c r="AY221" s="47"/>
      <c r="AZ221" s="47"/>
      <c r="BA221" s="45"/>
      <c r="BB221" s="45"/>
      <c r="BC221" s="45"/>
      <c r="BD221" s="45"/>
      <c r="BE221" s="45"/>
      <c r="BF221" s="45"/>
      <c r="BG221" s="45"/>
      <c r="BH221" s="45"/>
      <c r="BI221" s="45"/>
      <c r="BJ221" s="45"/>
      <c r="BK221" s="45"/>
      <c r="BL221" s="45"/>
    </row>
    <row r="222" spans="1:64" s="43" customFormat="1" ht="14.2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5"/>
      <c r="V222" s="45"/>
      <c r="W222" s="45"/>
      <c r="X222" s="45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5"/>
      <c r="BB222" s="45"/>
      <c r="BC222" s="45"/>
      <c r="BD222" s="45"/>
      <c r="BE222" s="45"/>
      <c r="BF222" s="45"/>
      <c r="BG222" s="45"/>
      <c r="BH222" s="45"/>
      <c r="BI222" s="45"/>
      <c r="BJ222" s="45"/>
      <c r="BK222" s="45"/>
      <c r="BL222" s="45"/>
    </row>
    <row r="223" spans="1:64" s="43" customFormat="1" ht="14.25" customHeight="1">
      <c r="A223" s="48"/>
      <c r="B223" s="45"/>
      <c r="C223" s="45"/>
      <c r="D223" s="45"/>
      <c r="E223" s="45"/>
      <c r="F223" s="45"/>
      <c r="G223" s="45"/>
      <c r="H223" s="45"/>
      <c r="I223" s="45"/>
      <c r="J223" s="45"/>
      <c r="K223" s="49"/>
      <c r="L223" s="46"/>
      <c r="M223" s="46"/>
      <c r="N223" s="46"/>
      <c r="O223" s="46"/>
      <c r="P223" s="46"/>
      <c r="Q223" s="46"/>
      <c r="R223" s="46"/>
      <c r="S223" s="46"/>
      <c r="T223" s="46"/>
      <c r="U223" s="50"/>
      <c r="V223" s="45"/>
      <c r="W223" s="45"/>
      <c r="X223" s="45"/>
      <c r="Y223" s="51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47"/>
      <c r="AX223" s="47"/>
      <c r="AY223" s="47"/>
      <c r="AZ223" s="47"/>
      <c r="BA223" s="48"/>
      <c r="BB223" s="45"/>
      <c r="BC223" s="45"/>
      <c r="BD223" s="45"/>
      <c r="BE223" s="45"/>
      <c r="BF223" s="45"/>
      <c r="BG223" s="45"/>
      <c r="BH223" s="45"/>
      <c r="BI223" s="45"/>
      <c r="BJ223" s="45"/>
      <c r="BK223" s="45"/>
      <c r="BL223" s="45"/>
    </row>
    <row r="224" spans="1:64" s="43" customFormat="1" ht="14.2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5"/>
      <c r="V224" s="45"/>
      <c r="W224" s="45"/>
      <c r="X224" s="45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47"/>
      <c r="AX224" s="47"/>
      <c r="AY224" s="47"/>
      <c r="AZ224" s="47"/>
      <c r="BA224" s="45"/>
      <c r="BB224" s="45"/>
      <c r="BC224" s="45"/>
      <c r="BD224" s="45"/>
      <c r="BE224" s="45"/>
      <c r="BF224" s="45"/>
      <c r="BG224" s="45"/>
      <c r="BH224" s="45"/>
      <c r="BI224" s="45"/>
      <c r="BJ224" s="45"/>
      <c r="BK224" s="45"/>
      <c r="BL224" s="45"/>
    </row>
    <row r="225" spans="1:64" s="43" customFormat="1" ht="14.2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5"/>
      <c r="V225" s="45"/>
      <c r="W225" s="45"/>
      <c r="X225" s="45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  <c r="AX225" s="47"/>
      <c r="AY225" s="47"/>
      <c r="AZ225" s="47"/>
      <c r="BA225" s="45"/>
      <c r="BB225" s="45"/>
      <c r="BC225" s="45"/>
      <c r="BD225" s="45"/>
      <c r="BE225" s="45"/>
      <c r="BF225" s="45"/>
      <c r="BG225" s="45"/>
      <c r="BH225" s="45"/>
      <c r="BI225" s="45"/>
      <c r="BJ225" s="45"/>
      <c r="BK225" s="45"/>
      <c r="BL225" s="45"/>
    </row>
    <row r="226" spans="1:64" s="43" customFormat="1" ht="14.25" customHeight="1">
      <c r="A226" s="48"/>
      <c r="B226" s="45"/>
      <c r="C226" s="45"/>
      <c r="D226" s="45"/>
      <c r="E226" s="45"/>
      <c r="F226" s="45"/>
      <c r="G226" s="45"/>
      <c r="H226" s="45"/>
      <c r="I226" s="45"/>
      <c r="J226" s="45"/>
      <c r="K226" s="49"/>
      <c r="L226" s="46"/>
      <c r="M226" s="46"/>
      <c r="N226" s="46"/>
      <c r="O226" s="46"/>
      <c r="P226" s="46"/>
      <c r="Q226" s="46"/>
      <c r="R226" s="46"/>
      <c r="S226" s="46"/>
      <c r="T226" s="46"/>
      <c r="U226" s="50"/>
      <c r="V226" s="45"/>
      <c r="W226" s="45"/>
      <c r="X226" s="45"/>
      <c r="Y226" s="51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  <c r="AX226" s="47"/>
      <c r="AY226" s="47"/>
      <c r="AZ226" s="47"/>
      <c r="BA226" s="48"/>
      <c r="BB226" s="45"/>
      <c r="BC226" s="45"/>
      <c r="BD226" s="45"/>
      <c r="BE226" s="45"/>
      <c r="BF226" s="45"/>
      <c r="BG226" s="45"/>
      <c r="BH226" s="45"/>
      <c r="BI226" s="45"/>
      <c r="BJ226" s="45"/>
      <c r="BK226" s="45"/>
      <c r="BL226" s="45"/>
    </row>
    <row r="227" spans="1:64" s="43" customFormat="1" ht="14.2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5"/>
      <c r="V227" s="45"/>
      <c r="W227" s="45"/>
      <c r="X227" s="45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7"/>
      <c r="AX227" s="47"/>
      <c r="AY227" s="47"/>
      <c r="AZ227" s="47"/>
      <c r="BA227" s="45"/>
      <c r="BB227" s="45"/>
      <c r="BC227" s="45"/>
      <c r="BD227" s="45"/>
      <c r="BE227" s="45"/>
      <c r="BF227" s="45"/>
      <c r="BG227" s="45"/>
      <c r="BH227" s="45"/>
      <c r="BI227" s="45"/>
      <c r="BJ227" s="45"/>
      <c r="BK227" s="45"/>
      <c r="BL227" s="45"/>
    </row>
    <row r="228" spans="1:64" s="43" customFormat="1" ht="14.2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5"/>
      <c r="V228" s="45"/>
      <c r="W228" s="45"/>
      <c r="X228" s="45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47"/>
      <c r="AX228" s="47"/>
      <c r="AY228" s="47"/>
      <c r="AZ228" s="47"/>
      <c r="BA228" s="45"/>
      <c r="BB228" s="45"/>
      <c r="BC228" s="45"/>
      <c r="BD228" s="45"/>
      <c r="BE228" s="45"/>
      <c r="BF228" s="45"/>
      <c r="BG228" s="45"/>
      <c r="BH228" s="45"/>
      <c r="BI228" s="45"/>
      <c r="BJ228" s="45"/>
      <c r="BK228" s="45"/>
      <c r="BL228" s="45"/>
    </row>
    <row r="229" spans="1:64" s="43" customFormat="1" ht="14.25" customHeight="1">
      <c r="A229" s="48"/>
      <c r="B229" s="45"/>
      <c r="C229" s="45"/>
      <c r="D229" s="45"/>
      <c r="E229" s="45"/>
      <c r="F229" s="45"/>
      <c r="G229" s="45"/>
      <c r="H229" s="45"/>
      <c r="I229" s="45"/>
      <c r="J229" s="45"/>
      <c r="K229" s="49"/>
      <c r="L229" s="46"/>
      <c r="M229" s="46"/>
      <c r="N229" s="46"/>
      <c r="O229" s="46"/>
      <c r="P229" s="46"/>
      <c r="Q229" s="46"/>
      <c r="R229" s="46"/>
      <c r="S229" s="46"/>
      <c r="T229" s="46"/>
      <c r="U229" s="50"/>
      <c r="V229" s="45"/>
      <c r="W229" s="45"/>
      <c r="X229" s="45"/>
      <c r="Y229" s="51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47"/>
      <c r="AX229" s="47"/>
      <c r="AY229" s="47"/>
      <c r="AZ229" s="47"/>
      <c r="BA229" s="48"/>
      <c r="BB229" s="45"/>
      <c r="BC229" s="45"/>
      <c r="BD229" s="45"/>
      <c r="BE229" s="45"/>
      <c r="BF229" s="45"/>
      <c r="BG229" s="45"/>
      <c r="BH229" s="45"/>
      <c r="BI229" s="45"/>
      <c r="BJ229" s="45"/>
      <c r="BK229" s="45"/>
      <c r="BL229" s="45"/>
    </row>
    <row r="230" spans="1:64" s="43" customFormat="1" ht="14.2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5"/>
      <c r="V230" s="45"/>
      <c r="W230" s="45"/>
      <c r="X230" s="45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47"/>
      <c r="AX230" s="47"/>
      <c r="AY230" s="47"/>
      <c r="AZ230" s="47"/>
      <c r="BA230" s="45"/>
      <c r="BB230" s="45"/>
      <c r="BC230" s="45"/>
      <c r="BD230" s="45"/>
      <c r="BE230" s="45"/>
      <c r="BF230" s="45"/>
      <c r="BG230" s="45"/>
      <c r="BH230" s="45"/>
      <c r="BI230" s="45"/>
      <c r="BJ230" s="45"/>
      <c r="BK230" s="45"/>
      <c r="BL230" s="45"/>
    </row>
    <row r="231" spans="1:64" s="43" customFormat="1" ht="14.2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5"/>
      <c r="V231" s="45"/>
      <c r="W231" s="45"/>
      <c r="X231" s="45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7"/>
      <c r="AX231" s="47"/>
      <c r="AY231" s="47"/>
      <c r="AZ231" s="47"/>
      <c r="BA231" s="45"/>
      <c r="BB231" s="45"/>
      <c r="BC231" s="45"/>
      <c r="BD231" s="45"/>
      <c r="BE231" s="45"/>
      <c r="BF231" s="45"/>
      <c r="BG231" s="45"/>
      <c r="BH231" s="45"/>
      <c r="BI231" s="45"/>
      <c r="BJ231" s="45"/>
      <c r="BK231" s="45"/>
      <c r="BL231" s="45"/>
    </row>
    <row r="232" spans="1:64" s="43" customFormat="1" ht="14.25" customHeight="1">
      <c r="A232" s="48"/>
      <c r="B232" s="45"/>
      <c r="C232" s="45"/>
      <c r="D232" s="45"/>
      <c r="E232" s="45"/>
      <c r="F232" s="45"/>
      <c r="G232" s="45"/>
      <c r="H232" s="45"/>
      <c r="I232" s="45"/>
      <c r="J232" s="45"/>
      <c r="K232" s="49"/>
      <c r="L232" s="46"/>
      <c r="M232" s="46"/>
      <c r="N232" s="46"/>
      <c r="O232" s="46"/>
      <c r="P232" s="46"/>
      <c r="Q232" s="46"/>
      <c r="R232" s="46"/>
      <c r="S232" s="46"/>
      <c r="T232" s="46"/>
      <c r="U232" s="50"/>
      <c r="V232" s="45"/>
      <c r="W232" s="45"/>
      <c r="X232" s="45"/>
      <c r="Y232" s="51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8"/>
      <c r="BB232" s="45"/>
      <c r="BC232" s="45"/>
      <c r="BD232" s="45"/>
      <c r="BE232" s="45"/>
      <c r="BF232" s="45"/>
      <c r="BG232" s="45"/>
      <c r="BH232" s="45"/>
      <c r="BI232" s="45"/>
      <c r="BJ232" s="45"/>
      <c r="BK232" s="45"/>
      <c r="BL232" s="45"/>
    </row>
    <row r="233" spans="1:64" s="43" customFormat="1" ht="14.2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5"/>
      <c r="V233" s="45"/>
      <c r="W233" s="45"/>
      <c r="X233" s="45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47"/>
      <c r="AX233" s="47"/>
      <c r="AY233" s="47"/>
      <c r="AZ233" s="47"/>
      <c r="BA233" s="45"/>
      <c r="BB233" s="45"/>
      <c r="BC233" s="45"/>
      <c r="BD233" s="45"/>
      <c r="BE233" s="45"/>
      <c r="BF233" s="45"/>
      <c r="BG233" s="45"/>
      <c r="BH233" s="45"/>
      <c r="BI233" s="45"/>
      <c r="BJ233" s="45"/>
      <c r="BK233" s="45"/>
      <c r="BL233" s="45"/>
    </row>
    <row r="234" spans="1:64" s="43" customFormat="1" ht="14.2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5"/>
      <c r="V234" s="45"/>
      <c r="W234" s="45"/>
      <c r="X234" s="45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  <c r="AX234" s="47"/>
      <c r="AY234" s="47"/>
      <c r="AZ234" s="47"/>
      <c r="BA234" s="45"/>
      <c r="BB234" s="45"/>
      <c r="BC234" s="45"/>
      <c r="BD234" s="45"/>
      <c r="BE234" s="45"/>
      <c r="BF234" s="45"/>
      <c r="BG234" s="45"/>
      <c r="BH234" s="45"/>
      <c r="BI234" s="45"/>
      <c r="BJ234" s="45"/>
      <c r="BK234" s="45"/>
      <c r="BL234" s="45"/>
    </row>
    <row r="235" spans="1:64" s="43" customFormat="1" ht="14.25" customHeight="1">
      <c r="A235" s="48"/>
      <c r="B235" s="45"/>
      <c r="C235" s="45"/>
      <c r="D235" s="45"/>
      <c r="E235" s="45"/>
      <c r="F235" s="45"/>
      <c r="G235" s="45"/>
      <c r="H235" s="45"/>
      <c r="I235" s="45"/>
      <c r="J235" s="45"/>
      <c r="K235" s="49"/>
      <c r="L235" s="46"/>
      <c r="M235" s="46"/>
      <c r="N235" s="46"/>
      <c r="O235" s="46"/>
      <c r="P235" s="46"/>
      <c r="Q235" s="46"/>
      <c r="R235" s="46"/>
      <c r="S235" s="46"/>
      <c r="T235" s="46"/>
      <c r="U235" s="50"/>
      <c r="V235" s="45"/>
      <c r="W235" s="45"/>
      <c r="X235" s="45"/>
      <c r="Y235" s="51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8"/>
      <c r="BB235" s="45"/>
      <c r="BC235" s="45"/>
      <c r="BD235" s="45"/>
      <c r="BE235" s="45"/>
      <c r="BF235" s="45"/>
      <c r="BG235" s="45"/>
      <c r="BH235" s="45"/>
      <c r="BI235" s="45"/>
      <c r="BJ235" s="45"/>
      <c r="BK235" s="45"/>
      <c r="BL235" s="45"/>
    </row>
    <row r="236" spans="1:64" s="43" customFormat="1" ht="14.2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5"/>
      <c r="V236" s="45"/>
      <c r="W236" s="45"/>
      <c r="X236" s="45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5"/>
      <c r="BB236" s="45"/>
      <c r="BC236" s="45"/>
      <c r="BD236" s="45"/>
      <c r="BE236" s="45"/>
      <c r="BF236" s="45"/>
      <c r="BG236" s="45"/>
      <c r="BH236" s="45"/>
      <c r="BI236" s="45"/>
      <c r="BJ236" s="45"/>
      <c r="BK236" s="45"/>
      <c r="BL236" s="45"/>
    </row>
    <row r="237" spans="1:64" s="43" customFormat="1" ht="14.2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5"/>
      <c r="V237" s="45"/>
      <c r="W237" s="45"/>
      <c r="X237" s="45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  <c r="AX237" s="47"/>
      <c r="AY237" s="47"/>
      <c r="AZ237" s="47"/>
      <c r="BA237" s="45"/>
      <c r="BB237" s="45"/>
      <c r="BC237" s="45"/>
      <c r="BD237" s="45"/>
      <c r="BE237" s="45"/>
      <c r="BF237" s="45"/>
      <c r="BG237" s="45"/>
      <c r="BH237" s="45"/>
      <c r="BI237" s="45"/>
      <c r="BJ237" s="45"/>
      <c r="BK237" s="45"/>
      <c r="BL237" s="45"/>
    </row>
    <row r="238" spans="1:64" s="43" customFormat="1" ht="14.25" customHeight="1">
      <c r="A238" s="48"/>
      <c r="B238" s="45"/>
      <c r="C238" s="45"/>
      <c r="D238" s="45"/>
      <c r="E238" s="45"/>
      <c r="F238" s="45"/>
      <c r="G238" s="45"/>
      <c r="H238" s="45"/>
      <c r="I238" s="45"/>
      <c r="J238" s="45"/>
      <c r="K238" s="49"/>
      <c r="L238" s="46"/>
      <c r="M238" s="46"/>
      <c r="N238" s="46"/>
      <c r="O238" s="46"/>
      <c r="P238" s="46"/>
      <c r="Q238" s="46"/>
      <c r="R238" s="46"/>
      <c r="S238" s="46"/>
      <c r="T238" s="46"/>
      <c r="U238" s="50"/>
      <c r="V238" s="45"/>
      <c r="W238" s="45"/>
      <c r="X238" s="45"/>
      <c r="Y238" s="51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  <c r="AX238" s="47"/>
      <c r="AY238" s="47"/>
      <c r="AZ238" s="47"/>
      <c r="BA238" s="48"/>
      <c r="BB238" s="45"/>
      <c r="BC238" s="45"/>
      <c r="BD238" s="45"/>
      <c r="BE238" s="45"/>
      <c r="BF238" s="45"/>
      <c r="BG238" s="45"/>
      <c r="BH238" s="45"/>
      <c r="BI238" s="45"/>
      <c r="BJ238" s="45"/>
      <c r="BK238" s="45"/>
      <c r="BL238" s="45"/>
    </row>
    <row r="239" spans="1:64" s="43" customFormat="1" ht="14.2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5"/>
      <c r="V239" s="45"/>
      <c r="W239" s="45"/>
      <c r="X239" s="45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7"/>
      <c r="AX239" s="47"/>
      <c r="AY239" s="47"/>
      <c r="AZ239" s="47"/>
      <c r="BA239" s="45"/>
      <c r="BB239" s="45"/>
      <c r="BC239" s="45"/>
      <c r="BD239" s="45"/>
      <c r="BE239" s="45"/>
      <c r="BF239" s="45"/>
      <c r="BG239" s="45"/>
      <c r="BH239" s="45"/>
      <c r="BI239" s="45"/>
      <c r="BJ239" s="45"/>
      <c r="BK239" s="45"/>
      <c r="BL239" s="45"/>
    </row>
    <row r="240" spans="1:64" s="43" customFormat="1" ht="14.2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5"/>
      <c r="V240" s="45"/>
      <c r="W240" s="45"/>
      <c r="X240" s="45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5"/>
      <c r="BB240" s="45"/>
      <c r="BC240" s="45"/>
      <c r="BD240" s="45"/>
      <c r="BE240" s="45"/>
      <c r="BF240" s="45"/>
      <c r="BG240" s="45"/>
      <c r="BH240" s="45"/>
      <c r="BI240" s="45"/>
      <c r="BJ240" s="45"/>
      <c r="BK240" s="45"/>
      <c r="BL240" s="45"/>
    </row>
    <row r="241" spans="1:64" s="43" customFormat="1" ht="14.25" customHeight="1">
      <c r="A241" s="379"/>
      <c r="B241" s="380"/>
      <c r="C241" s="380"/>
      <c r="D241" s="380"/>
      <c r="E241" s="380"/>
      <c r="F241" s="380"/>
      <c r="G241" s="380"/>
      <c r="H241" s="380"/>
      <c r="I241" s="380"/>
      <c r="J241" s="380"/>
      <c r="K241" s="382"/>
      <c r="L241" s="383"/>
      <c r="M241" s="383"/>
      <c r="N241" s="383"/>
      <c r="O241" s="383"/>
      <c r="P241" s="383"/>
      <c r="Q241" s="383"/>
      <c r="R241" s="383"/>
      <c r="S241" s="383"/>
      <c r="T241" s="383"/>
      <c r="U241" s="384"/>
      <c r="V241" s="380"/>
      <c r="W241" s="380"/>
      <c r="X241" s="380"/>
      <c r="Y241" s="385"/>
      <c r="Z241" s="386"/>
      <c r="AA241" s="386"/>
      <c r="AB241" s="386"/>
      <c r="AC241" s="386"/>
      <c r="AD241" s="386"/>
      <c r="AE241" s="386"/>
      <c r="AF241" s="386"/>
      <c r="AG241" s="386"/>
      <c r="AH241" s="386"/>
      <c r="AI241" s="386"/>
      <c r="AJ241" s="386"/>
      <c r="AK241" s="386"/>
      <c r="AL241" s="386"/>
      <c r="AM241" s="386"/>
      <c r="AN241" s="386"/>
      <c r="AO241" s="386"/>
      <c r="AP241" s="386"/>
      <c r="AQ241" s="386"/>
      <c r="AR241" s="386"/>
      <c r="AS241" s="386"/>
      <c r="AT241" s="386"/>
      <c r="AU241" s="386"/>
      <c r="AV241" s="386"/>
      <c r="AW241" s="386"/>
      <c r="AX241" s="386"/>
      <c r="AY241" s="386"/>
      <c r="AZ241" s="386"/>
      <c r="BA241" s="379"/>
      <c r="BB241" s="380"/>
      <c r="BC241" s="380"/>
      <c r="BD241" s="380"/>
      <c r="BE241" s="380"/>
      <c r="BF241" s="380"/>
      <c r="BG241" s="380"/>
      <c r="BH241" s="380"/>
      <c r="BI241" s="380"/>
      <c r="BJ241" s="380"/>
      <c r="BK241" s="380"/>
      <c r="BL241" s="380"/>
    </row>
    <row r="242" spans="1:64" s="43" customFormat="1" ht="14.25" customHeight="1">
      <c r="A242" s="380"/>
      <c r="B242" s="380"/>
      <c r="C242" s="380"/>
      <c r="D242" s="380"/>
      <c r="E242" s="380"/>
      <c r="F242" s="380"/>
      <c r="G242" s="380"/>
      <c r="H242" s="380"/>
      <c r="I242" s="380"/>
      <c r="J242" s="380"/>
      <c r="K242" s="383"/>
      <c r="L242" s="383"/>
      <c r="M242" s="383"/>
      <c r="N242" s="383"/>
      <c r="O242" s="383"/>
      <c r="P242" s="383"/>
      <c r="Q242" s="383"/>
      <c r="R242" s="383"/>
      <c r="S242" s="383"/>
      <c r="T242" s="383"/>
      <c r="U242" s="380"/>
      <c r="V242" s="380"/>
      <c r="W242" s="380"/>
      <c r="X242" s="380"/>
      <c r="Y242" s="386"/>
      <c r="Z242" s="386"/>
      <c r="AA242" s="386"/>
      <c r="AB242" s="386"/>
      <c r="AC242" s="386"/>
      <c r="AD242" s="386"/>
      <c r="AE242" s="386"/>
      <c r="AF242" s="386"/>
      <c r="AG242" s="386"/>
      <c r="AH242" s="386"/>
      <c r="AI242" s="386"/>
      <c r="AJ242" s="386"/>
      <c r="AK242" s="386"/>
      <c r="AL242" s="386"/>
      <c r="AM242" s="386"/>
      <c r="AN242" s="386"/>
      <c r="AO242" s="386"/>
      <c r="AP242" s="386"/>
      <c r="AQ242" s="386"/>
      <c r="AR242" s="386"/>
      <c r="AS242" s="386"/>
      <c r="AT242" s="386"/>
      <c r="AU242" s="386"/>
      <c r="AV242" s="386"/>
      <c r="AW242" s="386"/>
      <c r="AX242" s="386"/>
      <c r="AY242" s="386"/>
      <c r="AZ242" s="386"/>
      <c r="BA242" s="380"/>
      <c r="BB242" s="380"/>
      <c r="BC242" s="380"/>
      <c r="BD242" s="380"/>
      <c r="BE242" s="380"/>
      <c r="BF242" s="380"/>
      <c r="BG242" s="380"/>
      <c r="BH242" s="380"/>
      <c r="BI242" s="380"/>
      <c r="BJ242" s="380"/>
      <c r="BK242" s="380"/>
      <c r="BL242" s="380"/>
    </row>
    <row r="243" spans="1:64" s="43" customFormat="1" ht="14.25" customHeight="1">
      <c r="A243" s="380"/>
      <c r="B243" s="380"/>
      <c r="C243" s="380"/>
      <c r="D243" s="380"/>
      <c r="E243" s="380"/>
      <c r="F243" s="380"/>
      <c r="G243" s="380"/>
      <c r="H243" s="380"/>
      <c r="I243" s="380"/>
      <c r="J243" s="380"/>
      <c r="K243" s="383"/>
      <c r="L243" s="383"/>
      <c r="M243" s="383"/>
      <c r="N243" s="383"/>
      <c r="O243" s="383"/>
      <c r="P243" s="383"/>
      <c r="Q243" s="383"/>
      <c r="R243" s="383"/>
      <c r="S243" s="383"/>
      <c r="T243" s="383"/>
      <c r="U243" s="380"/>
      <c r="V243" s="380"/>
      <c r="W243" s="380"/>
      <c r="X243" s="380"/>
      <c r="Y243" s="386"/>
      <c r="Z243" s="386"/>
      <c r="AA243" s="386"/>
      <c r="AB243" s="386"/>
      <c r="AC243" s="386"/>
      <c r="AD243" s="386"/>
      <c r="AE243" s="386"/>
      <c r="AF243" s="386"/>
      <c r="AG243" s="386"/>
      <c r="AH243" s="386"/>
      <c r="AI243" s="386"/>
      <c r="AJ243" s="386"/>
      <c r="AK243" s="386"/>
      <c r="AL243" s="386"/>
      <c r="AM243" s="386"/>
      <c r="AN243" s="386"/>
      <c r="AO243" s="386"/>
      <c r="AP243" s="386"/>
      <c r="AQ243" s="386"/>
      <c r="AR243" s="386"/>
      <c r="AS243" s="386"/>
      <c r="AT243" s="386"/>
      <c r="AU243" s="386"/>
      <c r="AV243" s="386"/>
      <c r="AW243" s="386"/>
      <c r="AX243" s="386"/>
      <c r="AY243" s="386"/>
      <c r="AZ243" s="386"/>
      <c r="BA243" s="380"/>
      <c r="BB243" s="380"/>
      <c r="BC243" s="380"/>
      <c r="BD243" s="380"/>
      <c r="BE243" s="380"/>
      <c r="BF243" s="380"/>
      <c r="BG243" s="380"/>
      <c r="BH243" s="380"/>
      <c r="BI243" s="380"/>
      <c r="BJ243" s="380"/>
      <c r="BK243" s="380"/>
      <c r="BL243" s="380"/>
    </row>
    <row r="244" spans="1:64" s="43" customFormat="1" ht="14.25" customHeight="1">
      <c r="A244" s="379"/>
      <c r="B244" s="380"/>
      <c r="C244" s="380"/>
      <c r="D244" s="380"/>
      <c r="E244" s="380"/>
      <c r="F244" s="380"/>
      <c r="G244" s="380"/>
      <c r="H244" s="380"/>
      <c r="I244" s="380"/>
      <c r="J244" s="380"/>
      <c r="K244" s="382"/>
      <c r="L244" s="383"/>
      <c r="M244" s="383"/>
      <c r="N244" s="383"/>
      <c r="O244" s="383"/>
      <c r="P244" s="383"/>
      <c r="Q244" s="383"/>
      <c r="R244" s="383"/>
      <c r="S244" s="383"/>
      <c r="T244" s="383"/>
      <c r="U244" s="384"/>
      <c r="V244" s="380"/>
      <c r="W244" s="380"/>
      <c r="X244" s="380"/>
      <c r="Y244" s="385"/>
      <c r="Z244" s="386"/>
      <c r="AA244" s="386"/>
      <c r="AB244" s="386"/>
      <c r="AC244" s="386"/>
      <c r="AD244" s="386"/>
      <c r="AE244" s="386"/>
      <c r="AF244" s="386"/>
      <c r="AG244" s="386"/>
      <c r="AH244" s="386"/>
      <c r="AI244" s="386"/>
      <c r="AJ244" s="386"/>
      <c r="AK244" s="386"/>
      <c r="AL244" s="386"/>
      <c r="AM244" s="386"/>
      <c r="AN244" s="386"/>
      <c r="AO244" s="386"/>
      <c r="AP244" s="386"/>
      <c r="AQ244" s="386"/>
      <c r="AR244" s="386"/>
      <c r="AS244" s="386"/>
      <c r="AT244" s="386"/>
      <c r="AU244" s="386"/>
      <c r="AV244" s="386"/>
      <c r="AW244" s="386"/>
      <c r="AX244" s="386"/>
      <c r="AY244" s="386"/>
      <c r="AZ244" s="386"/>
      <c r="BA244" s="379"/>
      <c r="BB244" s="380"/>
      <c r="BC244" s="380"/>
      <c r="BD244" s="380"/>
      <c r="BE244" s="380"/>
      <c r="BF244" s="380"/>
      <c r="BG244" s="380"/>
      <c r="BH244" s="380"/>
      <c r="BI244" s="380"/>
      <c r="BJ244" s="380"/>
      <c r="BK244" s="380"/>
      <c r="BL244" s="380"/>
    </row>
    <row r="245" spans="1:64" s="43" customFormat="1" ht="14.25" customHeight="1">
      <c r="A245" s="380"/>
      <c r="B245" s="380"/>
      <c r="C245" s="380"/>
      <c r="D245" s="380"/>
      <c r="E245" s="380"/>
      <c r="F245" s="380"/>
      <c r="G245" s="380"/>
      <c r="H245" s="380"/>
      <c r="I245" s="380"/>
      <c r="J245" s="380"/>
      <c r="K245" s="383"/>
      <c r="L245" s="383"/>
      <c r="M245" s="383"/>
      <c r="N245" s="383"/>
      <c r="O245" s="383"/>
      <c r="P245" s="383"/>
      <c r="Q245" s="383"/>
      <c r="R245" s="383"/>
      <c r="S245" s="383"/>
      <c r="T245" s="383"/>
      <c r="U245" s="380"/>
      <c r="V245" s="380"/>
      <c r="W245" s="380"/>
      <c r="X245" s="380"/>
      <c r="Y245" s="386"/>
      <c r="Z245" s="386"/>
      <c r="AA245" s="386"/>
      <c r="AB245" s="386"/>
      <c r="AC245" s="386"/>
      <c r="AD245" s="386"/>
      <c r="AE245" s="386"/>
      <c r="AF245" s="386"/>
      <c r="AG245" s="386"/>
      <c r="AH245" s="386"/>
      <c r="AI245" s="386"/>
      <c r="AJ245" s="386"/>
      <c r="AK245" s="386"/>
      <c r="AL245" s="386"/>
      <c r="AM245" s="386"/>
      <c r="AN245" s="386"/>
      <c r="AO245" s="386"/>
      <c r="AP245" s="386"/>
      <c r="AQ245" s="386"/>
      <c r="AR245" s="386"/>
      <c r="AS245" s="386"/>
      <c r="AT245" s="386"/>
      <c r="AU245" s="386"/>
      <c r="AV245" s="386"/>
      <c r="AW245" s="386"/>
      <c r="AX245" s="386"/>
      <c r="AY245" s="386"/>
      <c r="AZ245" s="386"/>
      <c r="BA245" s="380"/>
      <c r="BB245" s="380"/>
      <c r="BC245" s="380"/>
      <c r="BD245" s="380"/>
      <c r="BE245" s="380"/>
      <c r="BF245" s="380"/>
      <c r="BG245" s="380"/>
      <c r="BH245" s="380"/>
      <c r="BI245" s="380"/>
      <c r="BJ245" s="380"/>
      <c r="BK245" s="380"/>
      <c r="BL245" s="380"/>
    </row>
    <row r="246" spans="1:64" s="43" customFormat="1" ht="14.25" customHeight="1">
      <c r="A246" s="380"/>
      <c r="B246" s="380"/>
      <c r="C246" s="380"/>
      <c r="D246" s="380"/>
      <c r="E246" s="380"/>
      <c r="F246" s="380"/>
      <c r="G246" s="380"/>
      <c r="H246" s="380"/>
      <c r="I246" s="380"/>
      <c r="J246" s="380"/>
      <c r="K246" s="383"/>
      <c r="L246" s="383"/>
      <c r="M246" s="383"/>
      <c r="N246" s="383"/>
      <c r="O246" s="383"/>
      <c r="P246" s="383"/>
      <c r="Q246" s="383"/>
      <c r="R246" s="383"/>
      <c r="S246" s="383"/>
      <c r="T246" s="383"/>
      <c r="U246" s="380"/>
      <c r="V246" s="380"/>
      <c r="W246" s="380"/>
      <c r="X246" s="380"/>
      <c r="Y246" s="386"/>
      <c r="Z246" s="386"/>
      <c r="AA246" s="386"/>
      <c r="AB246" s="386"/>
      <c r="AC246" s="386"/>
      <c r="AD246" s="386"/>
      <c r="AE246" s="386"/>
      <c r="AF246" s="386"/>
      <c r="AG246" s="386"/>
      <c r="AH246" s="386"/>
      <c r="AI246" s="386"/>
      <c r="AJ246" s="386"/>
      <c r="AK246" s="386"/>
      <c r="AL246" s="386"/>
      <c r="AM246" s="386"/>
      <c r="AN246" s="386"/>
      <c r="AO246" s="386"/>
      <c r="AP246" s="386"/>
      <c r="AQ246" s="386"/>
      <c r="AR246" s="386"/>
      <c r="AS246" s="386"/>
      <c r="AT246" s="386"/>
      <c r="AU246" s="386"/>
      <c r="AV246" s="386"/>
      <c r="AW246" s="386"/>
      <c r="AX246" s="386"/>
      <c r="AY246" s="386"/>
      <c r="AZ246" s="386"/>
      <c r="BA246" s="380"/>
      <c r="BB246" s="380"/>
      <c r="BC246" s="380"/>
      <c r="BD246" s="380"/>
      <c r="BE246" s="380"/>
      <c r="BF246" s="380"/>
      <c r="BG246" s="380"/>
      <c r="BH246" s="380"/>
      <c r="BI246" s="380"/>
      <c r="BJ246" s="380"/>
      <c r="BK246" s="380"/>
      <c r="BL246" s="380"/>
    </row>
    <row r="247" spans="1:64" s="43" customFormat="1" ht="14.25" customHeight="1">
      <c r="A247" s="379"/>
      <c r="B247" s="380"/>
      <c r="C247" s="380"/>
      <c r="D247" s="380"/>
      <c r="E247" s="380"/>
      <c r="F247" s="380"/>
      <c r="G247" s="380"/>
      <c r="H247" s="380"/>
      <c r="I247" s="380"/>
      <c r="J247" s="380"/>
      <c r="K247" s="382"/>
      <c r="L247" s="383"/>
      <c r="M247" s="383"/>
      <c r="N247" s="383"/>
      <c r="O247" s="383"/>
      <c r="P247" s="383"/>
      <c r="Q247" s="383"/>
      <c r="R247" s="383"/>
      <c r="S247" s="383"/>
      <c r="T247" s="383"/>
      <c r="U247" s="384"/>
      <c r="V247" s="380"/>
      <c r="W247" s="380"/>
      <c r="X247" s="380"/>
      <c r="Y247" s="385"/>
      <c r="Z247" s="386"/>
      <c r="AA247" s="386"/>
      <c r="AB247" s="386"/>
      <c r="AC247" s="386"/>
      <c r="AD247" s="386"/>
      <c r="AE247" s="386"/>
      <c r="AF247" s="386"/>
      <c r="AG247" s="386"/>
      <c r="AH247" s="386"/>
      <c r="AI247" s="386"/>
      <c r="AJ247" s="386"/>
      <c r="AK247" s="386"/>
      <c r="AL247" s="386"/>
      <c r="AM247" s="386"/>
      <c r="AN247" s="386"/>
      <c r="AO247" s="386"/>
      <c r="AP247" s="386"/>
      <c r="AQ247" s="386"/>
      <c r="AR247" s="386"/>
      <c r="AS247" s="386"/>
      <c r="AT247" s="386"/>
      <c r="AU247" s="386"/>
      <c r="AV247" s="386"/>
      <c r="AW247" s="386"/>
      <c r="AX247" s="386"/>
      <c r="AY247" s="386"/>
      <c r="AZ247" s="386"/>
      <c r="BA247" s="379"/>
      <c r="BB247" s="380"/>
      <c r="BC247" s="380"/>
      <c r="BD247" s="380"/>
      <c r="BE247" s="380"/>
      <c r="BF247" s="380"/>
      <c r="BG247" s="380"/>
      <c r="BH247" s="380"/>
      <c r="BI247" s="380"/>
      <c r="BJ247" s="380"/>
      <c r="BK247" s="380"/>
      <c r="BL247" s="380"/>
    </row>
    <row r="248" spans="1:64" s="43" customFormat="1" ht="14.25" customHeight="1">
      <c r="A248" s="380"/>
      <c r="B248" s="380"/>
      <c r="C248" s="380"/>
      <c r="D248" s="380"/>
      <c r="E248" s="380"/>
      <c r="F248" s="380"/>
      <c r="G248" s="380"/>
      <c r="H248" s="380"/>
      <c r="I248" s="380"/>
      <c r="J248" s="380"/>
      <c r="K248" s="383"/>
      <c r="L248" s="383"/>
      <c r="M248" s="383"/>
      <c r="N248" s="383"/>
      <c r="O248" s="383"/>
      <c r="P248" s="383"/>
      <c r="Q248" s="383"/>
      <c r="R248" s="383"/>
      <c r="S248" s="383"/>
      <c r="T248" s="383"/>
      <c r="U248" s="380"/>
      <c r="V248" s="380"/>
      <c r="W248" s="380"/>
      <c r="X248" s="380"/>
      <c r="Y248" s="386"/>
      <c r="Z248" s="386"/>
      <c r="AA248" s="386"/>
      <c r="AB248" s="386"/>
      <c r="AC248" s="386"/>
      <c r="AD248" s="386"/>
      <c r="AE248" s="386"/>
      <c r="AF248" s="386"/>
      <c r="AG248" s="386"/>
      <c r="AH248" s="386"/>
      <c r="AI248" s="386"/>
      <c r="AJ248" s="386"/>
      <c r="AK248" s="386"/>
      <c r="AL248" s="386"/>
      <c r="AM248" s="386"/>
      <c r="AN248" s="386"/>
      <c r="AO248" s="386"/>
      <c r="AP248" s="386"/>
      <c r="AQ248" s="386"/>
      <c r="AR248" s="386"/>
      <c r="AS248" s="386"/>
      <c r="AT248" s="386"/>
      <c r="AU248" s="386"/>
      <c r="AV248" s="386"/>
      <c r="AW248" s="386"/>
      <c r="AX248" s="386"/>
      <c r="AY248" s="386"/>
      <c r="AZ248" s="386"/>
      <c r="BA248" s="380"/>
      <c r="BB248" s="380"/>
      <c r="BC248" s="380"/>
      <c r="BD248" s="380"/>
      <c r="BE248" s="380"/>
      <c r="BF248" s="380"/>
      <c r="BG248" s="380"/>
      <c r="BH248" s="380"/>
      <c r="BI248" s="380"/>
      <c r="BJ248" s="380"/>
      <c r="BK248" s="380"/>
      <c r="BL248" s="380"/>
    </row>
    <row r="249" spans="1:64" s="43" customFormat="1" ht="14.25" customHeight="1">
      <c r="A249" s="380"/>
      <c r="B249" s="380"/>
      <c r="C249" s="380"/>
      <c r="D249" s="380"/>
      <c r="E249" s="380"/>
      <c r="F249" s="380"/>
      <c r="G249" s="380"/>
      <c r="H249" s="380"/>
      <c r="I249" s="380"/>
      <c r="J249" s="380"/>
      <c r="K249" s="383"/>
      <c r="L249" s="383"/>
      <c r="M249" s="383"/>
      <c r="N249" s="383"/>
      <c r="O249" s="383"/>
      <c r="P249" s="383"/>
      <c r="Q249" s="383"/>
      <c r="R249" s="383"/>
      <c r="S249" s="383"/>
      <c r="T249" s="383"/>
      <c r="U249" s="380"/>
      <c r="V249" s="380"/>
      <c r="W249" s="380"/>
      <c r="X249" s="380"/>
      <c r="Y249" s="386"/>
      <c r="Z249" s="386"/>
      <c r="AA249" s="386"/>
      <c r="AB249" s="386"/>
      <c r="AC249" s="386"/>
      <c r="AD249" s="386"/>
      <c r="AE249" s="386"/>
      <c r="AF249" s="386"/>
      <c r="AG249" s="386"/>
      <c r="AH249" s="386"/>
      <c r="AI249" s="386"/>
      <c r="AJ249" s="386"/>
      <c r="AK249" s="386"/>
      <c r="AL249" s="386"/>
      <c r="AM249" s="386"/>
      <c r="AN249" s="386"/>
      <c r="AO249" s="386"/>
      <c r="AP249" s="386"/>
      <c r="AQ249" s="386"/>
      <c r="AR249" s="386"/>
      <c r="AS249" s="386"/>
      <c r="AT249" s="386"/>
      <c r="AU249" s="386"/>
      <c r="AV249" s="386"/>
      <c r="AW249" s="386"/>
      <c r="AX249" s="386"/>
      <c r="AY249" s="386"/>
      <c r="AZ249" s="386"/>
      <c r="BA249" s="380"/>
      <c r="BB249" s="380"/>
      <c r="BC249" s="380"/>
      <c r="BD249" s="380"/>
      <c r="BE249" s="380"/>
      <c r="BF249" s="380"/>
      <c r="BG249" s="380"/>
      <c r="BH249" s="380"/>
      <c r="BI249" s="380"/>
      <c r="BJ249" s="380"/>
      <c r="BK249" s="380"/>
      <c r="BL249" s="380"/>
    </row>
    <row r="250" spans="1:64" s="43" customFormat="1" ht="14.2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3"/>
      <c r="N250" s="53"/>
      <c r="O250" s="53"/>
      <c r="P250" s="53"/>
      <c r="Q250" s="53"/>
      <c r="R250" s="53"/>
      <c r="S250" s="54"/>
      <c r="T250" s="55"/>
      <c r="U250" s="55"/>
      <c r="V250" s="55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3"/>
      <c r="AW250" s="53"/>
      <c r="AX250" s="53"/>
      <c r="AY250" s="53"/>
      <c r="AZ250" s="53"/>
      <c r="BA250" s="53"/>
      <c r="BB250" s="54"/>
      <c r="BC250" s="54"/>
      <c r="BD250" s="54"/>
      <c r="BE250" s="54"/>
      <c r="BF250" s="56"/>
      <c r="BG250" s="54"/>
      <c r="BH250" s="54"/>
      <c r="BI250" s="56"/>
      <c r="BJ250" s="56"/>
      <c r="BK250" s="56"/>
      <c r="BL250" s="52"/>
    </row>
  </sheetData>
  <autoFilter ref="A5:BL189" xr:uid="{D36702D8-4E7D-40F9-9952-65CB0C5306FE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</autoFilter>
  <mergeCells count="1586">
    <mergeCell ref="AL57:BB57"/>
    <mergeCell ref="AL58:BB58"/>
    <mergeCell ref="A83:B83"/>
    <mergeCell ref="W83:AK83"/>
    <mergeCell ref="AL83:BB83"/>
    <mergeCell ref="BC83:BD83"/>
    <mergeCell ref="BE83:BF83"/>
    <mergeCell ref="BG83:BH83"/>
    <mergeCell ref="BI83:BJ83"/>
    <mergeCell ref="BK83:BL83"/>
    <mergeCell ref="C109:V111"/>
    <mergeCell ref="C75:V80"/>
    <mergeCell ref="C82:V85"/>
    <mergeCell ref="C87:V88"/>
    <mergeCell ref="C69:V74"/>
    <mergeCell ref="C53:V55"/>
    <mergeCell ref="C56:V57"/>
    <mergeCell ref="C58:V61"/>
    <mergeCell ref="C62:V64"/>
    <mergeCell ref="AL59:BB59"/>
    <mergeCell ref="AL61:BB61"/>
    <mergeCell ref="AL60:BB60"/>
    <mergeCell ref="AL65:BB65"/>
    <mergeCell ref="AL66:BB66"/>
    <mergeCell ref="AL74:BB74"/>
    <mergeCell ref="AL55:BB55"/>
    <mergeCell ref="AL56:BB56"/>
    <mergeCell ref="BG54:BH54"/>
    <mergeCell ref="BI64:BJ64"/>
    <mergeCell ref="BK64:BL64"/>
    <mergeCell ref="BK60:BL60"/>
    <mergeCell ref="BC59:BD59"/>
    <mergeCell ref="C11:V11"/>
    <mergeCell ref="C20:V22"/>
    <mergeCell ref="C26:V28"/>
    <mergeCell ref="C50:V52"/>
    <mergeCell ref="C66:V68"/>
    <mergeCell ref="C102:V105"/>
    <mergeCell ref="C23:V25"/>
    <mergeCell ref="C12:V18"/>
    <mergeCell ref="A132:B132"/>
    <mergeCell ref="W132:AK132"/>
    <mergeCell ref="A60:B60"/>
    <mergeCell ref="A59:B59"/>
    <mergeCell ref="A61:B61"/>
    <mergeCell ref="W59:AK59"/>
    <mergeCell ref="W61:AK61"/>
    <mergeCell ref="W60:AK60"/>
    <mergeCell ref="A64:B64"/>
    <mergeCell ref="A62:B62"/>
    <mergeCell ref="A63:B63"/>
    <mergeCell ref="W63:AK63"/>
    <mergeCell ref="W64:AK64"/>
    <mergeCell ref="A53:B53"/>
    <mergeCell ref="A54:B54"/>
    <mergeCell ref="A50:B50"/>
    <mergeCell ref="W55:AK55"/>
    <mergeCell ref="W56:AK56"/>
    <mergeCell ref="W57:AK57"/>
    <mergeCell ref="W58:AK58"/>
    <mergeCell ref="A49:B49"/>
    <mergeCell ref="A32:B32"/>
    <mergeCell ref="A33:B33"/>
    <mergeCell ref="W32:AK32"/>
    <mergeCell ref="AL132:BB132"/>
    <mergeCell ref="BC132:BD132"/>
    <mergeCell ref="BE132:BF132"/>
    <mergeCell ref="BG132:BH132"/>
    <mergeCell ref="BI132:BJ132"/>
    <mergeCell ref="BK132:BL132"/>
    <mergeCell ref="A140:B140"/>
    <mergeCell ref="W140:AK140"/>
    <mergeCell ref="AL140:BB140"/>
    <mergeCell ref="BC140:BD140"/>
    <mergeCell ref="BE140:BF140"/>
    <mergeCell ref="BG140:BH140"/>
    <mergeCell ref="BG141:BH141"/>
    <mergeCell ref="BI141:BJ141"/>
    <mergeCell ref="W136:AK136"/>
    <mergeCell ref="AL136:BB136"/>
    <mergeCell ref="BC136:BD136"/>
    <mergeCell ref="BE136:BF136"/>
    <mergeCell ref="BG136:BH136"/>
    <mergeCell ref="BI136:BJ136"/>
    <mergeCell ref="BK136:BL136"/>
    <mergeCell ref="A137:B137"/>
    <mergeCell ref="C128:V142"/>
    <mergeCell ref="BI131:BJ131"/>
    <mergeCell ref="BK131:BL131"/>
    <mergeCell ref="W137:AK137"/>
    <mergeCell ref="AL137:BB137"/>
    <mergeCell ref="BC137:BD137"/>
    <mergeCell ref="BE137:BF137"/>
    <mergeCell ref="BG137:BH137"/>
    <mergeCell ref="A133:B133"/>
    <mergeCell ref="W133:AK133"/>
    <mergeCell ref="AL142:BB142"/>
    <mergeCell ref="BC142:BD142"/>
    <mergeCell ref="BE142:BF142"/>
    <mergeCell ref="BG142:BH142"/>
    <mergeCell ref="BI142:BJ142"/>
    <mergeCell ref="BK142:BL142"/>
    <mergeCell ref="C146:V152"/>
    <mergeCell ref="C143:V145"/>
    <mergeCell ref="BC146:BD146"/>
    <mergeCell ref="BE146:BF146"/>
    <mergeCell ref="BG146:BH146"/>
    <mergeCell ref="BI146:BJ146"/>
    <mergeCell ref="BK146:BL146"/>
    <mergeCell ref="A145:B145"/>
    <mergeCell ref="AL151:BB151"/>
    <mergeCell ref="BC151:BD151"/>
    <mergeCell ref="BE151:BF151"/>
    <mergeCell ref="BG151:BH151"/>
    <mergeCell ref="BI151:BJ151"/>
    <mergeCell ref="BK151:BL151"/>
    <mergeCell ref="A152:B152"/>
    <mergeCell ref="BK147:BL147"/>
    <mergeCell ref="A148:B148"/>
    <mergeCell ref="W148:AK148"/>
    <mergeCell ref="AL148:BB148"/>
    <mergeCell ref="BC148:BD148"/>
    <mergeCell ref="BE148:BF148"/>
    <mergeCell ref="BG148:BH148"/>
    <mergeCell ref="BI148:BJ148"/>
    <mergeCell ref="BK148:BL148"/>
    <mergeCell ref="A150:B150"/>
    <mergeCell ref="W150:AK150"/>
    <mergeCell ref="AL133:BB133"/>
    <mergeCell ref="BC133:BD133"/>
    <mergeCell ref="BE133:BF133"/>
    <mergeCell ref="BG133:BH133"/>
    <mergeCell ref="BI133:BJ133"/>
    <mergeCell ref="BK133:BL133"/>
    <mergeCell ref="A139:B139"/>
    <mergeCell ref="W139:AK139"/>
    <mergeCell ref="AL139:BB139"/>
    <mergeCell ref="BC139:BD139"/>
    <mergeCell ref="BE139:BF139"/>
    <mergeCell ref="BG139:BH139"/>
    <mergeCell ref="BI139:BJ139"/>
    <mergeCell ref="BK139:BL139"/>
    <mergeCell ref="A134:B134"/>
    <mergeCell ref="W134:AK134"/>
    <mergeCell ref="AL134:BB134"/>
    <mergeCell ref="BC134:BD134"/>
    <mergeCell ref="BE134:BF134"/>
    <mergeCell ref="BG134:BH134"/>
    <mergeCell ref="BI134:BJ134"/>
    <mergeCell ref="BK134:BL134"/>
    <mergeCell ref="BC138:BD138"/>
    <mergeCell ref="A138:B138"/>
    <mergeCell ref="BI137:BJ137"/>
    <mergeCell ref="BK137:BL137"/>
    <mergeCell ref="BE138:BF138"/>
    <mergeCell ref="BG138:BH138"/>
    <mergeCell ref="BI138:BJ138"/>
    <mergeCell ref="BK138:BL138"/>
    <mergeCell ref="A136:B136"/>
    <mergeCell ref="A135:B135"/>
    <mergeCell ref="W135:AK135"/>
    <mergeCell ref="AL135:BB135"/>
    <mergeCell ref="BC135:BD135"/>
    <mergeCell ref="BE135:BF135"/>
    <mergeCell ref="BG135:BH135"/>
    <mergeCell ref="BI135:BJ135"/>
    <mergeCell ref="BK135:BL135"/>
    <mergeCell ref="A144:B144"/>
    <mergeCell ref="W144:AK144"/>
    <mergeCell ref="AL144:BB144"/>
    <mergeCell ref="BC144:BD144"/>
    <mergeCell ref="BE144:BF144"/>
    <mergeCell ref="BG144:BH144"/>
    <mergeCell ref="BI144:BJ144"/>
    <mergeCell ref="BK144:BL144"/>
    <mergeCell ref="W143:AK143"/>
    <mergeCell ref="AL143:BB143"/>
    <mergeCell ref="BI143:BJ143"/>
    <mergeCell ref="BK143:BL143"/>
    <mergeCell ref="BI140:BJ140"/>
    <mergeCell ref="BK140:BL140"/>
    <mergeCell ref="W138:AK138"/>
    <mergeCell ref="AL138:BB138"/>
    <mergeCell ref="A141:B141"/>
    <mergeCell ref="W141:AK141"/>
    <mergeCell ref="AL141:BB141"/>
    <mergeCell ref="BC141:BD141"/>
    <mergeCell ref="BE141:BF141"/>
    <mergeCell ref="A143:B143"/>
    <mergeCell ref="BK141:BL141"/>
    <mergeCell ref="A142:B142"/>
    <mergeCell ref="W142:AK142"/>
    <mergeCell ref="W145:AK145"/>
    <mergeCell ref="AL145:BB145"/>
    <mergeCell ref="BC145:BD145"/>
    <mergeCell ref="BE145:BF145"/>
    <mergeCell ref="BG145:BH145"/>
    <mergeCell ref="BI145:BJ145"/>
    <mergeCell ref="BK145:BL145"/>
    <mergeCell ref="A146:B146"/>
    <mergeCell ref="W146:AK146"/>
    <mergeCell ref="AL146:BB146"/>
    <mergeCell ref="C153:V155"/>
    <mergeCell ref="A147:B147"/>
    <mergeCell ref="W147:AK147"/>
    <mergeCell ref="AL147:BB147"/>
    <mergeCell ref="BC147:BD147"/>
    <mergeCell ref="BE147:BF147"/>
    <mergeCell ref="BG147:BH147"/>
    <mergeCell ref="BI147:BJ147"/>
    <mergeCell ref="A149:B149"/>
    <mergeCell ref="W149:AK149"/>
    <mergeCell ref="AL149:BB149"/>
    <mergeCell ref="BC149:BD149"/>
    <mergeCell ref="BK149:BL149"/>
    <mergeCell ref="A186:B186"/>
    <mergeCell ref="BE179:BF179"/>
    <mergeCell ref="BG177:BH177"/>
    <mergeCell ref="A175:B175"/>
    <mergeCell ref="A176:B176"/>
    <mergeCell ref="W175:AK175"/>
    <mergeCell ref="W176:AK176"/>
    <mergeCell ref="BG181:BH181"/>
    <mergeCell ref="BI181:BJ181"/>
    <mergeCell ref="BK181:BL181"/>
    <mergeCell ref="BC178:BD178"/>
    <mergeCell ref="A187:B187"/>
    <mergeCell ref="C187:V187"/>
    <mergeCell ref="W187:AK187"/>
    <mergeCell ref="BC187:BD187"/>
    <mergeCell ref="BE187:BF187"/>
    <mergeCell ref="BG187:BH187"/>
    <mergeCell ref="BI187:BJ187"/>
    <mergeCell ref="BK187:BL187"/>
    <mergeCell ref="BG178:BH178"/>
    <mergeCell ref="BC183:BD183"/>
    <mergeCell ref="BE178:BF178"/>
    <mergeCell ref="BK182:BL182"/>
    <mergeCell ref="A180:B180"/>
    <mergeCell ref="W180:AK180"/>
    <mergeCell ref="AL180:BB180"/>
    <mergeCell ref="A193:B193"/>
    <mergeCell ref="A190:B190"/>
    <mergeCell ref="A191:B191"/>
    <mergeCell ref="A188:B188"/>
    <mergeCell ref="A189:B189"/>
    <mergeCell ref="C188:V188"/>
    <mergeCell ref="W188:AK188"/>
    <mergeCell ref="AL188:BB188"/>
    <mergeCell ref="BC188:BD188"/>
    <mergeCell ref="BE188:BF188"/>
    <mergeCell ref="BG188:BH188"/>
    <mergeCell ref="BI188:BJ188"/>
    <mergeCell ref="BK188:BL188"/>
    <mergeCell ref="C189:V189"/>
    <mergeCell ref="W189:AK189"/>
    <mergeCell ref="AL189:BB189"/>
    <mergeCell ref="BC189:BD189"/>
    <mergeCell ref="BK189:BL189"/>
    <mergeCell ref="C190:V192"/>
    <mergeCell ref="W190:AK190"/>
    <mergeCell ref="AL190:BB190"/>
    <mergeCell ref="BC190:BD190"/>
    <mergeCell ref="BE190:BF190"/>
    <mergeCell ref="A192:B192"/>
    <mergeCell ref="BE189:BF189"/>
    <mergeCell ref="BG189:BH189"/>
    <mergeCell ref="BI189:BJ189"/>
    <mergeCell ref="A9:B9"/>
    <mergeCell ref="W9:AK9"/>
    <mergeCell ref="AL9:BB9"/>
    <mergeCell ref="BC9:BD9"/>
    <mergeCell ref="BE9:BF9"/>
    <mergeCell ref="BG179:BH179"/>
    <mergeCell ref="BI179:BJ179"/>
    <mergeCell ref="BK179:BL179"/>
    <mergeCell ref="A70:B70"/>
    <mergeCell ref="A71:B71"/>
    <mergeCell ref="W70:AK70"/>
    <mergeCell ref="W71:AK71"/>
    <mergeCell ref="A155:B155"/>
    <mergeCell ref="W155:AK155"/>
    <mergeCell ref="AL155:BB155"/>
    <mergeCell ref="BC155:BD155"/>
    <mergeCell ref="BE155:BF155"/>
    <mergeCell ref="BG155:BH155"/>
    <mergeCell ref="A72:B72"/>
    <mergeCell ref="A56:B56"/>
    <mergeCell ref="AL150:BB150"/>
    <mergeCell ref="BC150:BD150"/>
    <mergeCell ref="BE150:BF150"/>
    <mergeCell ref="BG150:BH150"/>
    <mergeCell ref="BI150:BJ150"/>
    <mergeCell ref="BK150:BL150"/>
    <mergeCell ref="W153:AK153"/>
    <mergeCell ref="AL153:BB153"/>
    <mergeCell ref="BC153:BD153"/>
    <mergeCell ref="BE153:BF153"/>
    <mergeCell ref="BG153:BH153"/>
    <mergeCell ref="BI153:BJ153"/>
    <mergeCell ref="A153:B153"/>
    <mergeCell ref="A177:B177"/>
    <mergeCell ref="A178:B178"/>
    <mergeCell ref="A151:B151"/>
    <mergeCell ref="W151:AK151"/>
    <mergeCell ref="W179:AK179"/>
    <mergeCell ref="BC179:BD179"/>
    <mergeCell ref="BK153:BL153"/>
    <mergeCell ref="BI175:BJ175"/>
    <mergeCell ref="BI155:BJ155"/>
    <mergeCell ref="BK155:BL155"/>
    <mergeCell ref="BG152:BH152"/>
    <mergeCell ref="BI152:BJ152"/>
    <mergeCell ref="BK152:BL152"/>
    <mergeCell ref="W152:AK152"/>
    <mergeCell ref="A154:B154"/>
    <mergeCell ref="W154:AK154"/>
    <mergeCell ref="AL154:BB154"/>
    <mergeCell ref="BC154:BD154"/>
    <mergeCell ref="BE154:BF154"/>
    <mergeCell ref="BG154:BH154"/>
    <mergeCell ref="BI154:BJ154"/>
    <mergeCell ref="BK154:BL154"/>
    <mergeCell ref="BK163:BL163"/>
    <mergeCell ref="AL167:BB167"/>
    <mergeCell ref="BC167:BD167"/>
    <mergeCell ref="W177:AK177"/>
    <mergeCell ref="W178:AK178"/>
    <mergeCell ref="W8:AK8"/>
    <mergeCell ref="W50:AK50"/>
    <mergeCell ref="W51:AK51"/>
    <mergeCell ref="W53:AK53"/>
    <mergeCell ref="W54:AK54"/>
    <mergeCell ref="A52:B52"/>
    <mergeCell ref="W52:AK52"/>
    <mergeCell ref="A57:B57"/>
    <mergeCell ref="A58:B58"/>
    <mergeCell ref="A55:B55"/>
    <mergeCell ref="A185:B185"/>
    <mergeCell ref="BI177:BJ177"/>
    <mergeCell ref="BK177:BL177"/>
    <mergeCell ref="A184:B184"/>
    <mergeCell ref="W184:AK184"/>
    <mergeCell ref="C184:V184"/>
    <mergeCell ref="AL184:BB184"/>
    <mergeCell ref="BC184:BD184"/>
    <mergeCell ref="BE184:BF184"/>
    <mergeCell ref="BG184:BH184"/>
    <mergeCell ref="BI184:BJ184"/>
    <mergeCell ref="BK184:BL184"/>
    <mergeCell ref="BK180:BL180"/>
    <mergeCell ref="BC177:BD177"/>
    <mergeCell ref="A179:B179"/>
    <mergeCell ref="A181:B181"/>
    <mergeCell ref="W181:AK181"/>
    <mergeCell ref="AL181:BB181"/>
    <mergeCell ref="A183:B183"/>
    <mergeCell ref="W183:AK183"/>
    <mergeCell ref="AL183:BB183"/>
    <mergeCell ref="BI182:BJ182"/>
    <mergeCell ref="W38:AK38"/>
    <mergeCell ref="A39:B39"/>
    <mergeCell ref="A42:B42"/>
    <mergeCell ref="W42:AK42"/>
    <mergeCell ref="W47:AK47"/>
    <mergeCell ref="W39:AK39"/>
    <mergeCell ref="A38:B38"/>
    <mergeCell ref="A40:B40"/>
    <mergeCell ref="W40:AK40"/>
    <mergeCell ref="C43:V48"/>
    <mergeCell ref="C32:V42"/>
    <mergeCell ref="A7:B7"/>
    <mergeCell ref="W74:AK74"/>
    <mergeCell ref="W7:AK7"/>
    <mergeCell ref="C7:V7"/>
    <mergeCell ref="A73:B73"/>
    <mergeCell ref="A66:B66"/>
    <mergeCell ref="A69:B69"/>
    <mergeCell ref="A18:B18"/>
    <mergeCell ref="A65:B65"/>
    <mergeCell ref="W73:AK73"/>
    <mergeCell ref="A10:B10"/>
    <mergeCell ref="W18:AK18"/>
    <mergeCell ref="W65:AK65"/>
    <mergeCell ref="W66:AK66"/>
    <mergeCell ref="W69:AK69"/>
    <mergeCell ref="C65:V65"/>
    <mergeCell ref="A67:B67"/>
    <mergeCell ref="W67:AK67"/>
    <mergeCell ref="A68:B68"/>
    <mergeCell ref="W68:AK68"/>
    <mergeCell ref="A8:B8"/>
    <mergeCell ref="A51:B51"/>
    <mergeCell ref="A26:B26"/>
    <mergeCell ref="A25:B25"/>
    <mergeCell ref="W25:AK25"/>
    <mergeCell ref="W22:AK22"/>
    <mergeCell ref="W26:AK26"/>
    <mergeCell ref="A28:B28"/>
    <mergeCell ref="A27:B27"/>
    <mergeCell ref="A29:B29"/>
    <mergeCell ref="W27:AK27"/>
    <mergeCell ref="A20:B20"/>
    <mergeCell ref="W29:AK29"/>
    <mergeCell ref="W28:AK28"/>
    <mergeCell ref="C29:V29"/>
    <mergeCell ref="W35:AK35"/>
    <mergeCell ref="W36:AK36"/>
    <mergeCell ref="A34:B34"/>
    <mergeCell ref="W21:AK21"/>
    <mergeCell ref="A31:B31"/>
    <mergeCell ref="W31:AK31"/>
    <mergeCell ref="C31:V31"/>
    <mergeCell ref="A30:B30"/>
    <mergeCell ref="C30:V30"/>
    <mergeCell ref="W30:AK30"/>
    <mergeCell ref="W49:AK49"/>
    <mergeCell ref="C49:V49"/>
    <mergeCell ref="A35:B35"/>
    <mergeCell ref="A36:B36"/>
    <mergeCell ref="A48:B48"/>
    <mergeCell ref="W46:AK46"/>
    <mergeCell ref="W48:AK48"/>
    <mergeCell ref="W37:AK37"/>
    <mergeCell ref="A247:J249"/>
    <mergeCell ref="K247:T249"/>
    <mergeCell ref="U247:X249"/>
    <mergeCell ref="Y247:AZ249"/>
    <mergeCell ref="BA247:BL249"/>
    <mergeCell ref="A244:J246"/>
    <mergeCell ref="K244:T246"/>
    <mergeCell ref="U244:X246"/>
    <mergeCell ref="Y244:AZ246"/>
    <mergeCell ref="BA244:BL246"/>
    <mergeCell ref="A21:B21"/>
    <mergeCell ref="A45:B45"/>
    <mergeCell ref="A41:B41"/>
    <mergeCell ref="A43:B43"/>
    <mergeCell ref="W41:AK41"/>
    <mergeCell ref="W43:AK43"/>
    <mergeCell ref="W44:AK44"/>
    <mergeCell ref="W45:AK45"/>
    <mergeCell ref="A46:B46"/>
    <mergeCell ref="AL177:BB177"/>
    <mergeCell ref="AL178:BB178"/>
    <mergeCell ref="AL179:BB179"/>
    <mergeCell ref="AL63:BB63"/>
    <mergeCell ref="AL64:BB64"/>
    <mergeCell ref="AL62:BB62"/>
    <mergeCell ref="AL36:BB36"/>
    <mergeCell ref="AL32:BB32"/>
    <mergeCell ref="A37:B37"/>
    <mergeCell ref="A241:J243"/>
    <mergeCell ref="K241:T243"/>
    <mergeCell ref="U241:X243"/>
    <mergeCell ref="Y241:AZ243"/>
    <mergeCell ref="BA241:BL243"/>
    <mergeCell ref="A12:B12"/>
    <mergeCell ref="W15:AK15"/>
    <mergeCell ref="W16:AK16"/>
    <mergeCell ref="W17:AK17"/>
    <mergeCell ref="W23:AK23"/>
    <mergeCell ref="W24:AK24"/>
    <mergeCell ref="W20:AK20"/>
    <mergeCell ref="A13:B13"/>
    <mergeCell ref="A16:B16"/>
    <mergeCell ref="A17:B17"/>
    <mergeCell ref="A15:B15"/>
    <mergeCell ref="A44:B44"/>
    <mergeCell ref="A23:B23"/>
    <mergeCell ref="A24:B24"/>
    <mergeCell ref="AL25:BB25"/>
    <mergeCell ref="AL22:BB22"/>
    <mergeCell ref="AL16:BB16"/>
    <mergeCell ref="C19:V19"/>
    <mergeCell ref="AL19:BB19"/>
    <mergeCell ref="AL20:BB20"/>
    <mergeCell ref="AL21:BB21"/>
    <mergeCell ref="A22:B22"/>
    <mergeCell ref="AL68:BB68"/>
    <mergeCell ref="AL72:BB72"/>
    <mergeCell ref="AL175:BB175"/>
    <mergeCell ref="AL176:BB176"/>
    <mergeCell ref="A47:B47"/>
    <mergeCell ref="AL35:BB35"/>
    <mergeCell ref="AL26:BB26"/>
    <mergeCell ref="AL27:BB27"/>
    <mergeCell ref="AL29:BB29"/>
    <mergeCell ref="W5:AK6"/>
    <mergeCell ref="W12:AK12"/>
    <mergeCell ref="W13:AK13"/>
    <mergeCell ref="W11:AK11"/>
    <mergeCell ref="AL11:BB11"/>
    <mergeCell ref="BG1:BL1"/>
    <mergeCell ref="A2:J3"/>
    <mergeCell ref="K2:T3"/>
    <mergeCell ref="U2:AN3"/>
    <mergeCell ref="AO2:AT3"/>
    <mergeCell ref="AU2:AZ3"/>
    <mergeCell ref="BA2:BF3"/>
    <mergeCell ref="BG2:BL3"/>
    <mergeCell ref="A1:J1"/>
    <mergeCell ref="K1:T1"/>
    <mergeCell ref="U1:AN1"/>
    <mergeCell ref="AO1:AT1"/>
    <mergeCell ref="AU1:AZ1"/>
    <mergeCell ref="BA1:BF1"/>
    <mergeCell ref="A5:B6"/>
    <mergeCell ref="AL5:BB6"/>
    <mergeCell ref="A11:B11"/>
    <mergeCell ref="AL12:BB12"/>
    <mergeCell ref="AL13:BB13"/>
    <mergeCell ref="C5:V6"/>
    <mergeCell ref="C8:V10"/>
    <mergeCell ref="BC5:BL5"/>
    <mergeCell ref="BC6:BD6"/>
    <mergeCell ref="AL8:BB8"/>
    <mergeCell ref="AL7:BB7"/>
    <mergeCell ref="W10:AK10"/>
    <mergeCell ref="AL10:BB10"/>
    <mergeCell ref="AL45:BB45"/>
    <mergeCell ref="AL15:BB15"/>
    <mergeCell ref="AL33:BB33"/>
    <mergeCell ref="AL34:BB34"/>
    <mergeCell ref="AL49:BB49"/>
    <mergeCell ref="AL50:BB50"/>
    <mergeCell ref="AL46:BB46"/>
    <mergeCell ref="AL48:BB48"/>
    <mergeCell ref="AL37:BB37"/>
    <mergeCell ref="AL38:BB38"/>
    <mergeCell ref="AL42:BB42"/>
    <mergeCell ref="AL47:BB47"/>
    <mergeCell ref="AL39:BB39"/>
    <mergeCell ref="AL40:BB40"/>
    <mergeCell ref="AL17:BB17"/>
    <mergeCell ref="AL23:BB23"/>
    <mergeCell ref="AL24:BB24"/>
    <mergeCell ref="AL30:BB30"/>
    <mergeCell ref="AL51:BB51"/>
    <mergeCell ref="AL53:BB53"/>
    <mergeCell ref="AL54:BB54"/>
    <mergeCell ref="AL52:BB52"/>
    <mergeCell ref="AL28:BB28"/>
    <mergeCell ref="AL41:BB41"/>
    <mergeCell ref="AL43:BB43"/>
    <mergeCell ref="AL44:BB44"/>
    <mergeCell ref="AL18:BB18"/>
    <mergeCell ref="AL31:BB31"/>
    <mergeCell ref="BE6:BF6"/>
    <mergeCell ref="BG6:BH6"/>
    <mergeCell ref="BI6:BJ6"/>
    <mergeCell ref="BK6:BL6"/>
    <mergeCell ref="BC12:BD12"/>
    <mergeCell ref="BE12:BF12"/>
    <mergeCell ref="BG12:BH12"/>
    <mergeCell ref="BI12:BJ12"/>
    <mergeCell ref="BK12:BL12"/>
    <mergeCell ref="BG9:BH9"/>
    <mergeCell ref="BI9:BJ9"/>
    <mergeCell ref="BK9:BL9"/>
    <mergeCell ref="BC7:BD7"/>
    <mergeCell ref="BE7:BF7"/>
    <mergeCell ref="BG7:BH7"/>
    <mergeCell ref="BI7:BJ7"/>
    <mergeCell ref="BK7:BL7"/>
    <mergeCell ref="BC8:BD8"/>
    <mergeCell ref="BI8:BJ8"/>
    <mergeCell ref="BC11:BD11"/>
    <mergeCell ref="BE11:BF11"/>
    <mergeCell ref="BG11:BH11"/>
    <mergeCell ref="BI11:BJ11"/>
    <mergeCell ref="BK11:BL11"/>
    <mergeCell ref="BK8:BL8"/>
    <mergeCell ref="BE8:BF8"/>
    <mergeCell ref="BG8:BH8"/>
    <mergeCell ref="BI15:BJ15"/>
    <mergeCell ref="BK15:BL15"/>
    <mergeCell ref="BC16:BD16"/>
    <mergeCell ref="BE16:BF16"/>
    <mergeCell ref="BG16:BH16"/>
    <mergeCell ref="BI16:BJ16"/>
    <mergeCell ref="BK16:BL16"/>
    <mergeCell ref="BC13:BD13"/>
    <mergeCell ref="BE13:BF13"/>
    <mergeCell ref="BG13:BH13"/>
    <mergeCell ref="BI13:BJ13"/>
    <mergeCell ref="BK13:BL13"/>
    <mergeCell ref="BI14:BJ14"/>
    <mergeCell ref="BK14:BL14"/>
    <mergeCell ref="BC15:BD15"/>
    <mergeCell ref="BE15:BF15"/>
    <mergeCell ref="BG15:BH15"/>
    <mergeCell ref="BC10:BD10"/>
    <mergeCell ref="BE10:BF10"/>
    <mergeCell ref="BG10:BH10"/>
    <mergeCell ref="BI10:BJ10"/>
    <mergeCell ref="BK10:BL10"/>
    <mergeCell ref="BI17:BJ17"/>
    <mergeCell ref="BK17:BL17"/>
    <mergeCell ref="BC23:BD23"/>
    <mergeCell ref="BI23:BJ23"/>
    <mergeCell ref="BE23:BF23"/>
    <mergeCell ref="BG23:BH23"/>
    <mergeCell ref="BC19:BD19"/>
    <mergeCell ref="BE19:BF19"/>
    <mergeCell ref="BG19:BH19"/>
    <mergeCell ref="BI19:BJ19"/>
    <mergeCell ref="BK19:BL19"/>
    <mergeCell ref="BC18:BD18"/>
    <mergeCell ref="BE18:BF18"/>
    <mergeCell ref="BE26:BF26"/>
    <mergeCell ref="BC28:BD28"/>
    <mergeCell ref="BE28:BF28"/>
    <mergeCell ref="BG18:BH18"/>
    <mergeCell ref="BI18:BJ18"/>
    <mergeCell ref="BK18:BL18"/>
    <mergeCell ref="BC20:BD20"/>
    <mergeCell ref="BE20:BF20"/>
    <mergeCell ref="BG20:BH20"/>
    <mergeCell ref="BI20:BJ20"/>
    <mergeCell ref="BK20:BL20"/>
    <mergeCell ref="BK22:BL22"/>
    <mergeCell ref="BG24:BH24"/>
    <mergeCell ref="BI26:BJ26"/>
    <mergeCell ref="BE22:BF22"/>
    <mergeCell ref="BG22:BH22"/>
    <mergeCell ref="BC24:BD24"/>
    <mergeCell ref="BE24:BF24"/>
    <mergeCell ref="BC22:BD22"/>
    <mergeCell ref="BK23:BL23"/>
    <mergeCell ref="BG27:BH27"/>
    <mergeCell ref="BC29:BD29"/>
    <mergeCell ref="BE29:BF29"/>
    <mergeCell ref="BG29:BH29"/>
    <mergeCell ref="BG28:BH28"/>
    <mergeCell ref="BC27:BD27"/>
    <mergeCell ref="BC26:BD26"/>
    <mergeCell ref="BG26:BH26"/>
    <mergeCell ref="BK26:BL26"/>
    <mergeCell ref="BC21:BD21"/>
    <mergeCell ref="BE21:BF21"/>
    <mergeCell ref="BG21:BH21"/>
    <mergeCell ref="BI21:BJ21"/>
    <mergeCell ref="BK21:BL21"/>
    <mergeCell ref="BC25:BD25"/>
    <mergeCell ref="BE25:BF25"/>
    <mergeCell ref="BG25:BH25"/>
    <mergeCell ref="BI25:BJ25"/>
    <mergeCell ref="BK25:BL25"/>
    <mergeCell ref="BI31:BJ31"/>
    <mergeCell ref="BI28:BJ28"/>
    <mergeCell ref="BI27:BJ27"/>
    <mergeCell ref="BI29:BJ29"/>
    <mergeCell ref="BK29:BL29"/>
    <mergeCell ref="BC31:BD31"/>
    <mergeCell ref="BI24:BJ24"/>
    <mergeCell ref="BK24:BL24"/>
    <mergeCell ref="BI47:BJ47"/>
    <mergeCell ref="BK47:BL47"/>
    <mergeCell ref="BG42:BH42"/>
    <mergeCell ref="BI42:BJ42"/>
    <mergeCell ref="BE45:BF45"/>
    <mergeCell ref="BG45:BH45"/>
    <mergeCell ref="BI45:BJ45"/>
    <mergeCell ref="BK45:BL45"/>
    <mergeCell ref="BC41:BD41"/>
    <mergeCell ref="BE41:BF41"/>
    <mergeCell ref="BG41:BH41"/>
    <mergeCell ref="BI41:BJ41"/>
    <mergeCell ref="BK41:BL41"/>
    <mergeCell ref="BC43:BD43"/>
    <mergeCell ref="BE43:BF43"/>
    <mergeCell ref="BG43:BH43"/>
    <mergeCell ref="BI43:BJ43"/>
    <mergeCell ref="BE31:BF31"/>
    <mergeCell ref="BG31:BH31"/>
    <mergeCell ref="BG46:BH46"/>
    <mergeCell ref="BI46:BJ46"/>
    <mergeCell ref="BK46:BL46"/>
    <mergeCell ref="BI32:BJ32"/>
    <mergeCell ref="BK32:BL32"/>
    <mergeCell ref="BC48:BD48"/>
    <mergeCell ref="BE48:BF48"/>
    <mergeCell ref="BG48:BH48"/>
    <mergeCell ref="BI48:BJ48"/>
    <mergeCell ref="BK48:BL48"/>
    <mergeCell ref="BC39:BD39"/>
    <mergeCell ref="BE39:BF39"/>
    <mergeCell ref="BG39:BH39"/>
    <mergeCell ref="BI39:BJ39"/>
    <mergeCell ref="BK39:BL39"/>
    <mergeCell ref="BC40:BD40"/>
    <mergeCell ref="BE40:BF40"/>
    <mergeCell ref="BG40:BH40"/>
    <mergeCell ref="BI40:BJ40"/>
    <mergeCell ref="BK40:BL40"/>
    <mergeCell ref="BC42:BD42"/>
    <mergeCell ref="BE42:BF42"/>
    <mergeCell ref="BC44:BD44"/>
    <mergeCell ref="BE44:BF44"/>
    <mergeCell ref="BG44:BH44"/>
    <mergeCell ref="BI44:BJ44"/>
    <mergeCell ref="BK44:BL44"/>
    <mergeCell ref="BC33:BD33"/>
    <mergeCell ref="BE33:BF33"/>
    <mergeCell ref="BG33:BH33"/>
    <mergeCell ref="BI33:BJ33"/>
    <mergeCell ref="BK33:BL33"/>
    <mergeCell ref="BC35:BD35"/>
    <mergeCell ref="BE35:BF35"/>
    <mergeCell ref="BG35:BH35"/>
    <mergeCell ref="BI35:BJ35"/>
    <mergeCell ref="BK35:BL35"/>
    <mergeCell ref="BC36:BD36"/>
    <mergeCell ref="BE36:BF36"/>
    <mergeCell ref="BG36:BH36"/>
    <mergeCell ref="BI36:BJ36"/>
    <mergeCell ref="BK43:BL43"/>
    <mergeCell ref="BC34:BD34"/>
    <mergeCell ref="BE34:BF34"/>
    <mergeCell ref="BG34:BH34"/>
    <mergeCell ref="BI34:BJ34"/>
    <mergeCell ref="BE38:BF38"/>
    <mergeCell ref="BG38:BH38"/>
    <mergeCell ref="BI38:BJ38"/>
    <mergeCell ref="BK38:BL38"/>
    <mergeCell ref="BC32:BD32"/>
    <mergeCell ref="BE32:BF32"/>
    <mergeCell ref="BG32:BH32"/>
    <mergeCell ref="BE52:BF52"/>
    <mergeCell ref="BK55:BL55"/>
    <mergeCell ref="BK54:BL54"/>
    <mergeCell ref="BC55:BD55"/>
    <mergeCell ref="BC37:BD37"/>
    <mergeCell ref="BE37:BF37"/>
    <mergeCell ref="BG37:BH37"/>
    <mergeCell ref="BI37:BJ37"/>
    <mergeCell ref="BK37:BL37"/>
    <mergeCell ref="BC38:BD38"/>
    <mergeCell ref="BI53:BJ53"/>
    <mergeCell ref="BK53:BL53"/>
    <mergeCell ref="BC56:BD56"/>
    <mergeCell ref="BE56:BF56"/>
    <mergeCell ref="BC45:BD45"/>
    <mergeCell ref="BG55:BH55"/>
    <mergeCell ref="BI55:BJ55"/>
    <mergeCell ref="BC49:BD49"/>
    <mergeCell ref="BE49:BF49"/>
    <mergeCell ref="BG49:BH49"/>
    <mergeCell ref="BI49:BJ49"/>
    <mergeCell ref="BK49:BL49"/>
    <mergeCell ref="BC50:BD50"/>
    <mergeCell ref="BE50:BF50"/>
    <mergeCell ref="BG50:BH50"/>
    <mergeCell ref="BI50:BJ50"/>
    <mergeCell ref="BK50:BL50"/>
    <mergeCell ref="BC53:BD53"/>
    <mergeCell ref="BE53:BF53"/>
    <mergeCell ref="BG53:BH53"/>
    <mergeCell ref="BC46:BD46"/>
    <mergeCell ref="BE46:BF46"/>
    <mergeCell ref="BK34:BL34"/>
    <mergeCell ref="BG56:BH56"/>
    <mergeCell ref="BC69:BD69"/>
    <mergeCell ref="BE69:BF69"/>
    <mergeCell ref="BG69:BH69"/>
    <mergeCell ref="BI69:BJ69"/>
    <mergeCell ref="BK69:BL69"/>
    <mergeCell ref="BC67:BD67"/>
    <mergeCell ref="BE67:BF67"/>
    <mergeCell ref="BG67:BH67"/>
    <mergeCell ref="BI67:BJ67"/>
    <mergeCell ref="BK67:BL67"/>
    <mergeCell ref="BC68:BD68"/>
    <mergeCell ref="BC62:BD62"/>
    <mergeCell ref="BE62:BF62"/>
    <mergeCell ref="BG62:BH62"/>
    <mergeCell ref="BI62:BJ62"/>
    <mergeCell ref="BK62:BL62"/>
    <mergeCell ref="BK63:BL63"/>
    <mergeCell ref="BK36:BL36"/>
    <mergeCell ref="BG51:BH51"/>
    <mergeCell ref="BI51:BJ51"/>
    <mergeCell ref="BK42:BL42"/>
    <mergeCell ref="BC47:BD47"/>
    <mergeCell ref="BE47:BF47"/>
    <mergeCell ref="BG47:BH47"/>
    <mergeCell ref="BE61:BF61"/>
    <mergeCell ref="BG61:BH61"/>
    <mergeCell ref="BI61:BJ61"/>
    <mergeCell ref="BI66:BJ66"/>
    <mergeCell ref="BK66:BL66"/>
    <mergeCell ref="BE68:BF68"/>
    <mergeCell ref="BG68:BH68"/>
    <mergeCell ref="BI68:BJ68"/>
    <mergeCell ref="BK68:BL68"/>
    <mergeCell ref="BC74:BD74"/>
    <mergeCell ref="BE74:BF74"/>
    <mergeCell ref="BG74:BH74"/>
    <mergeCell ref="BI74:BJ74"/>
    <mergeCell ref="BK74:BL74"/>
    <mergeCell ref="BC73:BD73"/>
    <mergeCell ref="BE73:BF73"/>
    <mergeCell ref="BG73:BH73"/>
    <mergeCell ref="BI73:BJ73"/>
    <mergeCell ref="BK73:BL73"/>
    <mergeCell ref="BC72:BD72"/>
    <mergeCell ref="BE72:BF72"/>
    <mergeCell ref="BG72:BH72"/>
    <mergeCell ref="BI72:BJ72"/>
    <mergeCell ref="BK72:BL72"/>
    <mergeCell ref="BG71:BH71"/>
    <mergeCell ref="BI71:BJ71"/>
    <mergeCell ref="BK71:BL71"/>
    <mergeCell ref="BI82:BJ82"/>
    <mergeCell ref="BK122:BL122"/>
    <mergeCell ref="BG106:BH106"/>
    <mergeCell ref="BI106:BJ106"/>
    <mergeCell ref="BG84:BH84"/>
    <mergeCell ref="BE124:BF124"/>
    <mergeCell ref="BG124:BH124"/>
    <mergeCell ref="BG169:BH169"/>
    <mergeCell ref="BI169:BJ169"/>
    <mergeCell ref="BK169:BL169"/>
    <mergeCell ref="BE149:BF149"/>
    <mergeCell ref="BE109:BF109"/>
    <mergeCell ref="BI101:BJ101"/>
    <mergeCell ref="BK101:BL101"/>
    <mergeCell ref="BI107:BJ107"/>
    <mergeCell ref="BK107:BL107"/>
    <mergeCell ref="BG149:BH149"/>
    <mergeCell ref="BI149:BJ149"/>
    <mergeCell ref="BK111:BL111"/>
    <mergeCell ref="A14:B14"/>
    <mergeCell ref="W14:AK14"/>
    <mergeCell ref="AL14:BB14"/>
    <mergeCell ref="BC14:BD14"/>
    <mergeCell ref="BE14:BF14"/>
    <mergeCell ref="BG14:BH14"/>
    <mergeCell ref="BC17:BD17"/>
    <mergeCell ref="BE17:BF17"/>
    <mergeCell ref="BG17:BH17"/>
    <mergeCell ref="BK65:BL65"/>
    <mergeCell ref="BC63:BD63"/>
    <mergeCell ref="BE63:BF63"/>
    <mergeCell ref="BG63:BH63"/>
    <mergeCell ref="BI63:BJ63"/>
    <mergeCell ref="A19:B19"/>
    <mergeCell ref="W19:AK19"/>
    <mergeCell ref="BK31:BL31"/>
    <mergeCell ref="BK28:BL28"/>
    <mergeCell ref="BK27:BL27"/>
    <mergeCell ref="BI22:BJ22"/>
    <mergeCell ref="BG52:BH52"/>
    <mergeCell ref="BI52:BJ52"/>
    <mergeCell ref="BK52:BL52"/>
    <mergeCell ref="BE27:BF27"/>
    <mergeCell ref="BE64:BF64"/>
    <mergeCell ref="BG64:BH64"/>
    <mergeCell ref="BC65:BD65"/>
    <mergeCell ref="BE65:BF65"/>
    <mergeCell ref="BG65:BH65"/>
    <mergeCell ref="BI65:BJ65"/>
    <mergeCell ref="BC51:BD51"/>
    <mergeCell ref="BE51:BF51"/>
    <mergeCell ref="BC64:BD64"/>
    <mergeCell ref="BE55:BF55"/>
    <mergeCell ref="BK80:BL80"/>
    <mergeCell ref="BK51:BL51"/>
    <mergeCell ref="BC57:BD57"/>
    <mergeCell ref="BE57:BF57"/>
    <mergeCell ref="BG57:BH57"/>
    <mergeCell ref="BI57:BJ57"/>
    <mergeCell ref="BK57:BL57"/>
    <mergeCell ref="BC54:BD54"/>
    <mergeCell ref="BE54:BF54"/>
    <mergeCell ref="BK78:BL78"/>
    <mergeCell ref="BE59:BF59"/>
    <mergeCell ref="BG59:BH59"/>
    <mergeCell ref="BI59:BJ59"/>
    <mergeCell ref="BK59:BL59"/>
    <mergeCell ref="BC61:BD61"/>
    <mergeCell ref="BC58:BD58"/>
    <mergeCell ref="BE58:BF58"/>
    <mergeCell ref="BG58:BH58"/>
    <mergeCell ref="BI58:BJ58"/>
    <mergeCell ref="BK58:BL58"/>
    <mergeCell ref="BI54:BJ54"/>
    <mergeCell ref="BC52:BD52"/>
    <mergeCell ref="BE80:BF80"/>
    <mergeCell ref="BI80:BJ80"/>
    <mergeCell ref="BK61:BL61"/>
    <mergeCell ref="BI56:BJ56"/>
    <mergeCell ref="BK56:BL56"/>
    <mergeCell ref="BC66:BD66"/>
    <mergeCell ref="BE66:BF66"/>
    <mergeCell ref="BG66:BH66"/>
    <mergeCell ref="A130:B130"/>
    <mergeCell ref="W130:AK130"/>
    <mergeCell ref="AL130:BB130"/>
    <mergeCell ref="BC130:BD130"/>
    <mergeCell ref="BE130:BF130"/>
    <mergeCell ref="BG130:BH130"/>
    <mergeCell ref="BI130:BJ130"/>
    <mergeCell ref="A82:B82"/>
    <mergeCell ref="BC60:BD60"/>
    <mergeCell ref="BE60:BF60"/>
    <mergeCell ref="BG60:BH60"/>
    <mergeCell ref="BI60:BJ60"/>
    <mergeCell ref="BK130:BL130"/>
    <mergeCell ref="A86:B86"/>
    <mergeCell ref="W72:AK72"/>
    <mergeCell ref="A74:B74"/>
    <mergeCell ref="W62:AK62"/>
    <mergeCell ref="C89:V101"/>
    <mergeCell ref="AL69:BB69"/>
    <mergeCell ref="AL70:BB70"/>
    <mergeCell ref="AL71:BB71"/>
    <mergeCell ref="AL73:BB73"/>
    <mergeCell ref="AL67:BB67"/>
    <mergeCell ref="A106:B106"/>
    <mergeCell ref="W106:AK106"/>
    <mergeCell ref="BC70:BD70"/>
    <mergeCell ref="BE70:BF70"/>
    <mergeCell ref="BG70:BH70"/>
    <mergeCell ref="BI70:BJ70"/>
    <mergeCell ref="BK70:BL70"/>
    <mergeCell ref="BC71:BD71"/>
    <mergeCell ref="BE71:BF71"/>
    <mergeCell ref="BK128:BL128"/>
    <mergeCell ref="A123:B123"/>
    <mergeCell ref="W123:AK123"/>
    <mergeCell ref="BI84:BJ84"/>
    <mergeCell ref="BK84:BL84"/>
    <mergeCell ref="BI102:BJ102"/>
    <mergeCell ref="BK102:BL102"/>
    <mergeCell ref="BI122:BJ122"/>
    <mergeCell ref="BI111:BJ111"/>
    <mergeCell ref="BI124:BJ124"/>
    <mergeCell ref="A81:B81"/>
    <mergeCell ref="W81:AK81"/>
    <mergeCell ref="BG80:BH80"/>
    <mergeCell ref="BG81:BH81"/>
    <mergeCell ref="BI81:BJ81"/>
    <mergeCell ref="BK81:BL81"/>
    <mergeCell ref="BK108:BL108"/>
    <mergeCell ref="BK87:BL87"/>
    <mergeCell ref="A105:B105"/>
    <mergeCell ref="BE87:BF87"/>
    <mergeCell ref="BG87:BH87"/>
    <mergeCell ref="BG85:BH85"/>
    <mergeCell ref="BK109:BL109"/>
    <mergeCell ref="BG107:BH107"/>
    <mergeCell ref="BK82:BL82"/>
    <mergeCell ref="BE106:BF106"/>
    <mergeCell ref="BE85:BF85"/>
    <mergeCell ref="BC99:BD99"/>
    <mergeCell ref="BE99:BF99"/>
    <mergeCell ref="BC82:BD82"/>
    <mergeCell ref="BE82:BF82"/>
    <mergeCell ref="BG82:BH82"/>
    <mergeCell ref="C175:V183"/>
    <mergeCell ref="A131:B131"/>
    <mergeCell ref="W131:AK131"/>
    <mergeCell ref="AL131:BB131"/>
    <mergeCell ref="BC131:BD131"/>
    <mergeCell ref="BE131:BF131"/>
    <mergeCell ref="BG131:BH131"/>
    <mergeCell ref="C106:V106"/>
    <mergeCell ref="AL106:BB106"/>
    <mergeCell ref="BC106:BD106"/>
    <mergeCell ref="BC127:BD127"/>
    <mergeCell ref="A122:B122"/>
    <mergeCell ref="W122:AK122"/>
    <mergeCell ref="AL122:BB122"/>
    <mergeCell ref="BC122:BD122"/>
    <mergeCell ref="BE122:BF122"/>
    <mergeCell ref="BG122:BH122"/>
    <mergeCell ref="C118:V121"/>
    <mergeCell ref="C122:V123"/>
    <mergeCell ref="C124:V127"/>
    <mergeCell ref="AL111:BB111"/>
    <mergeCell ref="BC111:BD111"/>
    <mergeCell ref="BE111:BF111"/>
    <mergeCell ref="BG111:BH111"/>
    <mergeCell ref="BG109:BH109"/>
    <mergeCell ref="A109:B109"/>
    <mergeCell ref="W109:AK109"/>
    <mergeCell ref="BC163:BD163"/>
    <mergeCell ref="BE163:BF163"/>
    <mergeCell ref="BG163:BH163"/>
    <mergeCell ref="A182:B182"/>
    <mergeCell ref="W182:AK182"/>
    <mergeCell ref="BE183:BF183"/>
    <mergeCell ref="BI178:BJ178"/>
    <mergeCell ref="BK178:BL178"/>
    <mergeCell ref="BC175:BD175"/>
    <mergeCell ref="BE175:BF175"/>
    <mergeCell ref="BG183:BH183"/>
    <mergeCell ref="BI183:BJ183"/>
    <mergeCell ref="BK183:BL183"/>
    <mergeCell ref="BE180:BF180"/>
    <mergeCell ref="BG180:BH180"/>
    <mergeCell ref="BI180:BJ180"/>
    <mergeCell ref="BE177:BF177"/>
    <mergeCell ref="BG176:BH176"/>
    <mergeCell ref="BI176:BJ176"/>
    <mergeCell ref="BK176:BL176"/>
    <mergeCell ref="AL182:BB182"/>
    <mergeCell ref="BC182:BD182"/>
    <mergeCell ref="BE182:BF182"/>
    <mergeCell ref="BG182:BH182"/>
    <mergeCell ref="BG175:BH175"/>
    <mergeCell ref="BC180:BD180"/>
    <mergeCell ref="BK175:BL175"/>
    <mergeCell ref="BC176:BD176"/>
    <mergeCell ref="BE176:BF176"/>
    <mergeCell ref="BC181:BD181"/>
    <mergeCell ref="BE181:BF181"/>
    <mergeCell ref="AL84:BB84"/>
    <mergeCell ref="BC84:BD84"/>
    <mergeCell ref="BE84:BF84"/>
    <mergeCell ref="BE108:BF108"/>
    <mergeCell ref="BG108:BH108"/>
    <mergeCell ref="BI108:BJ108"/>
    <mergeCell ref="AL109:BB109"/>
    <mergeCell ref="BC109:BD109"/>
    <mergeCell ref="BI87:BJ87"/>
    <mergeCell ref="A107:B107"/>
    <mergeCell ref="W87:AK87"/>
    <mergeCell ref="AL87:BB87"/>
    <mergeCell ref="BC87:BD87"/>
    <mergeCell ref="W82:AK82"/>
    <mergeCell ref="AL82:BB82"/>
    <mergeCell ref="BC143:BD143"/>
    <mergeCell ref="BE143:BF143"/>
    <mergeCell ref="BG143:BH143"/>
    <mergeCell ref="AL103:BB103"/>
    <mergeCell ref="BC103:BD103"/>
    <mergeCell ref="BE103:BF103"/>
    <mergeCell ref="BG103:BH103"/>
    <mergeCell ref="W107:AK107"/>
    <mergeCell ref="C107:V107"/>
    <mergeCell ref="AL107:BB107"/>
    <mergeCell ref="BC107:BD107"/>
    <mergeCell ref="BE107:BF107"/>
    <mergeCell ref="A125:B125"/>
    <mergeCell ref="W128:AK128"/>
    <mergeCell ref="AL128:BB128"/>
    <mergeCell ref="BC128:BD128"/>
    <mergeCell ref="BE128:BF128"/>
    <mergeCell ref="A171:B171"/>
    <mergeCell ref="W171:AK171"/>
    <mergeCell ref="AL171:BB171"/>
    <mergeCell ref="BC171:BD171"/>
    <mergeCell ref="BE171:BF171"/>
    <mergeCell ref="BG171:BH171"/>
    <mergeCell ref="BI171:BJ171"/>
    <mergeCell ref="BK171:BL171"/>
    <mergeCell ref="C169:V174"/>
    <mergeCell ref="A174:B174"/>
    <mergeCell ref="W174:AK174"/>
    <mergeCell ref="AL174:BB174"/>
    <mergeCell ref="BC174:BD174"/>
    <mergeCell ref="A173:B173"/>
    <mergeCell ref="A170:B170"/>
    <mergeCell ref="W170:AK170"/>
    <mergeCell ref="AL170:BB170"/>
    <mergeCell ref="W173:AK173"/>
    <mergeCell ref="AL173:BB173"/>
    <mergeCell ref="BC173:BD173"/>
    <mergeCell ref="BE173:BF173"/>
    <mergeCell ref="BE174:BF174"/>
    <mergeCell ref="BG174:BH174"/>
    <mergeCell ref="BI174:BJ174"/>
    <mergeCell ref="BK174:BL174"/>
    <mergeCell ref="BC170:BD170"/>
    <mergeCell ref="BE170:BF170"/>
    <mergeCell ref="BG170:BH170"/>
    <mergeCell ref="BI170:BJ170"/>
    <mergeCell ref="BK170:BL170"/>
    <mergeCell ref="BG173:BH173"/>
    <mergeCell ref="BI173:BJ173"/>
    <mergeCell ref="BK173:BL173"/>
    <mergeCell ref="BG162:BH162"/>
    <mergeCell ref="BI162:BJ162"/>
    <mergeCell ref="BK162:BL162"/>
    <mergeCell ref="BG165:BH165"/>
    <mergeCell ref="BI165:BJ165"/>
    <mergeCell ref="BK165:BL165"/>
    <mergeCell ref="A164:B164"/>
    <mergeCell ref="W164:AK164"/>
    <mergeCell ref="AL164:BB164"/>
    <mergeCell ref="BE165:BF165"/>
    <mergeCell ref="BK168:BL168"/>
    <mergeCell ref="A169:B169"/>
    <mergeCell ref="W169:AK169"/>
    <mergeCell ref="AL169:BB169"/>
    <mergeCell ref="BC169:BD169"/>
    <mergeCell ref="BE169:BF169"/>
    <mergeCell ref="A163:B163"/>
    <mergeCell ref="W163:AK163"/>
    <mergeCell ref="AL163:BB163"/>
    <mergeCell ref="A165:B165"/>
    <mergeCell ref="W165:AK165"/>
    <mergeCell ref="AL165:BB165"/>
    <mergeCell ref="A172:B172"/>
    <mergeCell ref="W172:AK172"/>
    <mergeCell ref="AL172:BB172"/>
    <mergeCell ref="BC172:BD172"/>
    <mergeCell ref="BE172:BF172"/>
    <mergeCell ref="BG172:BH172"/>
    <mergeCell ref="BI172:BJ172"/>
    <mergeCell ref="BK172:BL172"/>
    <mergeCell ref="W99:AK99"/>
    <mergeCell ref="A93:B93"/>
    <mergeCell ref="W93:AK93"/>
    <mergeCell ref="AL93:BB93"/>
    <mergeCell ref="AL94:BB94"/>
    <mergeCell ref="BC94:BD94"/>
    <mergeCell ref="BI94:BJ94"/>
    <mergeCell ref="BI91:BJ91"/>
    <mergeCell ref="BK91:BL91"/>
    <mergeCell ref="BK89:BL89"/>
    <mergeCell ref="BC88:BD88"/>
    <mergeCell ref="BE88:BF88"/>
    <mergeCell ref="BG88:BH88"/>
    <mergeCell ref="BI88:BJ88"/>
    <mergeCell ref="BK88:BL88"/>
    <mergeCell ref="A101:B101"/>
    <mergeCell ref="W101:AK101"/>
    <mergeCell ref="BG92:BH92"/>
    <mergeCell ref="BI92:BJ92"/>
    <mergeCell ref="AL89:BB89"/>
    <mergeCell ref="BC89:BD89"/>
    <mergeCell ref="BK90:BL90"/>
    <mergeCell ref="A127:B127"/>
    <mergeCell ref="A126:B126"/>
    <mergeCell ref="W126:AK126"/>
    <mergeCell ref="BK103:BL103"/>
    <mergeCell ref="BK106:BL106"/>
    <mergeCell ref="W91:AK91"/>
    <mergeCell ref="BE91:BF91"/>
    <mergeCell ref="BG91:BH91"/>
    <mergeCell ref="W103:AK103"/>
    <mergeCell ref="A103:B103"/>
    <mergeCell ref="BC100:BD100"/>
    <mergeCell ref="BE100:BF100"/>
    <mergeCell ref="A99:B99"/>
    <mergeCell ref="W112:AK112"/>
    <mergeCell ref="AL112:BB112"/>
    <mergeCell ref="BC112:BD112"/>
    <mergeCell ref="BE112:BF112"/>
    <mergeCell ref="W94:AK94"/>
    <mergeCell ref="BI103:BJ103"/>
    <mergeCell ref="BC93:BD93"/>
    <mergeCell ref="BK93:BL93"/>
    <mergeCell ref="BK92:BL92"/>
    <mergeCell ref="A102:B102"/>
    <mergeCell ref="W102:AK102"/>
    <mergeCell ref="AL102:BB102"/>
    <mergeCell ref="BC102:BD102"/>
    <mergeCell ref="BE102:BF102"/>
    <mergeCell ref="BG102:BH102"/>
    <mergeCell ref="A97:B97"/>
    <mergeCell ref="AL100:BB100"/>
    <mergeCell ref="A91:B91"/>
    <mergeCell ref="BK100:BL100"/>
    <mergeCell ref="BE127:BF127"/>
    <mergeCell ref="BG127:BH127"/>
    <mergeCell ref="BI127:BJ127"/>
    <mergeCell ref="BK127:BL127"/>
    <mergeCell ref="A124:B124"/>
    <mergeCell ref="W124:AK124"/>
    <mergeCell ref="AL124:BB124"/>
    <mergeCell ref="BC124:BD124"/>
    <mergeCell ref="BK129:BL129"/>
    <mergeCell ref="A128:B128"/>
    <mergeCell ref="AL127:BB127"/>
    <mergeCell ref="AL126:BB126"/>
    <mergeCell ref="BI129:BJ129"/>
    <mergeCell ref="W119:AK119"/>
    <mergeCell ref="AL119:BB119"/>
    <mergeCell ref="BC119:BD119"/>
    <mergeCell ref="BG115:BH115"/>
    <mergeCell ref="BI115:BJ115"/>
    <mergeCell ref="C112:V117"/>
    <mergeCell ref="A112:B112"/>
    <mergeCell ref="A104:B104"/>
    <mergeCell ref="W104:AK104"/>
    <mergeCell ref="AL104:BB104"/>
    <mergeCell ref="BC104:BD104"/>
    <mergeCell ref="BE104:BF104"/>
    <mergeCell ref="BG104:BH104"/>
    <mergeCell ref="BI104:BJ104"/>
    <mergeCell ref="BK104:BL104"/>
    <mergeCell ref="BK105:BL105"/>
    <mergeCell ref="BG128:BH128"/>
    <mergeCell ref="BI128:BJ128"/>
    <mergeCell ref="BK157:BL157"/>
    <mergeCell ref="W159:AK159"/>
    <mergeCell ref="AL159:BB159"/>
    <mergeCell ref="BC159:BD159"/>
    <mergeCell ref="BE159:BF159"/>
    <mergeCell ref="BG159:BH159"/>
    <mergeCell ref="BI159:BJ159"/>
    <mergeCell ref="BK159:BL159"/>
    <mergeCell ref="A158:B158"/>
    <mergeCell ref="W158:AK158"/>
    <mergeCell ref="C156:V158"/>
    <mergeCell ref="BK158:BL158"/>
    <mergeCell ref="BC158:BD158"/>
    <mergeCell ref="C159:V162"/>
    <mergeCell ref="AL162:BB162"/>
    <mergeCell ref="BC162:BD162"/>
    <mergeCell ref="BE162:BF162"/>
    <mergeCell ref="A161:B161"/>
    <mergeCell ref="W161:AK161"/>
    <mergeCell ref="AL161:BB161"/>
    <mergeCell ref="BC161:BD161"/>
    <mergeCell ref="A156:B156"/>
    <mergeCell ref="W156:AK156"/>
    <mergeCell ref="AL156:BB156"/>
    <mergeCell ref="BC156:BD156"/>
    <mergeCell ref="BE156:BF156"/>
    <mergeCell ref="BG156:BH156"/>
    <mergeCell ref="BI156:BJ156"/>
    <mergeCell ref="BK156:BL156"/>
    <mergeCell ref="BE158:BF158"/>
    <mergeCell ref="BG158:BH158"/>
    <mergeCell ref="BI158:BJ158"/>
    <mergeCell ref="A166:B166"/>
    <mergeCell ref="W166:AK166"/>
    <mergeCell ref="AL166:BB166"/>
    <mergeCell ref="BC166:BD166"/>
    <mergeCell ref="BE166:BF166"/>
    <mergeCell ref="BG166:BH166"/>
    <mergeCell ref="BI166:BJ166"/>
    <mergeCell ref="BK166:BL166"/>
    <mergeCell ref="BC164:BD164"/>
    <mergeCell ref="BE164:BF164"/>
    <mergeCell ref="BG164:BH164"/>
    <mergeCell ref="BI164:BJ164"/>
    <mergeCell ref="BK164:BL164"/>
    <mergeCell ref="BE160:BF160"/>
    <mergeCell ref="BG160:BH160"/>
    <mergeCell ref="BI160:BJ160"/>
    <mergeCell ref="BK160:BL160"/>
    <mergeCell ref="A162:B162"/>
    <mergeCell ref="W162:AK162"/>
    <mergeCell ref="BI163:BJ163"/>
    <mergeCell ref="C163:V168"/>
    <mergeCell ref="W160:AK160"/>
    <mergeCell ref="AL160:BB160"/>
    <mergeCell ref="BC160:BD160"/>
    <mergeCell ref="BK161:BL161"/>
    <mergeCell ref="A160:B160"/>
    <mergeCell ref="A167:B167"/>
    <mergeCell ref="W167:AK167"/>
    <mergeCell ref="BC165:BD165"/>
    <mergeCell ref="BG100:BH100"/>
    <mergeCell ref="BI100:BJ100"/>
    <mergeCell ref="A95:B95"/>
    <mergeCell ref="W95:AK95"/>
    <mergeCell ref="AL95:BB95"/>
    <mergeCell ref="BC95:BD95"/>
    <mergeCell ref="A96:B96"/>
    <mergeCell ref="W96:AK96"/>
    <mergeCell ref="W100:AK100"/>
    <mergeCell ref="BC96:BD96"/>
    <mergeCell ref="BE96:BF96"/>
    <mergeCell ref="BG96:BH96"/>
    <mergeCell ref="BI96:BJ96"/>
    <mergeCell ref="BK96:BL96"/>
    <mergeCell ref="W97:AK97"/>
    <mergeCell ref="AL97:BB97"/>
    <mergeCell ref="BC97:BD97"/>
    <mergeCell ref="BI97:BJ97"/>
    <mergeCell ref="BK97:BL97"/>
    <mergeCell ref="BG99:BH99"/>
    <mergeCell ref="BI99:BJ99"/>
    <mergeCell ref="BK99:BL99"/>
    <mergeCell ref="W127:AK127"/>
    <mergeCell ref="BE167:BF167"/>
    <mergeCell ref="BG167:BH167"/>
    <mergeCell ref="BI167:BJ167"/>
    <mergeCell ref="BK167:BL167"/>
    <mergeCell ref="BC126:BD126"/>
    <mergeCell ref="AL101:BB101"/>
    <mergeCell ref="BE101:BF101"/>
    <mergeCell ref="BG101:BH101"/>
    <mergeCell ref="AL105:BB105"/>
    <mergeCell ref="BC105:BD105"/>
    <mergeCell ref="BE105:BF105"/>
    <mergeCell ref="BG105:BH105"/>
    <mergeCell ref="BI105:BJ105"/>
    <mergeCell ref="A108:B108"/>
    <mergeCell ref="W108:AK108"/>
    <mergeCell ref="C108:V108"/>
    <mergeCell ref="AL108:BB108"/>
    <mergeCell ref="BC108:BD108"/>
    <mergeCell ref="AL110:BB110"/>
    <mergeCell ref="A159:B159"/>
    <mergeCell ref="BE161:BF161"/>
    <mergeCell ref="BE129:BF129"/>
    <mergeCell ref="BG129:BH129"/>
    <mergeCell ref="A157:B157"/>
    <mergeCell ref="W157:AK157"/>
    <mergeCell ref="AL157:BB157"/>
    <mergeCell ref="BC157:BD157"/>
    <mergeCell ref="BE157:BF157"/>
    <mergeCell ref="BG157:BH157"/>
    <mergeCell ref="BI157:BJ157"/>
    <mergeCell ref="W105:AK105"/>
    <mergeCell ref="A111:B111"/>
    <mergeCell ref="W111:AK111"/>
    <mergeCell ref="AL152:BB152"/>
    <mergeCell ref="BC152:BD152"/>
    <mergeCell ref="BE152:BF152"/>
    <mergeCell ref="A115:B115"/>
    <mergeCell ref="AL123:BB123"/>
    <mergeCell ref="A168:B168"/>
    <mergeCell ref="W168:AK168"/>
    <mergeCell ref="AL168:BB168"/>
    <mergeCell ref="BC168:BD168"/>
    <mergeCell ref="BE168:BF168"/>
    <mergeCell ref="BG168:BH168"/>
    <mergeCell ref="BI168:BJ168"/>
    <mergeCell ref="BE95:BF95"/>
    <mergeCell ref="BG95:BH95"/>
    <mergeCell ref="BI95:BJ95"/>
    <mergeCell ref="A100:B100"/>
    <mergeCell ref="BE126:BF126"/>
    <mergeCell ref="BG126:BH126"/>
    <mergeCell ref="BI126:BJ126"/>
    <mergeCell ref="W125:AK125"/>
    <mergeCell ref="AL125:BB125"/>
    <mergeCell ref="AL158:BB158"/>
    <mergeCell ref="A121:B121"/>
    <mergeCell ref="BC101:BD101"/>
    <mergeCell ref="A129:B129"/>
    <mergeCell ref="W129:AK129"/>
    <mergeCell ref="AL129:BB129"/>
    <mergeCell ref="BC129:BD129"/>
    <mergeCell ref="A118:B118"/>
    <mergeCell ref="A119:B119"/>
    <mergeCell ref="BE120:BF120"/>
    <mergeCell ref="BG120:BH120"/>
    <mergeCell ref="BI120:BJ120"/>
    <mergeCell ref="BC110:BD110"/>
    <mergeCell ref="BE110:BF110"/>
    <mergeCell ref="BK75:BL75"/>
    <mergeCell ref="A76:B76"/>
    <mergeCell ref="W76:AK76"/>
    <mergeCell ref="AL76:BB76"/>
    <mergeCell ref="BC76:BD76"/>
    <mergeCell ref="BE76:BF76"/>
    <mergeCell ref="BG76:BH76"/>
    <mergeCell ref="BI76:BJ76"/>
    <mergeCell ref="BK76:BL76"/>
    <mergeCell ref="A77:B77"/>
    <mergeCell ref="W77:AK77"/>
    <mergeCell ref="AL77:BB77"/>
    <mergeCell ref="BC77:BD77"/>
    <mergeCell ref="BE77:BF77"/>
    <mergeCell ref="BG77:BH77"/>
    <mergeCell ref="BI77:BJ77"/>
    <mergeCell ref="A78:B78"/>
    <mergeCell ref="W78:AK78"/>
    <mergeCell ref="AL78:BB78"/>
    <mergeCell ref="BC78:BD78"/>
    <mergeCell ref="BE78:BF78"/>
    <mergeCell ref="BG78:BH78"/>
    <mergeCell ref="BI78:BJ78"/>
    <mergeCell ref="BK77:BL77"/>
    <mergeCell ref="BI85:BJ85"/>
    <mergeCell ref="A88:B88"/>
    <mergeCell ref="W88:AK88"/>
    <mergeCell ref="AL88:BB88"/>
    <mergeCell ref="W98:AK98"/>
    <mergeCell ref="AL98:BB98"/>
    <mergeCell ref="BC98:BD98"/>
    <mergeCell ref="BE98:BF98"/>
    <mergeCell ref="BG98:BH98"/>
    <mergeCell ref="BI98:BJ98"/>
    <mergeCell ref="A92:B92"/>
    <mergeCell ref="A75:B75"/>
    <mergeCell ref="W75:AK75"/>
    <mergeCell ref="AL75:BB75"/>
    <mergeCell ref="BC75:BD75"/>
    <mergeCell ref="BE75:BF75"/>
    <mergeCell ref="BG75:BH75"/>
    <mergeCell ref="BI75:BJ75"/>
    <mergeCell ref="W90:AK90"/>
    <mergeCell ref="AL90:BB90"/>
    <mergeCell ref="BC90:BD90"/>
    <mergeCell ref="BE90:BF90"/>
    <mergeCell ref="BG90:BH90"/>
    <mergeCell ref="BI90:BJ90"/>
    <mergeCell ref="W89:AK89"/>
    <mergeCell ref="A89:B89"/>
    <mergeCell ref="A80:B80"/>
    <mergeCell ref="W80:AK80"/>
    <mergeCell ref="AL80:BB80"/>
    <mergeCell ref="BC80:BD80"/>
    <mergeCell ref="A84:B84"/>
    <mergeCell ref="W84:AK84"/>
    <mergeCell ref="AL91:BB91"/>
    <mergeCell ref="BC91:BD91"/>
    <mergeCell ref="BE93:BF93"/>
    <mergeCell ref="W114:AK114"/>
    <mergeCell ref="AL114:BB114"/>
    <mergeCell ref="BC114:BD114"/>
    <mergeCell ref="BE114:BF114"/>
    <mergeCell ref="BE89:BF89"/>
    <mergeCell ref="BG89:BH89"/>
    <mergeCell ref="BI89:BJ89"/>
    <mergeCell ref="A90:B90"/>
    <mergeCell ref="BK79:BL79"/>
    <mergeCell ref="A98:B98"/>
    <mergeCell ref="A94:B94"/>
    <mergeCell ref="BK98:BL98"/>
    <mergeCell ref="BE97:BF97"/>
    <mergeCell ref="BG97:BH97"/>
    <mergeCell ref="AL96:BB96"/>
    <mergeCell ref="A85:B85"/>
    <mergeCell ref="W85:AK85"/>
    <mergeCell ref="AL85:BB85"/>
    <mergeCell ref="BC85:BD85"/>
    <mergeCell ref="BK85:BL85"/>
    <mergeCell ref="A87:B87"/>
    <mergeCell ref="C81:V81"/>
    <mergeCell ref="AL81:BB81"/>
    <mergeCell ref="BC81:BD81"/>
    <mergeCell ref="BE81:BF81"/>
    <mergeCell ref="C86:V86"/>
    <mergeCell ref="W86:AK86"/>
    <mergeCell ref="BE94:BF94"/>
    <mergeCell ref="BG94:BH94"/>
    <mergeCell ref="A117:B117"/>
    <mergeCell ref="W117:AK117"/>
    <mergeCell ref="AL117:BB117"/>
    <mergeCell ref="BC117:BD117"/>
    <mergeCell ref="BE117:BF117"/>
    <mergeCell ref="BG117:BH117"/>
    <mergeCell ref="BI117:BJ117"/>
    <mergeCell ref="BK117:BL117"/>
    <mergeCell ref="A116:B116"/>
    <mergeCell ref="BK115:BL115"/>
    <mergeCell ref="BG114:BH114"/>
    <mergeCell ref="BI114:BJ114"/>
    <mergeCell ref="BK114:BL114"/>
    <mergeCell ref="W113:AK113"/>
    <mergeCell ref="A79:B79"/>
    <mergeCell ref="W79:AK79"/>
    <mergeCell ref="AL79:BB79"/>
    <mergeCell ref="BC79:BD79"/>
    <mergeCell ref="BE79:BF79"/>
    <mergeCell ref="BG79:BH79"/>
    <mergeCell ref="BI79:BJ79"/>
    <mergeCell ref="A114:B114"/>
    <mergeCell ref="A113:B113"/>
    <mergeCell ref="BG112:BH112"/>
    <mergeCell ref="BI112:BJ112"/>
    <mergeCell ref="A110:B110"/>
    <mergeCell ref="W110:AK110"/>
    <mergeCell ref="AL99:BB99"/>
    <mergeCell ref="W92:AK92"/>
    <mergeCell ref="AL92:BB92"/>
    <mergeCell ref="BC92:BD92"/>
    <mergeCell ref="BE92:BF92"/>
    <mergeCell ref="BK110:BL110"/>
    <mergeCell ref="BK94:BL94"/>
    <mergeCell ref="BK95:BL95"/>
    <mergeCell ref="BG93:BH93"/>
    <mergeCell ref="BI93:BJ93"/>
    <mergeCell ref="C185:V185"/>
    <mergeCell ref="W185:AK185"/>
    <mergeCell ref="AL185:BB185"/>
    <mergeCell ref="BC185:BD185"/>
    <mergeCell ref="BE185:BF185"/>
    <mergeCell ref="BG185:BH185"/>
    <mergeCell ref="BI185:BJ185"/>
    <mergeCell ref="BK185:BL185"/>
    <mergeCell ref="W116:AK116"/>
    <mergeCell ref="AL116:BB116"/>
    <mergeCell ref="BC116:BD116"/>
    <mergeCell ref="BE116:BF116"/>
    <mergeCell ref="BG116:BH116"/>
    <mergeCell ref="BK112:BL112"/>
    <mergeCell ref="W115:AK115"/>
    <mergeCell ref="AL115:BB115"/>
    <mergeCell ref="BC115:BD115"/>
    <mergeCell ref="BG123:BH123"/>
    <mergeCell ref="BK126:BL126"/>
    <mergeCell ref="BK125:BL125"/>
    <mergeCell ref="BK124:BL124"/>
    <mergeCell ref="BE115:BF115"/>
    <mergeCell ref="BI116:BJ116"/>
    <mergeCell ref="BK116:BL116"/>
    <mergeCell ref="BG110:BH110"/>
    <mergeCell ref="BI110:BJ110"/>
    <mergeCell ref="BI109:BJ109"/>
    <mergeCell ref="A120:B120"/>
    <mergeCell ref="W120:AK120"/>
    <mergeCell ref="AL120:BB120"/>
    <mergeCell ref="BC120:BD120"/>
    <mergeCell ref="BK123:BL123"/>
    <mergeCell ref="W121:AK121"/>
    <mergeCell ref="AL121:BB121"/>
    <mergeCell ref="BC121:BD121"/>
    <mergeCell ref="BE121:BF121"/>
    <mergeCell ref="BG121:BH121"/>
    <mergeCell ref="BI121:BJ121"/>
    <mergeCell ref="BK121:BL121"/>
    <mergeCell ref="W118:AK118"/>
    <mergeCell ref="AL118:BB118"/>
    <mergeCell ref="BC118:BD118"/>
    <mergeCell ref="BE118:BF118"/>
    <mergeCell ref="BG118:BH118"/>
    <mergeCell ref="BI118:BJ118"/>
    <mergeCell ref="BK118:BL118"/>
    <mergeCell ref="AL186:BB186"/>
    <mergeCell ref="BC186:BD186"/>
    <mergeCell ref="BE186:BF186"/>
    <mergeCell ref="BG186:BH186"/>
    <mergeCell ref="BI186:BJ186"/>
    <mergeCell ref="BK186:BL186"/>
    <mergeCell ref="AL86:BB86"/>
    <mergeCell ref="BC86:BD86"/>
    <mergeCell ref="BE86:BF86"/>
    <mergeCell ref="BG86:BH86"/>
    <mergeCell ref="BI86:BJ86"/>
    <mergeCell ref="BK86:BL86"/>
    <mergeCell ref="BK120:BL120"/>
    <mergeCell ref="BE119:BF119"/>
    <mergeCell ref="BG119:BH119"/>
    <mergeCell ref="BI119:BJ119"/>
    <mergeCell ref="BK119:BL119"/>
    <mergeCell ref="AL113:BB113"/>
    <mergeCell ref="BC113:BD113"/>
    <mergeCell ref="BE113:BF113"/>
    <mergeCell ref="BG113:BH113"/>
    <mergeCell ref="BI113:BJ113"/>
    <mergeCell ref="BK113:BL113"/>
    <mergeCell ref="BE123:BF123"/>
    <mergeCell ref="BI123:BJ123"/>
    <mergeCell ref="BC125:BD125"/>
    <mergeCell ref="BE125:BF125"/>
    <mergeCell ref="BG125:BH125"/>
    <mergeCell ref="BI125:BJ125"/>
    <mergeCell ref="BC123:BD123"/>
    <mergeCell ref="BG161:BH161"/>
    <mergeCell ref="BI161:BJ161"/>
    <mergeCell ref="BC30:BD30"/>
    <mergeCell ref="BE30:BF30"/>
    <mergeCell ref="BG30:BH30"/>
    <mergeCell ref="BI30:BJ30"/>
    <mergeCell ref="BK30:BL30"/>
    <mergeCell ref="W191:AK191"/>
    <mergeCell ref="W192:AK192"/>
    <mergeCell ref="W193:AK193"/>
    <mergeCell ref="AL193:BB193"/>
    <mergeCell ref="BC193:BD193"/>
    <mergeCell ref="BE193:BF193"/>
    <mergeCell ref="BG193:BH193"/>
    <mergeCell ref="BI193:BJ193"/>
    <mergeCell ref="BK193:BL193"/>
    <mergeCell ref="C193:V193"/>
    <mergeCell ref="BG190:BH190"/>
    <mergeCell ref="BI190:BJ190"/>
    <mergeCell ref="BK190:BL190"/>
    <mergeCell ref="AL191:BB191"/>
    <mergeCell ref="BC191:BD191"/>
    <mergeCell ref="BE191:BF191"/>
    <mergeCell ref="BG191:BH191"/>
    <mergeCell ref="BI191:BJ191"/>
    <mergeCell ref="BK191:BL191"/>
    <mergeCell ref="AL192:BB192"/>
    <mergeCell ref="BC192:BD192"/>
    <mergeCell ref="BE192:BF192"/>
    <mergeCell ref="BG192:BH192"/>
    <mergeCell ref="BI192:BJ192"/>
    <mergeCell ref="BK192:BL192"/>
    <mergeCell ref="C186:V186"/>
    <mergeCell ref="W186:AK186"/>
  </mergeCells>
  <phoneticPr fontId="1"/>
  <dataValidations count="1">
    <dataValidation type="list" allowBlank="1" showInputMessage="1" showErrorMessage="1" sqref="BC18:BL18 BC83 BG83 BI83 BK83 BE83" xr:uid="{00000000-0002-0000-0200-000001000000}">
      <formula1>#REF!</formula1>
    </dataValidation>
  </dataValidations>
  <printOptions horizontalCentered="1"/>
  <pageMargins left="0.78740157480314965" right="0.39370078740157483" top="0.39370078740157483" bottom="0.59055118110236227" header="0.19685039370078741" footer="0.51181102362204722"/>
  <pageSetup paperSize="8" scale="78" fitToHeight="0" orientation="portrait" r:id="rId1"/>
  <headerFooter alignWithMargins="0">
    <oddFooter>&amp;C&amp;9&amp;P/&amp;N</oddFooter>
  </headerFooter>
  <rowBreaks count="2" manualBreakCount="2">
    <brk id="101" max="65" man="1"/>
    <brk id="225" max="6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data!$A$2:$A$4</xm:f>
          </x14:formula1>
          <xm:sqref>BE169 BG169 BI169 BK169 BC169 BD7:BL10 BC7:BC17 BK11 BE11 BG11 BI11 BC170:BL193 BD12:BL17 BC84:BL168 BC32:BL82 BC19:BL31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/>
  </sheetViews>
  <sheetFormatPr defaultRowHeight="13.5"/>
  <cols>
    <col min="1" max="1" width="13" bestFit="1" customWidth="1"/>
  </cols>
  <sheetData>
    <row r="1" spans="1:1">
      <c r="A1" t="s">
        <v>74</v>
      </c>
    </row>
    <row r="3" spans="1:1">
      <c r="A3" t="s">
        <v>75</v>
      </c>
    </row>
    <row r="4" spans="1:1">
      <c r="A4" t="s">
        <v>77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表紙</vt:lpstr>
      <vt:lpstr>更新履歴</vt:lpstr>
      <vt:lpstr>機能一覧</vt:lpstr>
      <vt:lpstr>data</vt:lpstr>
      <vt:lpstr>機能一覧!Print_Area</vt:lpstr>
      <vt:lpstr>更新履歴!Print_Area</vt:lpstr>
      <vt:lpstr>表紙!Print_Area</vt:lpstr>
      <vt:lpstr>機能一覧!Print_Titles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村上拓真</dc:creator>
  <cp:lastModifiedBy>PC349Takahashi</cp:lastModifiedBy>
  <cp:lastPrinted>2019-11-27T00:45:01Z</cp:lastPrinted>
  <dcterms:created xsi:type="dcterms:W3CDTF">2015-09-02T01:17:59Z</dcterms:created>
  <dcterms:modified xsi:type="dcterms:W3CDTF">2019-11-27T00:45:09Z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8c1538ae-e3dc-4a6b-8c27-66a4c35e7b8f</vt:lpwstr>
  </property>
</Properties>
</file>