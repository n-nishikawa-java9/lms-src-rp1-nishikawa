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168BF75C-42A7-4724-8818-98FB1F89AEA3}" xr6:coauthVersionLast="45" xr6:coauthVersionMax="45" xr10:uidLastSave="{00000000-0000-0000-0000-000000000000}"/>
  <bookViews>
    <workbookView xWindow="-120" yWindow="-120" windowWidth="29040" windowHeight="15840" tabRatio="807" xr2:uid="{00000000-000D-0000-FFFF-FFFF00000000}"/>
  </bookViews>
  <sheets>
    <sheet name="表紙" sheetId="4" r:id="rId1"/>
    <sheet name="更新履歴" sheetId="5" r:id="rId2"/>
    <sheet name="請求情報出力画面（管理者権限）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更新履歴!$A$1:$BC$32</definedName>
    <definedName name="_xlnm.Print_Area" localSheetId="2">'請求情報出力画面（管理者権限）'!$A$1:$BF$124</definedName>
    <definedName name="_xlnm.Print_Titles" localSheetId="2">'請求情報出力画面（管理者権限）'!$1:$4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<sst xmlns="http://schemas.openxmlformats.org/spreadsheetml/2006/main" count="225" uniqueCount="105">
  <si>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</si>
  <si>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</si>
  <si>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</si>
  <si>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</si>
  <si>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</si>
  <si>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</si>
  <si>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</si>
  <si>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</si>
  <si>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</si>
  <si>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</si>
  <si>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</si>
  <si>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</si>
  <si>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</si>
  <si>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</si>
  <si>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</si>
  <si>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</si>
  <si>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</si>
  <si>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</si>
  <si>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</si>
  <si>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</si>
  <si>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</si>
  <si>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</si>
  <si>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</si>
  <si>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</si>
  <si>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</si>
  <si>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</si>
  <si>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</si>
  <si>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</si>
  <si>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</si>
  <si>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</si>
  <si>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</si>
  <si>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</si>
  <si>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</si>
  <si>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</si>
  <si>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</si>
  <si>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</si>
  <si>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</si>
  <si>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</si>
  <si>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LMS学習管理システム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</si>
  <si>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</si>
  <si>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</si>
  <si>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</si>
  <si>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</si>
  <si>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</si>
  <si>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会場毎請求情報出力</t>
    <rPh sb="0" eb="2">
      <t>カイジョウ</t>
    </rPh>
    <rPh sb="2" eb="3">
      <t>マイ</t>
    </rPh>
    <rPh sb="3" eb="5">
      <t>セイキュウ</t>
    </rPh>
    <rPh sb="5" eb="7">
      <t>ジョウホウ</t>
    </rPh>
    <rPh sb="7" eb="9">
      <t>シュツリョク</t>
    </rPh>
    <phoneticPr fontId="1"/>
  </si>
  <si>
    <t>開始月</t>
    <rPh sb="0" eb="2">
      <t>カイシ</t>
    </rPh>
    <rPh sb="2" eb="3">
      <t>ツキ</t>
    </rPh>
    <phoneticPr fontId="1"/>
  </si>
  <si>
    <t>検索条件</t>
    <rPh sb="0" eb="2">
      <t>ケンサク</t>
    </rPh>
    <rPh sb="2" eb="4">
      <t>ジョウケン</t>
    </rPh>
    <phoneticPr fontId="1"/>
  </si>
  <si>
    <t>企業名</t>
    <rPh sb="0" eb="2">
      <t>キギョウ</t>
    </rPh>
    <rPh sb="2" eb="3">
      <t>メイ</t>
    </rPh>
    <phoneticPr fontId="1"/>
  </si>
  <si>
    <t>未出力の請求情報のみを出力する</t>
    <rPh sb="0" eb="1">
      <t>ミ</t>
    </rPh>
    <rPh sb="1" eb="3">
      <t>シュツリョク</t>
    </rPh>
    <rPh sb="4" eb="6">
      <t>セイキュウ</t>
    </rPh>
    <rPh sb="6" eb="8">
      <t>ジョウホウ</t>
    </rPh>
    <rPh sb="11" eb="13">
      <t>シュツリョク</t>
    </rPh>
    <phoneticPr fontId="1"/>
  </si>
  <si>
    <t>請求情報一覧</t>
    <rPh sb="0" eb="2">
      <t>セイキュウ</t>
    </rPh>
    <rPh sb="2" eb="4">
      <t>ジョウホウ</t>
    </rPh>
    <rPh sb="4" eb="6">
      <t>イチラン</t>
    </rPh>
    <phoneticPr fontId="1"/>
  </si>
  <si>
    <t>チェックボックス</t>
    <phoneticPr fontId="1"/>
  </si>
  <si>
    <t>最終出力日</t>
    <rPh sb="0" eb="2">
      <t>サイシュウ</t>
    </rPh>
    <rPh sb="2" eb="4">
      <t>シュツリョク</t>
    </rPh>
    <rPh sb="4" eb="5">
      <t>ビ</t>
    </rPh>
    <phoneticPr fontId="1"/>
  </si>
  <si>
    <t>コース名</t>
    <rPh sb="3" eb="4">
      <t>メイ</t>
    </rPh>
    <phoneticPr fontId="1"/>
  </si>
  <si>
    <t>期間</t>
    <rPh sb="0" eb="2">
      <t>キカン</t>
    </rPh>
    <phoneticPr fontId="1"/>
  </si>
  <si>
    <t>合計金額</t>
    <rPh sb="0" eb="2">
      <t>ゴウケイ</t>
    </rPh>
    <rPh sb="2" eb="4">
      <t>キンガク</t>
    </rPh>
    <phoneticPr fontId="1"/>
  </si>
  <si>
    <t>◆『ダウンロード』ボタン押下時</t>
    <phoneticPr fontId="1"/>
  </si>
  <si>
    <t>ダウンロード</t>
    <phoneticPr fontId="1"/>
  </si>
  <si>
    <t>◆『検索』押下時</t>
    <rPh sb="2" eb="4">
      <t>ケンサク</t>
    </rPh>
    <rPh sb="5" eb="7">
      <t>オウカ</t>
    </rPh>
    <rPh sb="7" eb="8">
      <t>ジ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</si>
  <si>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</si>
  <si>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</si>
  <si>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-</t>
  </si>
  <si>
    <t>companyName</t>
    <phoneticPr fontId="1"/>
  </si>
  <si>
    <t>検索</t>
    <phoneticPr fontId="1"/>
  </si>
  <si>
    <t>送信ボタン</t>
    <phoneticPr fontId="1"/>
  </si>
  <si>
    <t>search</t>
    <phoneticPr fontId="1"/>
  </si>
  <si>
    <t>◆『チェックした請求情報をダウンロード』ボタン押下時</t>
    <rPh sb="8" eb="10">
      <t>セイキュウ</t>
    </rPh>
    <rPh sb="10" eb="12">
      <t>ジョウホウ</t>
    </rPh>
    <phoneticPr fontId="1"/>
  </si>
  <si>
    <t>チェックした請求情報をダウンロード</t>
    <phoneticPr fontId="1"/>
  </si>
  <si>
    <t>カレンダー</t>
    <phoneticPr fontId="1"/>
  </si>
  <si>
    <t>m_company</t>
    <phoneticPr fontId="1"/>
  </si>
  <si>
    <t>company_name</t>
    <phoneticPr fontId="1"/>
  </si>
  <si>
    <t>invoice_output_date</t>
    <phoneticPr fontId="1"/>
  </si>
  <si>
    <t>t_company_course</t>
    <phoneticPr fontId="1"/>
  </si>
  <si>
    <t>course_name</t>
    <phoneticPr fontId="1"/>
  </si>
  <si>
    <t>open_time</t>
    <phoneticPr fontId="1"/>
  </si>
  <si>
    <t>m_course</t>
    <phoneticPr fontId="1"/>
  </si>
  <si>
    <t>price</t>
    <phoneticPr fontId="1"/>
  </si>
  <si>
    <t>t_estimate_detail</t>
    <phoneticPr fontId="1"/>
  </si>
  <si>
    <t>未入力の場合</t>
    <rPh sb="0" eb="3">
      <t>ミニュウリョク</t>
    </rPh>
    <rPh sb="4" eb="6">
      <t>バアイ</t>
    </rPh>
    <phoneticPr fontId="1"/>
  </si>
  <si>
    <t>エラー文を表示する</t>
    <rPh sb="3" eb="4">
      <t>ブン</t>
    </rPh>
    <rPh sb="5" eb="7">
      <t>ヒョウジ</t>
    </rPh>
    <phoneticPr fontId="1"/>
  </si>
  <si>
    <t>リンク</t>
    <phoneticPr fontId="1"/>
  </si>
  <si>
    <t>○</t>
    <phoneticPr fontId="1"/>
  </si>
  <si>
    <t>estimateId</t>
    <phoneticPr fontId="1"/>
  </si>
  <si>
    <t>見積もり情報ID</t>
    <phoneticPr fontId="1"/>
  </si>
  <si>
    <t>請求月</t>
    <rPh sb="0" eb="2">
      <t>セイキュウ</t>
    </rPh>
    <rPh sb="2" eb="3">
      <t>ツキ</t>
    </rPh>
    <phoneticPr fontId="1"/>
  </si>
  <si>
    <t>請求月</t>
    <phoneticPr fontId="1"/>
  </si>
  <si>
    <t>openTime</t>
    <phoneticPr fontId="1"/>
  </si>
  <si>
    <t>billingMonth</t>
    <phoneticPr fontId="1"/>
  </si>
  <si>
    <t>全て</t>
    <rPh sb="0" eb="1">
      <t>スベ</t>
    </rPh>
    <phoneticPr fontId="1"/>
  </si>
  <si>
    <t>【13期12月対応】
内部レビュー修正</t>
    <rPh sb="11" eb="13">
      <t>ナイブ</t>
    </rPh>
    <rPh sb="17" eb="19">
      <t>シュウセイ</t>
    </rPh>
    <phoneticPr fontId="1"/>
  </si>
  <si>
    <t>13期12月対応</t>
    <phoneticPr fontId="1"/>
  </si>
  <si>
    <t>テキストボックス</t>
    <phoneticPr fontId="1"/>
  </si>
  <si>
    <t>未出力の請求情報のみを表示する</t>
    <phoneticPr fontId="1"/>
  </si>
  <si>
    <t>stillOutputFlg</t>
    <phoneticPr fontId="1"/>
  </si>
  <si>
    <t>請求月をご選択ください。</t>
    <rPh sb="0" eb="2">
      <t>セイキュウ</t>
    </rPh>
    <rPh sb="2" eb="3">
      <t>ツキ</t>
    </rPh>
    <rPh sb="5" eb="7">
      <t>センタク</t>
    </rPh>
    <phoneticPr fontId="1"/>
  </si>
  <si>
    <t>請求情報出力</t>
    <rPh sb="0" eb="2">
      <t>セイキュウ</t>
    </rPh>
    <rPh sb="2" eb="4">
      <t>ジョウホウ</t>
    </rPh>
    <rPh sb="4" eb="6">
      <t>シュツリョク</t>
    </rPh>
    <phoneticPr fontId="1"/>
  </si>
  <si>
    <t>出力単位</t>
    <rPh sb="0" eb="2">
      <t>シュツリョク</t>
    </rPh>
    <rPh sb="2" eb="4">
      <t>タンイ</t>
    </rPh>
    <phoneticPr fontId="1"/>
  </si>
  <si>
    <t>チェックした請求情報をダウンロード</t>
    <rPh sb="6" eb="8">
      <t>セイキュウ</t>
    </rPh>
    <rPh sb="8" eb="10">
      <t>ジョウホウ</t>
    </rPh>
    <phoneticPr fontId="1"/>
  </si>
  <si>
    <t>ラジオボタン</t>
    <phoneticPr fontId="1"/>
  </si>
  <si>
    <t>選択した単位によって請求情報の出力単位を変更する※初期値は企業単位</t>
    <rPh sb="0" eb="2">
      <t>センタク</t>
    </rPh>
    <rPh sb="4" eb="6">
      <t>タンイ</t>
    </rPh>
    <rPh sb="10" eb="12">
      <t>セイキュウ</t>
    </rPh>
    <rPh sb="12" eb="14">
      <t>ジョウホウ</t>
    </rPh>
    <rPh sb="15" eb="17">
      <t>シュツリョク</t>
    </rPh>
    <rPh sb="17" eb="19">
      <t>タンイ</t>
    </rPh>
    <rPh sb="20" eb="22">
      <t>ヘンコウ</t>
    </rPh>
    <rPh sb="25" eb="27">
      <t>ショキ</t>
    </rPh>
    <rPh sb="27" eb="28">
      <t>チ</t>
    </rPh>
    <rPh sb="29" eb="31">
      <t>キギョウ</t>
    </rPh>
    <rPh sb="31" eb="33">
      <t>タンイ</t>
    </rPh>
    <phoneticPr fontId="1"/>
  </si>
  <si>
    <t>【13期12月対応】
外部レビュー修正：出力単位を追加</t>
    <rPh sb="11" eb="13">
      <t>ガイブ</t>
    </rPh>
    <rPh sb="17" eb="19">
      <t>シュウセイ</t>
    </rPh>
    <rPh sb="20" eb="22">
      <t>シュツリョク</t>
    </rPh>
    <rPh sb="22" eb="24">
      <t>タンイ</t>
    </rPh>
    <rPh sb="25" eb="27">
      <t>ツイカ</t>
    </rPh>
    <phoneticPr fontId="1"/>
  </si>
  <si>
    <t>2020-04より前の場合</t>
    <rPh sb="9" eb="10">
      <t>マエ</t>
    </rPh>
    <rPh sb="11" eb="13">
      <t>バアイ</t>
    </rPh>
    <phoneticPr fontId="1"/>
  </si>
  <si>
    <t>2020-04以降を選択してください。</t>
    <phoneticPr fontId="1"/>
  </si>
  <si>
    <t>チェックが1000を超えた場合</t>
    <rPh sb="10" eb="11">
      <t>コ</t>
    </rPh>
    <rPh sb="13" eb="15">
      <t>バアイ</t>
    </rPh>
    <phoneticPr fontId="1"/>
  </si>
  <si>
    <t>チェックの数が多すぎます。1度にチェックは1000以下にしてください。</t>
    <rPh sb="14" eb="15">
      <t>ド</t>
    </rPh>
    <rPh sb="25" eb="27">
      <t>イカ</t>
    </rPh>
    <phoneticPr fontId="1"/>
  </si>
  <si>
    <t>【13期12月対応】
画面イメージを修正</t>
    <rPh sb="11" eb="13">
      <t>ガメン</t>
    </rPh>
    <rPh sb="18" eb="20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</si>
</sst>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メイリオ"/>
      <family val="3"/>
      <charset val="128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1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89" applyNumberFormat="0" applyProtection="0">
      <alignment vertical="center"/>
    </xf>
    <xf numFmtId="0" fontId="19" fillId="8" borderId="91" applyNumberFormat="0" applyProtection="0">
      <alignment vertical="center"/>
    </xf>
    <xf numFmtId="0" fontId="18" fillId="0" borderId="93" applyNumberFormat="0" applyFill="0" applyProtection="0">
      <alignment vertical="center"/>
    </xf>
    <xf numFmtId="0" fontId="13" fillId="8" borderId="89" applyNumberFormat="0" applyProtection="0">
      <alignment vertical="center"/>
    </xf>
    <xf numFmtId="0" fontId="2" fillId="10" borderId="90" applyNumberFormat="0" applyProtection="0">
      <alignment vertical="center"/>
    </xf>
    <xf numFmtId="0" fontId="46" fillId="0" borderId="92" applyNumberFormat="0" applyFill="0" applyProtection="0">
      <alignment vertical="center"/>
    </xf>
    <xf numFmtId="0" fontId="44" fillId="20" borderId="91" applyNumberFormat="0" applyProtection="0">
      <alignment vertical="center"/>
    </xf>
    <xf numFmtId="0" fontId="2" fillId="10" borderId="90" applyNumberFormat="0" applyProtection="0">
      <alignment vertical="center"/>
    </xf>
    <xf numFmtId="0" fontId="41" fillId="7" borderId="89" applyNumberFormat="0" applyProtection="0">
      <alignment vertical="center"/>
    </xf>
    <xf numFmtId="0" fontId="33" fillId="20" borderId="83" applyNumberFormat="0" applyProtection="0">
      <alignment vertical="center"/>
    </xf>
    <xf numFmtId="0" fontId="33" fillId="20" borderId="89" applyNumberFormat="0" applyProtection="0">
      <alignment vertical="center"/>
    </xf>
    <xf numFmtId="0" fontId="41" fillId="7" borderId="83" applyNumberFormat="0" applyProtection="0">
      <alignment vertical="center"/>
    </xf>
    <xf numFmtId="0" fontId="2" fillId="10" borderId="84" applyNumberFormat="0" applyProtection="0">
      <alignment vertical="center"/>
    </xf>
    <xf numFmtId="0" fontId="44" fillId="20" borderId="85" applyNumberFormat="0" applyProtection="0">
      <alignment vertical="center"/>
    </xf>
    <xf numFmtId="0" fontId="46" fillId="0" borderId="86" applyNumberFormat="0" applyFill="0" applyProtection="0">
      <alignment vertical="center"/>
    </xf>
    <xf numFmtId="0" fontId="2" fillId="10" borderId="84" applyNumberFormat="0" applyProtection="0">
      <alignment vertical="center"/>
    </xf>
    <xf numFmtId="0" fontId="13" fillId="8" borderId="83" applyNumberFormat="0" applyProtection="0">
      <alignment vertical="center"/>
    </xf>
    <xf numFmtId="0" fontId="18" fillId="0" borderId="87" applyNumberFormat="0" applyFill="0" applyProtection="0">
      <alignment vertical="center"/>
    </xf>
    <xf numFmtId="0" fontId="19" fillId="8" borderId="85" applyNumberFormat="0" applyProtection="0">
      <alignment vertical="center"/>
    </xf>
    <xf numFmtId="0" fontId="48" fillId="3" borderId="83" applyNumberFormat="0" applyProtection="0">
      <alignment vertical="center"/>
    </xf>
    <xf numFmtId="0" fontId="2" fillId="0" borderId="0">
      <alignment vertical="center"/>
    </xf>
  </cellStyleXfs>
  <cellXfs count="310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3" fillId="0" borderId="79" xfId="0" applyFont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4" fillId="0" borderId="0" xfId="0" applyFont="1" applyBorder="1">
      <alignment vertical="center"/>
    </xf>
    <xf numFmtId="0" fontId="53" fillId="0" borderId="78" xfId="0" applyFont="1" applyBorder="1" applyAlignment="1">
      <alignment horizontal="left" vertical="top"/>
    </xf>
    <xf numFmtId="0" fontId="53" fillId="0" borderId="79" xfId="0" applyFont="1" applyBorder="1" applyAlignment="1">
      <alignment horizontal="left" vertical="top"/>
    </xf>
    <xf numFmtId="0" fontId="53" fillId="0" borderId="77" xfId="0" applyFont="1" applyBorder="1" applyAlignment="1">
      <alignment horizontal="left" vertical="top"/>
    </xf>
    <xf numFmtId="0" fontId="55" fillId="0" borderId="0" xfId="0" applyFont="1" applyBorder="1">
      <alignment vertical="center"/>
    </xf>
    <xf numFmtId="0" fontId="53" fillId="33" borderId="73" xfId="0" applyFont="1" applyFill="1" applyBorder="1" applyAlignment="1">
      <alignment vertical="center"/>
    </xf>
    <xf numFmtId="0" fontId="53" fillId="33" borderId="31" xfId="0" applyFont="1" applyFill="1" applyBorder="1" applyAlignment="1">
      <alignment vertical="center"/>
    </xf>
    <xf numFmtId="0" fontId="55" fillId="33" borderId="74" xfId="0" applyFont="1" applyFill="1" applyBorder="1">
      <alignment vertical="center"/>
    </xf>
    <xf numFmtId="0" fontId="55" fillId="0" borderId="74" xfId="0" applyFont="1" applyBorder="1">
      <alignment vertical="center"/>
    </xf>
    <xf numFmtId="0" fontId="53" fillId="32" borderId="0" xfId="0" applyFont="1" applyFill="1" applyBorder="1" applyAlignment="1">
      <alignment horizontal="left" vertical="center"/>
    </xf>
    <xf numFmtId="0" fontId="55" fillId="0" borderId="0" xfId="0" applyFont="1">
      <alignment vertical="center"/>
    </xf>
    <xf numFmtId="0" fontId="55" fillId="30" borderId="0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53" fillId="32" borderId="0" xfId="0" applyFont="1" applyFill="1" applyBorder="1" applyAlignment="1">
      <alignment vertical="center"/>
    </xf>
    <xf numFmtId="0" fontId="53" fillId="32" borderId="78" xfId="0" applyFont="1" applyFill="1" applyBorder="1" applyAlignment="1">
      <alignment vertical="top"/>
    </xf>
    <xf numFmtId="0" fontId="53" fillId="32" borderId="79" xfId="0" applyFont="1" applyFill="1" applyBorder="1" applyAlignment="1">
      <alignment vertical="top" wrapText="1"/>
    </xf>
    <xf numFmtId="0" fontId="53" fillId="32" borderId="77" xfId="0" applyFont="1" applyFill="1" applyBorder="1" applyAlignment="1">
      <alignment horizontal="left" vertical="top" wrapText="1"/>
    </xf>
    <xf numFmtId="0" fontId="56" fillId="32" borderId="0" xfId="0" applyFont="1" applyFill="1" applyBorder="1" applyAlignment="1">
      <alignment horizontal="center" vertical="center"/>
    </xf>
    <xf numFmtId="0" fontId="56" fillId="32" borderId="0" xfId="0" applyFont="1" applyFill="1" applyBorder="1" applyAlignment="1">
      <alignment horizontal="left" vertical="center"/>
    </xf>
    <xf numFmtId="0" fontId="56" fillId="32" borderId="0" xfId="0" applyFont="1" applyFill="1" applyBorder="1" applyAlignment="1">
      <alignment vertical="center"/>
    </xf>
    <xf numFmtId="0" fontId="53" fillId="0" borderId="80" xfId="0" applyFont="1" applyBorder="1" applyAlignment="1">
      <alignment vertical="center"/>
    </xf>
    <xf numFmtId="0" fontId="53" fillId="0" borderId="82" xfId="0" applyFont="1" applyBorder="1" applyAlignment="1">
      <alignment vertical="center"/>
    </xf>
    <xf numFmtId="0" fontId="53" fillId="0" borderId="81" xfId="0" applyFont="1" applyBorder="1" applyAlignment="1">
      <alignment vertical="center"/>
    </xf>
    <xf numFmtId="0" fontId="53" fillId="32" borderId="77" xfId="0" applyFont="1" applyFill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53" fillId="32" borderId="77" xfId="0" applyFont="1" applyFill="1" applyBorder="1" applyAlignment="1">
      <alignment horizontal="left" vertical="center"/>
    </xf>
    <xf numFmtId="0" fontId="54" fillId="32" borderId="0" xfId="0" applyFont="1" applyFill="1">
      <alignment vertical="center"/>
    </xf>
    <xf numFmtId="0" fontId="53" fillId="32" borderId="101" xfId="0" applyFont="1" applyFill="1" applyBorder="1" applyAlignment="1">
      <alignment horizontal="center" vertical="center"/>
    </xf>
    <xf numFmtId="0" fontId="53" fillId="32" borderId="101" xfId="0" applyFont="1" applyFill="1" applyBorder="1" applyAlignment="1">
      <alignment horizontal="left" vertical="center"/>
    </xf>
    <xf numFmtId="0" fontId="53" fillId="32" borderId="101" xfId="0" applyFont="1" applyFill="1" applyBorder="1">
      <alignment vertical="center"/>
    </xf>
    <xf numFmtId="0" fontId="53" fillId="32" borderId="0" xfId="0" applyFont="1" applyFill="1">
      <alignment vertical="center"/>
    </xf>
    <xf numFmtId="0" fontId="56" fillId="0" borderId="0" xfId="0" applyFont="1" applyBorder="1">
      <alignment vertical="center"/>
    </xf>
    <xf numFmtId="0" fontId="56" fillId="32" borderId="0" xfId="0" applyFont="1" applyFill="1" applyBorder="1">
      <alignment vertical="center"/>
    </xf>
    <xf numFmtId="0" fontId="53" fillId="33" borderId="72" xfId="0" applyFont="1" applyFill="1" applyBorder="1" applyAlignment="1">
      <alignment vertical="center"/>
    </xf>
    <xf numFmtId="0" fontId="58" fillId="32" borderId="0" xfId="0" applyFont="1" applyFill="1">
      <alignment vertical="center"/>
    </xf>
    <xf numFmtId="0" fontId="56" fillId="32" borderId="0" xfId="0" applyFont="1" applyFill="1">
      <alignment vertical="center"/>
    </xf>
    <xf numFmtId="0" fontId="60" fillId="32" borderId="0" xfId="0" applyFont="1" applyFill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53" fillId="0" borderId="80" xfId="0" applyFont="1" applyBorder="1" applyAlignment="1">
      <alignment vertical="center"/>
    </xf>
    <xf numFmtId="0" fontId="53" fillId="0" borderId="82" xfId="0" applyFont="1" applyBorder="1" applyAlignment="1">
      <alignment vertical="center"/>
    </xf>
    <xf numFmtId="0" fontId="53" fillId="0" borderId="81" xfId="0" applyFont="1" applyBorder="1" applyAlignment="1">
      <alignment vertical="center"/>
    </xf>
    <xf numFmtId="0" fontId="53" fillId="32" borderId="77" xfId="0" applyFont="1" applyFill="1" applyBorder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 vertical="center"/>
    </xf>
    <xf numFmtId="0" fontId="2" fillId="28" borderId="88" xfId="102" applyFont="1" applyFill="1" applyBorder="1" applyAlignment="1">
      <alignment horizontal="center" vertical="center"/>
    </xf>
    <xf numFmtId="0" fontId="2" fillId="28" borderId="95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6" xfId="102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3" fillId="32" borderId="72" xfId="0" applyFont="1" applyFill="1" applyBorder="1" applyAlignment="1">
      <alignment horizontal="center" vertical="center"/>
    </xf>
    <xf numFmtId="0" fontId="53" fillId="32" borderId="74" xfId="0" applyFont="1" applyFill="1" applyBorder="1" applyAlignment="1">
      <alignment horizontal="center" vertical="center"/>
    </xf>
    <xf numFmtId="0" fontId="53" fillId="32" borderId="72" xfId="0" applyFont="1" applyFill="1" applyBorder="1" applyAlignment="1">
      <alignment horizontal="left" vertical="center"/>
    </xf>
    <xf numFmtId="0" fontId="53" fillId="32" borderId="73" xfId="0" applyFont="1" applyFill="1" applyBorder="1" applyAlignment="1">
      <alignment horizontal="left" vertical="center"/>
    </xf>
    <xf numFmtId="0" fontId="53" fillId="32" borderId="74" xfId="0" applyFont="1" applyFill="1" applyBorder="1" applyAlignment="1">
      <alignment horizontal="left" vertical="center"/>
    </xf>
    <xf numFmtId="0" fontId="53" fillId="0" borderId="72" xfId="0" applyFont="1" applyFill="1" applyBorder="1" applyAlignment="1">
      <alignment vertical="center"/>
    </xf>
    <xf numFmtId="0" fontId="53" fillId="0" borderId="73" xfId="0" applyFont="1" applyFill="1" applyBorder="1" applyAlignment="1">
      <alignment vertical="center"/>
    </xf>
    <xf numFmtId="0" fontId="53" fillId="0" borderId="74" xfId="0" applyFont="1" applyFill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53" fillId="0" borderId="74" xfId="0" applyFont="1" applyBorder="1" applyAlignment="1">
      <alignment vertical="center"/>
    </xf>
    <xf numFmtId="0" fontId="53" fillId="32" borderId="78" xfId="0" applyFont="1" applyFill="1" applyBorder="1" applyAlignment="1">
      <alignment horizontal="center" vertical="center"/>
    </xf>
    <xf numFmtId="0" fontId="53" fillId="32" borderId="77" xfId="0" applyFont="1" applyFill="1" applyBorder="1" applyAlignment="1">
      <alignment horizontal="center" vertical="center"/>
    </xf>
    <xf numFmtId="0" fontId="53" fillId="32" borderId="78" xfId="0" applyFont="1" applyFill="1" applyBorder="1" applyAlignment="1">
      <alignment horizontal="left" vertical="center"/>
    </xf>
    <xf numFmtId="0" fontId="53" fillId="32" borderId="79" xfId="0" applyFont="1" applyFill="1" applyBorder="1" applyAlignment="1">
      <alignment horizontal="left" vertical="center"/>
    </xf>
    <xf numFmtId="0" fontId="53" fillId="32" borderId="77" xfId="0" applyFont="1" applyFill="1" applyBorder="1" applyAlignment="1">
      <alignment horizontal="left" vertical="center"/>
    </xf>
    <xf numFmtId="0" fontId="53" fillId="32" borderId="103" xfId="0" applyFont="1" applyFill="1" applyBorder="1" applyAlignment="1">
      <alignment horizontal="center" vertical="center"/>
    </xf>
    <xf numFmtId="0" fontId="53" fillId="32" borderId="105" xfId="0" applyFont="1" applyFill="1" applyBorder="1" applyAlignment="1">
      <alignment horizontal="center" vertical="center"/>
    </xf>
    <xf numFmtId="0" fontId="53" fillId="32" borderId="104" xfId="0" applyFont="1" applyFill="1" applyBorder="1" applyAlignment="1">
      <alignment horizontal="center" vertical="center"/>
    </xf>
    <xf numFmtId="0" fontId="53" fillId="32" borderId="96" xfId="0" applyFont="1" applyFill="1" applyBorder="1">
      <alignment vertical="center"/>
    </xf>
    <xf numFmtId="0" fontId="53" fillId="32" borderId="98" xfId="0" applyFont="1" applyFill="1" applyBorder="1">
      <alignment vertical="center"/>
    </xf>
    <xf numFmtId="0" fontId="53" fillId="32" borderId="97" xfId="0" applyFont="1" applyFill="1" applyBorder="1">
      <alignment vertical="center"/>
    </xf>
    <xf numFmtId="0" fontId="52" fillId="31" borderId="72" xfId="98" applyFont="1" applyFill="1" applyBorder="1" applyAlignment="1">
      <alignment horizontal="center" vertical="center"/>
    </xf>
    <xf numFmtId="0" fontId="52" fillId="31" borderId="73" xfId="98" applyFont="1" applyFill="1" applyBorder="1" applyAlignment="1">
      <alignment horizontal="center" vertical="center"/>
    </xf>
    <xf numFmtId="0" fontId="52" fillId="31" borderId="74" xfId="98" applyFont="1" applyFill="1" applyBorder="1" applyAlignment="1">
      <alignment horizontal="center" vertical="center"/>
    </xf>
    <xf numFmtId="0" fontId="53" fillId="32" borderId="78" xfId="0" applyFont="1" applyFill="1" applyBorder="1" applyAlignment="1">
      <alignment vertical="center"/>
    </xf>
    <xf numFmtId="0" fontId="53" fillId="32" borderId="79" xfId="0" applyFont="1" applyFill="1" applyBorder="1" applyAlignment="1">
      <alignment vertical="center"/>
    </xf>
    <xf numFmtId="0" fontId="53" fillId="32" borderId="77" xfId="0" applyFont="1" applyFill="1" applyBorder="1" applyAlignment="1">
      <alignment vertical="center"/>
    </xf>
    <xf numFmtId="0" fontId="52" fillId="31" borderId="70" xfId="98" applyFont="1" applyFill="1" applyBorder="1" applyAlignment="1">
      <alignment horizontal="center" vertical="center"/>
    </xf>
    <xf numFmtId="0" fontId="52" fillId="31" borderId="75" xfId="98" applyFont="1" applyFill="1" applyBorder="1" applyAlignment="1">
      <alignment horizontal="center" vertical="center"/>
    </xf>
    <xf numFmtId="0" fontId="52" fillId="31" borderId="67" xfId="98" applyFont="1" applyFill="1" applyBorder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53" fillId="32" borderId="102" xfId="0" applyFont="1" applyFill="1" applyBorder="1" applyAlignment="1">
      <alignment horizontal="center" vertical="center"/>
    </xf>
    <xf numFmtId="0" fontId="53" fillId="32" borderId="96" xfId="0" applyFont="1" applyFill="1" applyBorder="1" applyAlignment="1">
      <alignment horizontal="left" vertical="center"/>
    </xf>
    <xf numFmtId="0" fontId="53" fillId="32" borderId="98" xfId="0" applyFont="1" applyFill="1" applyBorder="1" applyAlignment="1">
      <alignment horizontal="left" vertical="center"/>
    </xf>
    <xf numFmtId="0" fontId="53" fillId="32" borderId="97" xfId="0" applyFont="1" applyFill="1" applyBorder="1" applyAlignment="1">
      <alignment horizontal="left" vertical="center"/>
    </xf>
    <xf numFmtId="0" fontId="53" fillId="32" borderId="96" xfId="0" applyFont="1" applyFill="1" applyBorder="1" applyAlignment="1">
      <alignment horizontal="center" vertical="center"/>
    </xf>
    <xf numFmtId="0" fontId="53" fillId="32" borderId="97" xfId="0" applyFont="1" applyFill="1" applyBorder="1" applyAlignment="1">
      <alignment horizontal="center" vertical="center"/>
    </xf>
    <xf numFmtId="0" fontId="53" fillId="32" borderId="98" xfId="0" applyFont="1" applyFill="1" applyBorder="1" applyAlignment="1">
      <alignment horizontal="center" vertical="center"/>
    </xf>
    <xf numFmtId="0" fontId="52" fillId="30" borderId="102" xfId="0" applyFont="1" applyFill="1" applyBorder="1" applyAlignment="1">
      <alignment horizontal="center" vertical="center"/>
    </xf>
    <xf numFmtId="0" fontId="52" fillId="31" borderId="102" xfId="130" applyFont="1" applyFill="1" applyBorder="1" applyAlignment="1">
      <alignment horizontal="center" vertical="center"/>
    </xf>
    <xf numFmtId="0" fontId="52" fillId="31" borderId="99" xfId="130" applyFont="1" applyFill="1" applyBorder="1" applyAlignment="1">
      <alignment horizontal="center" vertical="center"/>
    </xf>
    <xf numFmtId="0" fontId="52" fillId="31" borderId="101" xfId="130" applyFont="1" applyFill="1" applyBorder="1" applyAlignment="1">
      <alignment horizontal="center" vertical="center"/>
    </xf>
    <xf numFmtId="0" fontId="52" fillId="31" borderId="100" xfId="130" applyFont="1" applyFill="1" applyBorder="1" applyAlignment="1">
      <alignment horizontal="center" vertical="center"/>
    </xf>
    <xf numFmtId="0" fontId="53" fillId="32" borderId="103" xfId="0" applyFont="1" applyFill="1" applyBorder="1" applyAlignment="1">
      <alignment horizontal="left" vertical="center"/>
    </xf>
    <xf numFmtId="0" fontId="53" fillId="32" borderId="104" xfId="0" applyFont="1" applyFill="1" applyBorder="1" applyAlignment="1">
      <alignment horizontal="left" vertical="center"/>
    </xf>
    <xf numFmtId="0" fontId="53" fillId="32" borderId="105" xfId="0" applyFont="1" applyFill="1" applyBorder="1" applyAlignment="1">
      <alignment horizontal="left" vertical="center"/>
    </xf>
    <xf numFmtId="0" fontId="52" fillId="30" borderId="70" xfId="0" applyFont="1" applyFill="1" applyBorder="1" applyAlignment="1">
      <alignment horizontal="center" vertical="center"/>
    </xf>
    <xf numFmtId="0" fontId="52" fillId="30" borderId="67" xfId="0" applyFont="1" applyFill="1" applyBorder="1" applyAlignment="1">
      <alignment horizontal="center" vertical="center"/>
    </xf>
    <xf numFmtId="0" fontId="59" fillId="32" borderId="0" xfId="0" applyFont="1" applyFill="1" applyAlignment="1">
      <alignment horizontal="left" vertical="center"/>
    </xf>
    <xf numFmtId="0" fontId="52" fillId="31" borderId="96" xfId="130" applyFont="1" applyFill="1" applyBorder="1" applyAlignment="1">
      <alignment horizontal="center" vertical="center"/>
    </xf>
    <xf numFmtId="0" fontId="52" fillId="31" borderId="98" xfId="130" applyFont="1" applyFill="1" applyBorder="1" applyAlignment="1">
      <alignment horizontal="center" vertical="center"/>
    </xf>
    <xf numFmtId="0" fontId="52" fillId="31" borderId="97" xfId="13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left"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32" borderId="74" xfId="0" applyFont="1" applyFill="1" applyBorder="1" applyAlignment="1">
      <alignment vertical="center"/>
    </xf>
    <xf numFmtId="0" fontId="53" fillId="0" borderId="103" xfId="0" applyFont="1" applyBorder="1" applyAlignment="1">
      <alignment horizontal="center" vertical="center"/>
    </xf>
    <xf numFmtId="0" fontId="53" fillId="0" borderId="105" xfId="0" applyFont="1" applyBorder="1" applyAlignment="1">
      <alignment horizontal="center" vertical="center"/>
    </xf>
    <xf numFmtId="0" fontId="53" fillId="0" borderId="103" xfId="0" applyFont="1" applyBorder="1" applyAlignment="1">
      <alignment horizontal="left" vertical="center"/>
    </xf>
    <xf numFmtId="0" fontId="53" fillId="0" borderId="104" xfId="0" applyFont="1" applyBorder="1" applyAlignment="1">
      <alignment horizontal="left" vertical="center"/>
    </xf>
    <xf numFmtId="0" fontId="53" fillId="0" borderId="105" xfId="0" applyFont="1" applyBorder="1" applyAlignment="1">
      <alignment horizontal="left" vertical="center"/>
    </xf>
    <xf numFmtId="0" fontId="52" fillId="30" borderId="103" xfId="0" applyFont="1" applyFill="1" applyBorder="1" applyAlignment="1">
      <alignment horizontal="center" vertical="center"/>
    </xf>
    <xf numFmtId="0" fontId="52" fillId="30" borderId="105" xfId="0" applyFont="1" applyFill="1" applyBorder="1" applyAlignment="1">
      <alignment horizontal="center" vertical="center"/>
    </xf>
    <xf numFmtId="0" fontId="52" fillId="31" borderId="103" xfId="98" applyFont="1" applyFill="1" applyBorder="1" applyAlignment="1">
      <alignment horizontal="center" vertical="center"/>
    </xf>
    <xf numFmtId="0" fontId="52" fillId="31" borderId="104" xfId="98" applyFont="1" applyFill="1" applyBorder="1" applyAlignment="1">
      <alignment horizontal="center" vertical="center"/>
    </xf>
    <xf numFmtId="0" fontId="52" fillId="31" borderId="105" xfId="98" applyFont="1" applyFill="1" applyBorder="1" applyAlignment="1">
      <alignment horizontal="center" vertical="center"/>
    </xf>
    <xf numFmtId="0" fontId="52" fillId="31" borderId="68" xfId="98" applyFont="1" applyFill="1" applyBorder="1" applyAlignment="1">
      <alignment horizontal="center" vertical="center"/>
    </xf>
    <xf numFmtId="0" fontId="52" fillId="31" borderId="31" xfId="98" applyFont="1" applyFill="1" applyBorder="1" applyAlignment="1">
      <alignment horizontal="center" vertical="center"/>
    </xf>
    <xf numFmtId="0" fontId="52" fillId="31" borderId="76" xfId="98" applyFont="1" applyFill="1" applyBorder="1" applyAlignment="1">
      <alignment horizontal="center" vertical="center"/>
    </xf>
    <xf numFmtId="0" fontId="53" fillId="32" borderId="81" xfId="0" applyFont="1" applyFill="1" applyBorder="1" applyAlignment="1">
      <alignment horizontal="center" vertical="center"/>
    </xf>
    <xf numFmtId="0" fontId="53" fillId="32" borderId="80" xfId="0" applyFont="1" applyFill="1" applyBorder="1" applyAlignment="1">
      <alignment horizontal="left" vertical="center"/>
    </xf>
    <xf numFmtId="0" fontId="53" fillId="32" borderId="82" xfId="0" applyFont="1" applyFill="1" applyBorder="1" applyAlignment="1">
      <alignment horizontal="left" vertical="center"/>
    </xf>
    <xf numFmtId="0" fontId="53" fillId="32" borderId="81" xfId="0" applyFont="1" applyFill="1" applyBorder="1" applyAlignment="1">
      <alignment horizontal="left" vertical="center"/>
    </xf>
    <xf numFmtId="0" fontId="53" fillId="0" borderId="80" xfId="0" applyFont="1" applyFill="1" applyBorder="1" applyAlignment="1">
      <alignment vertical="center"/>
    </xf>
    <xf numFmtId="0" fontId="53" fillId="0" borderId="82" xfId="0" applyFont="1" applyFill="1" applyBorder="1" applyAlignment="1">
      <alignment vertical="center"/>
    </xf>
    <xf numFmtId="0" fontId="53" fillId="0" borderId="81" xfId="0" applyFont="1" applyFill="1" applyBorder="1" applyAlignment="1">
      <alignment vertical="center"/>
    </xf>
    <xf numFmtId="0" fontId="53" fillId="0" borderId="80" xfId="0" applyFont="1" applyBorder="1" applyAlignment="1">
      <alignment vertical="center"/>
    </xf>
    <xf numFmtId="0" fontId="53" fillId="0" borderId="82" xfId="0" applyFont="1" applyBorder="1" applyAlignment="1">
      <alignment vertical="center"/>
    </xf>
    <xf numFmtId="0" fontId="53" fillId="0" borderId="81" xfId="0" applyFont="1" applyBorder="1" applyAlignment="1">
      <alignment vertical="center"/>
    </xf>
    <xf numFmtId="0" fontId="53" fillId="0" borderId="78" xfId="0" applyFont="1" applyBorder="1" applyAlignment="1">
      <alignment horizontal="left" vertical="center"/>
    </xf>
    <xf numFmtId="0" fontId="53" fillId="0" borderId="79" xfId="0" applyFont="1" applyBorder="1" applyAlignment="1">
      <alignment horizontal="left" vertical="center"/>
    </xf>
    <xf numFmtId="0" fontId="53" fillId="0" borderId="77" xfId="0" applyFont="1" applyBorder="1" applyAlignment="1">
      <alignment horizontal="left" vertical="center"/>
    </xf>
    <xf numFmtId="0" fontId="52" fillId="30" borderId="75" xfId="0" applyFont="1" applyFill="1" applyBorder="1" applyAlignment="1">
      <alignment horizontal="center" vertical="center"/>
    </xf>
    <xf numFmtId="0" fontId="52" fillId="30" borderId="68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2" fillId="30" borderId="76" xfId="0" applyFont="1" applyFill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5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2" fillId="30" borderId="104" xfId="0" applyFont="1" applyFill="1" applyBorder="1" applyAlignment="1">
      <alignment horizontal="center" vertical="center"/>
    </xf>
  </cellXfs>
  <cellStyles count="131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 2 3" xfId="130" xr:uid="{01854E66-99D0-404E-B92C-02ED8357D3DF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104775</xdr:colOff>
      <xdr:row>10</xdr:row>
      <xdr:rowOff>123825</xdr:rowOff>
    </xdr:from>
    <xdr:to>
      <xdr:col>85</xdr:col>
      <xdr:colOff>9525</xdr:colOff>
      <xdr:row>17</xdr:row>
      <xdr:rowOff>104775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8778ECA-5E22-42C1-8689-53B9481ED4F2}"/>
            </a:ext>
          </a:extLst>
        </xdr:cNvPr>
        <xdr:cNvSpPr/>
      </xdr:nvSpPr>
      <xdr:spPr>
        <a:xfrm>
          <a:off x="14697075" y="1838325"/>
          <a:ext cx="1704975" cy="1181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&lt;script&gt;</a:t>
          </a:r>
        </a:p>
        <a:p>
          <a:pPr algn="l"/>
          <a:r>
            <a:rPr kumimoji="1" lang="en-US" altLang="ja-JP" sz="1100"/>
            <a:t>$(function(){</a:t>
          </a:r>
        </a:p>
        <a:p>
          <a:pPr algn="l"/>
          <a:r>
            <a:rPr kumimoji="1" lang="en-US" altLang="ja-JP" sz="1100"/>
            <a:t>    $('#checkbox-all').click(function(){</a:t>
          </a:r>
        </a:p>
        <a:p>
          <a:pPr algn="l"/>
          <a:r>
            <a:rPr kumimoji="1" lang="en-US" altLang="ja-JP" sz="1100"/>
            <a:t>        allCheck('#evEstimate-table', this);</a:t>
          </a:r>
        </a:p>
        <a:p>
          <a:pPr algn="l"/>
          <a:r>
            <a:rPr kumimoji="1" lang="en-US" altLang="ja-JP" sz="1100"/>
            <a:t>      });</a:t>
          </a:r>
        </a:p>
        <a:p>
          <a:pPr algn="l"/>
          <a:r>
            <a:rPr kumimoji="1" lang="en-US" altLang="ja-JP" sz="1100"/>
            <a:t>    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$('.sortabletablecheckbox').DataTable({</a:t>
          </a:r>
        </a:p>
        <a:p>
          <a:pPr algn="l"/>
          <a:r>
            <a:rPr kumimoji="1" lang="en-US" altLang="ja-JP" sz="1100"/>
            <a:t>    searching: false,</a:t>
          </a:r>
        </a:p>
        <a:p>
          <a:pPr algn="l"/>
          <a:r>
            <a:rPr kumimoji="1" lang="en-US" altLang="ja-JP" sz="1100"/>
            <a:t>    lengthMenu: [ [10, 20, 30, 40, 50, -1], [10, 20, 30, 40, 50, 'ALL'] ],</a:t>
          </a:r>
        </a:p>
        <a:p>
          <a:pPr algn="l"/>
          <a:r>
            <a:rPr kumimoji="1" lang="en-US" altLang="ja-JP" sz="1100"/>
            <a:t>    autoWidth: false,</a:t>
          </a:r>
        </a:p>
        <a:p>
          <a:pPr algn="l"/>
          <a:r>
            <a:rPr kumimoji="1" lang="en-US" altLang="ja-JP" sz="1100"/>
            <a:t>    language: l,</a:t>
          </a:r>
        </a:p>
        <a:p>
          <a:pPr algn="l"/>
          <a:r>
            <a:rPr kumimoji="1" lang="en-US" altLang="ja-JP" sz="1100"/>
            <a:t>    order: [5, 'desc'],</a:t>
          </a:r>
        </a:p>
        <a:p>
          <a:pPr algn="l"/>
          <a:r>
            <a:rPr kumimoji="1" lang="en-US" altLang="ja-JP" sz="1100"/>
            <a:t>    columnDefs: [ {</a:t>
          </a:r>
        </a:p>
        <a:p>
          <a:pPr algn="l"/>
          <a:r>
            <a:rPr kumimoji="1" lang="en-US" altLang="ja-JP" sz="1100"/>
            <a:t>      targets: [ 0 ],</a:t>
          </a:r>
        </a:p>
        <a:p>
          <a:pPr algn="l"/>
          <a:r>
            <a:rPr kumimoji="1" lang="en-US" altLang="ja-JP" sz="1100"/>
            <a:t>      orderable: false</a:t>
          </a:r>
        </a:p>
        <a:p>
          <a:pPr algn="l"/>
          <a:r>
            <a:rPr kumimoji="1" lang="en-US" altLang="ja-JP" sz="1100"/>
            <a:t>    }]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r>
            <a:rPr kumimoji="1" lang="en-US" altLang="ja-JP" sz="1100"/>
            <a:t>    &lt;/script&gt;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請求情報出力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name="estimate_listActionForm" method="post" action="/lms/estimate/list/" class="form-horizontal"&gt;&lt;div&gt;&lt;input type="hidden" name="org.apache.struts.taglib.html.TOKEN" value="a42fa0c0ea702de8d17f7354910547e3"&gt;&lt;/div&gt;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会場毎請求情報出力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&lt;label for="startDate" class="col-lg-2 control-label"&gt;</a:t>
          </a:r>
          <a:r>
            <a:rPr kumimoji="1" lang="ja-JP" altLang="en-US" sz="1100"/>
            <a:t>請求月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&lt;div class="col-lg-10"&gt;</a:t>
          </a:r>
        </a:p>
        <a:p>
          <a:pPr algn="l"/>
          <a:r>
            <a:rPr kumimoji="1" lang="en-US" altLang="ja-JP" sz="1100"/>
            <a:t>            &lt;input type="text" name="startDate" value="" class="form-control datepickermonth" id="startDate"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2020-04"&gt;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&lt;div class="col-lg-2"&gt;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r>
            <a:rPr kumimoji="1" lang="en-US" altLang="ja-JP" sz="1100"/>
            <a:t>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name="download" value="</a:t>
          </a:r>
          <a:r>
            <a:rPr kumimoji="1" lang="ja-JP" altLang="en-US" sz="1100"/>
            <a:t>ダウンロード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&lt;label class="text-danger"&gt;</a:t>
          </a:r>
          <a:r>
            <a:rPr kumimoji="1" lang="ja-JP" altLang="en-US" sz="1100"/>
            <a:t>　</a:t>
          </a:r>
          <a:r>
            <a:rPr kumimoji="1" lang="en-US" altLang="ja-JP" sz="1100"/>
            <a:t>※2020/04 </a:t>
          </a:r>
          <a:r>
            <a:rPr kumimoji="1" lang="ja-JP" altLang="en-US" sz="1100"/>
            <a:t>以降の出力が可能です。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&lt;div class="well bs-component"&gt;</a:t>
          </a:r>
        </a:p>
        <a:p>
          <a:pPr algn="l"/>
          <a:r>
            <a:rPr kumimoji="1" lang="en-US" altLang="ja-JP" sz="1100"/>
            <a:t>      &lt;form name="estimate_listActionForm" method="post" action="/lms/estimate/list/" class="form-horizontal"&gt;&lt;div&gt;&lt;input type="hidden" name="org.apache.struts.taglib.html.TOKEN" value="a42fa0c0ea702de8d17f7354910547e3"&gt;&lt;/div&gt;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検索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&lt;label for="startDate" class="col-lg-2 control-label"&gt;</a:t>
          </a:r>
          <a:r>
            <a:rPr kumimoji="1" lang="ja-JP" altLang="en-US" sz="1100"/>
            <a:t>開始月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&lt;div class="col-lg-10"&gt;</a:t>
          </a:r>
        </a:p>
        <a:p>
          <a:pPr algn="l"/>
          <a:r>
            <a:rPr kumimoji="1" lang="en-US" altLang="ja-JP" sz="1100"/>
            <a:t>            &lt;input type="text" name="startDate" value="" class="form-control datepickermonth" id="startDate"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2010-01"&gt;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r>
            <a:rPr kumimoji="1" lang="en-US" altLang="ja-JP" sz="1100"/>
            <a:t>             &lt;div class="form-group"&gt;</a:t>
          </a:r>
        </a:p>
        <a:p>
          <a:pPr algn="l"/>
          <a:r>
            <a:rPr kumimoji="1" lang="en-US" altLang="ja-JP" sz="1100"/>
            <a:t>                &lt;label for="companyName" class="col-lg-2 control-label"&gt;</a:t>
          </a:r>
          <a:r>
            <a:rPr kumimoji="1" lang="ja-JP" altLang="en-US" sz="1100"/>
            <a:t>企業名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&lt;input type="text" name="companyName" value="" id="companyName" class="form-control"&gt;</a:t>
          </a:r>
        </a:p>
        <a:p>
          <a:pPr algn="l"/>
          <a:r>
            <a:rPr kumimoji="1" lang="en-US" altLang="ja-JP" sz="1100"/>
            <a:t>                    &lt;datalist id="companylist"&gt;</a:t>
          </a:r>
        </a:p>
        <a:p>
          <a:pPr algn="l"/>
          <a:r>
            <a:rPr kumimoji="1" lang="en-US" altLang="ja-JP" sz="1100"/>
            <a:t>                      </a:t>
          </a:r>
        </a:p>
        <a:p>
          <a:pPr algn="l"/>
          <a:r>
            <a:rPr kumimoji="1" lang="en-US" altLang="ja-JP" sz="1100"/>
            <a:t>                    &lt;/datalist&gt;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&lt;div class="col-lg-2"&gt;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r>
            <a:rPr kumimoji="1" lang="en-US" altLang="ja-JP" sz="1100"/>
            <a:t>        &lt;div class="col-lg-10"&gt;</a:t>
          </a:r>
        </a:p>
        <a:p>
          <a:pPr algn="l"/>
          <a:r>
            <a:rPr kumimoji="1" lang="en-US" altLang="ja-JP" sz="1100"/>
            <a:t>                  &lt;input type="checkbox" name="stillOutputFlg" value="1" id="stillOutputFlg" class="icon-checkbox"&gt;</a:t>
          </a:r>
        </a:p>
        <a:p>
          <a:pPr algn="l"/>
          <a:r>
            <a:rPr kumimoji="1" lang="en-US" altLang="ja-JP" sz="1100"/>
            <a:t>                  &lt;label for="stillOutputFlg" class="text-info"&gt;</a:t>
          </a:r>
        </a:p>
        <a:p>
          <a:pPr algn="l"/>
          <a:r>
            <a:rPr kumimoji="1" lang="en-US" altLang="ja-JP" sz="1100"/>
            <a:t>      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  &lt;/label&gt;</a:t>
          </a:r>
        </a:p>
        <a:p>
          <a:pPr algn="l"/>
          <a:r>
            <a:rPr kumimoji="1" lang="en-US" altLang="ja-JP" sz="1100"/>
            <a:t>                &lt;label&gt;</a:t>
          </a:r>
          <a:r>
            <a:rPr kumimoji="1" lang="ja-JP" altLang="en-US" sz="1100"/>
            <a:t>未出力の請求情報のみを表示する</a:t>
          </a:r>
        </a:p>
        <a:p>
          <a:pPr algn="l"/>
          <a:r>
            <a:rPr kumimoji="1" lang="ja-JP" altLang="en-US" sz="1100"/>
            <a:t>            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value="</a:t>
          </a:r>
          <a:r>
            <a:rPr kumimoji="1" lang="ja-JP" altLang="en-US" sz="1100"/>
            <a:t>検索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&lt;form name="estimate_listActionForm" method="post" action="/lms/estimate/list/"&gt;&lt;div&gt;&lt;input type="hidden" name="org.apache.struts.taglib.html.TOKEN" value="48cd46f8138756ae89ff383e56031c16"&gt;&lt;/div&gt;</a:t>
          </a:r>
        </a:p>
        <a:p>
          <a:pPr algn="l"/>
          <a:r>
            <a:rPr kumimoji="1" lang="en-US" altLang="ja-JP" sz="1100"/>
            <a:t>  &lt;div id="evEstimate-table_wrapper" class="dataTables_wrapper form-inline dt-bootstrap no-footer"&gt;&lt;div class="row"&gt;&lt;div class="col-sm-6"&gt;&lt;div class="dataTables_length" id="evEstimate-table_length"&gt;&lt;label&gt;1</a:t>
          </a:r>
          <a:r>
            <a:rPr kumimoji="1" lang="ja-JP" altLang="en-US" sz="1100"/>
            <a:t>ページあたりの表示件数</a:t>
          </a:r>
          <a:r>
            <a:rPr kumimoji="1" lang="en-US" altLang="ja-JP" sz="1100"/>
            <a:t>: &lt;select name="evEstimate-table_length" aria-controls="evEstimate-table" class="form-control input-sm"&gt;&lt;option value="10"&gt;10&lt;/option&gt;&lt;option value="20"&gt;20&lt;/option&gt;&lt;option value="30"&gt;30&lt;/option&gt;&lt;option value="40"&gt;40&lt;/option&gt;&lt;option value="50"&gt;50&lt;/option&gt;&lt;option value="-1"&gt;ALL&lt;/option&gt;&lt;/select&gt;&lt;/label&gt;&lt;/div&gt;&lt;/div&gt;&lt;div class="col-sm-6"&gt;&lt;/div&gt;&lt;/div&gt;&lt;div class="row"&gt;&lt;div class="col-sm-12"&gt;&lt;table class="table table-hover sortabletablecheckbox dataTable no-footer" id="evEstimate-table" role="grid" aria-describedby="evEstimate-table_info"&gt;</a:t>
          </a:r>
        </a:p>
        <a:p>
          <a:pPr algn="l"/>
          <a:r>
            <a:rPr kumimoji="1" lang="en-US" altLang="ja-JP" sz="1100"/>
            <a:t>    &lt;thead&gt;</a:t>
          </a:r>
        </a:p>
        <a:p>
          <a:pPr algn="l"/>
          <a:r>
            <a:rPr kumimoji="1" lang="en-US" altLang="ja-JP" sz="1100"/>
            <a:t>      &lt;tr role="row"&gt;&lt;th class="sorting_disabled" rowspan="1" colspan="1" aria-label="</a:t>
          </a:r>
        </a:p>
        <a:p>
          <a:pPr algn="l"/>
          <a:r>
            <a:rPr kumimoji="1" lang="en-US" altLang="ja-JP" sz="1100"/>
            <a:t> 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"&gt;</a:t>
          </a:r>
        </a:p>
        <a:p>
          <a:pPr algn="l"/>
          <a:r>
            <a:rPr kumimoji="1" lang="en-US" altLang="ja-JP" sz="1100"/>
            <a:t>           &lt;input id="checkbox-all" class="icon-checkbox" type="checkbox"&gt;</a:t>
          </a:r>
        </a:p>
        <a:p>
          <a:pPr algn="l"/>
          <a:r>
            <a:rPr kumimoji="1" lang="en-US" altLang="ja-JP" sz="1100"/>
            <a:t>            &lt;label for="checkbox-all"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&lt;/th&gt;&lt;th class="sorting_asc" tabindex="0" aria-controls="evEstimate-table" rowspan="1" colspan="1" aria-sort="ascending" aria-label="</a:t>
          </a:r>
          <a:r>
            <a:rPr kumimoji="1" lang="ja-JP" altLang="en-US" sz="1100"/>
            <a:t>最終出力日</a:t>
          </a:r>
          <a:r>
            <a:rPr kumimoji="1" lang="en-US" altLang="ja-JP" sz="1100"/>
            <a:t>: activate to sort column descending"&gt;</a:t>
          </a:r>
          <a:r>
            <a:rPr kumimoji="1" lang="ja-JP" altLang="en-US" sz="1100"/>
            <a:t>最終出力日</a:t>
          </a:r>
          <a:r>
            <a:rPr kumimoji="1" lang="en-US" altLang="ja-JP" sz="1100"/>
            <a:t>&lt;/th&gt;&lt;th class="sorting" tabindex="0" aria-controls="evEstimate-table" rowspan="1" colspan="1" aria-label="</a:t>
          </a:r>
          <a:r>
            <a:rPr kumimoji="1" lang="ja-JP" altLang="en-US" sz="1100"/>
            <a:t>企業名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&lt;/th&gt;&lt;th class="sorting" tabindex="0" aria-controls="evEstimate-table" rowspan="1" colspan="1" aria-label="</a:t>
          </a:r>
          <a:r>
            <a:rPr kumimoji="1" lang="ja-JP" altLang="en-US" sz="1100"/>
            <a:t>コース名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&lt;/th&gt;&lt;th class="sorting" tabindex="0" aria-controls="evEstimate-table" rowspan="1" colspan="1" aria-label="</a:t>
          </a:r>
          <a:r>
            <a:rPr kumimoji="1" lang="ja-JP" altLang="en-US" sz="1100"/>
            <a:t>開始月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開始月</a:t>
          </a:r>
          <a:r>
            <a:rPr kumimoji="1" lang="en-US" altLang="ja-JP" sz="1100"/>
            <a:t>&lt;/th&gt;&lt;th class="sorting" tabindex="0" aria-controls="evEstimate-table" rowspan="1" colspan="1" aria-label="</a:t>
          </a:r>
          <a:r>
            <a:rPr kumimoji="1" lang="ja-JP" altLang="en-US" sz="1100"/>
            <a:t>期間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期間</a:t>
          </a:r>
          <a:r>
            <a:rPr kumimoji="1" lang="en-US" altLang="ja-JP" sz="1100"/>
            <a:t>&lt;/th&gt;&lt;th class="sorting" tabindex="0" aria-controls="evEstimate-table" rowspan="1" colspan="1" aria-label="</a:t>
          </a:r>
          <a:r>
            <a:rPr kumimoji="1" lang="ja-JP" altLang="en-US" sz="1100"/>
            <a:t>合計金額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合計金額</a:t>
          </a:r>
          <a:r>
            <a:rPr kumimoji="1" lang="en-US" altLang="ja-JP" sz="1100"/>
            <a:t>&lt;/th&gt;&lt;/tr&gt;</a:t>
          </a:r>
        </a:p>
        <a:p>
          <a:pPr algn="l"/>
          <a:r>
            <a:rPr kumimoji="1" lang="en-US" altLang="ja-JP" sz="1100"/>
            <a:t>    &lt;/thead&gt;</a:t>
          </a:r>
        </a:p>
        <a:p>
          <a:pPr algn="l"/>
          <a:r>
            <a:rPr kumimoji="1" lang="en-US" altLang="ja-JP" sz="1100"/>
            <a:t>    &lt;tbody&gt;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name="evEstimateIdArr[8]" value="1243" id="evEstimateIdArr[8]" class="icon-checkbox"&gt;</a:t>
          </a:r>
        </a:p>
        <a:p>
          <a:pPr algn="l"/>
          <a:r>
            <a:rPr kumimoji="1" lang="en-US" altLang="ja-JP" sz="1100"/>
            <a:t>            &lt;label for="evEstimateIdArr[8]"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name="companyCourseId[8]" value="1243"&gt;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&lt;td&gt;【</a:t>
          </a:r>
          <a:r>
            <a:rPr kumimoji="1" lang="ja-JP" altLang="en-US" sz="1100"/>
            <a:t>結合試験</a:t>
          </a:r>
          <a:r>
            <a:rPr kumimoji="1" lang="en-US" altLang="ja-JP" sz="1100"/>
            <a:t>】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1&lt;/td&gt;</a:t>
          </a:r>
        </a:p>
        <a:p>
          <a:pPr algn="l"/>
          <a:r>
            <a:rPr kumimoji="1" lang="en-US" altLang="ja-JP" sz="1100"/>
            <a:t>          &lt;td&gt;【</a:t>
          </a:r>
          <a:r>
            <a:rPr kumimoji="1" lang="ja-JP" altLang="en-US" sz="1100"/>
            <a:t>結合試験</a:t>
          </a:r>
          <a:r>
            <a:rPr kumimoji="1" lang="en-US" altLang="ja-JP" sz="1100"/>
            <a:t>】5</a:t>
          </a:r>
          <a:r>
            <a:rPr kumimoji="1" lang="ja-JP" altLang="en-US" sz="1100"/>
            <a:t>月開講コース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04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&lt;td&gt;270,000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class="even"&gt;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name="evEstimateIdArr[9]" value="1244" id="evEstimateIdArr[9]" class="icon-checkbox"&gt;</a:t>
          </a:r>
        </a:p>
        <a:p>
          <a:pPr algn="l"/>
          <a:r>
            <a:rPr kumimoji="1" lang="en-US" altLang="ja-JP" sz="1100"/>
            <a:t>            &lt;label for="evEstimateIdArr[9]"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name="companyCourseId[9]" value="1244"&gt;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&lt;td&gt;【</a:t>
          </a:r>
          <a:r>
            <a:rPr kumimoji="1" lang="ja-JP" altLang="en-US" sz="1100"/>
            <a:t>結合試験</a:t>
          </a:r>
          <a:r>
            <a:rPr kumimoji="1" lang="en-US" altLang="ja-JP" sz="1100"/>
            <a:t>】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2&lt;/td&gt;</a:t>
          </a:r>
        </a:p>
        <a:p>
          <a:pPr algn="l"/>
          <a:r>
            <a:rPr kumimoji="1" lang="en-US" altLang="ja-JP" sz="1100"/>
            <a:t>          &lt;td&gt;【</a:t>
          </a:r>
          <a:r>
            <a:rPr kumimoji="1" lang="ja-JP" altLang="en-US" sz="1100"/>
            <a:t>結合試験</a:t>
          </a:r>
          <a:r>
            <a:rPr kumimoji="1" lang="en-US" altLang="ja-JP" sz="1100"/>
            <a:t>】5</a:t>
          </a:r>
          <a:r>
            <a:rPr kumimoji="1" lang="ja-JP" altLang="en-US" sz="1100"/>
            <a:t>月土日開講コース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05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&lt;td&gt;259,200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class="odd"&gt;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name="evEstimateIdArr[12]" value="1255" id="evEstimateIdArr[12]" class="icon-checkbox"&gt;</a:t>
          </a:r>
        </a:p>
        <a:p>
          <a:pPr algn="l"/>
          <a:r>
            <a:rPr kumimoji="1" lang="en-US" altLang="ja-JP" sz="1100"/>
            <a:t>            &lt;label for="evEstimateIdArr[12]"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name="companyCourseId[12]" value="1255"&gt;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コーポレーション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&lt;td&gt;137,500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class="even"&gt;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name="evEstimateIdArr[17]" value="1219" id="evEstimateIdArr[17]" class="icon-checkbox"&gt;</a:t>
          </a:r>
        </a:p>
        <a:p>
          <a:pPr algn="l"/>
          <a:r>
            <a:rPr kumimoji="1" lang="en-US" altLang="ja-JP" sz="1100"/>
            <a:t>            &lt;label for="evEstimateIdArr[17]"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name="companyCourseId[17]" value="1219"&gt;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1002&lt;/td&gt;</a:t>
          </a:r>
        </a:p>
        <a:p>
          <a:pPr algn="l"/>
          <a:r>
            <a:rPr kumimoji="1" lang="en-US" altLang="ja-JP" sz="1100"/>
            <a:t>          &lt;td&gt;DEMO</a:t>
          </a:r>
          <a:r>
            <a:rPr kumimoji="1" lang="ja-JP" altLang="en-US" sz="1100"/>
            <a:t>コース１９０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04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&lt;td&gt;3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&lt;td&gt;1,029,413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class="odd"&gt;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name="evEstimateIdArr[18]" value="1246" id="evEstimateIdArr[18]" class="icon-checkbox"&gt;</a:t>
          </a:r>
        </a:p>
        <a:p>
          <a:pPr algn="l"/>
          <a:r>
            <a:rPr kumimoji="1" lang="en-US" altLang="ja-JP" sz="1100"/>
            <a:t>            &lt;label for="evEstimateIdArr[18]"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name="companyCourseId[18]" value="1246"&gt;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1632&lt;/td&gt;</a:t>
          </a:r>
        </a:p>
        <a:p>
          <a:pPr algn="l"/>
          <a:r>
            <a:rPr kumimoji="1" lang="en-US" altLang="ja-JP" sz="1100"/>
            <a:t>          &lt;td&gt;DEMO</a:t>
          </a:r>
          <a:r>
            <a:rPr kumimoji="1" lang="ja-JP" altLang="en-US" sz="1100"/>
            <a:t>コース１８７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04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&lt;td&gt;3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&lt;td&gt;15,746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class="even"&gt;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name="evEstimateIdArr[19]" value="1247" id="evEstimateIdArr[19]" class="icon-checkbox"&gt;</a:t>
          </a:r>
        </a:p>
        <a:p>
          <a:pPr algn="l"/>
          <a:r>
            <a:rPr kumimoji="1" lang="en-US" altLang="ja-JP" sz="1100"/>
            <a:t>            &lt;label for="evEstimateIdArr[19]"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name="companyCourseId[19]" value="1247"&gt;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1633&lt;/td&gt;</a:t>
          </a:r>
        </a:p>
        <a:p>
          <a:pPr algn="l"/>
          <a:r>
            <a:rPr kumimoji="1" lang="en-US" altLang="ja-JP" sz="1100"/>
            <a:t>          &lt;td&gt;DEMO</a:t>
          </a:r>
          <a:r>
            <a:rPr kumimoji="1" lang="ja-JP" altLang="en-US" sz="1100"/>
            <a:t>コース２２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&lt;td&gt;2017</a:t>
          </a:r>
          <a:r>
            <a:rPr kumimoji="1" lang="ja-JP" altLang="en-US" sz="1100"/>
            <a:t>年</a:t>
          </a:r>
          <a:r>
            <a:rPr kumimoji="1" lang="en-US" altLang="ja-JP" sz="1100"/>
            <a:t>03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&lt;td&gt;5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&lt;td&gt;842,400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class="odd"&gt;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name="evEstimateIdArr[20]" value="1248" id="evEstimateIdArr[20]" class="icon-checkbox"&gt;</a:t>
          </a:r>
        </a:p>
        <a:p>
          <a:pPr algn="l"/>
          <a:r>
            <a:rPr kumimoji="1" lang="en-US" altLang="ja-JP" sz="1100"/>
            <a:t>            &lt;label for="evEstimateIdArr[20]"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name="companyCourseId[20]" value="1248"&gt;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1639&lt;/td&gt;</a:t>
          </a:r>
        </a:p>
        <a:p>
          <a:pPr algn="l"/>
          <a:r>
            <a:rPr kumimoji="1" lang="en-US" altLang="ja-JP" sz="1100"/>
            <a:t>          &lt;td&gt;DEMO</a:t>
          </a:r>
          <a:r>
            <a:rPr kumimoji="1" lang="ja-JP" altLang="en-US" sz="1100"/>
            <a:t>コース１８７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04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&lt;td&gt;3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&lt;td&gt;141,436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class="even"&gt;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name="evEstimateIdArr[21]" value="1249" id="evEstimateIdArr[21]" class="icon-checkbox"&gt;</a:t>
          </a:r>
        </a:p>
        <a:p>
          <a:pPr algn="l"/>
          <a:r>
            <a:rPr kumimoji="1" lang="en-US" altLang="ja-JP" sz="1100"/>
            <a:t>            &lt;label for="evEstimateIdArr[21]"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name="companyCourseId[21]" value="1249"&gt;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1640&lt;/td&gt;</a:t>
          </a:r>
        </a:p>
        <a:p>
          <a:pPr algn="l"/>
          <a:r>
            <a:rPr kumimoji="1" lang="en-US" altLang="ja-JP" sz="1100"/>
            <a:t>          &lt;td&gt;DEMO</a:t>
          </a:r>
          <a:r>
            <a:rPr kumimoji="1" lang="ja-JP" altLang="en-US" sz="1100"/>
            <a:t>コース１８７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04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&lt;td&gt;3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&lt;td&gt;270,000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class="odd"&gt;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name="evEstimateIdArr[23]" value="1251" id="evEstimateIdArr[23]" class="icon-checkbox"&gt;</a:t>
          </a:r>
        </a:p>
        <a:p>
          <a:pPr algn="l"/>
          <a:r>
            <a:rPr kumimoji="1" lang="en-US" altLang="ja-JP" sz="1100"/>
            <a:t>            &lt;label for="evEstimateIdArr[23]"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name="companyCourseId[23]" value="1251"&gt;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1654&lt;/td&gt;</a:t>
          </a:r>
        </a:p>
        <a:p>
          <a:pPr algn="l"/>
          <a:r>
            <a:rPr kumimoji="1" lang="en-US" altLang="ja-JP" sz="1100"/>
            <a:t>          &lt;td&gt;DEMO</a:t>
          </a:r>
          <a:r>
            <a:rPr kumimoji="1" lang="ja-JP" altLang="en-US" sz="1100"/>
            <a:t>コース２１５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04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&lt;td&gt;64,800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&lt;/tr&gt;&lt;tr role="row" class="even"&gt;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&lt;input type="checkbox" name="evEstimateIdArr[24]" value="1252" id="evEstimateIdArr[24]" class="icon-checkbox"&gt;</a:t>
          </a:r>
        </a:p>
        <a:p>
          <a:pPr algn="l"/>
          <a:r>
            <a:rPr kumimoji="1" lang="en-US" altLang="ja-JP" sz="1100"/>
            <a:t>            &lt;label for="evEstimateIdArr[24]"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&lt;input type="hidden" name="companyCourseId[24]" value="1252"&gt;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株式会社テスト</a:t>
          </a:r>
          <a:r>
            <a:rPr kumimoji="1" lang="en-US" altLang="ja-JP" sz="1100"/>
            <a:t>1661&lt;/td&gt;</a:t>
          </a:r>
        </a:p>
        <a:p>
          <a:pPr algn="l"/>
          <a:r>
            <a:rPr kumimoji="1" lang="en-US" altLang="ja-JP" sz="1100"/>
            <a:t>          &lt;td&gt;【</a:t>
          </a:r>
          <a:r>
            <a:rPr kumimoji="1" lang="ja-JP" altLang="en-US" sz="1100"/>
            <a:t>植木テスト</a:t>
          </a:r>
          <a:r>
            <a:rPr kumimoji="1" lang="en-US" altLang="ja-JP" sz="1100"/>
            <a:t>】</a:t>
          </a:r>
          <a:r>
            <a:rPr kumimoji="1" lang="ja-JP" altLang="en-US" sz="1100"/>
            <a:t>講師研修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&lt;td&gt;2020</a:t>
          </a:r>
          <a:r>
            <a:rPr kumimoji="1" lang="ja-JP" altLang="en-US" sz="1100"/>
            <a:t>年</a:t>
          </a:r>
          <a:r>
            <a:rPr kumimoji="1" lang="en-US" altLang="ja-JP" sz="1100"/>
            <a:t>03</a:t>
          </a:r>
          <a:r>
            <a:rPr kumimoji="1" lang="ja-JP" altLang="en-US" sz="1100"/>
            <a:t>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&lt;td&gt;1</a:t>
          </a:r>
          <a:r>
            <a:rPr kumimoji="1" lang="ja-JP" altLang="en-US" sz="1100"/>
            <a:t>ヶ月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&lt;td&gt;2,420</a:t>
          </a:r>
          <a:r>
            <a:rPr kumimoji="1" lang="ja-JP" altLang="en-US" sz="1100"/>
            <a:t>円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&lt;/tr&gt;&lt;/tbody&gt;</a:t>
          </a:r>
        </a:p>
        <a:p>
          <a:pPr algn="l"/>
          <a:r>
            <a:rPr kumimoji="1" lang="en-US" altLang="ja-JP" sz="1100"/>
            <a:t>  &lt;/table&gt;&lt;/div&gt;&lt;/div&gt;&lt;div class="row"&gt;&lt;div class="col-sm-5"&gt;&lt;div class="dataTables_info" id="evEstimate-table_info" role="status" aria-live="polite"&gt;1,180 </a:t>
          </a:r>
          <a:r>
            <a:rPr kumimoji="1" lang="ja-JP" altLang="en-US" sz="1100"/>
            <a:t>件中 </a:t>
          </a:r>
          <a:r>
            <a:rPr kumimoji="1" lang="en-US" altLang="ja-JP" sz="1100"/>
            <a:t>1 </a:t>
          </a:r>
          <a:r>
            <a:rPr kumimoji="1" lang="ja-JP" altLang="en-US" sz="1100"/>
            <a:t>件から </a:t>
          </a:r>
          <a:r>
            <a:rPr kumimoji="1" lang="en-US" altLang="ja-JP" sz="1100"/>
            <a:t>10 </a:t>
          </a:r>
          <a:r>
            <a:rPr kumimoji="1" lang="ja-JP" altLang="en-US" sz="1100"/>
            <a:t>件までを表示</a:t>
          </a:r>
          <a:r>
            <a:rPr kumimoji="1" lang="en-US" altLang="ja-JP" sz="1100"/>
            <a:t>&lt;/div&gt;&lt;/div&gt;&lt;div class="col-sm-7"&gt;&lt;div class="dataTables_paginate paging_simple_numbers" id="evEstimate-table_paginate"&gt;&lt;ul class="pagination"&gt;&lt;li class="paginate_button previous disabled" id="evEstimate-table_previous"&gt;&lt;a href="#" aria-controls="evEstimate-table" data-dt-idx="0" tabindex="0"&gt;</a:t>
          </a:r>
          <a:r>
            <a:rPr kumimoji="1" lang="ja-JP" altLang="en-US" sz="1100"/>
            <a:t>前へ</a:t>
          </a:r>
          <a:r>
            <a:rPr kumimoji="1" lang="en-US" altLang="ja-JP" sz="1100"/>
            <a:t>&lt;/a&gt;&lt;/li&gt;&lt;li class="paginate_button active"&gt;&lt;a href="#" aria-controls="evEstimate-table" data-dt-idx="1" tabindex="0"&gt;1&lt;/a&gt;&lt;/li&gt;&lt;li class="paginate_button "&gt;&lt;a href="#" aria-controls="evEstimate-table" data-dt-idx="2" tabindex="0"&gt;2&lt;/a&gt;&lt;/li&gt;&lt;li class="paginate_button "&gt;&lt;a href="#" aria-controls="evEstimate-table" data-dt-idx="3" tabindex="0"&gt;3&lt;/a&gt;&lt;/li&gt;&lt;li class="paginate_button "&gt;&lt;a href="#" aria-controls="evEstimate-table" data-dt-idx="4" tabindex="0"&gt;4&lt;/a&gt;&lt;/li&gt;&lt;li class="paginate_button "&gt;&lt;a href="#" aria-controls="evEstimate-table" data-dt-idx="5" tabindex="0"&gt;5&lt;/a&gt;&lt;/li&gt;&lt;li class="paginate_button disabled" id="evEstimate-table_ellipsis"&gt;&lt;a href="#" aria-controls="evEstimate-table" data-dt-idx="6" tabindex="0"&gt;…&lt;/a&gt;&lt;/li&gt;&lt;li class="paginate_button "&gt;&lt;a href="#" aria-controls="evEstimate-table" data-dt-idx="7" tabindex="0"&gt;118&lt;/a&gt;&lt;/li&gt;&lt;li class="paginate_button next" id="evEstimate-table_next"&gt;&lt;a href="#" aria-controls="evEstimate-table" data-dt-idx="8" tabindex="0"&gt;</a:t>
          </a:r>
          <a:r>
            <a:rPr kumimoji="1" lang="ja-JP" altLang="en-US" sz="1100"/>
            <a:t>次へ</a:t>
          </a:r>
          <a:r>
            <a:rPr kumimoji="1" lang="en-US" altLang="ja-JP" sz="1100"/>
            <a:t>&lt;/a&gt;&lt;/li&gt;&lt;/ul&gt;&lt;/div&gt;&lt;/div&gt;&lt;/div&gt;&lt;/div&gt;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&lt;li class="list-group-item"&gt;</a:t>
          </a:r>
        </a:p>
        <a:p>
          <a:pPr algn="l"/>
          <a:r>
            <a:rPr kumimoji="1" lang="en-US" altLang="ja-JP" sz="1100"/>
            <a:t>  &lt;h4&gt;</a:t>
          </a:r>
          <a:r>
            <a:rPr kumimoji="1" lang="ja-JP" altLang="en-US" sz="1100"/>
            <a:t>出力単位</a:t>
          </a:r>
          <a:r>
            <a:rPr kumimoji="1" lang="en-US" altLang="ja-JP" sz="1100"/>
            <a:t>&lt;/h4&gt;</a:t>
          </a:r>
        </a:p>
        <a:p>
          <a:pPr algn="l"/>
          <a:r>
            <a:rPr kumimoji="1" lang="en-US" altLang="ja-JP" sz="1100"/>
            <a:t>  &lt;input type="radio" name="answer[0]" value="1" id="answer-0-0"&gt; </a:t>
          </a:r>
        </a:p>
        <a:p>
          <a:pPr algn="l"/>
          <a:r>
            <a:rPr kumimoji="1" lang="en-US" altLang="ja-JP" sz="1100"/>
            <a:t>  &lt;label class="ib" for="answer-0-0"&gt; &lt;span class="ib question"&gt;</a:t>
          </a:r>
          <a:r>
            <a:rPr kumimoji="1" lang="ja-JP" altLang="en-US" sz="1100"/>
            <a:t>企業単位</a:t>
          </a:r>
          <a:r>
            <a:rPr kumimoji="1" lang="en-US" altLang="ja-JP" sz="1100"/>
            <a:t>&lt;/span&gt;</a:t>
          </a:r>
          <a:r>
            <a:rPr kumimoji="1" lang="ja-JP" altLang="en-US" sz="1100"/>
            <a:t>　　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&lt;input type="radio" name="answer[0]" value="1" id="answer-0-0"&gt; </a:t>
          </a:r>
        </a:p>
        <a:p>
          <a:pPr algn="l"/>
          <a:r>
            <a:rPr kumimoji="1" lang="en-US" altLang="ja-JP" sz="1100"/>
            <a:t>  &lt;label class="ib" for="answer-0-0"&gt; &lt;span class="ib question"&gt;</a:t>
          </a:r>
          <a:r>
            <a:rPr kumimoji="1" lang="ja-JP" altLang="en-US" sz="1100"/>
            <a:t>商品単位</a:t>
          </a:r>
          <a:r>
            <a:rPr kumimoji="1" lang="en-US" altLang="ja-JP" sz="1100"/>
            <a:t>&lt;/span&gt;</a:t>
          </a:r>
          <a:r>
            <a:rPr kumimoji="1" lang="ja-JP" altLang="en-US" sz="1100"/>
            <a:t>　　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&lt;input type="radio" name="answer[0]" value="1" id="answer-0-0"&gt; </a:t>
          </a:r>
        </a:p>
        <a:p>
          <a:pPr algn="l"/>
          <a:r>
            <a:rPr kumimoji="1" lang="en-US" altLang="ja-JP" sz="1100"/>
            <a:t>  &lt;label class="ib" for="answer-0-0"&gt; &lt;span class="ib question"&gt;</a:t>
          </a:r>
          <a:r>
            <a:rPr kumimoji="1" lang="ja-JP" altLang="en-US" sz="1100"/>
            <a:t>会場単位</a:t>
          </a:r>
          <a:r>
            <a:rPr kumimoji="1" lang="en-US" altLang="ja-JP" sz="1100"/>
            <a:t>&lt;/span&gt;&lt;/label&gt;</a:t>
          </a:r>
        </a:p>
        <a:p>
          <a:pPr algn="l"/>
          <a:r>
            <a:rPr kumimoji="1" lang="en-US" altLang="ja-JP" sz="1100"/>
            <a:t>        &lt;div class="form-group"&gt;</a:t>
          </a:r>
        </a:p>
        <a:p>
          <a:pPr algn="l"/>
          <a:r>
            <a:rPr kumimoji="1" lang="en-US" altLang="ja-JP" sz="1100"/>
            <a:t>    &lt;input type="submit" name="download" value="</a:t>
          </a:r>
          <a:r>
            <a:rPr kumimoji="1" lang="ja-JP" altLang="en-US" sz="1100"/>
            <a:t>チェックした請求情報をダウンロード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&lt;/div&gt;</a:t>
          </a:r>
        </a:p>
        <a:p>
          <a:pPr algn="l"/>
          <a:r>
            <a:rPr kumimoji="1" lang="en-US" altLang="ja-JP" sz="1100"/>
            <a:t>&lt;/li&gt;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&lt;/form&gt;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51</xdr:col>
      <xdr:colOff>0</xdr:colOff>
      <xdr:row>64</xdr:row>
      <xdr:rowOff>139495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9F6BCA5-5253-4EF6-969B-0453A7645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8700"/>
          <a:ext cx="9801225" cy="10083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7" t="s">
        <v>38</v>
      </c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7" t="s">
        <v>89</v>
      </c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8" t="s">
        <v>19</v>
      </c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79"/>
      <c r="AB15" s="79"/>
      <c r="AC15" s="79"/>
      <c r="AD15" s="79"/>
      <c r="AE15" s="79"/>
      <c r="AF15" s="7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第1.3版</v>
      </c>
      <c r="Y17" s="26"/>
      <c r="Z17" s="26"/>
      <c r="AA17" s="80">
        <f>MAX(更新履歴!J8:Q31)</f>
        <v>43783</v>
      </c>
      <c r="AB17" s="80"/>
      <c r="AC17" s="80"/>
      <c r="AD17" s="80"/>
      <c r="AE17" s="80"/>
      <c r="AF17" s="80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80"/>
      <c r="AB19" s="80"/>
      <c r="AC19" s="80"/>
      <c r="AD19" s="80"/>
      <c r="AE19" s="80"/>
      <c r="AF19" s="80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1" t="s">
        <v>6</v>
      </c>
      <c r="V20" s="82"/>
      <c r="W20" s="82"/>
      <c r="X20" s="82"/>
      <c r="Y20" s="83"/>
      <c r="Z20" s="84" t="s">
        <v>7</v>
      </c>
      <c r="AA20" s="85"/>
      <c r="AB20" s="85"/>
      <c r="AC20" s="85"/>
      <c r="AD20" s="86"/>
      <c r="AE20" s="81" t="s">
        <v>8</v>
      </c>
      <c r="AF20" s="82"/>
      <c r="AG20" s="82"/>
      <c r="AH20" s="82"/>
      <c r="AI20" s="8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87" t="s">
        <v>42</v>
      </c>
      <c r="V21" s="88"/>
      <c r="W21" s="88"/>
      <c r="X21" s="88"/>
      <c r="Y21" s="89"/>
      <c r="Z21" s="87"/>
      <c r="AA21" s="88"/>
      <c r="AB21" s="88"/>
      <c r="AC21" s="88"/>
      <c r="AD21" s="89"/>
      <c r="AE21" s="87"/>
      <c r="AF21" s="88"/>
      <c r="AG21" s="88"/>
      <c r="AH21" s="88"/>
      <c r="AI21" s="8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90"/>
      <c r="V22" s="91"/>
      <c r="W22" s="91"/>
      <c r="X22" s="91"/>
      <c r="Y22" s="92"/>
      <c r="Z22" s="90"/>
      <c r="AA22" s="91"/>
      <c r="AB22" s="91"/>
      <c r="AC22" s="91"/>
      <c r="AD22" s="92"/>
      <c r="AE22" s="90"/>
      <c r="AF22" s="91"/>
      <c r="AG22" s="91"/>
      <c r="AH22" s="91"/>
      <c r="AI22" s="9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90"/>
      <c r="V23" s="91"/>
      <c r="W23" s="91"/>
      <c r="X23" s="91"/>
      <c r="Y23" s="92"/>
      <c r="Z23" s="90"/>
      <c r="AA23" s="91"/>
      <c r="AB23" s="91"/>
      <c r="AC23" s="91"/>
      <c r="AD23" s="92"/>
      <c r="AE23" s="90"/>
      <c r="AF23" s="91"/>
      <c r="AG23" s="91"/>
      <c r="AH23" s="91"/>
      <c r="AI23" s="9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93"/>
      <c r="V24" s="94"/>
      <c r="W24" s="94"/>
      <c r="X24" s="94"/>
      <c r="Y24" s="95"/>
      <c r="Z24" s="93"/>
      <c r="AA24" s="94"/>
      <c r="AB24" s="94"/>
      <c r="AC24" s="94"/>
      <c r="AD24" s="95"/>
      <c r="AE24" s="93"/>
      <c r="AF24" s="94"/>
      <c r="AG24" s="94"/>
      <c r="AH24" s="94"/>
      <c r="AI24" s="95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09" t="s">
        <v>0</v>
      </c>
      <c r="B1" s="178"/>
      <c r="C1" s="178"/>
      <c r="D1" s="178"/>
      <c r="E1" s="178"/>
      <c r="F1" s="179"/>
      <c r="G1" s="179"/>
      <c r="H1" s="179"/>
      <c r="I1" s="210"/>
      <c r="J1" s="211" t="s">
        <v>1</v>
      </c>
      <c r="K1" s="178"/>
      <c r="L1" s="178"/>
      <c r="M1" s="178"/>
      <c r="N1" s="178"/>
      <c r="O1" s="179"/>
      <c r="P1" s="179"/>
      <c r="Q1" s="179"/>
      <c r="R1" s="212" t="str">
        <f>表紙!S12</f>
        <v>画面レイアウト設計書</v>
      </c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4"/>
      <c r="AJ1" s="215" t="s">
        <v>2</v>
      </c>
      <c r="AK1" s="216"/>
      <c r="AL1" s="216"/>
      <c r="AM1" s="216"/>
      <c r="AN1" s="216"/>
      <c r="AO1" s="217" t="s">
        <v>3</v>
      </c>
      <c r="AP1" s="216"/>
      <c r="AQ1" s="216"/>
      <c r="AR1" s="216"/>
      <c r="AS1" s="216"/>
      <c r="AT1" s="217" t="s">
        <v>4</v>
      </c>
      <c r="AU1" s="216"/>
      <c r="AV1" s="216"/>
      <c r="AW1" s="216"/>
      <c r="AX1" s="216"/>
      <c r="AY1" s="178" t="s">
        <v>5</v>
      </c>
      <c r="AZ1" s="179"/>
      <c r="BA1" s="179"/>
      <c r="BB1" s="179"/>
      <c r="BC1" s="180"/>
    </row>
    <row r="2" spans="1:55" s="17" customFormat="1" ht="13.5" customHeight="1">
      <c r="A2" s="181" t="str">
        <f>表紙!O10</f>
        <v>13期12月対応</v>
      </c>
      <c r="B2" s="182"/>
      <c r="C2" s="182"/>
      <c r="D2" s="182"/>
      <c r="E2" s="182"/>
      <c r="F2" s="183"/>
      <c r="G2" s="183"/>
      <c r="H2" s="183"/>
      <c r="I2" s="184"/>
      <c r="J2" s="189" t="str">
        <f>表紙!O9</f>
        <v>LMS学習管理システム</v>
      </c>
      <c r="K2" s="182"/>
      <c r="L2" s="182"/>
      <c r="M2" s="182"/>
      <c r="N2" s="182"/>
      <c r="O2" s="183"/>
      <c r="P2" s="183"/>
      <c r="Q2" s="190"/>
      <c r="R2" s="193" t="s">
        <v>9</v>
      </c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5"/>
      <c r="AJ2" s="199" t="s">
        <v>43</v>
      </c>
      <c r="AK2" s="200"/>
      <c r="AL2" s="200"/>
      <c r="AM2" s="200"/>
      <c r="AN2" s="200"/>
      <c r="AO2" s="203">
        <v>43766</v>
      </c>
      <c r="AP2" s="200"/>
      <c r="AQ2" s="200"/>
      <c r="AR2" s="200"/>
      <c r="AS2" s="200"/>
      <c r="AT2" s="199" t="s">
        <v>43</v>
      </c>
      <c r="AU2" s="200"/>
      <c r="AV2" s="200"/>
      <c r="AW2" s="200"/>
      <c r="AX2" s="200"/>
      <c r="AY2" s="204">
        <v>43783</v>
      </c>
      <c r="AZ2" s="205"/>
      <c r="BA2" s="205"/>
      <c r="BB2" s="205"/>
      <c r="BC2" s="206"/>
    </row>
    <row r="3" spans="1:55" s="17" customFormat="1" ht="13.5" customHeight="1" thickBot="1">
      <c r="A3" s="185"/>
      <c r="B3" s="186"/>
      <c r="C3" s="186"/>
      <c r="D3" s="186"/>
      <c r="E3" s="186"/>
      <c r="F3" s="187"/>
      <c r="G3" s="187"/>
      <c r="H3" s="187"/>
      <c r="I3" s="188"/>
      <c r="J3" s="191"/>
      <c r="K3" s="186"/>
      <c r="L3" s="186"/>
      <c r="M3" s="186"/>
      <c r="N3" s="186"/>
      <c r="O3" s="187"/>
      <c r="P3" s="187"/>
      <c r="Q3" s="192"/>
      <c r="R3" s="196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8"/>
      <c r="AJ3" s="201"/>
      <c r="AK3" s="202"/>
      <c r="AL3" s="202"/>
      <c r="AM3" s="202"/>
      <c r="AN3" s="202"/>
      <c r="AO3" s="202"/>
      <c r="AP3" s="202"/>
      <c r="AQ3" s="202"/>
      <c r="AR3" s="202"/>
      <c r="AS3" s="202"/>
      <c r="AT3" s="201"/>
      <c r="AU3" s="202"/>
      <c r="AV3" s="202"/>
      <c r="AW3" s="202"/>
      <c r="AX3" s="202"/>
      <c r="AY3" s="207"/>
      <c r="AZ3" s="207"/>
      <c r="BA3" s="207"/>
      <c r="BB3" s="207"/>
      <c r="BC3" s="208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60" t="s">
        <v>10</v>
      </c>
      <c r="B5" s="161"/>
      <c r="C5" s="161"/>
      <c r="D5" s="161"/>
      <c r="E5" s="161"/>
      <c r="F5" s="161"/>
      <c r="G5" s="161"/>
      <c r="H5" s="161"/>
      <c r="I5" s="162"/>
      <c r="J5" s="169" t="s">
        <v>11</v>
      </c>
      <c r="K5" s="161"/>
      <c r="L5" s="161"/>
      <c r="M5" s="161"/>
      <c r="N5" s="161"/>
      <c r="O5" s="161"/>
      <c r="P5" s="161"/>
      <c r="Q5" s="162"/>
      <c r="R5" s="169" t="s">
        <v>12</v>
      </c>
      <c r="S5" s="161"/>
      <c r="T5" s="161"/>
      <c r="U5" s="162"/>
      <c r="V5" s="169" t="s">
        <v>13</v>
      </c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2"/>
      <c r="AT5" s="169" t="s">
        <v>14</v>
      </c>
      <c r="AU5" s="161"/>
      <c r="AV5" s="161"/>
      <c r="AW5" s="161"/>
      <c r="AX5" s="161"/>
      <c r="AY5" s="161"/>
      <c r="AZ5" s="161"/>
      <c r="BA5" s="161"/>
      <c r="BB5" s="161"/>
      <c r="BC5" s="172"/>
    </row>
    <row r="6" spans="1:55" s="25" customFormat="1" ht="13.5" customHeight="1">
      <c r="A6" s="163"/>
      <c r="B6" s="164"/>
      <c r="C6" s="164"/>
      <c r="D6" s="164"/>
      <c r="E6" s="164"/>
      <c r="F6" s="164"/>
      <c r="G6" s="164"/>
      <c r="H6" s="164"/>
      <c r="I6" s="165"/>
      <c r="J6" s="170"/>
      <c r="K6" s="164"/>
      <c r="L6" s="164"/>
      <c r="M6" s="164"/>
      <c r="N6" s="164"/>
      <c r="O6" s="164"/>
      <c r="P6" s="164"/>
      <c r="Q6" s="165"/>
      <c r="R6" s="170"/>
      <c r="S6" s="164"/>
      <c r="T6" s="164"/>
      <c r="U6" s="165"/>
      <c r="V6" s="170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5"/>
      <c r="AT6" s="170"/>
      <c r="AU6" s="164"/>
      <c r="AV6" s="164"/>
      <c r="AW6" s="164"/>
      <c r="AX6" s="164"/>
      <c r="AY6" s="164"/>
      <c r="AZ6" s="164"/>
      <c r="BA6" s="164"/>
      <c r="BB6" s="164"/>
      <c r="BC6" s="173"/>
    </row>
    <row r="7" spans="1:55" s="25" customFormat="1" ht="13.5" customHeight="1" thickBot="1">
      <c r="A7" s="166"/>
      <c r="B7" s="167"/>
      <c r="C7" s="167"/>
      <c r="D7" s="167"/>
      <c r="E7" s="167"/>
      <c r="F7" s="167"/>
      <c r="G7" s="167"/>
      <c r="H7" s="167"/>
      <c r="I7" s="168"/>
      <c r="J7" s="171"/>
      <c r="K7" s="167"/>
      <c r="L7" s="167"/>
      <c r="M7" s="167"/>
      <c r="N7" s="167"/>
      <c r="O7" s="167"/>
      <c r="P7" s="167"/>
      <c r="Q7" s="168"/>
      <c r="R7" s="171"/>
      <c r="S7" s="167"/>
      <c r="T7" s="167"/>
      <c r="U7" s="168"/>
      <c r="V7" s="171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8"/>
      <c r="AT7" s="171"/>
      <c r="AU7" s="167"/>
      <c r="AV7" s="167"/>
      <c r="AW7" s="167"/>
      <c r="AX7" s="167"/>
      <c r="AY7" s="167"/>
      <c r="AZ7" s="167"/>
      <c r="BA7" s="167"/>
      <c r="BB7" s="167"/>
      <c r="BC7" s="174"/>
    </row>
    <row r="8" spans="1:55" s="25" customFormat="1" ht="13.5" customHeight="1" thickTop="1">
      <c r="A8" s="175">
        <v>1</v>
      </c>
      <c r="B8" s="97"/>
      <c r="C8" s="97"/>
      <c r="D8" s="97"/>
      <c r="E8" s="97"/>
      <c r="F8" s="97"/>
      <c r="G8" s="97"/>
      <c r="H8" s="97"/>
      <c r="I8" s="108"/>
      <c r="J8" s="176">
        <v>43766</v>
      </c>
      <c r="K8" s="99"/>
      <c r="L8" s="99"/>
      <c r="M8" s="99"/>
      <c r="N8" s="99"/>
      <c r="O8" s="99"/>
      <c r="P8" s="99"/>
      <c r="Q8" s="116"/>
      <c r="R8" s="177" t="s">
        <v>15</v>
      </c>
      <c r="S8" s="101"/>
      <c r="T8" s="101"/>
      <c r="U8" s="124"/>
      <c r="V8" s="131" t="s">
        <v>16</v>
      </c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51"/>
      <c r="AT8" s="177" t="s">
        <v>43</v>
      </c>
      <c r="AU8" s="101"/>
      <c r="AV8" s="101"/>
      <c r="AW8" s="101"/>
      <c r="AX8" s="101"/>
      <c r="AY8" s="101"/>
      <c r="AZ8" s="101"/>
      <c r="BA8" s="101"/>
      <c r="BB8" s="101"/>
      <c r="BC8" s="137"/>
    </row>
    <row r="9" spans="1:55" s="25" customFormat="1" ht="13.5" customHeight="1">
      <c r="A9" s="107"/>
      <c r="B9" s="97"/>
      <c r="C9" s="97"/>
      <c r="D9" s="97"/>
      <c r="E9" s="97"/>
      <c r="F9" s="97"/>
      <c r="G9" s="97"/>
      <c r="H9" s="97"/>
      <c r="I9" s="108"/>
      <c r="J9" s="115"/>
      <c r="K9" s="99"/>
      <c r="L9" s="99"/>
      <c r="M9" s="99"/>
      <c r="N9" s="99"/>
      <c r="O9" s="99"/>
      <c r="P9" s="99"/>
      <c r="Q9" s="116"/>
      <c r="R9" s="123"/>
      <c r="S9" s="101"/>
      <c r="T9" s="101"/>
      <c r="U9" s="124"/>
      <c r="V9" s="150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51"/>
      <c r="AT9" s="123"/>
      <c r="AU9" s="101"/>
      <c r="AV9" s="101"/>
      <c r="AW9" s="101"/>
      <c r="AX9" s="101"/>
      <c r="AY9" s="101"/>
      <c r="AZ9" s="101"/>
      <c r="BA9" s="101"/>
      <c r="BB9" s="101"/>
      <c r="BC9" s="137"/>
    </row>
    <row r="10" spans="1:55" s="25" customFormat="1" ht="13.5" customHeight="1">
      <c r="A10" s="109"/>
      <c r="B10" s="110"/>
      <c r="C10" s="110"/>
      <c r="D10" s="110"/>
      <c r="E10" s="110"/>
      <c r="F10" s="110"/>
      <c r="G10" s="110"/>
      <c r="H10" s="110"/>
      <c r="I10" s="111"/>
      <c r="J10" s="117"/>
      <c r="K10" s="118"/>
      <c r="L10" s="118"/>
      <c r="M10" s="118"/>
      <c r="N10" s="118"/>
      <c r="O10" s="118"/>
      <c r="P10" s="118"/>
      <c r="Q10" s="119"/>
      <c r="R10" s="125"/>
      <c r="S10" s="126"/>
      <c r="T10" s="126"/>
      <c r="U10" s="127"/>
      <c r="V10" s="157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9"/>
      <c r="AT10" s="125"/>
      <c r="AU10" s="126"/>
      <c r="AV10" s="126"/>
      <c r="AW10" s="126"/>
      <c r="AX10" s="126"/>
      <c r="AY10" s="126"/>
      <c r="AZ10" s="126"/>
      <c r="BA10" s="126"/>
      <c r="BB10" s="126"/>
      <c r="BC10" s="138"/>
    </row>
    <row r="11" spans="1:55" s="25" customFormat="1" ht="13.5" customHeight="1">
      <c r="A11" s="104">
        <v>1.1000000000000001</v>
      </c>
      <c r="B11" s="105"/>
      <c r="C11" s="105"/>
      <c r="D11" s="105"/>
      <c r="E11" s="105"/>
      <c r="F11" s="105"/>
      <c r="G11" s="105"/>
      <c r="H11" s="105"/>
      <c r="I11" s="106"/>
      <c r="J11" s="112">
        <v>43770</v>
      </c>
      <c r="K11" s="113"/>
      <c r="L11" s="113"/>
      <c r="M11" s="113"/>
      <c r="N11" s="113"/>
      <c r="O11" s="113"/>
      <c r="P11" s="113"/>
      <c r="Q11" s="114"/>
      <c r="R11" s="120" t="s">
        <v>87</v>
      </c>
      <c r="S11" s="121"/>
      <c r="T11" s="121"/>
      <c r="U11" s="122"/>
      <c r="V11" s="128" t="s">
        <v>88</v>
      </c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9"/>
      <c r="AT11" s="120" t="s">
        <v>43</v>
      </c>
      <c r="AU11" s="121"/>
      <c r="AV11" s="121"/>
      <c r="AW11" s="121"/>
      <c r="AX11" s="121"/>
      <c r="AY11" s="121"/>
      <c r="AZ11" s="121"/>
      <c r="BA11" s="121"/>
      <c r="BB11" s="121"/>
      <c r="BC11" s="136"/>
    </row>
    <row r="12" spans="1:55" s="25" customFormat="1" ht="13.5" customHeight="1">
      <c r="A12" s="107"/>
      <c r="B12" s="97"/>
      <c r="C12" s="97"/>
      <c r="D12" s="97"/>
      <c r="E12" s="97"/>
      <c r="F12" s="97"/>
      <c r="G12" s="97"/>
      <c r="H12" s="97"/>
      <c r="I12" s="108"/>
      <c r="J12" s="115"/>
      <c r="K12" s="99"/>
      <c r="L12" s="99"/>
      <c r="M12" s="99"/>
      <c r="N12" s="99"/>
      <c r="O12" s="99"/>
      <c r="P12" s="99"/>
      <c r="Q12" s="116"/>
      <c r="R12" s="123"/>
      <c r="S12" s="101"/>
      <c r="T12" s="101"/>
      <c r="U12" s="124"/>
      <c r="V12" s="150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51"/>
      <c r="AT12" s="123"/>
      <c r="AU12" s="101"/>
      <c r="AV12" s="101"/>
      <c r="AW12" s="101"/>
      <c r="AX12" s="101"/>
      <c r="AY12" s="101"/>
      <c r="AZ12" s="101"/>
      <c r="BA12" s="101"/>
      <c r="BB12" s="101"/>
      <c r="BC12" s="137"/>
    </row>
    <row r="13" spans="1:55" s="25" customFormat="1" ht="13.5" customHeight="1">
      <c r="A13" s="109"/>
      <c r="B13" s="110"/>
      <c r="C13" s="110"/>
      <c r="D13" s="110"/>
      <c r="E13" s="110"/>
      <c r="F13" s="110"/>
      <c r="G13" s="110"/>
      <c r="H13" s="110"/>
      <c r="I13" s="111"/>
      <c r="J13" s="117"/>
      <c r="K13" s="118"/>
      <c r="L13" s="118"/>
      <c r="M13" s="118"/>
      <c r="N13" s="118"/>
      <c r="O13" s="118"/>
      <c r="P13" s="118"/>
      <c r="Q13" s="119"/>
      <c r="R13" s="125"/>
      <c r="S13" s="126"/>
      <c r="T13" s="126"/>
      <c r="U13" s="127"/>
      <c r="V13" s="157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9"/>
      <c r="AT13" s="125"/>
      <c r="AU13" s="126"/>
      <c r="AV13" s="126"/>
      <c r="AW13" s="126"/>
      <c r="AX13" s="126"/>
      <c r="AY13" s="126"/>
      <c r="AZ13" s="126"/>
      <c r="BA13" s="126"/>
      <c r="BB13" s="126"/>
      <c r="BC13" s="138"/>
    </row>
    <row r="14" spans="1:55" s="25" customFormat="1" ht="13.5" customHeight="1">
      <c r="A14" s="104">
        <v>1.2</v>
      </c>
      <c r="B14" s="105"/>
      <c r="C14" s="105"/>
      <c r="D14" s="105"/>
      <c r="E14" s="105"/>
      <c r="F14" s="105"/>
      <c r="G14" s="105"/>
      <c r="H14" s="105"/>
      <c r="I14" s="106"/>
      <c r="J14" s="112">
        <v>43776</v>
      </c>
      <c r="K14" s="113"/>
      <c r="L14" s="113"/>
      <c r="M14" s="113"/>
      <c r="N14" s="113"/>
      <c r="O14" s="113"/>
      <c r="P14" s="113"/>
      <c r="Q14" s="114"/>
      <c r="R14" s="120" t="s">
        <v>87</v>
      </c>
      <c r="S14" s="121"/>
      <c r="T14" s="121"/>
      <c r="U14" s="122"/>
      <c r="V14" s="128" t="s">
        <v>99</v>
      </c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9"/>
      <c r="AT14" s="120" t="s">
        <v>43</v>
      </c>
      <c r="AU14" s="121"/>
      <c r="AV14" s="121"/>
      <c r="AW14" s="121"/>
      <c r="AX14" s="121"/>
      <c r="AY14" s="121"/>
      <c r="AZ14" s="121"/>
      <c r="BA14" s="121"/>
      <c r="BB14" s="121"/>
      <c r="BC14" s="136"/>
    </row>
    <row r="15" spans="1:55" s="25" customFormat="1" ht="13.5" customHeight="1">
      <c r="A15" s="107"/>
      <c r="B15" s="97"/>
      <c r="C15" s="97"/>
      <c r="D15" s="97"/>
      <c r="E15" s="97"/>
      <c r="F15" s="97"/>
      <c r="G15" s="97"/>
      <c r="H15" s="97"/>
      <c r="I15" s="108"/>
      <c r="J15" s="115"/>
      <c r="K15" s="99"/>
      <c r="L15" s="99"/>
      <c r="M15" s="99"/>
      <c r="N15" s="99"/>
      <c r="O15" s="99"/>
      <c r="P15" s="99"/>
      <c r="Q15" s="116"/>
      <c r="R15" s="123"/>
      <c r="S15" s="101"/>
      <c r="T15" s="101"/>
      <c r="U15" s="124"/>
      <c r="V15" s="150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51"/>
      <c r="AT15" s="123"/>
      <c r="AU15" s="101"/>
      <c r="AV15" s="101"/>
      <c r="AW15" s="101"/>
      <c r="AX15" s="101"/>
      <c r="AY15" s="101"/>
      <c r="AZ15" s="101"/>
      <c r="BA15" s="101"/>
      <c r="BB15" s="101"/>
      <c r="BC15" s="137"/>
    </row>
    <row r="16" spans="1:55" s="25" customFormat="1" ht="13.5" customHeight="1">
      <c r="A16" s="109"/>
      <c r="B16" s="110"/>
      <c r="C16" s="110"/>
      <c r="D16" s="110"/>
      <c r="E16" s="110"/>
      <c r="F16" s="110"/>
      <c r="G16" s="110"/>
      <c r="H16" s="110"/>
      <c r="I16" s="111"/>
      <c r="J16" s="117"/>
      <c r="K16" s="118"/>
      <c r="L16" s="118"/>
      <c r="M16" s="118"/>
      <c r="N16" s="118"/>
      <c r="O16" s="118"/>
      <c r="P16" s="118"/>
      <c r="Q16" s="119"/>
      <c r="R16" s="125"/>
      <c r="S16" s="126"/>
      <c r="T16" s="126"/>
      <c r="U16" s="127"/>
      <c r="V16" s="157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9"/>
      <c r="AT16" s="125"/>
      <c r="AU16" s="126"/>
      <c r="AV16" s="126"/>
      <c r="AW16" s="126"/>
      <c r="AX16" s="126"/>
      <c r="AY16" s="126"/>
      <c r="AZ16" s="126"/>
      <c r="BA16" s="126"/>
      <c r="BB16" s="126"/>
      <c r="BC16" s="138"/>
    </row>
    <row r="17" spans="1:55" s="25" customFormat="1" ht="13.5" customHeight="1">
      <c r="A17" s="104">
        <v>1.3</v>
      </c>
      <c r="B17" s="105"/>
      <c r="C17" s="105"/>
      <c r="D17" s="105"/>
      <c r="E17" s="105"/>
      <c r="F17" s="105"/>
      <c r="G17" s="105"/>
      <c r="H17" s="105"/>
      <c r="I17" s="106"/>
      <c r="J17" s="112">
        <v>43783</v>
      </c>
      <c r="K17" s="113"/>
      <c r="L17" s="113"/>
      <c r="M17" s="113"/>
      <c r="N17" s="113"/>
      <c r="O17" s="113"/>
      <c r="P17" s="113"/>
      <c r="Q17" s="114"/>
      <c r="R17" s="120" t="s">
        <v>87</v>
      </c>
      <c r="S17" s="121"/>
      <c r="T17" s="121"/>
      <c r="U17" s="122"/>
      <c r="V17" s="128" t="s">
        <v>104</v>
      </c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9"/>
      <c r="AT17" s="120" t="s">
        <v>43</v>
      </c>
      <c r="AU17" s="121"/>
      <c r="AV17" s="121"/>
      <c r="AW17" s="121"/>
      <c r="AX17" s="121"/>
      <c r="AY17" s="121"/>
      <c r="AZ17" s="121"/>
      <c r="BA17" s="121"/>
      <c r="BB17" s="121"/>
      <c r="BC17" s="136"/>
    </row>
    <row r="18" spans="1:55" s="25" customFormat="1" ht="13.5" customHeight="1">
      <c r="A18" s="107"/>
      <c r="B18" s="97"/>
      <c r="C18" s="97"/>
      <c r="D18" s="97"/>
      <c r="E18" s="97"/>
      <c r="F18" s="97"/>
      <c r="G18" s="97"/>
      <c r="H18" s="97"/>
      <c r="I18" s="108"/>
      <c r="J18" s="115"/>
      <c r="K18" s="99"/>
      <c r="L18" s="99"/>
      <c r="M18" s="99"/>
      <c r="N18" s="99"/>
      <c r="O18" s="99"/>
      <c r="P18" s="99"/>
      <c r="Q18" s="116"/>
      <c r="R18" s="123"/>
      <c r="S18" s="101"/>
      <c r="T18" s="101"/>
      <c r="U18" s="124"/>
      <c r="V18" s="150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51"/>
      <c r="AT18" s="123"/>
      <c r="AU18" s="101"/>
      <c r="AV18" s="101"/>
      <c r="AW18" s="101"/>
      <c r="AX18" s="101"/>
      <c r="AY18" s="101"/>
      <c r="AZ18" s="101"/>
      <c r="BA18" s="101"/>
      <c r="BB18" s="101"/>
      <c r="BC18" s="137"/>
    </row>
    <row r="19" spans="1:55" s="25" customFormat="1" ht="13.5" customHeight="1">
      <c r="A19" s="109"/>
      <c r="B19" s="110"/>
      <c r="C19" s="110"/>
      <c r="D19" s="110"/>
      <c r="E19" s="110"/>
      <c r="F19" s="110"/>
      <c r="G19" s="110"/>
      <c r="H19" s="110"/>
      <c r="I19" s="111"/>
      <c r="J19" s="117"/>
      <c r="K19" s="118"/>
      <c r="L19" s="118"/>
      <c r="M19" s="118"/>
      <c r="N19" s="118"/>
      <c r="O19" s="118"/>
      <c r="P19" s="118"/>
      <c r="Q19" s="119"/>
      <c r="R19" s="125"/>
      <c r="S19" s="126"/>
      <c r="T19" s="126"/>
      <c r="U19" s="127"/>
      <c r="V19" s="157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9"/>
      <c r="AT19" s="125"/>
      <c r="AU19" s="126"/>
      <c r="AV19" s="126"/>
      <c r="AW19" s="126"/>
      <c r="AX19" s="126"/>
      <c r="AY19" s="126"/>
      <c r="AZ19" s="126"/>
      <c r="BA19" s="126"/>
      <c r="BB19" s="126"/>
      <c r="BC19" s="138"/>
    </row>
    <row r="20" spans="1:55" s="25" customFormat="1" ht="13.5" customHeight="1">
      <c r="A20" s="104"/>
      <c r="B20" s="105"/>
      <c r="C20" s="105"/>
      <c r="D20" s="105"/>
      <c r="E20" s="105"/>
      <c r="F20" s="105"/>
      <c r="G20" s="105"/>
      <c r="H20" s="105"/>
      <c r="I20" s="106"/>
      <c r="J20" s="112"/>
      <c r="K20" s="113"/>
      <c r="L20" s="113"/>
      <c r="M20" s="113"/>
      <c r="N20" s="113"/>
      <c r="O20" s="113"/>
      <c r="P20" s="113"/>
      <c r="Q20" s="114"/>
      <c r="R20" s="156"/>
      <c r="S20" s="121"/>
      <c r="T20" s="121"/>
      <c r="U20" s="122"/>
      <c r="V20" s="12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9"/>
      <c r="AT20" s="120"/>
      <c r="AU20" s="121"/>
      <c r="AV20" s="121"/>
      <c r="AW20" s="121"/>
      <c r="AX20" s="121"/>
      <c r="AY20" s="121"/>
      <c r="AZ20" s="121"/>
      <c r="BA20" s="121"/>
      <c r="BB20" s="121"/>
      <c r="BC20" s="136"/>
    </row>
    <row r="21" spans="1:55" s="25" customFormat="1" ht="13.5" customHeight="1">
      <c r="A21" s="107"/>
      <c r="B21" s="97"/>
      <c r="C21" s="97"/>
      <c r="D21" s="97"/>
      <c r="E21" s="97"/>
      <c r="F21" s="97"/>
      <c r="G21" s="97"/>
      <c r="H21" s="97"/>
      <c r="I21" s="108"/>
      <c r="J21" s="115"/>
      <c r="K21" s="99"/>
      <c r="L21" s="99"/>
      <c r="M21" s="99"/>
      <c r="N21" s="99"/>
      <c r="O21" s="99"/>
      <c r="P21" s="99"/>
      <c r="Q21" s="116"/>
      <c r="R21" s="123"/>
      <c r="S21" s="101"/>
      <c r="T21" s="101"/>
      <c r="U21" s="124"/>
      <c r="V21" s="150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51"/>
      <c r="AT21" s="123"/>
      <c r="AU21" s="101"/>
      <c r="AV21" s="101"/>
      <c r="AW21" s="101"/>
      <c r="AX21" s="101"/>
      <c r="AY21" s="101"/>
      <c r="AZ21" s="101"/>
      <c r="BA21" s="101"/>
      <c r="BB21" s="101"/>
      <c r="BC21" s="137"/>
    </row>
    <row r="22" spans="1:55" s="25" customFormat="1" ht="13.5" customHeight="1">
      <c r="A22" s="109"/>
      <c r="B22" s="110"/>
      <c r="C22" s="110"/>
      <c r="D22" s="110"/>
      <c r="E22" s="110"/>
      <c r="F22" s="110"/>
      <c r="G22" s="110"/>
      <c r="H22" s="110"/>
      <c r="I22" s="111"/>
      <c r="J22" s="117"/>
      <c r="K22" s="118"/>
      <c r="L22" s="118"/>
      <c r="M22" s="118"/>
      <c r="N22" s="118"/>
      <c r="O22" s="118"/>
      <c r="P22" s="118"/>
      <c r="Q22" s="119"/>
      <c r="R22" s="125"/>
      <c r="S22" s="126"/>
      <c r="T22" s="126"/>
      <c r="U22" s="127"/>
      <c r="V22" s="157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9"/>
      <c r="AT22" s="125"/>
      <c r="AU22" s="126"/>
      <c r="AV22" s="126"/>
      <c r="AW22" s="126"/>
      <c r="AX22" s="126"/>
      <c r="AY22" s="126"/>
      <c r="AZ22" s="126"/>
      <c r="BA22" s="126"/>
      <c r="BB22" s="126"/>
      <c r="BC22" s="138"/>
    </row>
    <row r="23" spans="1:55" s="25" customFormat="1" ht="13.5" customHeight="1">
      <c r="A23" s="104"/>
      <c r="B23" s="105"/>
      <c r="C23" s="105"/>
      <c r="D23" s="105"/>
      <c r="E23" s="105"/>
      <c r="F23" s="105"/>
      <c r="G23" s="105"/>
      <c r="H23" s="105"/>
      <c r="I23" s="106"/>
      <c r="J23" s="112"/>
      <c r="K23" s="113"/>
      <c r="L23" s="113"/>
      <c r="M23" s="113"/>
      <c r="N23" s="113"/>
      <c r="O23" s="113"/>
      <c r="P23" s="113"/>
      <c r="Q23" s="114"/>
      <c r="R23" s="156"/>
      <c r="S23" s="121"/>
      <c r="T23" s="121"/>
      <c r="U23" s="122"/>
      <c r="V23" s="12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9"/>
      <c r="AT23" s="120"/>
      <c r="AU23" s="121"/>
      <c r="AV23" s="121"/>
      <c r="AW23" s="121"/>
      <c r="AX23" s="121"/>
      <c r="AY23" s="121"/>
      <c r="AZ23" s="121"/>
      <c r="BA23" s="121"/>
      <c r="BB23" s="121"/>
      <c r="BC23" s="136"/>
    </row>
    <row r="24" spans="1:55" s="25" customFormat="1" ht="13.5" customHeight="1">
      <c r="A24" s="107"/>
      <c r="B24" s="97"/>
      <c r="C24" s="97"/>
      <c r="D24" s="97"/>
      <c r="E24" s="97"/>
      <c r="F24" s="97"/>
      <c r="G24" s="97"/>
      <c r="H24" s="97"/>
      <c r="I24" s="108"/>
      <c r="J24" s="115"/>
      <c r="K24" s="99"/>
      <c r="L24" s="99"/>
      <c r="M24" s="99"/>
      <c r="N24" s="99"/>
      <c r="O24" s="99"/>
      <c r="P24" s="99"/>
      <c r="Q24" s="116"/>
      <c r="R24" s="123"/>
      <c r="S24" s="101"/>
      <c r="T24" s="101"/>
      <c r="U24" s="124"/>
      <c r="V24" s="150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51"/>
      <c r="AT24" s="123"/>
      <c r="AU24" s="101"/>
      <c r="AV24" s="101"/>
      <c r="AW24" s="101"/>
      <c r="AX24" s="101"/>
      <c r="AY24" s="101"/>
      <c r="AZ24" s="101"/>
      <c r="BA24" s="101"/>
      <c r="BB24" s="101"/>
      <c r="BC24" s="137"/>
    </row>
    <row r="25" spans="1:55" s="25" customFormat="1" ht="13.5" customHeight="1">
      <c r="A25" s="109"/>
      <c r="B25" s="110"/>
      <c r="C25" s="110"/>
      <c r="D25" s="110"/>
      <c r="E25" s="110"/>
      <c r="F25" s="110"/>
      <c r="G25" s="110"/>
      <c r="H25" s="110"/>
      <c r="I25" s="111"/>
      <c r="J25" s="117"/>
      <c r="K25" s="118"/>
      <c r="L25" s="118"/>
      <c r="M25" s="118"/>
      <c r="N25" s="118"/>
      <c r="O25" s="118"/>
      <c r="P25" s="118"/>
      <c r="Q25" s="119"/>
      <c r="R25" s="125"/>
      <c r="S25" s="126"/>
      <c r="T25" s="126"/>
      <c r="U25" s="127"/>
      <c r="V25" s="157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9"/>
      <c r="AT25" s="125"/>
      <c r="AU25" s="126"/>
      <c r="AV25" s="126"/>
      <c r="AW25" s="126"/>
      <c r="AX25" s="126"/>
      <c r="AY25" s="126"/>
      <c r="AZ25" s="126"/>
      <c r="BA25" s="126"/>
      <c r="BB25" s="126"/>
      <c r="BC25" s="138"/>
    </row>
    <row r="26" spans="1:55" s="25" customFormat="1" ht="13.5" customHeight="1">
      <c r="A26" s="104"/>
      <c r="B26" s="105"/>
      <c r="C26" s="105"/>
      <c r="D26" s="105"/>
      <c r="E26" s="105"/>
      <c r="F26" s="105"/>
      <c r="G26" s="105"/>
      <c r="H26" s="105"/>
      <c r="I26" s="106"/>
      <c r="J26" s="112"/>
      <c r="K26" s="113"/>
      <c r="L26" s="113"/>
      <c r="M26" s="113"/>
      <c r="N26" s="113"/>
      <c r="O26" s="113"/>
      <c r="P26" s="113"/>
      <c r="Q26" s="114"/>
      <c r="R26" s="120"/>
      <c r="S26" s="121"/>
      <c r="T26" s="121"/>
      <c r="U26" s="122"/>
      <c r="V26" s="128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30"/>
      <c r="AT26" s="120"/>
      <c r="AU26" s="121"/>
      <c r="AV26" s="121"/>
      <c r="AW26" s="121"/>
      <c r="AX26" s="121"/>
      <c r="AY26" s="121"/>
      <c r="AZ26" s="121"/>
      <c r="BA26" s="121"/>
      <c r="BB26" s="121"/>
      <c r="BC26" s="136"/>
    </row>
    <row r="27" spans="1:55" s="25" customFormat="1" ht="13.5" customHeight="1">
      <c r="A27" s="107"/>
      <c r="B27" s="97"/>
      <c r="C27" s="97"/>
      <c r="D27" s="97"/>
      <c r="E27" s="97"/>
      <c r="F27" s="97"/>
      <c r="G27" s="97"/>
      <c r="H27" s="97"/>
      <c r="I27" s="108"/>
      <c r="J27" s="115"/>
      <c r="K27" s="99"/>
      <c r="L27" s="99"/>
      <c r="M27" s="99"/>
      <c r="N27" s="99"/>
      <c r="O27" s="99"/>
      <c r="P27" s="99"/>
      <c r="Q27" s="116"/>
      <c r="R27" s="123"/>
      <c r="S27" s="101"/>
      <c r="T27" s="101"/>
      <c r="U27" s="124"/>
      <c r="V27" s="131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32"/>
      <c r="AT27" s="123"/>
      <c r="AU27" s="101"/>
      <c r="AV27" s="101"/>
      <c r="AW27" s="101"/>
      <c r="AX27" s="101"/>
      <c r="AY27" s="101"/>
      <c r="AZ27" s="101"/>
      <c r="BA27" s="101"/>
      <c r="BB27" s="101"/>
      <c r="BC27" s="137"/>
    </row>
    <row r="28" spans="1:55" s="25" customFormat="1" ht="13.5" customHeight="1">
      <c r="A28" s="109"/>
      <c r="B28" s="110"/>
      <c r="C28" s="110"/>
      <c r="D28" s="110"/>
      <c r="E28" s="110"/>
      <c r="F28" s="110"/>
      <c r="G28" s="110"/>
      <c r="H28" s="110"/>
      <c r="I28" s="111"/>
      <c r="J28" s="117"/>
      <c r="K28" s="118"/>
      <c r="L28" s="118"/>
      <c r="M28" s="118"/>
      <c r="N28" s="118"/>
      <c r="O28" s="118"/>
      <c r="P28" s="118"/>
      <c r="Q28" s="119"/>
      <c r="R28" s="125"/>
      <c r="S28" s="126"/>
      <c r="T28" s="126"/>
      <c r="U28" s="127"/>
      <c r="V28" s="133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5"/>
      <c r="AT28" s="125"/>
      <c r="AU28" s="126"/>
      <c r="AV28" s="126"/>
      <c r="AW28" s="126"/>
      <c r="AX28" s="126"/>
      <c r="AY28" s="126"/>
      <c r="AZ28" s="126"/>
      <c r="BA28" s="126"/>
      <c r="BB28" s="126"/>
      <c r="BC28" s="138"/>
    </row>
    <row r="29" spans="1:55" s="25" customFormat="1" ht="13.5" customHeight="1">
      <c r="A29" s="104"/>
      <c r="B29" s="105"/>
      <c r="C29" s="105"/>
      <c r="D29" s="105"/>
      <c r="E29" s="105"/>
      <c r="F29" s="105"/>
      <c r="G29" s="105"/>
      <c r="H29" s="105"/>
      <c r="I29" s="106"/>
      <c r="J29" s="112"/>
      <c r="K29" s="113"/>
      <c r="L29" s="113"/>
      <c r="M29" s="113"/>
      <c r="N29" s="113"/>
      <c r="O29" s="113"/>
      <c r="P29" s="113"/>
      <c r="Q29" s="114"/>
      <c r="R29" s="120"/>
      <c r="S29" s="121"/>
      <c r="T29" s="121"/>
      <c r="U29" s="122"/>
      <c r="V29" s="12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9"/>
      <c r="AT29" s="120"/>
      <c r="AU29" s="121"/>
      <c r="AV29" s="121"/>
      <c r="AW29" s="121"/>
      <c r="AX29" s="121"/>
      <c r="AY29" s="121"/>
      <c r="AZ29" s="121"/>
      <c r="BA29" s="121"/>
      <c r="BB29" s="121"/>
      <c r="BC29" s="136"/>
    </row>
    <row r="30" spans="1:55" s="25" customFormat="1" ht="13.5" customHeight="1">
      <c r="A30" s="107"/>
      <c r="B30" s="97"/>
      <c r="C30" s="97"/>
      <c r="D30" s="97"/>
      <c r="E30" s="97"/>
      <c r="F30" s="97"/>
      <c r="G30" s="97"/>
      <c r="H30" s="97"/>
      <c r="I30" s="108"/>
      <c r="J30" s="115"/>
      <c r="K30" s="99"/>
      <c r="L30" s="99"/>
      <c r="M30" s="99"/>
      <c r="N30" s="99"/>
      <c r="O30" s="99"/>
      <c r="P30" s="99"/>
      <c r="Q30" s="116"/>
      <c r="R30" s="123"/>
      <c r="S30" s="101"/>
      <c r="T30" s="101"/>
      <c r="U30" s="124"/>
      <c r="V30" s="150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51"/>
      <c r="AT30" s="123"/>
      <c r="AU30" s="101"/>
      <c r="AV30" s="101"/>
      <c r="AW30" s="101"/>
      <c r="AX30" s="101"/>
      <c r="AY30" s="101"/>
      <c r="AZ30" s="101"/>
      <c r="BA30" s="101"/>
      <c r="BB30" s="101"/>
      <c r="BC30" s="137"/>
    </row>
    <row r="31" spans="1:55" s="25" customFormat="1" ht="13.5" customHeight="1" thickBot="1">
      <c r="A31" s="139"/>
      <c r="B31" s="140"/>
      <c r="C31" s="140"/>
      <c r="D31" s="140"/>
      <c r="E31" s="140"/>
      <c r="F31" s="140"/>
      <c r="G31" s="140"/>
      <c r="H31" s="140"/>
      <c r="I31" s="141"/>
      <c r="J31" s="142"/>
      <c r="K31" s="143"/>
      <c r="L31" s="143"/>
      <c r="M31" s="143"/>
      <c r="N31" s="143"/>
      <c r="O31" s="143"/>
      <c r="P31" s="143"/>
      <c r="Q31" s="144"/>
      <c r="R31" s="145"/>
      <c r="S31" s="146"/>
      <c r="T31" s="146"/>
      <c r="U31" s="147"/>
      <c r="V31" s="152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4"/>
      <c r="AT31" s="145"/>
      <c r="AU31" s="146"/>
      <c r="AV31" s="146"/>
      <c r="AW31" s="146"/>
      <c r="AX31" s="146"/>
      <c r="AY31" s="146"/>
      <c r="AZ31" s="146"/>
      <c r="BA31" s="146"/>
      <c r="BB31" s="146"/>
      <c r="BC31" s="155"/>
    </row>
    <row r="32" spans="1:55" s="25" customFormat="1" ht="13.5" customHeight="1">
      <c r="A32" s="96"/>
      <c r="B32" s="97"/>
      <c r="C32" s="97"/>
      <c r="D32" s="97"/>
      <c r="E32" s="97"/>
      <c r="F32" s="97"/>
      <c r="G32" s="97"/>
      <c r="H32" s="97"/>
      <c r="I32" s="97"/>
      <c r="J32" s="98"/>
      <c r="K32" s="99"/>
      <c r="L32" s="99"/>
      <c r="M32" s="99"/>
      <c r="N32" s="99"/>
      <c r="O32" s="99"/>
      <c r="P32" s="99"/>
      <c r="Q32" s="99"/>
      <c r="R32" s="100"/>
      <c r="S32" s="101"/>
      <c r="T32" s="101"/>
      <c r="U32" s="101"/>
      <c r="V32" s="102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0"/>
      <c r="AU32" s="101"/>
      <c r="AV32" s="101"/>
      <c r="AW32" s="101"/>
      <c r="AX32" s="101"/>
      <c r="AY32" s="101"/>
      <c r="AZ32" s="101"/>
      <c r="BA32" s="101"/>
      <c r="BB32" s="101"/>
      <c r="BC32" s="101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32:I32"/>
    <mergeCell ref="J32:Q32"/>
    <mergeCell ref="R32:U32"/>
    <mergeCell ref="V32:AS32"/>
    <mergeCell ref="AT32:BC32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22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9" customWidth="1"/>
    <col min="2" max="27" width="2.625" style="39"/>
    <col min="28" max="28" width="2.625" style="39" customWidth="1"/>
    <col min="29" max="41" width="2.625" style="39"/>
    <col min="42" max="43" width="2.625" style="39" customWidth="1"/>
    <col min="44" max="51" width="2.625" style="39"/>
    <col min="52" max="53" width="2.625" style="39" customWidth="1"/>
    <col min="54" max="54" width="2.75" style="39" customWidth="1"/>
    <col min="55" max="55" width="2.375" style="39" customWidth="1"/>
    <col min="56" max="56" width="3.125" style="39" hidden="1" customWidth="1"/>
    <col min="57" max="58" width="2.625" style="39" hidden="1" customWidth="1"/>
    <col min="59" max="16384" width="2.625" style="39"/>
  </cols>
  <sheetData>
    <row r="1" spans="1:55" ht="13.5" customHeight="1">
      <c r="A1" s="209" t="s">
        <v>0</v>
      </c>
      <c r="B1" s="178"/>
      <c r="C1" s="178"/>
      <c r="D1" s="178"/>
      <c r="E1" s="178"/>
      <c r="F1" s="179"/>
      <c r="G1" s="179"/>
      <c r="H1" s="179"/>
      <c r="I1" s="210"/>
      <c r="J1" s="211" t="s">
        <v>1</v>
      </c>
      <c r="K1" s="178"/>
      <c r="L1" s="178"/>
      <c r="M1" s="178"/>
      <c r="N1" s="178"/>
      <c r="O1" s="179"/>
      <c r="P1" s="179"/>
      <c r="Q1" s="179"/>
      <c r="R1" s="212" t="str">
        <f>表紙!S12</f>
        <v>画面レイアウト設計書</v>
      </c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4"/>
      <c r="AJ1" s="215" t="s">
        <v>2</v>
      </c>
      <c r="AK1" s="216"/>
      <c r="AL1" s="216"/>
      <c r="AM1" s="216"/>
      <c r="AN1" s="216"/>
      <c r="AO1" s="217" t="s">
        <v>3</v>
      </c>
      <c r="AP1" s="216"/>
      <c r="AQ1" s="216"/>
      <c r="AR1" s="216"/>
      <c r="AS1" s="216"/>
      <c r="AT1" s="217" t="s">
        <v>4</v>
      </c>
      <c r="AU1" s="216"/>
      <c r="AV1" s="216"/>
      <c r="AW1" s="216"/>
      <c r="AX1" s="216"/>
      <c r="AY1" s="178" t="s">
        <v>5</v>
      </c>
      <c r="AZ1" s="179"/>
      <c r="BA1" s="179"/>
      <c r="BB1" s="179"/>
      <c r="BC1" s="180"/>
    </row>
    <row r="2" spans="1:55" ht="13.5" customHeight="1">
      <c r="A2" s="305" t="str">
        <f>表紙!O10</f>
        <v>13期12月対応</v>
      </c>
      <c r="B2" s="182"/>
      <c r="C2" s="182"/>
      <c r="D2" s="182"/>
      <c r="E2" s="182"/>
      <c r="F2" s="183"/>
      <c r="G2" s="183"/>
      <c r="H2" s="183"/>
      <c r="I2" s="184"/>
      <c r="J2" s="189" t="str">
        <f>表紙!O9</f>
        <v>LMS学習管理システム</v>
      </c>
      <c r="K2" s="182"/>
      <c r="L2" s="182"/>
      <c r="M2" s="182"/>
      <c r="N2" s="182"/>
      <c r="O2" s="183"/>
      <c r="P2" s="183"/>
      <c r="Q2" s="190"/>
      <c r="R2" s="193" t="str">
        <f ca="1">RIGHT(CELL("filename",A1),LEN(CELL("filename",A1))-FIND("]",CELL("filename",A1)))</f>
        <v>請求情報出力画面（管理者権限）</v>
      </c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5"/>
      <c r="AJ2" s="306" t="s">
        <v>43</v>
      </c>
      <c r="AK2" s="200"/>
      <c r="AL2" s="200"/>
      <c r="AM2" s="200"/>
      <c r="AN2" s="200"/>
      <c r="AO2" s="203">
        <v>43766</v>
      </c>
      <c r="AP2" s="200"/>
      <c r="AQ2" s="307"/>
      <c r="AR2" s="200"/>
      <c r="AS2" s="200"/>
      <c r="AT2" s="306" t="s">
        <v>43</v>
      </c>
      <c r="AU2" s="200"/>
      <c r="AV2" s="307"/>
      <c r="AW2" s="200"/>
      <c r="AX2" s="200"/>
      <c r="AY2" s="204">
        <v>43783</v>
      </c>
      <c r="AZ2" s="205"/>
      <c r="BA2" s="205"/>
      <c r="BB2" s="308"/>
      <c r="BC2" s="206"/>
    </row>
    <row r="3" spans="1:55" ht="13.5" customHeight="1" thickBot="1">
      <c r="A3" s="185"/>
      <c r="B3" s="186"/>
      <c r="C3" s="186"/>
      <c r="D3" s="186"/>
      <c r="E3" s="186"/>
      <c r="F3" s="187"/>
      <c r="G3" s="187"/>
      <c r="H3" s="187"/>
      <c r="I3" s="188"/>
      <c r="J3" s="191"/>
      <c r="K3" s="186"/>
      <c r="L3" s="186"/>
      <c r="M3" s="186"/>
      <c r="N3" s="186"/>
      <c r="O3" s="187"/>
      <c r="P3" s="187"/>
      <c r="Q3" s="192"/>
      <c r="R3" s="196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8"/>
      <c r="AJ3" s="201"/>
      <c r="AK3" s="202"/>
      <c r="AL3" s="202"/>
      <c r="AM3" s="202"/>
      <c r="AN3" s="202"/>
      <c r="AO3" s="202"/>
      <c r="AP3" s="202"/>
      <c r="AQ3" s="202"/>
      <c r="AR3" s="202"/>
      <c r="AS3" s="202"/>
      <c r="AT3" s="201"/>
      <c r="AU3" s="202"/>
      <c r="AV3" s="202"/>
      <c r="AW3" s="202"/>
      <c r="AX3" s="202"/>
      <c r="AY3" s="207"/>
      <c r="AZ3" s="207"/>
      <c r="BA3" s="207"/>
      <c r="BB3" s="207"/>
      <c r="BC3" s="208"/>
    </row>
    <row r="4" spans="1:55" ht="13.5" customHeight="1"/>
    <row r="5" spans="1:55" ht="13.5" customHeight="1">
      <c r="A5" s="33"/>
      <c r="B5" s="29" t="s">
        <v>20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13.5" customHeight="1">
      <c r="A6" s="33"/>
      <c r="B6" s="40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2"/>
      <c r="AA6" s="40"/>
      <c r="AB6" s="40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33"/>
    </row>
    <row r="7" spans="1:55" ht="13.5" customHeight="1">
      <c r="A7" s="33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33"/>
    </row>
    <row r="8" spans="1:55" ht="13.5" customHeight="1">
      <c r="A8" s="33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33"/>
    </row>
    <row r="9" spans="1:55" ht="13.5" customHeight="1">
      <c r="A9" s="33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33"/>
    </row>
    <row r="10" spans="1:55" ht="13.5" customHeight="1">
      <c r="A10" s="33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33"/>
    </row>
    <row r="11" spans="1:55" ht="13.5" customHeight="1">
      <c r="A11" s="33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33"/>
    </row>
    <row r="12" spans="1:55" ht="13.5" customHeight="1">
      <c r="A12" s="33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33"/>
    </row>
    <row r="13" spans="1:55" ht="13.5" customHeight="1">
      <c r="A13" s="33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33"/>
    </row>
    <row r="14" spans="1:55" ht="13.5" customHeight="1">
      <c r="A14" s="33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33"/>
    </row>
    <row r="15" spans="1:55" ht="13.5" customHeight="1">
      <c r="A15" s="33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33"/>
    </row>
    <row r="16" spans="1:55" ht="13.5" customHeight="1">
      <c r="A16" s="33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33"/>
    </row>
    <row r="17" spans="1:55" ht="13.5" customHeight="1">
      <c r="A17" s="33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33"/>
    </row>
    <row r="18" spans="1:55" ht="13.5" customHeight="1">
      <c r="A18" s="33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33"/>
    </row>
    <row r="19" spans="1:55" ht="13.5" customHeight="1">
      <c r="A19" s="33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33"/>
    </row>
    <row r="20" spans="1:55" ht="13.5" customHeight="1">
      <c r="A20" s="33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33"/>
    </row>
    <row r="21" spans="1:55" ht="13.5" customHeight="1">
      <c r="A21" s="33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33"/>
    </row>
    <row r="22" spans="1:55" ht="13.5" customHeight="1">
      <c r="A22" s="33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33"/>
    </row>
    <row r="23" spans="1:55" ht="13.5" customHeight="1">
      <c r="A23" s="33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33"/>
    </row>
    <row r="24" spans="1:55" ht="13.5" customHeight="1">
      <c r="A24" s="33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33"/>
    </row>
    <row r="25" spans="1:55" ht="13.5" customHeight="1">
      <c r="A25" s="33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33"/>
    </row>
    <row r="26" spans="1:55" ht="13.5" customHeight="1">
      <c r="A26" s="33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33"/>
    </row>
    <row r="27" spans="1:55" ht="13.5" customHeight="1">
      <c r="A27" s="33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33"/>
    </row>
    <row r="28" spans="1:55" ht="13.5" customHeight="1">
      <c r="A28" s="33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33"/>
    </row>
    <row r="29" spans="1:55" ht="13.5" customHeight="1">
      <c r="A29" s="33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33"/>
    </row>
    <row r="30" spans="1:55" ht="13.5" customHeight="1">
      <c r="A30" s="33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33"/>
    </row>
    <row r="31" spans="1:55" ht="13.5" customHeight="1">
      <c r="A31" s="33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33"/>
    </row>
    <row r="32" spans="1:55" ht="13.5" customHeight="1">
      <c r="A32" s="33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33"/>
    </row>
    <row r="33" spans="1:55" ht="13.5" customHeight="1">
      <c r="A33" s="33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33"/>
    </row>
    <row r="34" spans="1:55" ht="13.5" customHeight="1">
      <c r="A34" s="33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33"/>
    </row>
    <row r="35" spans="1:55" ht="13.5" customHeight="1">
      <c r="A35" s="33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33"/>
    </row>
    <row r="36" spans="1:55" ht="13.5" customHeight="1">
      <c r="A36" s="33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33"/>
    </row>
    <row r="37" spans="1:55" ht="13.5" customHeight="1">
      <c r="A37" s="33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33"/>
    </row>
    <row r="38" spans="1:55" ht="13.5" customHeight="1">
      <c r="A38" s="33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33"/>
    </row>
    <row r="39" spans="1:55" ht="13.5" customHeight="1">
      <c r="A39" s="33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33"/>
    </row>
    <row r="40" spans="1:55" ht="13.5" customHeight="1">
      <c r="A40" s="33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33"/>
    </row>
    <row r="41" spans="1:55">
      <c r="A41" s="33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33"/>
    </row>
    <row r="42" spans="1:55">
      <c r="A42" s="33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33"/>
    </row>
    <row r="43" spans="1:55">
      <c r="A43" s="33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33"/>
    </row>
    <row r="44" spans="1:55">
      <c r="A44" s="33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3"/>
    </row>
    <row r="45" spans="1:55">
      <c r="A45" s="33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33"/>
    </row>
    <row r="46" spans="1:55">
      <c r="A46" s="33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33"/>
    </row>
    <row r="47" spans="1:55">
      <c r="A47" s="33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33"/>
    </row>
    <row r="48" spans="1:55">
      <c r="A48" s="33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33"/>
    </row>
    <row r="49" spans="1:55">
      <c r="A49" s="33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33"/>
    </row>
    <row r="50" spans="1:55">
      <c r="A50" s="33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33"/>
    </row>
    <row r="51" spans="1:55">
      <c r="A51" s="33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33"/>
    </row>
    <row r="52" spans="1:55">
      <c r="A52" s="33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33"/>
    </row>
    <row r="53" spans="1:55">
      <c r="A53" s="33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33"/>
    </row>
    <row r="54" spans="1:55">
      <c r="A54" s="33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33"/>
    </row>
    <row r="55" spans="1:55">
      <c r="A55" s="33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33"/>
    </row>
    <row r="56" spans="1:55">
      <c r="A56" s="33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33"/>
    </row>
    <row r="57" spans="1:55">
      <c r="A57" s="33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33"/>
    </row>
    <row r="58" spans="1:55">
      <c r="A58" s="33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33"/>
    </row>
    <row r="59" spans="1:55">
      <c r="A59" s="33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33"/>
    </row>
    <row r="60" spans="1:55">
      <c r="A60" s="33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33"/>
    </row>
    <row r="61" spans="1:55">
      <c r="A61" s="33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33"/>
    </row>
    <row r="62" spans="1:55">
      <c r="A62" s="33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33"/>
    </row>
    <row r="63" spans="1:55">
      <c r="A63" s="33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33"/>
    </row>
    <row r="64" spans="1:55">
      <c r="A64" s="33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33"/>
    </row>
    <row r="65" spans="1:55" ht="13.5" customHeight="1">
      <c r="A65" s="33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33"/>
    </row>
    <row r="66" spans="1:55" ht="13.5" customHeight="1">
      <c r="A66" s="33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33"/>
    </row>
    <row r="67" spans="1:5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spans="1:5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spans="1:55">
      <c r="A69" s="33"/>
      <c r="B69" s="29" t="s">
        <v>35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4"/>
      <c r="BC69" s="33"/>
    </row>
    <row r="70" spans="1:55">
      <c r="A70" s="33"/>
      <c r="B70" s="265" t="s">
        <v>17</v>
      </c>
      <c r="C70" s="266"/>
      <c r="D70" s="246" t="s">
        <v>28</v>
      </c>
      <c r="E70" s="247"/>
      <c r="F70" s="247"/>
      <c r="G70" s="247"/>
      <c r="H70" s="247"/>
      <c r="I70" s="247"/>
      <c r="J70" s="247"/>
      <c r="K70" s="247"/>
      <c r="L70" s="248"/>
      <c r="M70" s="240" t="s">
        <v>21</v>
      </c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  <c r="AA70" s="241"/>
      <c r="AB70" s="241"/>
      <c r="AC70" s="241"/>
      <c r="AD70" s="241"/>
      <c r="AE70" s="242"/>
      <c r="AF70" s="265" t="s">
        <v>18</v>
      </c>
      <c r="AG70" s="301"/>
      <c r="AH70" s="301"/>
      <c r="AI70" s="301"/>
      <c r="AJ70" s="301"/>
      <c r="AK70" s="301"/>
      <c r="AL70" s="301"/>
      <c r="AM70" s="301"/>
      <c r="AN70" s="301"/>
      <c r="AO70" s="301"/>
      <c r="AP70" s="301"/>
      <c r="AQ70" s="301"/>
      <c r="AR70" s="301"/>
      <c r="AS70" s="301"/>
      <c r="AT70" s="301"/>
      <c r="AU70" s="301"/>
      <c r="AV70" s="301"/>
      <c r="AW70" s="301"/>
      <c r="AX70" s="301"/>
      <c r="AY70" s="301"/>
      <c r="AZ70" s="301"/>
      <c r="BA70" s="301"/>
      <c r="BB70" s="266"/>
      <c r="BC70" s="33"/>
    </row>
    <row r="71" spans="1:55">
      <c r="A71" s="33"/>
      <c r="B71" s="302"/>
      <c r="C71" s="304"/>
      <c r="D71" s="285"/>
      <c r="E71" s="286"/>
      <c r="F71" s="286"/>
      <c r="G71" s="286"/>
      <c r="H71" s="286"/>
      <c r="I71" s="286"/>
      <c r="J71" s="286"/>
      <c r="K71" s="286"/>
      <c r="L71" s="287"/>
      <c r="M71" s="240" t="s">
        <v>34</v>
      </c>
      <c r="N71" s="241"/>
      <c r="O71" s="241"/>
      <c r="P71" s="241"/>
      <c r="Q71" s="241"/>
      <c r="R71" s="241"/>
      <c r="S71" s="241"/>
      <c r="T71" s="241"/>
      <c r="U71" s="241"/>
      <c r="V71" s="242"/>
      <c r="W71" s="240" t="s">
        <v>30</v>
      </c>
      <c r="X71" s="241"/>
      <c r="Y71" s="241"/>
      <c r="Z71" s="241"/>
      <c r="AA71" s="241"/>
      <c r="AB71" s="241"/>
      <c r="AC71" s="241"/>
      <c r="AD71" s="241"/>
      <c r="AE71" s="242"/>
      <c r="AF71" s="302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4"/>
      <c r="BC71" s="33"/>
    </row>
    <row r="72" spans="1:55">
      <c r="A72" s="33"/>
      <c r="B72" s="65" t="s">
        <v>44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6"/>
      <c r="BC72" s="33"/>
    </row>
    <row r="73" spans="1:55">
      <c r="A73" s="33"/>
      <c r="B73" s="229">
        <v>1</v>
      </c>
      <c r="C73" s="230"/>
      <c r="D73" s="220" t="s">
        <v>83</v>
      </c>
      <c r="E73" s="221"/>
      <c r="F73" s="221"/>
      <c r="G73" s="221"/>
      <c r="H73" s="221"/>
      <c r="I73" s="221"/>
      <c r="J73" s="221"/>
      <c r="K73" s="221"/>
      <c r="L73" s="222"/>
      <c r="M73" s="272" t="s">
        <v>31</v>
      </c>
      <c r="N73" s="273"/>
      <c r="O73" s="273"/>
      <c r="P73" s="273"/>
      <c r="Q73" s="273"/>
      <c r="R73" s="273"/>
      <c r="S73" s="273"/>
      <c r="T73" s="273"/>
      <c r="U73" s="273"/>
      <c r="V73" s="274"/>
      <c r="W73" s="226" t="s">
        <v>31</v>
      </c>
      <c r="X73" s="227"/>
      <c r="Y73" s="227"/>
      <c r="Z73" s="227"/>
      <c r="AA73" s="227"/>
      <c r="AB73" s="227"/>
      <c r="AC73" s="227"/>
      <c r="AD73" s="227"/>
      <c r="AE73" s="228"/>
      <c r="AF73" s="55" t="s">
        <v>67</v>
      </c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4"/>
      <c r="BC73" s="33"/>
    </row>
    <row r="74" spans="1:55">
      <c r="A74" s="33"/>
      <c r="B74" s="65" t="s">
        <v>46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6"/>
      <c r="BC74" s="33"/>
    </row>
    <row r="75" spans="1:55">
      <c r="A75" s="33"/>
      <c r="B75" s="229">
        <v>2</v>
      </c>
      <c r="C75" s="230"/>
      <c r="D75" s="220" t="s">
        <v>45</v>
      </c>
      <c r="E75" s="221"/>
      <c r="F75" s="221"/>
      <c r="G75" s="221"/>
      <c r="H75" s="221"/>
      <c r="I75" s="221"/>
      <c r="J75" s="221"/>
      <c r="K75" s="221"/>
      <c r="L75" s="222"/>
      <c r="M75" s="272" t="s">
        <v>31</v>
      </c>
      <c r="N75" s="273"/>
      <c r="O75" s="273"/>
      <c r="P75" s="273"/>
      <c r="Q75" s="273"/>
      <c r="R75" s="273"/>
      <c r="S75" s="273"/>
      <c r="T75" s="273"/>
      <c r="U75" s="273"/>
      <c r="V75" s="274"/>
      <c r="W75" s="226" t="s">
        <v>31</v>
      </c>
      <c r="X75" s="227"/>
      <c r="Y75" s="227"/>
      <c r="Z75" s="227"/>
      <c r="AA75" s="227"/>
      <c r="AB75" s="227"/>
      <c r="AC75" s="227"/>
      <c r="AD75" s="227"/>
      <c r="AE75" s="228"/>
      <c r="AF75" s="55" t="s">
        <v>67</v>
      </c>
      <c r="AG75" s="56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54"/>
      <c r="BC75" s="33"/>
    </row>
    <row r="76" spans="1:55">
      <c r="A76" s="33"/>
      <c r="B76" s="229">
        <v>3</v>
      </c>
      <c r="C76" s="230"/>
      <c r="D76" s="271" t="s">
        <v>47</v>
      </c>
      <c r="E76" s="271"/>
      <c r="F76" s="271"/>
      <c r="G76" s="271"/>
      <c r="H76" s="271"/>
      <c r="I76" s="271"/>
      <c r="J76" s="271"/>
      <c r="K76" s="271"/>
      <c r="L76" s="271"/>
      <c r="M76" s="272" t="s">
        <v>31</v>
      </c>
      <c r="N76" s="273"/>
      <c r="O76" s="273"/>
      <c r="P76" s="273"/>
      <c r="Q76" s="273"/>
      <c r="R76" s="273"/>
      <c r="S76" s="273"/>
      <c r="T76" s="273"/>
      <c r="U76" s="273"/>
      <c r="V76" s="274"/>
      <c r="W76" s="226" t="s">
        <v>31</v>
      </c>
      <c r="X76" s="227"/>
      <c r="Y76" s="227"/>
      <c r="Z76" s="227"/>
      <c r="AA76" s="227"/>
      <c r="AB76" s="227"/>
      <c r="AC76" s="227"/>
      <c r="AD76" s="227"/>
      <c r="AE76" s="228"/>
      <c r="AF76" s="55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37"/>
      <c r="BC76" s="33"/>
    </row>
    <row r="77" spans="1:55">
      <c r="A77" s="33"/>
      <c r="B77" s="218">
        <v>4</v>
      </c>
      <c r="C77" s="219"/>
      <c r="D77" s="220" t="s">
        <v>48</v>
      </c>
      <c r="E77" s="221"/>
      <c r="F77" s="221"/>
      <c r="G77" s="221"/>
      <c r="H77" s="221"/>
      <c r="I77" s="221"/>
      <c r="J77" s="221"/>
      <c r="K77" s="221"/>
      <c r="L77" s="222"/>
      <c r="M77" s="272" t="s">
        <v>31</v>
      </c>
      <c r="N77" s="273"/>
      <c r="O77" s="273"/>
      <c r="P77" s="273"/>
      <c r="Q77" s="273"/>
      <c r="R77" s="273"/>
      <c r="S77" s="273"/>
      <c r="T77" s="273"/>
      <c r="U77" s="273"/>
      <c r="V77" s="274"/>
      <c r="W77" s="226" t="s">
        <v>31</v>
      </c>
      <c r="X77" s="227"/>
      <c r="Y77" s="227"/>
      <c r="Z77" s="227"/>
      <c r="AA77" s="227"/>
      <c r="AB77" s="227"/>
      <c r="AC77" s="227"/>
      <c r="AD77" s="227"/>
      <c r="AE77" s="228"/>
      <c r="AF77" s="55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37"/>
      <c r="BC77" s="33"/>
    </row>
    <row r="78" spans="1:55" ht="13.5" customHeight="1">
      <c r="A78" s="33"/>
      <c r="B78" s="65" t="s">
        <v>49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6"/>
      <c r="BC78" s="33"/>
    </row>
    <row r="79" spans="1:55">
      <c r="A79" s="33"/>
      <c r="B79" s="218">
        <v>5</v>
      </c>
      <c r="C79" s="219"/>
      <c r="D79" s="220" t="s">
        <v>50</v>
      </c>
      <c r="E79" s="221"/>
      <c r="F79" s="221"/>
      <c r="G79" s="221"/>
      <c r="H79" s="221"/>
      <c r="I79" s="221"/>
      <c r="J79" s="221"/>
      <c r="K79" s="221"/>
      <c r="L79" s="222"/>
      <c r="M79" s="272" t="s">
        <v>31</v>
      </c>
      <c r="N79" s="273"/>
      <c r="O79" s="273"/>
      <c r="P79" s="273"/>
      <c r="Q79" s="273"/>
      <c r="R79" s="273"/>
      <c r="S79" s="273"/>
      <c r="T79" s="273"/>
      <c r="U79" s="273"/>
      <c r="V79" s="274"/>
      <c r="W79" s="226" t="s">
        <v>31</v>
      </c>
      <c r="X79" s="227"/>
      <c r="Y79" s="227"/>
      <c r="Z79" s="227"/>
      <c r="AA79" s="227"/>
      <c r="AB79" s="227"/>
      <c r="AC79" s="227"/>
      <c r="AD79" s="227"/>
      <c r="AE79" s="228"/>
      <c r="AF79" s="55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37"/>
      <c r="BC79" s="33"/>
    </row>
    <row r="80" spans="1:55">
      <c r="A80" s="33"/>
      <c r="B80" s="218">
        <v>6</v>
      </c>
      <c r="C80" s="288"/>
      <c r="D80" s="289" t="s">
        <v>51</v>
      </c>
      <c r="E80" s="290"/>
      <c r="F80" s="290"/>
      <c r="G80" s="290"/>
      <c r="H80" s="290"/>
      <c r="I80" s="290"/>
      <c r="J80" s="290"/>
      <c r="K80" s="290"/>
      <c r="L80" s="291"/>
      <c r="M80" s="292" t="s">
        <v>71</v>
      </c>
      <c r="N80" s="293"/>
      <c r="O80" s="293"/>
      <c r="P80" s="293"/>
      <c r="Q80" s="293"/>
      <c r="R80" s="293"/>
      <c r="S80" s="293"/>
      <c r="T80" s="293"/>
      <c r="U80" s="293"/>
      <c r="V80" s="294"/>
      <c r="W80" s="295" t="s">
        <v>70</v>
      </c>
      <c r="X80" s="296"/>
      <c r="Y80" s="296"/>
      <c r="Z80" s="296"/>
      <c r="AA80" s="296"/>
      <c r="AB80" s="296"/>
      <c r="AC80" s="296"/>
      <c r="AD80" s="296"/>
      <c r="AE80" s="297"/>
      <c r="AF80" s="55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37"/>
      <c r="BC80" s="33"/>
    </row>
    <row r="81" spans="1:55">
      <c r="A81" s="33"/>
      <c r="B81" s="218">
        <v>7</v>
      </c>
      <c r="C81" s="219"/>
      <c r="D81" s="220" t="s">
        <v>47</v>
      </c>
      <c r="E81" s="221"/>
      <c r="F81" s="221"/>
      <c r="G81" s="221"/>
      <c r="H81" s="221"/>
      <c r="I81" s="221"/>
      <c r="J81" s="221"/>
      <c r="K81" s="221"/>
      <c r="L81" s="222"/>
      <c r="M81" s="272" t="s">
        <v>68</v>
      </c>
      <c r="N81" s="273"/>
      <c r="O81" s="273"/>
      <c r="P81" s="273"/>
      <c r="Q81" s="273"/>
      <c r="R81" s="273"/>
      <c r="S81" s="273"/>
      <c r="T81" s="273"/>
      <c r="U81" s="273"/>
      <c r="V81" s="274"/>
      <c r="W81" s="298" t="s">
        <v>69</v>
      </c>
      <c r="X81" s="299"/>
      <c r="Y81" s="299"/>
      <c r="Z81" s="299"/>
      <c r="AA81" s="299"/>
      <c r="AB81" s="299"/>
      <c r="AC81" s="299"/>
      <c r="AD81" s="299"/>
      <c r="AE81" s="300"/>
      <c r="AF81" s="55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37"/>
      <c r="BC81" s="33"/>
    </row>
    <row r="82" spans="1:55">
      <c r="A82" s="33"/>
      <c r="B82" s="218">
        <v>8</v>
      </c>
      <c r="C82" s="219"/>
      <c r="D82" s="220" t="s">
        <v>52</v>
      </c>
      <c r="E82" s="221"/>
      <c r="F82" s="221"/>
      <c r="G82" s="221"/>
      <c r="H82" s="221"/>
      <c r="I82" s="221"/>
      <c r="J82" s="221"/>
      <c r="K82" s="221"/>
      <c r="L82" s="222"/>
      <c r="M82" s="223" t="s">
        <v>72</v>
      </c>
      <c r="N82" s="224"/>
      <c r="O82" s="224"/>
      <c r="P82" s="224"/>
      <c r="Q82" s="224"/>
      <c r="R82" s="224"/>
      <c r="S82" s="224"/>
      <c r="T82" s="224"/>
      <c r="U82" s="224"/>
      <c r="V82" s="225"/>
      <c r="W82" s="226" t="s">
        <v>72</v>
      </c>
      <c r="X82" s="227"/>
      <c r="Y82" s="227"/>
      <c r="Z82" s="227"/>
      <c r="AA82" s="227"/>
      <c r="AB82" s="227"/>
      <c r="AC82" s="227"/>
      <c r="AD82" s="227"/>
      <c r="AE82" s="228"/>
      <c r="AF82" s="55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37"/>
      <c r="BC82" s="33"/>
    </row>
    <row r="83" spans="1:55">
      <c r="A83" s="33"/>
      <c r="B83" s="218">
        <v>9</v>
      </c>
      <c r="C83" s="219"/>
      <c r="D83" s="220" t="s">
        <v>45</v>
      </c>
      <c r="E83" s="221"/>
      <c r="F83" s="221"/>
      <c r="G83" s="221"/>
      <c r="H83" s="221"/>
      <c r="I83" s="221"/>
      <c r="J83" s="221"/>
      <c r="K83" s="221"/>
      <c r="L83" s="222"/>
      <c r="M83" s="223" t="s">
        <v>74</v>
      </c>
      <c r="N83" s="224"/>
      <c r="O83" s="224"/>
      <c r="P83" s="224"/>
      <c r="Q83" s="224"/>
      <c r="R83" s="224"/>
      <c r="S83" s="224"/>
      <c r="T83" s="224"/>
      <c r="U83" s="224"/>
      <c r="V83" s="225"/>
      <c r="W83" s="226" t="s">
        <v>73</v>
      </c>
      <c r="X83" s="227"/>
      <c r="Y83" s="227"/>
      <c r="Z83" s="227"/>
      <c r="AA83" s="227"/>
      <c r="AB83" s="227"/>
      <c r="AC83" s="227"/>
      <c r="AD83" s="227"/>
      <c r="AE83" s="228"/>
      <c r="AF83" s="55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37"/>
    </row>
    <row r="84" spans="1:55">
      <c r="A84" s="33"/>
      <c r="B84" s="218">
        <v>10</v>
      </c>
      <c r="C84" s="219"/>
      <c r="D84" s="220" t="s">
        <v>53</v>
      </c>
      <c r="E84" s="221"/>
      <c r="F84" s="221"/>
      <c r="G84" s="221"/>
      <c r="H84" s="221"/>
      <c r="I84" s="221"/>
      <c r="J84" s="221"/>
      <c r="K84" s="221"/>
      <c r="L84" s="222"/>
      <c r="M84" s="272" t="s">
        <v>31</v>
      </c>
      <c r="N84" s="273"/>
      <c r="O84" s="273"/>
      <c r="P84" s="273"/>
      <c r="Q84" s="273"/>
      <c r="R84" s="273"/>
      <c r="S84" s="273"/>
      <c r="T84" s="273"/>
      <c r="U84" s="273"/>
      <c r="V84" s="274"/>
      <c r="W84" s="226" t="s">
        <v>31</v>
      </c>
      <c r="X84" s="227"/>
      <c r="Y84" s="227"/>
      <c r="Z84" s="227"/>
      <c r="AA84" s="227"/>
      <c r="AB84" s="227"/>
      <c r="AC84" s="227"/>
      <c r="AD84" s="227"/>
      <c r="AE84" s="228"/>
      <c r="AF84" s="55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37"/>
    </row>
    <row r="85" spans="1:55">
      <c r="A85" s="33"/>
      <c r="B85" s="218">
        <v>11</v>
      </c>
      <c r="C85" s="219"/>
      <c r="D85" s="220" t="s">
        <v>54</v>
      </c>
      <c r="E85" s="221"/>
      <c r="F85" s="221"/>
      <c r="G85" s="221"/>
      <c r="H85" s="221"/>
      <c r="I85" s="221"/>
      <c r="J85" s="221"/>
      <c r="K85" s="221"/>
      <c r="L85" s="222"/>
      <c r="M85" s="223" t="s">
        <v>76</v>
      </c>
      <c r="N85" s="224"/>
      <c r="O85" s="224"/>
      <c r="P85" s="224"/>
      <c r="Q85" s="224"/>
      <c r="R85" s="224"/>
      <c r="S85" s="224"/>
      <c r="T85" s="224"/>
      <c r="U85" s="224"/>
      <c r="V85" s="225"/>
      <c r="W85" s="226" t="s">
        <v>75</v>
      </c>
      <c r="X85" s="227"/>
      <c r="Y85" s="227"/>
      <c r="Z85" s="227"/>
      <c r="AA85" s="227"/>
      <c r="AB85" s="227"/>
      <c r="AC85" s="227"/>
      <c r="AD85" s="227"/>
      <c r="AE85" s="228"/>
      <c r="AF85" s="55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37"/>
    </row>
    <row r="86" spans="1:55" ht="13.5" customHeight="1">
      <c r="A86" s="33"/>
      <c r="B86" s="65" t="s">
        <v>94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6"/>
      <c r="BC86" s="33"/>
    </row>
    <row r="87" spans="1:55">
      <c r="A87" s="33"/>
      <c r="B87" s="218">
        <v>12</v>
      </c>
      <c r="C87" s="219"/>
      <c r="D87" s="220" t="s">
        <v>95</v>
      </c>
      <c r="E87" s="221"/>
      <c r="F87" s="221"/>
      <c r="G87" s="221"/>
      <c r="H87" s="221"/>
      <c r="I87" s="221"/>
      <c r="J87" s="221"/>
      <c r="K87" s="221"/>
      <c r="L87" s="222"/>
      <c r="M87" s="223" t="s">
        <v>31</v>
      </c>
      <c r="N87" s="224"/>
      <c r="O87" s="224"/>
      <c r="P87" s="224"/>
      <c r="Q87" s="224"/>
      <c r="R87" s="224"/>
      <c r="S87" s="224"/>
      <c r="T87" s="224"/>
      <c r="U87" s="224"/>
      <c r="V87" s="225"/>
      <c r="W87" s="226" t="s">
        <v>31</v>
      </c>
      <c r="X87" s="227"/>
      <c r="Y87" s="227"/>
      <c r="Z87" s="227"/>
      <c r="AA87" s="227"/>
      <c r="AB87" s="227"/>
      <c r="AC87" s="227"/>
      <c r="AD87" s="227"/>
      <c r="AE87" s="228"/>
      <c r="AF87" s="69" t="s">
        <v>98</v>
      </c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37"/>
    </row>
    <row r="88" spans="1:55">
      <c r="A88" s="33"/>
      <c r="B88" s="218">
        <v>13</v>
      </c>
      <c r="C88" s="219"/>
      <c r="D88" s="220" t="s">
        <v>96</v>
      </c>
      <c r="E88" s="221"/>
      <c r="F88" s="221"/>
      <c r="G88" s="221"/>
      <c r="H88" s="221"/>
      <c r="I88" s="221"/>
      <c r="J88" s="221"/>
      <c r="K88" s="221"/>
      <c r="L88" s="222"/>
      <c r="M88" s="223" t="s">
        <v>31</v>
      </c>
      <c r="N88" s="224"/>
      <c r="O88" s="224"/>
      <c r="P88" s="224"/>
      <c r="Q88" s="224"/>
      <c r="R88" s="224"/>
      <c r="S88" s="224"/>
      <c r="T88" s="224"/>
      <c r="U88" s="224"/>
      <c r="V88" s="225"/>
      <c r="W88" s="226" t="s">
        <v>31</v>
      </c>
      <c r="X88" s="227"/>
      <c r="Y88" s="227"/>
      <c r="Z88" s="227"/>
      <c r="AA88" s="227"/>
      <c r="AB88" s="227"/>
      <c r="AC88" s="227"/>
      <c r="AD88" s="227"/>
      <c r="AE88" s="228"/>
      <c r="AF88" s="69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37"/>
    </row>
    <row r="89" spans="1:55">
      <c r="A89" s="33"/>
      <c r="B89" s="43"/>
      <c r="C89" s="43"/>
      <c r="D89" s="38"/>
      <c r="E89" s="38"/>
      <c r="F89" s="38"/>
      <c r="G89" s="38"/>
      <c r="H89" s="38"/>
      <c r="I89" s="38"/>
      <c r="J89" s="38"/>
      <c r="K89" s="38"/>
      <c r="L89" s="38"/>
      <c r="M89" s="44"/>
      <c r="N89" s="44"/>
      <c r="O89" s="44"/>
      <c r="P89" s="44"/>
      <c r="Q89" s="44"/>
      <c r="R89" s="44"/>
      <c r="S89" s="44"/>
      <c r="T89" s="44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33"/>
    </row>
    <row r="90" spans="1:55">
      <c r="A90" s="33"/>
      <c r="B90" s="249" t="s">
        <v>55</v>
      </c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33"/>
    </row>
    <row r="91" spans="1:55">
      <c r="A91" s="33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33"/>
    </row>
    <row r="92" spans="1:55">
      <c r="A92" s="33"/>
      <c r="B92" s="29" t="s">
        <v>29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spans="1:55">
      <c r="A93" s="33"/>
      <c r="B93" s="265" t="s">
        <v>17</v>
      </c>
      <c r="C93" s="266"/>
      <c r="D93" s="246" t="s">
        <v>28</v>
      </c>
      <c r="E93" s="247"/>
      <c r="F93" s="247"/>
      <c r="G93" s="247"/>
      <c r="H93" s="247"/>
      <c r="I93" s="248"/>
      <c r="J93" s="246" t="s">
        <v>27</v>
      </c>
      <c r="K93" s="247"/>
      <c r="L93" s="247"/>
      <c r="M93" s="247"/>
      <c r="N93" s="247"/>
      <c r="O93" s="248"/>
      <c r="P93" s="246" t="s">
        <v>32</v>
      </c>
      <c r="Q93" s="247"/>
      <c r="R93" s="247"/>
      <c r="S93" s="247"/>
      <c r="T93" s="247"/>
      <c r="U93" s="248"/>
      <c r="V93" s="246" t="s">
        <v>26</v>
      </c>
      <c r="W93" s="248"/>
      <c r="X93" s="246" t="s">
        <v>25</v>
      </c>
      <c r="Y93" s="247"/>
      <c r="Z93" s="248"/>
      <c r="AA93" s="246" t="s">
        <v>24</v>
      </c>
      <c r="AB93" s="247"/>
      <c r="AC93" s="248"/>
      <c r="AD93" s="246" t="s">
        <v>23</v>
      </c>
      <c r="AE93" s="247"/>
      <c r="AF93" s="248"/>
      <c r="AG93" s="246" t="s">
        <v>33</v>
      </c>
      <c r="AH93" s="248"/>
      <c r="AI93" s="246" t="s">
        <v>22</v>
      </c>
      <c r="AJ93" s="247"/>
      <c r="AK93" s="247"/>
      <c r="AL93" s="247"/>
      <c r="AM93" s="247"/>
      <c r="AN93" s="247"/>
      <c r="AO93" s="247"/>
      <c r="AP93" s="248"/>
      <c r="AQ93" s="240" t="s">
        <v>18</v>
      </c>
      <c r="AR93" s="241"/>
      <c r="AS93" s="241"/>
      <c r="AT93" s="241"/>
      <c r="AU93" s="241"/>
      <c r="AV93" s="241"/>
      <c r="AW93" s="241"/>
      <c r="AX93" s="241"/>
      <c r="AY93" s="241"/>
      <c r="AZ93" s="241"/>
      <c r="BA93" s="241"/>
      <c r="BB93" s="242"/>
      <c r="BC93" s="33"/>
    </row>
    <row r="94" spans="1:55">
      <c r="A94" s="33"/>
      <c r="B94" s="234">
        <v>1</v>
      </c>
      <c r="C94" s="235"/>
      <c r="D94" s="262" t="s">
        <v>83</v>
      </c>
      <c r="E94" s="263"/>
      <c r="F94" s="263"/>
      <c r="G94" s="263"/>
      <c r="H94" s="263"/>
      <c r="I94" s="264"/>
      <c r="J94" s="262" t="s">
        <v>86</v>
      </c>
      <c r="K94" s="263"/>
      <c r="L94" s="263"/>
      <c r="M94" s="263"/>
      <c r="N94" s="263"/>
      <c r="O94" s="264"/>
      <c r="P94" s="262" t="s">
        <v>67</v>
      </c>
      <c r="Q94" s="263"/>
      <c r="R94" s="263"/>
      <c r="S94" s="263"/>
      <c r="T94" s="263"/>
      <c r="U94" s="264"/>
      <c r="V94" s="234" t="s">
        <v>80</v>
      </c>
      <c r="W94" s="235"/>
      <c r="X94" s="234" t="s">
        <v>31</v>
      </c>
      <c r="Y94" s="236"/>
      <c r="Z94" s="235"/>
      <c r="AA94" s="234" t="s">
        <v>31</v>
      </c>
      <c r="AB94" s="236"/>
      <c r="AC94" s="235"/>
      <c r="AD94" s="234" t="s">
        <v>31</v>
      </c>
      <c r="AE94" s="236"/>
      <c r="AF94" s="235"/>
      <c r="AG94" s="234" t="s">
        <v>31</v>
      </c>
      <c r="AH94" s="235"/>
      <c r="AI94" s="243"/>
      <c r="AJ94" s="244"/>
      <c r="AK94" s="244"/>
      <c r="AL94" s="244"/>
      <c r="AM94" s="244"/>
      <c r="AN94" s="244"/>
      <c r="AO94" s="244"/>
      <c r="AP94" s="245"/>
      <c r="AQ94" s="45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7"/>
      <c r="BC94" s="33"/>
    </row>
    <row r="95" spans="1:55">
      <c r="A95" s="33"/>
      <c r="B95" s="234">
        <v>2</v>
      </c>
      <c r="C95" s="235"/>
      <c r="D95" s="262" t="s">
        <v>56</v>
      </c>
      <c r="E95" s="263"/>
      <c r="F95" s="263"/>
      <c r="G95" s="263"/>
      <c r="H95" s="263"/>
      <c r="I95" s="264"/>
      <c r="J95" s="262" t="s">
        <v>31</v>
      </c>
      <c r="K95" s="263"/>
      <c r="L95" s="263"/>
      <c r="M95" s="263"/>
      <c r="N95" s="263"/>
      <c r="O95" s="264"/>
      <c r="P95" s="262" t="s">
        <v>79</v>
      </c>
      <c r="Q95" s="263"/>
      <c r="R95" s="263"/>
      <c r="S95" s="263"/>
      <c r="T95" s="263"/>
      <c r="U95" s="264"/>
      <c r="V95" s="234" t="s">
        <v>31</v>
      </c>
      <c r="W95" s="235"/>
      <c r="X95" s="234" t="s">
        <v>31</v>
      </c>
      <c r="Y95" s="236"/>
      <c r="Z95" s="235"/>
      <c r="AA95" s="234" t="s">
        <v>31</v>
      </c>
      <c r="AB95" s="236"/>
      <c r="AC95" s="235"/>
      <c r="AD95" s="234" t="s">
        <v>31</v>
      </c>
      <c r="AE95" s="236"/>
      <c r="AF95" s="235"/>
      <c r="AG95" s="234" t="s">
        <v>31</v>
      </c>
      <c r="AH95" s="235"/>
      <c r="AI95" s="243"/>
      <c r="AJ95" s="244"/>
      <c r="AK95" s="244"/>
      <c r="AL95" s="244"/>
      <c r="AM95" s="244"/>
      <c r="AN95" s="244"/>
      <c r="AO95" s="244"/>
      <c r="AP95" s="245"/>
      <c r="AQ95" s="45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7"/>
      <c r="BC95" s="33"/>
    </row>
    <row r="96" spans="1:55">
      <c r="A96" s="33"/>
      <c r="B96" s="48"/>
      <c r="C96" s="48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33"/>
    </row>
    <row r="97" spans="1:55">
      <c r="A97" s="33"/>
      <c r="B97" s="29" t="s">
        <v>36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spans="1:55">
      <c r="B98" s="280" t="s">
        <v>37</v>
      </c>
      <c r="C98" s="281"/>
      <c r="D98" s="282" t="s">
        <v>28</v>
      </c>
      <c r="E98" s="283"/>
      <c r="F98" s="283"/>
      <c r="G98" s="283"/>
      <c r="H98" s="283"/>
      <c r="I98" s="284"/>
      <c r="J98" s="280" t="s">
        <v>39</v>
      </c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281"/>
      <c r="W98" s="280" t="s">
        <v>40</v>
      </c>
      <c r="X98" s="309"/>
      <c r="Y98" s="309"/>
      <c r="Z98" s="309"/>
      <c r="AA98" s="309"/>
      <c r="AB98" s="309"/>
      <c r="AC98" s="309"/>
      <c r="AD98" s="309"/>
      <c r="AE98" s="309"/>
      <c r="AF98" s="309"/>
      <c r="AG98" s="309"/>
      <c r="AH98" s="309"/>
      <c r="AI98" s="281"/>
      <c r="AJ98" s="280" t="s">
        <v>41</v>
      </c>
      <c r="AK98" s="309"/>
      <c r="AL98" s="309"/>
      <c r="AM98" s="309"/>
      <c r="AN98" s="309"/>
      <c r="AO98" s="309"/>
      <c r="AP98" s="309"/>
      <c r="AQ98" s="309"/>
      <c r="AR98" s="309"/>
      <c r="AS98" s="309"/>
      <c r="AT98" s="309"/>
      <c r="AU98" s="309"/>
      <c r="AV98" s="309"/>
      <c r="AW98" s="309"/>
      <c r="AX98" s="309"/>
      <c r="AY98" s="309"/>
      <c r="AZ98" s="309"/>
      <c r="BA98" s="309"/>
      <c r="BB98" s="281"/>
      <c r="BC98" s="33"/>
    </row>
    <row r="99" spans="1:55">
      <c r="B99" s="275">
        <v>1</v>
      </c>
      <c r="C99" s="276"/>
      <c r="D99" s="277" t="s">
        <v>84</v>
      </c>
      <c r="E99" s="278"/>
      <c r="F99" s="278"/>
      <c r="G99" s="278"/>
      <c r="H99" s="278"/>
      <c r="I99" s="279"/>
      <c r="J99" s="30" t="s">
        <v>77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2"/>
      <c r="W99" s="51" t="s">
        <v>78</v>
      </c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3"/>
      <c r="AJ99" s="27" t="s">
        <v>93</v>
      </c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57"/>
      <c r="BC99" s="33"/>
    </row>
    <row r="100" spans="1:55">
      <c r="B100" s="275">
        <v>2</v>
      </c>
      <c r="C100" s="276"/>
      <c r="D100" s="277" t="s">
        <v>84</v>
      </c>
      <c r="E100" s="278"/>
      <c r="F100" s="278"/>
      <c r="G100" s="278"/>
      <c r="H100" s="278"/>
      <c r="I100" s="279"/>
      <c r="J100" s="30" t="s">
        <v>100</v>
      </c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2"/>
      <c r="W100" s="71" t="s">
        <v>78</v>
      </c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3"/>
      <c r="AJ100" s="27" t="s">
        <v>101</v>
      </c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74"/>
      <c r="BC100" s="33"/>
    </row>
    <row r="102" spans="1:55" ht="16.5">
      <c r="A102" s="66"/>
      <c r="B102" s="267" t="s">
        <v>57</v>
      </c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7"/>
      <c r="AQ102" s="267"/>
      <c r="AR102" s="267"/>
      <c r="AS102" s="267"/>
      <c r="AT102" s="267"/>
      <c r="AU102" s="267"/>
      <c r="AV102" s="267"/>
      <c r="AW102" s="267"/>
      <c r="AX102" s="267"/>
      <c r="AY102" s="267"/>
      <c r="AZ102" s="267"/>
      <c r="BA102" s="267"/>
      <c r="BB102" s="267"/>
    </row>
    <row r="103" spans="1:55" ht="16.5">
      <c r="A103" s="66"/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7"/>
      <c r="AO103" s="267"/>
      <c r="AP103" s="267"/>
      <c r="AQ103" s="267"/>
      <c r="AR103" s="267"/>
      <c r="AS103" s="267"/>
      <c r="AT103" s="267"/>
      <c r="AU103" s="267"/>
      <c r="AV103" s="267"/>
      <c r="AW103" s="267"/>
      <c r="AX103" s="267"/>
      <c r="AY103" s="267"/>
      <c r="AZ103" s="267"/>
      <c r="BA103" s="267"/>
      <c r="BB103" s="267"/>
    </row>
    <row r="104" spans="1:55" ht="16.5">
      <c r="A104" s="66"/>
      <c r="B104" s="58" t="s">
        <v>29</v>
      </c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</row>
    <row r="105" spans="1:55">
      <c r="A105" s="68"/>
      <c r="B105" s="257" t="s">
        <v>17</v>
      </c>
      <c r="C105" s="257"/>
      <c r="D105" s="258" t="s">
        <v>28</v>
      </c>
      <c r="E105" s="258"/>
      <c r="F105" s="258"/>
      <c r="G105" s="258"/>
      <c r="H105" s="258"/>
      <c r="I105" s="258"/>
      <c r="J105" s="259" t="s">
        <v>27</v>
      </c>
      <c r="K105" s="260"/>
      <c r="L105" s="260"/>
      <c r="M105" s="260"/>
      <c r="N105" s="260"/>
      <c r="O105" s="261"/>
      <c r="P105" s="259" t="s">
        <v>32</v>
      </c>
      <c r="Q105" s="260"/>
      <c r="R105" s="260"/>
      <c r="S105" s="260"/>
      <c r="T105" s="260"/>
      <c r="U105" s="261"/>
      <c r="V105" s="259" t="s">
        <v>26</v>
      </c>
      <c r="W105" s="261"/>
      <c r="X105" s="259" t="s">
        <v>25</v>
      </c>
      <c r="Y105" s="260"/>
      <c r="Z105" s="261"/>
      <c r="AA105" s="259" t="s">
        <v>58</v>
      </c>
      <c r="AB105" s="260"/>
      <c r="AC105" s="261"/>
      <c r="AD105" s="259" t="s">
        <v>59</v>
      </c>
      <c r="AE105" s="260"/>
      <c r="AF105" s="261"/>
      <c r="AG105" s="268" t="s">
        <v>22</v>
      </c>
      <c r="AH105" s="269"/>
      <c r="AI105" s="269"/>
      <c r="AJ105" s="269"/>
      <c r="AK105" s="269"/>
      <c r="AL105" s="269"/>
      <c r="AM105" s="269"/>
      <c r="AN105" s="269"/>
      <c r="AO105" s="269"/>
      <c r="AP105" s="270"/>
      <c r="AQ105" s="259" t="s">
        <v>18</v>
      </c>
      <c r="AR105" s="260"/>
      <c r="AS105" s="260"/>
      <c r="AT105" s="260"/>
      <c r="AU105" s="260"/>
      <c r="AV105" s="260"/>
      <c r="AW105" s="260"/>
      <c r="AX105" s="260"/>
      <c r="AY105" s="260"/>
      <c r="AZ105" s="260"/>
      <c r="BA105" s="260"/>
      <c r="BB105" s="261"/>
    </row>
    <row r="106" spans="1:55">
      <c r="A106" s="68"/>
      <c r="B106" s="250">
        <v>1</v>
      </c>
      <c r="C106" s="250"/>
      <c r="D106" s="251" t="s">
        <v>45</v>
      </c>
      <c r="E106" s="252"/>
      <c r="F106" s="252"/>
      <c r="G106" s="252"/>
      <c r="H106" s="252"/>
      <c r="I106" s="253"/>
      <c r="J106" s="251" t="s">
        <v>85</v>
      </c>
      <c r="K106" s="252"/>
      <c r="L106" s="252"/>
      <c r="M106" s="252"/>
      <c r="N106" s="252"/>
      <c r="O106" s="253"/>
      <c r="P106" s="251" t="s">
        <v>67</v>
      </c>
      <c r="Q106" s="252"/>
      <c r="R106" s="252"/>
      <c r="S106" s="252"/>
      <c r="T106" s="252"/>
      <c r="U106" s="253"/>
      <c r="V106" s="254" t="s">
        <v>31</v>
      </c>
      <c r="W106" s="255"/>
      <c r="X106" s="254" t="s">
        <v>60</v>
      </c>
      <c r="Y106" s="256"/>
      <c r="Z106" s="255"/>
      <c r="AA106" s="254" t="s">
        <v>60</v>
      </c>
      <c r="AB106" s="256"/>
      <c r="AC106" s="255"/>
      <c r="AD106" s="254" t="s">
        <v>60</v>
      </c>
      <c r="AE106" s="256"/>
      <c r="AF106" s="255"/>
      <c r="AG106" s="251"/>
      <c r="AH106" s="252"/>
      <c r="AI106" s="252"/>
      <c r="AJ106" s="252"/>
      <c r="AK106" s="252"/>
      <c r="AL106" s="252"/>
      <c r="AM106" s="252"/>
      <c r="AN106" s="252"/>
      <c r="AO106" s="252"/>
      <c r="AP106" s="253"/>
      <c r="AQ106" s="237"/>
      <c r="AR106" s="238"/>
      <c r="AS106" s="238"/>
      <c r="AT106" s="238"/>
      <c r="AU106" s="238"/>
      <c r="AV106" s="238"/>
      <c r="AW106" s="238"/>
      <c r="AX106" s="238"/>
      <c r="AY106" s="238"/>
      <c r="AZ106" s="238"/>
      <c r="BA106" s="238"/>
      <c r="BB106" s="239"/>
    </row>
    <row r="107" spans="1:55">
      <c r="A107" s="68"/>
      <c r="B107" s="250">
        <v>2</v>
      </c>
      <c r="C107" s="250"/>
      <c r="D107" s="251" t="s">
        <v>47</v>
      </c>
      <c r="E107" s="252"/>
      <c r="F107" s="252"/>
      <c r="G107" s="252"/>
      <c r="H107" s="252"/>
      <c r="I107" s="253"/>
      <c r="J107" s="251" t="s">
        <v>61</v>
      </c>
      <c r="K107" s="252"/>
      <c r="L107" s="252"/>
      <c r="M107" s="252"/>
      <c r="N107" s="252"/>
      <c r="O107" s="253"/>
      <c r="P107" s="251" t="s">
        <v>90</v>
      </c>
      <c r="Q107" s="252"/>
      <c r="R107" s="252"/>
      <c r="S107" s="252"/>
      <c r="T107" s="252"/>
      <c r="U107" s="253"/>
      <c r="V107" s="254" t="s">
        <v>31</v>
      </c>
      <c r="W107" s="255"/>
      <c r="X107" s="254" t="s">
        <v>60</v>
      </c>
      <c r="Y107" s="256"/>
      <c r="Z107" s="255"/>
      <c r="AA107" s="254" t="s">
        <v>60</v>
      </c>
      <c r="AB107" s="256"/>
      <c r="AC107" s="255"/>
      <c r="AD107" s="254" t="s">
        <v>60</v>
      </c>
      <c r="AE107" s="256"/>
      <c r="AF107" s="255"/>
      <c r="AG107" s="251"/>
      <c r="AH107" s="252"/>
      <c r="AI107" s="252"/>
      <c r="AJ107" s="252"/>
      <c r="AK107" s="252"/>
      <c r="AL107" s="252"/>
      <c r="AM107" s="252"/>
      <c r="AN107" s="252"/>
      <c r="AO107" s="252"/>
      <c r="AP107" s="253"/>
      <c r="AQ107" s="237"/>
      <c r="AR107" s="238"/>
      <c r="AS107" s="238"/>
      <c r="AT107" s="238"/>
      <c r="AU107" s="238"/>
      <c r="AV107" s="238"/>
      <c r="AW107" s="238"/>
      <c r="AX107" s="238"/>
      <c r="AY107" s="238"/>
      <c r="AZ107" s="238"/>
      <c r="BA107" s="238"/>
      <c r="BB107" s="239"/>
    </row>
    <row r="108" spans="1:55">
      <c r="A108" s="68"/>
      <c r="B108" s="250">
        <v>3</v>
      </c>
      <c r="C108" s="250"/>
      <c r="D108" s="251" t="s">
        <v>91</v>
      </c>
      <c r="E108" s="252"/>
      <c r="F108" s="252"/>
      <c r="G108" s="252"/>
      <c r="H108" s="252"/>
      <c r="I108" s="253"/>
      <c r="J108" s="251" t="s">
        <v>92</v>
      </c>
      <c r="K108" s="252"/>
      <c r="L108" s="252"/>
      <c r="M108" s="252"/>
      <c r="N108" s="252"/>
      <c r="O108" s="253"/>
      <c r="P108" s="251" t="s">
        <v>50</v>
      </c>
      <c r="Q108" s="252"/>
      <c r="R108" s="252"/>
      <c r="S108" s="252"/>
      <c r="T108" s="252"/>
      <c r="U108" s="253"/>
      <c r="V108" s="254" t="s">
        <v>31</v>
      </c>
      <c r="W108" s="255"/>
      <c r="X108" s="254" t="s">
        <v>60</v>
      </c>
      <c r="Y108" s="256"/>
      <c r="Z108" s="255"/>
      <c r="AA108" s="254" t="s">
        <v>60</v>
      </c>
      <c r="AB108" s="256"/>
      <c r="AC108" s="255"/>
      <c r="AD108" s="254" t="s">
        <v>60</v>
      </c>
      <c r="AE108" s="256"/>
      <c r="AF108" s="255"/>
      <c r="AG108" s="251"/>
      <c r="AH108" s="252"/>
      <c r="AI108" s="252"/>
      <c r="AJ108" s="252"/>
      <c r="AK108" s="252"/>
      <c r="AL108" s="252"/>
      <c r="AM108" s="252"/>
      <c r="AN108" s="252"/>
      <c r="AO108" s="252"/>
      <c r="AP108" s="253"/>
      <c r="AQ108" s="237"/>
      <c r="AR108" s="238"/>
      <c r="AS108" s="238"/>
      <c r="AT108" s="238"/>
      <c r="AU108" s="238"/>
      <c r="AV108" s="238"/>
      <c r="AW108" s="238"/>
      <c r="AX108" s="238"/>
      <c r="AY108" s="238"/>
      <c r="AZ108" s="238"/>
      <c r="BA108" s="238"/>
      <c r="BB108" s="239"/>
    </row>
    <row r="109" spans="1:55">
      <c r="A109" s="68"/>
      <c r="B109" s="250">
        <v>4</v>
      </c>
      <c r="C109" s="250"/>
      <c r="D109" s="251" t="s">
        <v>62</v>
      </c>
      <c r="E109" s="252"/>
      <c r="F109" s="252"/>
      <c r="G109" s="252"/>
      <c r="H109" s="252"/>
      <c r="I109" s="253"/>
      <c r="J109" s="251" t="s">
        <v>31</v>
      </c>
      <c r="K109" s="252"/>
      <c r="L109" s="252"/>
      <c r="M109" s="252"/>
      <c r="N109" s="252"/>
      <c r="O109" s="253"/>
      <c r="P109" s="251" t="s">
        <v>63</v>
      </c>
      <c r="Q109" s="252"/>
      <c r="R109" s="252"/>
      <c r="S109" s="252"/>
      <c r="T109" s="252"/>
      <c r="U109" s="253"/>
      <c r="V109" s="254" t="s">
        <v>31</v>
      </c>
      <c r="W109" s="255"/>
      <c r="X109" s="254" t="s">
        <v>60</v>
      </c>
      <c r="Y109" s="256"/>
      <c r="Z109" s="255"/>
      <c r="AA109" s="254" t="s">
        <v>60</v>
      </c>
      <c r="AB109" s="256"/>
      <c r="AC109" s="255"/>
      <c r="AD109" s="254" t="s">
        <v>60</v>
      </c>
      <c r="AE109" s="256"/>
      <c r="AF109" s="255"/>
      <c r="AG109" s="251" t="s">
        <v>64</v>
      </c>
      <c r="AH109" s="252"/>
      <c r="AI109" s="252"/>
      <c r="AJ109" s="252"/>
      <c r="AK109" s="252"/>
      <c r="AL109" s="252"/>
      <c r="AM109" s="252"/>
      <c r="AN109" s="252"/>
      <c r="AO109" s="252"/>
      <c r="AP109" s="253"/>
      <c r="AQ109" s="237"/>
      <c r="AR109" s="238"/>
      <c r="AS109" s="238"/>
      <c r="AT109" s="238"/>
      <c r="AU109" s="238"/>
      <c r="AV109" s="238"/>
      <c r="AW109" s="238"/>
      <c r="AX109" s="238"/>
      <c r="AY109" s="238"/>
      <c r="AZ109" s="238"/>
      <c r="BA109" s="238"/>
      <c r="BB109" s="239"/>
    </row>
    <row r="110" spans="1:55">
      <c r="A110" s="68"/>
      <c r="B110" s="59"/>
      <c r="C110" s="59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1"/>
      <c r="AR110" s="61"/>
      <c r="AS110" s="61"/>
      <c r="AT110" s="61"/>
      <c r="AU110" s="61"/>
      <c r="AV110" s="61"/>
      <c r="AW110" s="61"/>
      <c r="AX110" s="62"/>
      <c r="AY110" s="62"/>
      <c r="AZ110" s="62"/>
      <c r="BA110" s="62"/>
      <c r="BB110" s="62"/>
    </row>
    <row r="112" spans="1:55">
      <c r="A112" s="33"/>
      <c r="B112" s="249" t="s">
        <v>65</v>
      </c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49"/>
      <c r="AI112" s="249"/>
      <c r="AJ112" s="249"/>
      <c r="AK112" s="249"/>
      <c r="AL112" s="249"/>
      <c r="AM112" s="249"/>
      <c r="AN112" s="249"/>
      <c r="AO112" s="249"/>
      <c r="AP112" s="249"/>
      <c r="AQ112" s="249"/>
      <c r="AR112" s="249"/>
      <c r="AS112" s="249"/>
      <c r="AT112" s="249"/>
      <c r="AU112" s="249"/>
      <c r="AV112" s="249"/>
      <c r="AW112" s="249"/>
      <c r="AX112" s="249"/>
      <c r="AY112" s="249"/>
      <c r="AZ112" s="249"/>
      <c r="BA112" s="249"/>
      <c r="BB112" s="249"/>
      <c r="BC112" s="33"/>
    </row>
    <row r="113" spans="1:55">
      <c r="A113" s="33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  <c r="AM113" s="249"/>
      <c r="AN113" s="249"/>
      <c r="AO113" s="249"/>
      <c r="AP113" s="249"/>
      <c r="AQ113" s="249"/>
      <c r="AR113" s="249"/>
      <c r="AS113" s="249"/>
      <c r="AT113" s="249"/>
      <c r="AU113" s="249"/>
      <c r="AV113" s="249"/>
      <c r="AW113" s="249"/>
      <c r="AX113" s="249"/>
      <c r="AY113" s="249"/>
      <c r="AZ113" s="249"/>
      <c r="BA113" s="249"/>
      <c r="BB113" s="249"/>
      <c r="BC113" s="33"/>
    </row>
    <row r="114" spans="1:55">
      <c r="A114" s="33"/>
      <c r="B114" s="29" t="s">
        <v>29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spans="1:55">
      <c r="A115" s="33"/>
      <c r="B115" s="265" t="s">
        <v>17</v>
      </c>
      <c r="C115" s="266"/>
      <c r="D115" s="246" t="s">
        <v>28</v>
      </c>
      <c r="E115" s="247"/>
      <c r="F115" s="247"/>
      <c r="G115" s="247"/>
      <c r="H115" s="247"/>
      <c r="I115" s="248"/>
      <c r="J115" s="246" t="s">
        <v>27</v>
      </c>
      <c r="K115" s="247"/>
      <c r="L115" s="247"/>
      <c r="M115" s="247"/>
      <c r="N115" s="247"/>
      <c r="O115" s="248"/>
      <c r="P115" s="246" t="s">
        <v>32</v>
      </c>
      <c r="Q115" s="247"/>
      <c r="R115" s="247"/>
      <c r="S115" s="247"/>
      <c r="T115" s="247"/>
      <c r="U115" s="248"/>
      <c r="V115" s="246" t="s">
        <v>26</v>
      </c>
      <c r="W115" s="248"/>
      <c r="X115" s="246" t="s">
        <v>25</v>
      </c>
      <c r="Y115" s="247"/>
      <c r="Z115" s="248"/>
      <c r="AA115" s="246" t="s">
        <v>24</v>
      </c>
      <c r="AB115" s="247"/>
      <c r="AC115" s="248"/>
      <c r="AD115" s="246" t="s">
        <v>23</v>
      </c>
      <c r="AE115" s="247"/>
      <c r="AF115" s="248"/>
      <c r="AG115" s="246" t="s">
        <v>33</v>
      </c>
      <c r="AH115" s="248"/>
      <c r="AI115" s="246" t="s">
        <v>22</v>
      </c>
      <c r="AJ115" s="247"/>
      <c r="AK115" s="247"/>
      <c r="AL115" s="247"/>
      <c r="AM115" s="247"/>
      <c r="AN115" s="247"/>
      <c r="AO115" s="247"/>
      <c r="AP115" s="248"/>
      <c r="AQ115" s="240" t="s">
        <v>18</v>
      </c>
      <c r="AR115" s="241"/>
      <c r="AS115" s="241"/>
      <c r="AT115" s="241"/>
      <c r="AU115" s="241"/>
      <c r="AV115" s="241"/>
      <c r="AW115" s="241"/>
      <c r="AX115" s="241"/>
      <c r="AY115" s="241"/>
      <c r="AZ115" s="241"/>
      <c r="BA115" s="241"/>
      <c r="BB115" s="242"/>
      <c r="BC115" s="33"/>
    </row>
    <row r="116" spans="1:55">
      <c r="A116" s="33"/>
      <c r="B116" s="229">
        <v>1</v>
      </c>
      <c r="C116" s="230"/>
      <c r="D116" s="231" t="s">
        <v>82</v>
      </c>
      <c r="E116" s="232"/>
      <c r="F116" s="232"/>
      <c r="G116" s="232"/>
      <c r="H116" s="232"/>
      <c r="I116" s="233"/>
      <c r="J116" s="231" t="s">
        <v>81</v>
      </c>
      <c r="K116" s="232"/>
      <c r="L116" s="232"/>
      <c r="M116" s="232"/>
      <c r="N116" s="232"/>
      <c r="O116" s="233"/>
      <c r="P116" s="231" t="s">
        <v>50</v>
      </c>
      <c r="Q116" s="232"/>
      <c r="R116" s="232"/>
      <c r="S116" s="232"/>
      <c r="T116" s="232"/>
      <c r="U116" s="233"/>
      <c r="V116" s="234" t="s">
        <v>80</v>
      </c>
      <c r="W116" s="235"/>
      <c r="X116" s="234" t="s">
        <v>31</v>
      </c>
      <c r="Y116" s="236"/>
      <c r="Z116" s="235"/>
      <c r="AA116" s="234" t="s">
        <v>31</v>
      </c>
      <c r="AB116" s="236"/>
      <c r="AC116" s="235"/>
      <c r="AD116" s="234" t="s">
        <v>31</v>
      </c>
      <c r="AE116" s="236"/>
      <c r="AF116" s="235"/>
      <c r="AG116" s="234" t="s">
        <v>31</v>
      </c>
      <c r="AH116" s="235"/>
      <c r="AI116" s="243"/>
      <c r="AJ116" s="244"/>
      <c r="AK116" s="244"/>
      <c r="AL116" s="244"/>
      <c r="AM116" s="244"/>
      <c r="AN116" s="244"/>
      <c r="AO116" s="244"/>
      <c r="AP116" s="245"/>
      <c r="AQ116" s="45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7"/>
      <c r="BC116" s="33"/>
    </row>
    <row r="117" spans="1:55">
      <c r="A117" s="33"/>
      <c r="B117" s="229">
        <v>2</v>
      </c>
      <c r="C117" s="230"/>
      <c r="D117" s="231" t="s">
        <v>95</v>
      </c>
      <c r="E117" s="232"/>
      <c r="F117" s="232"/>
      <c r="G117" s="232"/>
      <c r="H117" s="232"/>
      <c r="I117" s="233"/>
      <c r="J117" s="231"/>
      <c r="K117" s="232"/>
      <c r="L117" s="232"/>
      <c r="M117" s="232"/>
      <c r="N117" s="232"/>
      <c r="O117" s="233"/>
      <c r="P117" s="231" t="s">
        <v>97</v>
      </c>
      <c r="Q117" s="232"/>
      <c r="R117" s="232"/>
      <c r="S117" s="232"/>
      <c r="T117" s="232"/>
      <c r="U117" s="233"/>
      <c r="V117" s="234" t="s">
        <v>80</v>
      </c>
      <c r="W117" s="235"/>
      <c r="X117" s="234" t="s">
        <v>31</v>
      </c>
      <c r="Y117" s="236"/>
      <c r="Z117" s="235"/>
      <c r="AA117" s="234" t="s">
        <v>31</v>
      </c>
      <c r="AB117" s="236"/>
      <c r="AC117" s="235"/>
      <c r="AD117" s="234" t="s">
        <v>31</v>
      </c>
      <c r="AE117" s="236"/>
      <c r="AF117" s="235"/>
      <c r="AG117" s="234" t="s">
        <v>31</v>
      </c>
      <c r="AH117" s="235"/>
      <c r="AI117" s="243"/>
      <c r="AJ117" s="244"/>
      <c r="AK117" s="244"/>
      <c r="AL117" s="244"/>
      <c r="AM117" s="244"/>
      <c r="AN117" s="244"/>
      <c r="AO117" s="244"/>
      <c r="AP117" s="245"/>
      <c r="AQ117" s="45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7"/>
      <c r="BC117" s="33"/>
    </row>
    <row r="118" spans="1:55">
      <c r="A118" s="33"/>
      <c r="B118" s="229">
        <v>3</v>
      </c>
      <c r="C118" s="230"/>
      <c r="D118" s="231" t="s">
        <v>66</v>
      </c>
      <c r="E118" s="232"/>
      <c r="F118" s="232"/>
      <c r="G118" s="232"/>
      <c r="H118" s="232"/>
      <c r="I118" s="233"/>
      <c r="J118" s="231" t="s">
        <v>31</v>
      </c>
      <c r="K118" s="232"/>
      <c r="L118" s="232"/>
      <c r="M118" s="232"/>
      <c r="N118" s="232"/>
      <c r="O118" s="233"/>
      <c r="P118" s="231" t="s">
        <v>79</v>
      </c>
      <c r="Q118" s="232"/>
      <c r="R118" s="232"/>
      <c r="S118" s="232"/>
      <c r="T118" s="232"/>
      <c r="U118" s="233"/>
      <c r="V118" s="234" t="s">
        <v>31</v>
      </c>
      <c r="W118" s="235"/>
      <c r="X118" s="234" t="s">
        <v>31</v>
      </c>
      <c r="Y118" s="236"/>
      <c r="Z118" s="235"/>
      <c r="AA118" s="234" t="s">
        <v>31</v>
      </c>
      <c r="AB118" s="236"/>
      <c r="AC118" s="235"/>
      <c r="AD118" s="234" t="s">
        <v>31</v>
      </c>
      <c r="AE118" s="236"/>
      <c r="AF118" s="235"/>
      <c r="AG118" s="234" t="s">
        <v>31</v>
      </c>
      <c r="AH118" s="235"/>
      <c r="AI118" s="243"/>
      <c r="AJ118" s="244"/>
      <c r="AK118" s="244"/>
      <c r="AL118" s="244"/>
      <c r="AM118" s="244"/>
      <c r="AN118" s="244"/>
      <c r="AO118" s="244"/>
      <c r="AP118" s="245"/>
      <c r="AQ118" s="45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7"/>
      <c r="BC118" s="33"/>
    </row>
    <row r="119" spans="1:55">
      <c r="A119" s="33"/>
      <c r="B119" s="48"/>
      <c r="C119" s="48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33"/>
    </row>
    <row r="120" spans="1:55">
      <c r="A120" s="33"/>
      <c r="B120" s="29" t="s">
        <v>36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spans="1:55">
      <c r="B121" s="280" t="s">
        <v>37</v>
      </c>
      <c r="C121" s="281"/>
      <c r="D121" s="282" t="s">
        <v>28</v>
      </c>
      <c r="E121" s="283"/>
      <c r="F121" s="283"/>
      <c r="G121" s="283"/>
      <c r="H121" s="283"/>
      <c r="I121" s="284"/>
      <c r="J121" s="280" t="s">
        <v>39</v>
      </c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281"/>
      <c r="W121" s="280" t="s">
        <v>40</v>
      </c>
      <c r="X121" s="309"/>
      <c r="Y121" s="309"/>
      <c r="Z121" s="309"/>
      <c r="AA121" s="309"/>
      <c r="AB121" s="309"/>
      <c r="AC121" s="309"/>
      <c r="AD121" s="309"/>
      <c r="AE121" s="309"/>
      <c r="AF121" s="309"/>
      <c r="AG121" s="309"/>
      <c r="AH121" s="309"/>
      <c r="AI121" s="281"/>
      <c r="AJ121" s="280" t="s">
        <v>41</v>
      </c>
      <c r="AK121" s="309"/>
      <c r="AL121" s="309"/>
      <c r="AM121" s="309"/>
      <c r="AN121" s="309"/>
      <c r="AO121" s="309"/>
      <c r="AP121" s="309"/>
      <c r="AQ121" s="309"/>
      <c r="AR121" s="309"/>
      <c r="AS121" s="309"/>
      <c r="AT121" s="309"/>
      <c r="AU121" s="309"/>
      <c r="AV121" s="309"/>
      <c r="AW121" s="309"/>
      <c r="AX121" s="309"/>
      <c r="AY121" s="309"/>
      <c r="AZ121" s="309"/>
      <c r="BA121" s="309"/>
      <c r="BB121" s="281"/>
      <c r="BC121" s="33"/>
    </row>
    <row r="122" spans="1:55">
      <c r="B122" s="275">
        <v>1</v>
      </c>
      <c r="C122" s="276"/>
      <c r="D122" s="231" t="s">
        <v>66</v>
      </c>
      <c r="E122" s="232"/>
      <c r="F122" s="232"/>
      <c r="G122" s="232"/>
      <c r="H122" s="232"/>
      <c r="I122" s="233"/>
      <c r="J122" s="30" t="s">
        <v>102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2"/>
      <c r="W122" s="71" t="s">
        <v>78</v>
      </c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3"/>
      <c r="AJ122" s="27" t="s">
        <v>103</v>
      </c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74"/>
      <c r="BC122" s="33"/>
    </row>
  </sheetData>
  <mergeCells count="213">
    <mergeCell ref="B100:C100"/>
    <mergeCell ref="D100:I100"/>
    <mergeCell ref="B121:C121"/>
    <mergeCell ref="D121:I121"/>
    <mergeCell ref="J121:V121"/>
    <mergeCell ref="W121:AI121"/>
    <mergeCell ref="AJ121:BB121"/>
    <mergeCell ref="B122:C122"/>
    <mergeCell ref="D122:I122"/>
    <mergeCell ref="J98:V98"/>
    <mergeCell ref="W98:AI98"/>
    <mergeCell ref="B93:C93"/>
    <mergeCell ref="D93:I93"/>
    <mergeCell ref="J93:O93"/>
    <mergeCell ref="AJ98:BB98"/>
    <mergeCell ref="AG93:AH93"/>
    <mergeCell ref="AI93:AP93"/>
    <mergeCell ref="X93:Z93"/>
    <mergeCell ref="AA95:AC95"/>
    <mergeCell ref="AD95:AF95"/>
    <mergeCell ref="AA93:AC93"/>
    <mergeCell ref="AG95:AH95"/>
    <mergeCell ref="AI95:AP95"/>
    <mergeCell ref="AG94:AH94"/>
    <mergeCell ref="X94:Z94"/>
    <mergeCell ref="AA94:AC94"/>
    <mergeCell ref="AD94:AF94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70:BB71"/>
    <mergeCell ref="B90:BB91"/>
    <mergeCell ref="AQ93:BB93"/>
    <mergeCell ref="B70:C71"/>
    <mergeCell ref="B75:C75"/>
    <mergeCell ref="D75:L75"/>
    <mergeCell ref="M75:V75"/>
    <mergeCell ref="W75:AE75"/>
    <mergeCell ref="B73:C73"/>
    <mergeCell ref="D73:L73"/>
    <mergeCell ref="M73:V73"/>
    <mergeCell ref="B79:C79"/>
    <mergeCell ref="D79:L79"/>
    <mergeCell ref="W79:AE79"/>
    <mergeCell ref="W76:AE76"/>
    <mergeCell ref="M79:V79"/>
    <mergeCell ref="B76:C76"/>
    <mergeCell ref="B83:C83"/>
    <mergeCell ref="D83:L83"/>
    <mergeCell ref="M83:V83"/>
    <mergeCell ref="W83:AE83"/>
    <mergeCell ref="B84:C84"/>
    <mergeCell ref="D84:L84"/>
    <mergeCell ref="M84:V84"/>
    <mergeCell ref="D70:L71"/>
    <mergeCell ref="M70:AE70"/>
    <mergeCell ref="M71:V71"/>
    <mergeCell ref="W71:AE71"/>
    <mergeCell ref="W84:AE84"/>
    <mergeCell ref="B80:C80"/>
    <mergeCell ref="D80:L80"/>
    <mergeCell ref="M80:V80"/>
    <mergeCell ref="W80:AE80"/>
    <mergeCell ref="B81:C81"/>
    <mergeCell ref="D81:L81"/>
    <mergeCell ref="M81:V81"/>
    <mergeCell ref="W81:AE81"/>
    <mergeCell ref="B82:C82"/>
    <mergeCell ref="D82:L82"/>
    <mergeCell ref="W82:AE82"/>
    <mergeCell ref="M82:V82"/>
    <mergeCell ref="V105:W105"/>
    <mergeCell ref="X105:Z105"/>
    <mergeCell ref="AA105:AC105"/>
    <mergeCell ref="AD105:AF105"/>
    <mergeCell ref="W73:AE73"/>
    <mergeCell ref="V93:W93"/>
    <mergeCell ref="D76:L76"/>
    <mergeCell ref="B77:C77"/>
    <mergeCell ref="D77:L77"/>
    <mergeCell ref="M76:V76"/>
    <mergeCell ref="M77:V77"/>
    <mergeCell ref="W77:AE77"/>
    <mergeCell ref="P93:U93"/>
    <mergeCell ref="B99:C99"/>
    <mergeCell ref="D99:I99"/>
    <mergeCell ref="AD93:AF93"/>
    <mergeCell ref="B95:C95"/>
    <mergeCell ref="D95:I95"/>
    <mergeCell ref="J95:O95"/>
    <mergeCell ref="P95:U95"/>
    <mergeCell ref="V95:W95"/>
    <mergeCell ref="X95:Z95"/>
    <mergeCell ref="B98:C98"/>
    <mergeCell ref="D98:I98"/>
    <mergeCell ref="B85:C85"/>
    <mergeCell ref="D85:L85"/>
    <mergeCell ref="M85:V85"/>
    <mergeCell ref="W85:AE85"/>
    <mergeCell ref="AI116:AP116"/>
    <mergeCell ref="B116:C116"/>
    <mergeCell ref="D116:I116"/>
    <mergeCell ref="J116:O116"/>
    <mergeCell ref="P116:U116"/>
    <mergeCell ref="V116:W116"/>
    <mergeCell ref="X116:Z116"/>
    <mergeCell ref="AA116:AC116"/>
    <mergeCell ref="AD116:AF116"/>
    <mergeCell ref="AG116:AH116"/>
    <mergeCell ref="B115:C115"/>
    <mergeCell ref="D115:I115"/>
    <mergeCell ref="J115:O115"/>
    <mergeCell ref="P115:U115"/>
    <mergeCell ref="V115:W115"/>
    <mergeCell ref="AI94:AP94"/>
    <mergeCell ref="B102:BB103"/>
    <mergeCell ref="AG105:AP105"/>
    <mergeCell ref="B106:C106"/>
    <mergeCell ref="AQ105:BB105"/>
    <mergeCell ref="B94:C94"/>
    <mergeCell ref="D94:I94"/>
    <mergeCell ref="J94:O94"/>
    <mergeCell ref="P94:U94"/>
    <mergeCell ref="V94:W94"/>
    <mergeCell ref="AG106:AP106"/>
    <mergeCell ref="AQ106:BB106"/>
    <mergeCell ref="B107:C107"/>
    <mergeCell ref="D107:I107"/>
    <mergeCell ref="J107:O107"/>
    <mergeCell ref="P107:U107"/>
    <mergeCell ref="V107:W107"/>
    <mergeCell ref="X107:Z107"/>
    <mergeCell ref="AA107:AC107"/>
    <mergeCell ref="AD107:AF107"/>
    <mergeCell ref="AG107:AP107"/>
    <mergeCell ref="AQ107:BB107"/>
    <mergeCell ref="D106:I106"/>
    <mergeCell ref="J106:O106"/>
    <mergeCell ref="P106:U106"/>
    <mergeCell ref="V106:W106"/>
    <mergeCell ref="X106:Z106"/>
    <mergeCell ref="AA106:AC106"/>
    <mergeCell ref="AD106:AF106"/>
    <mergeCell ref="AG108:AP108"/>
    <mergeCell ref="AQ109:BB109"/>
    <mergeCell ref="B109:C109"/>
    <mergeCell ref="D109:I109"/>
    <mergeCell ref="J109:O109"/>
    <mergeCell ref="P109:U109"/>
    <mergeCell ref="V109:W109"/>
    <mergeCell ref="X109:Z109"/>
    <mergeCell ref="AA109:AC109"/>
    <mergeCell ref="AD109:AF109"/>
    <mergeCell ref="AG109:AP109"/>
    <mergeCell ref="AQ108:BB108"/>
    <mergeCell ref="AQ115:BB115"/>
    <mergeCell ref="B118:C118"/>
    <mergeCell ref="D118:I118"/>
    <mergeCell ref="J118:O118"/>
    <mergeCell ref="P118:U118"/>
    <mergeCell ref="V118:W118"/>
    <mergeCell ref="X118:Z118"/>
    <mergeCell ref="AA118:AC118"/>
    <mergeCell ref="AD118:AF118"/>
    <mergeCell ref="AG118:AH118"/>
    <mergeCell ref="AI118:AP118"/>
    <mergeCell ref="X115:Z115"/>
    <mergeCell ref="AA115:AC115"/>
    <mergeCell ref="AD115:AF115"/>
    <mergeCell ref="AG115:AH115"/>
    <mergeCell ref="AI115:AP115"/>
    <mergeCell ref="B112:BB113"/>
    <mergeCell ref="AG117:AH117"/>
    <mergeCell ref="AI117:AP117"/>
    <mergeCell ref="B108:C108"/>
    <mergeCell ref="D108:I108"/>
    <mergeCell ref="J108:O108"/>
    <mergeCell ref="P108:U108"/>
    <mergeCell ref="B87:C87"/>
    <mergeCell ref="D87:L87"/>
    <mergeCell ref="M87:V87"/>
    <mergeCell ref="W87:AE87"/>
    <mergeCell ref="B88:C88"/>
    <mergeCell ref="D88:L88"/>
    <mergeCell ref="M88:V88"/>
    <mergeCell ref="W88:AE88"/>
    <mergeCell ref="B117:C117"/>
    <mergeCell ref="D117:I117"/>
    <mergeCell ref="J117:O117"/>
    <mergeCell ref="P117:U117"/>
    <mergeCell ref="V117:W117"/>
    <mergeCell ref="X117:Z117"/>
    <mergeCell ref="AA117:AC117"/>
    <mergeCell ref="AD117:AF117"/>
    <mergeCell ref="V108:W108"/>
    <mergeCell ref="X108:Z108"/>
    <mergeCell ref="AA108:AC108"/>
    <mergeCell ref="AD108:AF108"/>
    <mergeCell ref="B105:C105"/>
    <mergeCell ref="D105:I105"/>
    <mergeCell ref="J105:O105"/>
    <mergeCell ref="P105:U105"/>
  </mergeCells>
  <phoneticPr fontId="1"/>
  <pageMargins left="0.23622047244094491" right="0.23622047244094491" top="0.55118110236220474" bottom="0.74803149606299213" header="0.31496062992125984" footer="0.31496062992125984"/>
  <pageSetup paperSize="9" scale="53" orientation="landscape" r:id="rId1"/>
  <headerFooter>
    <oddFooter>&amp;C&amp;8&amp;P / &amp;N ページ</oddFooter>
  </headerFooter>
  <rowBreaks count="2" manualBreakCount="2">
    <brk id="67" max="57" man="1"/>
    <brk id="89" max="5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請求情報出力画面（管理者権限）</vt:lpstr>
      <vt:lpstr>更新履歴!Print_Area</vt:lpstr>
      <vt:lpstr>'請求情報出力画面（管理者権限）'!Print_Area</vt:lpstr>
      <vt:lpstr>'請求情報出力画面（管理者権限）'!Print_Titles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2019-11-14T02:30:29Z</dcterms:modified>
</cp:coreProperties>
</file>