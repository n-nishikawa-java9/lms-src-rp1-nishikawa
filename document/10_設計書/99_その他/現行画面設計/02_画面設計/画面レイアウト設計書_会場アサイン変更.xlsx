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12_13期課題対応\20_基本設計\01.11月対応分\02_画面設計\"/>
    </mc:Choice>
  </mc:AlternateContent>
  <xr:revisionPtr revIDLastSave="0" documentId="13_ncr:1_{A65B2EFD-B375-4C5A-9483-5A4691B91992}" xr6:coauthVersionLast="45" xr6:coauthVersionMax="45" xr10:uidLastSave="{00000000-0000-0000-0000-000000000000}"/>
  <bookViews>
    <workbookView xWindow="-120" yWindow="-16320" windowWidth="29040" windowHeight="15840" xr2:uid="{B2BBB4D2-96E9-42C6-A2E4-880AB7E4E1AD}"/>
  </bookViews>
  <sheets>
    <sheet name="表紙" sheetId="1" r:id="rId1"/>
    <sheet name="更新履歴" sheetId="2" r:id="rId2"/>
    <sheet name="会場アサイン変更" sheetId="4" r:id="rId3"/>
  </sheets>
  <externalReferences>
    <externalReference r:id="rId4"/>
    <externalReference r:id="rId5"/>
  </externalReferences>
  <definedNames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>#REF!</definedName>
    <definedName name="Excel_BuiltIn_Print_Area_3_3" localSheetId="2">#REF!</definedName>
    <definedName name="Excel_BuiltIn_Print_Area_3_3">#REF!</definedName>
    <definedName name="Excel_BuiltIn_Print_Area_3_4" localSheetId="2">#REF!</definedName>
    <definedName name="Excel_BuiltIn_Print_Area_3_4">#REF!</definedName>
    <definedName name="Excel_BuiltIn_Print_Titles_3" localSheetId="2">#REF!</definedName>
    <definedName name="Excel_BuiltIn_Print_Titles_3">#REF!</definedName>
    <definedName name="Excel_BuiltIn_Print_Titles_3_3" localSheetId="2">#REF!</definedName>
    <definedName name="Excel_BuiltIn_Print_Titles_3_3">#REF!</definedName>
    <definedName name="Excel_BuiltIn_Print_Titles_3_4" localSheetId="2">#REF!</definedName>
    <definedName name="Excel_BuiltIn_Print_Titles_3_4">#REF!</definedName>
    <definedName name="Excel_BuiltIn_Print_Titles_6" localSheetId="2">#REF!</definedName>
    <definedName name="Excel_BuiltIn_Print_Titles_6">#REF!</definedName>
    <definedName name="Excel_BuiltIn_Print_Titles_6_3" localSheetId="2">#REF!</definedName>
    <definedName name="Excel_BuiltIn_Print_Titles_6_3">#REF!</definedName>
    <definedName name="Excel_BuiltIn_Print_Titles_6_4" localSheetId="2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会場アサイン変更!$A$1:$BC$76</definedName>
    <definedName name="_xlnm.Print_Area" localSheetId="1">更新履歴!$A$1:$BC$37</definedName>
    <definedName name="_xlnm.Print_Titles" localSheetId="2">会場アサイン変更!$1:$4</definedName>
    <definedName name="ｓｓｓｓｓｓｓｓ" localSheetId="2" hidden="1">{"ID名称",#N/A,FALSE,"進捗状況";"prog予定",#N/A,FALSE,"進捗状況"}</definedName>
    <definedName name="ｓｓｓｓｓｓｓｓ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あｓｄｆ" localSheetId="2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2" l="1"/>
  <c r="R2" i="4" l="1"/>
  <c r="R1" i="2" l="1"/>
  <c r="AA17" i="1"/>
  <c r="X17" i="1"/>
</calcChain>
</file>

<file path=xl/sharedStrings.xml><?xml version="1.0" encoding="utf-8"?>
<sst xmlns="http://schemas.openxmlformats.org/spreadsheetml/2006/main" count="166" uniqueCount="110">
  <si>
    <t>LMS学習管理システム</t>
    <phoneticPr fontId="2"/>
  </si>
  <si>
    <t>画面レイアウト設計書</t>
    <rPh sb="0" eb="2">
      <t>ガメン</t>
    </rPh>
    <rPh sb="7" eb="10">
      <t>セッケイショ</t>
    </rPh>
    <phoneticPr fontId="5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</si>
  <si>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</si>
  <si>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</si>
  <si>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</si>
  <si>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プロジェクト名</t>
    <rPh sb="6" eb="7">
      <t>メイ</t>
    </rPh>
    <phoneticPr fontId="10"/>
  </si>
  <si>
    <t>システム名</t>
    <rPh sb="4" eb="5">
      <t>メイ</t>
    </rPh>
    <phoneticPr fontId="10"/>
  </si>
  <si>
    <t>作成者</t>
    <rPh sb="0" eb="3">
      <t>サクセイシャ</t>
    </rPh>
    <phoneticPr fontId="10"/>
  </si>
  <si>
    <t>作成日</t>
    <rPh sb="0" eb="3">
      <t>サクセイビ</t>
    </rPh>
    <phoneticPr fontId="10"/>
  </si>
  <si>
    <t>更新者</t>
    <rPh sb="0" eb="3">
      <t>コウシンシャ</t>
    </rPh>
    <phoneticPr fontId="10"/>
  </si>
  <si>
    <t>更新日</t>
    <rPh sb="0" eb="3">
      <t>コウシンビ</t>
    </rPh>
    <phoneticPr fontId="10"/>
  </si>
  <si>
    <t>更新履歴</t>
    <phoneticPr fontId="5"/>
  </si>
  <si>
    <t>バージョン</t>
    <phoneticPr fontId="5"/>
  </si>
  <si>
    <t>日付</t>
    <rPh sb="0" eb="2">
      <t>ヒヅケ</t>
    </rPh>
    <phoneticPr fontId="5"/>
  </si>
  <si>
    <t>章番号</t>
    <rPh sb="0" eb="3">
      <t>ショウバンゴウ</t>
    </rPh>
    <phoneticPr fontId="5"/>
  </si>
  <si>
    <t>内容</t>
    <rPh sb="0" eb="2">
      <t>ナイヨウ</t>
    </rPh>
    <phoneticPr fontId="5"/>
  </si>
  <si>
    <t>作成者 / 更新者</t>
    <rPh sb="0" eb="3">
      <t>サクセイシャ</t>
    </rPh>
    <rPh sb="6" eb="9">
      <t>コウシンシャ</t>
    </rPh>
    <phoneticPr fontId="5"/>
  </si>
  <si>
    <t>全て</t>
    <rPh sb="0" eb="1">
      <t>スベ</t>
    </rPh>
    <phoneticPr fontId="5"/>
  </si>
  <si>
    <t>プロジェクト名</t>
    <rPh sb="6" eb="7">
      <t>メイ</t>
    </rPh>
    <phoneticPr fontId="2"/>
  </si>
  <si>
    <t>システム名</t>
    <rPh sb="4" eb="5">
      <t>メイ</t>
    </rPh>
    <phoneticPr fontId="2"/>
  </si>
  <si>
    <t>画面レイアウト設計書</t>
    <rPh sb="0" eb="2">
      <t>ガメン</t>
    </rPh>
    <rPh sb="7" eb="10">
      <t>セッケイショ</t>
    </rPh>
    <phoneticPr fontId="2"/>
  </si>
  <si>
    <t>作成日</t>
    <rPh sb="0" eb="3">
      <t>サクセイビ</t>
    </rPh>
    <phoneticPr fontId="2"/>
  </si>
  <si>
    <t>更新者</t>
    <rPh sb="0" eb="3">
      <t>コウシンシャ</t>
    </rPh>
    <phoneticPr fontId="2"/>
  </si>
  <si>
    <t>更新日</t>
    <rPh sb="0" eb="3">
      <t>コウシンビ</t>
    </rPh>
    <phoneticPr fontId="2"/>
  </si>
  <si>
    <t>画面イメージ</t>
    <rPh sb="0" eb="2">
      <t>ガメン</t>
    </rPh>
    <phoneticPr fontId="2"/>
  </si>
  <si>
    <t>出力仕様</t>
    <rPh sb="0" eb="2">
      <t>シュツリョク</t>
    </rPh>
    <rPh sb="2" eb="4">
      <t>シヨウ</t>
    </rPh>
    <phoneticPr fontId="2"/>
  </si>
  <si>
    <t xml:space="preserve"> </t>
    <phoneticPr fontId="2"/>
  </si>
  <si>
    <t>No</t>
    <phoneticPr fontId="2"/>
  </si>
  <si>
    <t>項目名</t>
    <rPh sb="0" eb="2">
      <t>コウモク</t>
    </rPh>
    <rPh sb="2" eb="3">
      <t>メイ</t>
    </rPh>
    <phoneticPr fontId="2"/>
  </si>
  <si>
    <t>データ元</t>
    <rPh sb="3" eb="4">
      <t>モト</t>
    </rPh>
    <phoneticPr fontId="2"/>
  </si>
  <si>
    <t>備考</t>
    <rPh sb="0" eb="2">
      <t>ビコウ</t>
    </rPh>
    <phoneticPr fontId="2"/>
  </si>
  <si>
    <t>テーブル名</t>
    <rPh sb="4" eb="5">
      <t>メイ</t>
    </rPh>
    <phoneticPr fontId="2"/>
  </si>
  <si>
    <t>フィールド</t>
    <phoneticPr fontId="2"/>
  </si>
  <si>
    <t>入力仕様</t>
    <rPh sb="0" eb="2">
      <t>ニュウリョク</t>
    </rPh>
    <rPh sb="2" eb="4">
      <t>シヨウ</t>
    </rPh>
    <phoneticPr fontId="2"/>
  </si>
  <si>
    <t>項目名</t>
    <rPh sb="0" eb="3">
      <t>コウモクメイ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</si>
  <si>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</si>
  <si>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</si>
  <si>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</si>
  <si>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</si>
  <si>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</si>
  <si>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</si>
  <si>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IME</t>
    <phoneticPr fontId="2"/>
  </si>
  <si>
    <t>属性</t>
    <rPh sb="0" eb="2">
      <t>ゾクセイ</t>
    </rPh>
    <phoneticPr fontId="2"/>
  </si>
  <si>
    <t>-</t>
  </si>
  <si>
    <t>LMS学習管理システム</t>
  </si>
  <si>
    <t>櫻井</t>
    <rPh sb="0" eb="2">
      <t>サクライ</t>
    </rPh>
    <phoneticPr fontId="2"/>
  </si>
  <si>
    <t>新規作成</t>
    <rPh sb="0" eb="2">
      <t>シンキ</t>
    </rPh>
    <rPh sb="2" eb="4">
      <t>サクセイ</t>
    </rPh>
    <phoneticPr fontId="2"/>
  </si>
  <si>
    <t>小川</t>
    <rPh sb="0" eb="2">
      <t>オガワ</t>
    </rPh>
    <phoneticPr fontId="2"/>
  </si>
  <si>
    <t>小川</t>
    <rPh sb="0" eb="2">
      <t>オガワ</t>
    </rPh>
    <phoneticPr fontId="5"/>
  </si>
  <si>
    <t>-</t>
    <phoneticPr fontId="2"/>
  </si>
  <si>
    <t>基本情報</t>
    <rPh sb="0" eb="2">
      <t>キホン</t>
    </rPh>
    <rPh sb="2" eb="4">
      <t>ジョウホウ</t>
    </rPh>
    <phoneticPr fontId="2"/>
  </si>
  <si>
    <t>詳細情報</t>
    <rPh sb="0" eb="2">
      <t>ショウサイ</t>
    </rPh>
    <rPh sb="2" eb="4">
      <t>ジョウホウ</t>
    </rPh>
    <phoneticPr fontId="2"/>
  </si>
  <si>
    <t>update</t>
    <phoneticPr fontId="2"/>
  </si>
  <si>
    <t>送信ボタン</t>
    <phoneticPr fontId="2"/>
  </si>
  <si>
    <t>〇</t>
    <phoneticPr fontId="2"/>
  </si>
  <si>
    <t>半角数字</t>
    <rPh sb="0" eb="2">
      <t>ハンカク</t>
    </rPh>
    <rPh sb="2" eb="4">
      <t>スウジ</t>
    </rPh>
    <phoneticPr fontId="2"/>
  </si>
  <si>
    <t>会場変更</t>
    <rPh sb="0" eb="2">
      <t>カイジョウ</t>
    </rPh>
    <rPh sb="2" eb="4">
      <t>ヘンコウ</t>
    </rPh>
    <phoneticPr fontId="2"/>
  </si>
  <si>
    <t>企業名</t>
    <rPh sb="0" eb="2">
      <t>キギョウ</t>
    </rPh>
    <rPh sb="2" eb="3">
      <t>メイ</t>
    </rPh>
    <phoneticPr fontId="2"/>
  </si>
  <si>
    <t>コース名</t>
    <rPh sb="3" eb="4">
      <t>メイ</t>
    </rPh>
    <phoneticPr fontId="2"/>
  </si>
  <si>
    <t>会場名</t>
    <rPh sb="0" eb="2">
      <t>カイジョウ</t>
    </rPh>
    <rPh sb="2" eb="3">
      <t>メイ</t>
    </rPh>
    <phoneticPr fontId="2"/>
  </si>
  <si>
    <t>アサイン人数</t>
    <rPh sb="4" eb="6">
      <t>ニンズウ</t>
    </rPh>
    <phoneticPr fontId="2"/>
  </si>
  <si>
    <t>オプション会場</t>
    <rPh sb="5" eb="7">
      <t>カイジョウ</t>
    </rPh>
    <phoneticPr fontId="2"/>
  </si>
  <si>
    <t>オプション会場追加</t>
    <rPh sb="5" eb="7">
      <t>カイジョウ</t>
    </rPh>
    <rPh sb="7" eb="9">
      <t>ツイカ</t>
    </rPh>
    <phoneticPr fontId="2"/>
  </si>
  <si>
    <t>削除</t>
    <rPh sb="0" eb="2">
      <t>サクジョ</t>
    </rPh>
    <phoneticPr fontId="2"/>
  </si>
  <si>
    <t>会場を追加</t>
    <rPh sb="0" eb="2">
      <t>カイジョウ</t>
    </rPh>
    <rPh sb="3" eb="5">
      <t>ツイカ</t>
    </rPh>
    <phoneticPr fontId="2"/>
  </si>
  <si>
    <t>確定</t>
    <rPh sb="0" eb="2">
      <t>カクテイ</t>
    </rPh>
    <phoneticPr fontId="2"/>
  </si>
  <si>
    <t>-</t>
    <phoneticPr fontId="2"/>
  </si>
  <si>
    <t>m_company</t>
    <phoneticPr fontId="2"/>
  </si>
  <si>
    <t>company_name</t>
    <phoneticPr fontId="2"/>
  </si>
  <si>
    <t>m_course</t>
    <phoneticPr fontId="2"/>
  </si>
  <si>
    <t>course_name</t>
    <phoneticPr fontId="2"/>
  </si>
  <si>
    <t>m_place</t>
    <phoneticPr fontId="2"/>
  </si>
  <si>
    <t>place_name</t>
    <phoneticPr fontId="2"/>
  </si>
  <si>
    <t>◆『確定』ボタン押下時</t>
    <rPh sb="2" eb="4">
      <t>カクテイ</t>
    </rPh>
    <rPh sb="8" eb="10">
      <t>オウカ</t>
    </rPh>
    <rPh sb="10" eb="11">
      <t>ジ</t>
    </rPh>
    <phoneticPr fontId="2"/>
  </si>
  <si>
    <t>会場ID</t>
    <rPh sb="0" eb="2">
      <t>カイジョウ</t>
    </rPh>
    <phoneticPr fontId="2"/>
  </si>
  <si>
    <t>確定</t>
    <rPh sb="0" eb="2">
      <t>カクテイ</t>
    </rPh>
    <phoneticPr fontId="2"/>
  </si>
  <si>
    <t>placeId</t>
    <phoneticPr fontId="2"/>
  </si>
  <si>
    <t>合計（分子）</t>
    <rPh sb="0" eb="2">
      <t>ゴウケイ</t>
    </rPh>
    <rPh sb="3" eb="5">
      <t>ブンシ</t>
    </rPh>
    <phoneticPr fontId="2"/>
  </si>
  <si>
    <t>合計（分母）</t>
    <rPh sb="0" eb="2">
      <t>ゴウケイ</t>
    </rPh>
    <rPh sb="3" eb="5">
      <t>ブンボ</t>
    </rPh>
    <phoneticPr fontId="2"/>
  </si>
  <si>
    <t>データベース　更新</t>
    <rPh sb="7" eb="9">
      <t>コウシン</t>
    </rPh>
    <phoneticPr fontId="2"/>
  </si>
  <si>
    <t>名称</t>
  </si>
  <si>
    <t>テーブル名(物理名）</t>
  </si>
  <si>
    <t>カラム名(物理名）</t>
  </si>
  <si>
    <t>備考</t>
  </si>
  <si>
    <t>会場ID</t>
    <phoneticPr fontId="2"/>
  </si>
  <si>
    <t>t_place_assign</t>
    <phoneticPr fontId="2"/>
  </si>
  <si>
    <t>applicant_amount</t>
    <phoneticPr fontId="2"/>
  </si>
  <si>
    <t>アサイン人数が変更された場合、全会場の合計値を表示する</t>
    <rPh sb="4" eb="6">
      <t>ニンズウ</t>
    </rPh>
    <rPh sb="7" eb="9">
      <t>ヘンコウ</t>
    </rPh>
    <rPh sb="12" eb="14">
      <t>バアイ</t>
    </rPh>
    <rPh sb="15" eb="16">
      <t>ゼン</t>
    </rPh>
    <rPh sb="16" eb="18">
      <t>カイジョウ</t>
    </rPh>
    <rPh sb="19" eb="22">
      <t>ゴウケイチ</t>
    </rPh>
    <rPh sb="23" eb="25">
      <t>ヒョウジ</t>
    </rPh>
    <phoneticPr fontId="2"/>
  </si>
  <si>
    <t>会場アサイン変更画面</t>
    <rPh sb="0" eb="2">
      <t>カイジョウ</t>
    </rPh>
    <rPh sb="6" eb="8">
      <t>ヘンコウ</t>
    </rPh>
    <rPh sb="8" eb="10">
      <t>ガメン</t>
    </rPh>
    <phoneticPr fontId="5"/>
  </si>
  <si>
    <t>受講生人数</t>
    <rPh sb="0" eb="3">
      <t>ジュコウセイ</t>
    </rPh>
    <rPh sb="3" eb="5">
      <t>ニンズウ</t>
    </rPh>
    <phoneticPr fontId="2"/>
  </si>
  <si>
    <t>企業とコースに紐づく受講生数をカウント</t>
    <rPh sb="0" eb="2">
      <t>キギョウ</t>
    </rPh>
    <rPh sb="7" eb="8">
      <t>ヒモ</t>
    </rPh>
    <rPh sb="10" eb="13">
      <t>ジュコウセイ</t>
    </rPh>
    <rPh sb="13" eb="14">
      <t>スウ</t>
    </rPh>
    <phoneticPr fontId="2"/>
  </si>
  <si>
    <t>【12期課題対応】
出力仕様
「基本情報」No3を追加
「詳細情報」No8の出力内容を変更</t>
    <rPh sb="10" eb="12">
      <t>シュツリョク</t>
    </rPh>
    <rPh sb="12" eb="14">
      <t>シヨウ</t>
    </rPh>
    <rPh sb="16" eb="18">
      <t>キホン</t>
    </rPh>
    <rPh sb="18" eb="20">
      <t>ジョウホウ</t>
    </rPh>
    <rPh sb="25" eb="27">
      <t>ツイカ</t>
    </rPh>
    <rPh sb="29" eb="31">
      <t>ショウサイ</t>
    </rPh>
    <rPh sb="31" eb="33">
      <t>ジョウホウ</t>
    </rPh>
    <rPh sb="38" eb="40">
      <t>シュツリョク</t>
    </rPh>
    <rPh sb="40" eb="42">
      <t>ナイヨウ</t>
    </rPh>
    <rPh sb="43" eb="45">
      <t>ヘンコウ</t>
    </rPh>
    <phoneticPr fontId="2"/>
  </si>
  <si>
    <t>髙橋大</t>
    <rPh sb="0" eb="2">
      <t>タカハシ</t>
    </rPh>
    <rPh sb="2" eb="3">
      <t>ダイ</t>
    </rPh>
    <phoneticPr fontId="2"/>
  </si>
  <si>
    <t>/estimate/update/</t>
    <phoneticPr fontId="2"/>
  </si>
  <si>
    <t>見積もり情報編集画面へ遷移</t>
    <rPh sb="11" eb="13">
      <t>センイ</t>
    </rPh>
    <phoneticPr fontId="2"/>
  </si>
  <si>
    <t>【13期12月対応】
確定ボタン押下時のＵＲＬ修正と備考追加</t>
    <rPh sb="11" eb="13">
      <t>カクテイ</t>
    </rPh>
    <rPh sb="16" eb="18">
      <t>オウカ</t>
    </rPh>
    <rPh sb="18" eb="19">
      <t>ジ</t>
    </rPh>
    <rPh sb="26" eb="28">
      <t>ビコウ</t>
    </rPh>
    <rPh sb="28" eb="30">
      <t>ツイカ</t>
    </rPh>
    <phoneticPr fontId="2"/>
  </si>
  <si>
    <t>hidden</t>
    <phoneticPr fontId="2"/>
  </si>
  <si>
    <t>テキストボックス</t>
    <phoneticPr fontId="2"/>
  </si>
  <si>
    <t>applicantAmount</t>
    <phoneticPr fontId="2"/>
  </si>
  <si>
    <t>13期12月対応</t>
    <phoneticPr fontId="2"/>
  </si>
  <si>
    <t>会場アサイン変更</t>
    <rPh sb="0" eb="2">
      <t>カイジョウ</t>
    </rPh>
    <rPh sb="6" eb="8">
      <t>ヘンコウ</t>
    </rPh>
    <phoneticPr fontId="2"/>
  </si>
  <si>
    <t>【13期12月対応】
確定ボタン押下時の使用項目を追加</t>
    <rPh sb="11" eb="13">
      <t>カクテイ</t>
    </rPh>
    <rPh sb="16" eb="18">
      <t>オウカ</t>
    </rPh>
    <rPh sb="18" eb="19">
      <t>ジ</t>
    </rPh>
    <rPh sb="20" eb="22">
      <t>シヨウ</t>
    </rPh>
    <rPh sb="22" eb="24">
      <t>コウモク</t>
    </rPh>
    <rPh sb="25" eb="27">
      <t>ツイカ</t>
    </rPh>
    <phoneticPr fontId="2"/>
  </si>
  <si>
    <t>アサイン人数</t>
    <phoneticPr fontId="2"/>
  </si>
  <si>
    <t>オプション会場</t>
    <phoneticPr fontId="2"/>
  </si>
  <si>
    <t>place_option_id</t>
    <phoneticPr fontId="2"/>
  </si>
  <si>
    <t>t_place_option</t>
    <phoneticPr fontId="2"/>
  </si>
  <si>
    <t>※更新は見積情報編集画面にて行う</t>
    <rPh sb="1" eb="3">
      <t>コウシン</t>
    </rPh>
    <rPh sb="4" eb="6">
      <t>ミツモリ</t>
    </rPh>
    <rPh sb="6" eb="8">
      <t>ジョウホウ</t>
    </rPh>
    <rPh sb="8" eb="10">
      <t>ヘンシュウ</t>
    </rPh>
    <rPh sb="10" eb="12">
      <t>ガメン</t>
    </rPh>
    <rPh sb="14" eb="15">
      <t>オコナ</t>
    </rPh>
    <phoneticPr fontId="2"/>
  </si>
  <si>
    <t>【13期12月対応】
DB更新は見積情報編集画面にて行う旨を追加</t>
    <rPh sb="13" eb="15">
      <t>コウシン</t>
    </rPh>
    <rPh sb="16" eb="18">
      <t>ミツモリ</t>
    </rPh>
    <rPh sb="18" eb="20">
      <t>ジョウホウ</t>
    </rPh>
    <rPh sb="20" eb="22">
      <t>ヘンシュウ</t>
    </rPh>
    <rPh sb="22" eb="24">
      <t>ガメン</t>
    </rPh>
    <rPh sb="26" eb="27">
      <t>オコナ</t>
    </rPh>
    <rPh sb="28" eb="29">
      <t>ムネ</t>
    </rPh>
    <rPh sb="30" eb="32">
      <t>ツイカ</t>
    </rPh>
    <phoneticPr fontId="2"/>
  </si>
  <si>
    <t>※見積情報編集画面へ送る</t>
    <rPh sb="1" eb="3">
      <t>ミツモリ</t>
    </rPh>
    <rPh sb="3" eb="5">
      <t>ジョウホウ</t>
    </rPh>
    <rPh sb="5" eb="7">
      <t>ヘンシュウ</t>
    </rPh>
    <rPh sb="7" eb="9">
      <t>ガメン</t>
    </rPh>
    <rPh sb="10" eb="11">
      <t>オク</t>
    </rPh>
    <phoneticPr fontId="2"/>
  </si>
  <si>
    <t>【13期12月対応】
画面イメージ：アサイン人数の分母削除</t>
    <rPh sb="11" eb="13">
      <t>ガメン</t>
    </rPh>
    <rPh sb="22" eb="24">
      <t>ニンズウ</t>
    </rPh>
    <rPh sb="25" eb="27">
      <t>ブンボ</t>
    </rPh>
    <rPh sb="27" eb="29">
      <t>サクジョ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</si>
</sst>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&quot;版&quot;"/>
    <numFmt numFmtId="177" formatCode="0.0_ 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Arial"/>
      <family val="2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8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sz val="8"/>
      <color rgb="FFFF0000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0"/>
      <color rgb="FFFF0000"/>
      <name val="游ゴシック"/>
      <family val="3"/>
      <charset val="128"/>
      <scheme val="minor"/>
    </font>
    <font>
      <b/>
      <sz val="8"/>
      <color rgb="FFFF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</fills>
  <borders count="6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55">
    <xf numFmtId="0" fontId="0" fillId="0" borderId="0" xfId="0">
      <alignment vertical="center"/>
    </xf>
    <xf numFmtId="0" fontId="1" fillId="2" borderId="0" xfId="1" applyFont="1" applyFill="1"/>
    <xf numFmtId="0" fontId="3" fillId="0" borderId="0" xfId="0" applyFont="1">
      <alignment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0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1" fillId="2" borderId="8" xfId="1" applyFont="1" applyFill="1" applyBorder="1"/>
    <xf numFmtId="0" fontId="6" fillId="2" borderId="0" xfId="1" applyFont="1" applyFill="1" applyAlignment="1"/>
    <xf numFmtId="58" fontId="6" fillId="2" borderId="0" xfId="1" applyNumberFormat="1" applyFont="1" applyFill="1" applyAlignment="1">
      <alignment horizontal="center"/>
    </xf>
    <xf numFmtId="176" fontId="6" fillId="2" borderId="0" xfId="1" applyNumberFormat="1" applyFont="1" applyFill="1" applyAlignment="1">
      <alignment horizontal="left"/>
    </xf>
    <xf numFmtId="31" fontId="6" fillId="2" borderId="0" xfId="1" applyNumberFormat="1" applyFont="1" applyFill="1" applyAlignment="1">
      <alignment horizontal="center"/>
    </xf>
    <xf numFmtId="0" fontId="7" fillId="2" borderId="0" xfId="1" applyFont="1" applyFill="1" applyAlignment="1"/>
    <xf numFmtId="0" fontId="8" fillId="2" borderId="0" xfId="1" applyFont="1" applyFill="1"/>
    <xf numFmtId="0" fontId="1" fillId="2" borderId="12" xfId="1" applyFont="1" applyFill="1" applyBorder="1"/>
    <xf numFmtId="31" fontId="1" fillId="2" borderId="13" xfId="1" applyNumberFormat="1" applyFont="1" applyFill="1" applyBorder="1" applyAlignment="1"/>
    <xf numFmtId="0" fontId="1" fillId="2" borderId="14" xfId="1" applyFont="1" applyFill="1" applyBorder="1" applyAlignment="1"/>
    <xf numFmtId="0" fontId="1" fillId="2" borderId="15" xfId="1" applyFont="1" applyFill="1" applyBorder="1" applyAlignment="1"/>
    <xf numFmtId="0" fontId="1" fillId="2" borderId="16" xfId="1" applyFont="1" applyFill="1" applyBorder="1"/>
    <xf numFmtId="0" fontId="1" fillId="2" borderId="17" xfId="1" applyFont="1" applyFill="1" applyBorder="1"/>
    <xf numFmtId="0" fontId="1" fillId="2" borderId="18" xfId="1" applyFont="1" applyFill="1" applyBorder="1"/>
    <xf numFmtId="0" fontId="1" fillId="2" borderId="19" xfId="1" applyFont="1" applyFill="1" applyBorder="1"/>
    <xf numFmtId="0" fontId="9" fillId="2" borderId="0" xfId="1" applyFont="1" applyFill="1"/>
    <xf numFmtId="0" fontId="1" fillId="2" borderId="0" xfId="1" applyFont="1" applyFill="1" applyAlignment="1">
      <alignment horizontal="right"/>
    </xf>
    <xf numFmtId="0" fontId="12" fillId="0" borderId="0" xfId="2" applyFont="1" applyAlignment="1">
      <alignment horizontal="left" vertical="center"/>
    </xf>
    <xf numFmtId="0" fontId="13" fillId="2" borderId="0" xfId="1" applyFont="1" applyFill="1" applyBorder="1" applyAlignment="1">
      <alignment horizontal="center" vertical="center"/>
    </xf>
    <xf numFmtId="0" fontId="13" fillId="2" borderId="0" xfId="1" applyFont="1" applyFill="1" applyBorder="1" applyAlignment="1">
      <alignment horizontal="center"/>
    </xf>
    <xf numFmtId="0" fontId="13" fillId="2" borderId="0" xfId="1" applyFont="1" applyFill="1" applyBorder="1" applyAlignment="1"/>
    <xf numFmtId="0" fontId="13" fillId="2" borderId="0" xfId="1" applyFont="1" applyFill="1" applyBorder="1" applyAlignment="1">
      <alignment vertical="center"/>
    </xf>
    <xf numFmtId="0" fontId="13" fillId="2" borderId="0" xfId="1" applyFont="1" applyFill="1" applyBorder="1"/>
    <xf numFmtId="0" fontId="13" fillId="2" borderId="0" xfId="1" applyFont="1" applyFill="1"/>
    <xf numFmtId="0" fontId="12" fillId="0" borderId="0" xfId="2" applyFont="1"/>
    <xf numFmtId="0" fontId="1" fillId="0" borderId="0" xfId="2" applyFont="1"/>
    <xf numFmtId="0" fontId="17" fillId="0" borderId="0" xfId="0" applyFont="1">
      <alignment vertical="center"/>
    </xf>
    <xf numFmtId="0" fontId="17" fillId="0" borderId="41" xfId="0" applyFont="1" applyBorder="1">
      <alignment vertical="center"/>
    </xf>
    <xf numFmtId="0" fontId="17" fillId="0" borderId="0" xfId="0" applyFont="1" applyBorder="1">
      <alignment vertical="center"/>
    </xf>
    <xf numFmtId="0" fontId="18" fillId="0" borderId="0" xfId="0" applyFont="1" applyBorder="1">
      <alignment vertical="center"/>
    </xf>
    <xf numFmtId="0" fontId="17" fillId="0" borderId="0" xfId="0" applyFont="1" applyBorder="1" applyAlignment="1">
      <alignment vertical="center" wrapText="1"/>
    </xf>
    <xf numFmtId="0" fontId="21" fillId="0" borderId="0" xfId="0" applyFont="1" applyBorder="1">
      <alignment vertical="center"/>
    </xf>
    <xf numFmtId="0" fontId="21" fillId="0" borderId="0" xfId="0" applyFont="1">
      <alignment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 wrapText="1"/>
    </xf>
    <xf numFmtId="0" fontId="17" fillId="0" borderId="0" xfId="0" applyFont="1" applyFill="1">
      <alignment vertical="center"/>
    </xf>
    <xf numFmtId="0" fontId="25" fillId="0" borderId="0" xfId="0" applyFont="1" applyBorder="1">
      <alignment vertical="center"/>
    </xf>
    <xf numFmtId="0" fontId="15" fillId="0" borderId="0" xfId="0" applyFont="1" applyBorder="1">
      <alignment vertical="center"/>
    </xf>
    <xf numFmtId="0" fontId="26" fillId="0" borderId="0" xfId="0" applyFont="1">
      <alignment vertical="center"/>
    </xf>
    <xf numFmtId="0" fontId="1" fillId="2" borderId="0" xfId="1" applyFont="1" applyFill="1" applyAlignment="1">
      <alignment horizontal="center" vertical="center"/>
    </xf>
    <xf numFmtId="0" fontId="4" fillId="2" borderId="0" xfId="1" applyFont="1" applyFill="1" applyBorder="1" applyAlignment="1">
      <alignment horizontal="center" shrinkToFit="1"/>
    </xf>
    <xf numFmtId="0" fontId="4" fillId="2" borderId="0" xfId="1" applyFont="1" applyFill="1" applyBorder="1" applyAlignment="1">
      <alignment horizontal="center"/>
    </xf>
    <xf numFmtId="58" fontId="6" fillId="2" borderId="0" xfId="1" applyNumberFormat="1" applyFont="1" applyFill="1" applyAlignment="1">
      <alignment horizontal="center"/>
    </xf>
    <xf numFmtId="31" fontId="6" fillId="2" borderId="0" xfId="1" applyNumberFormat="1" applyFont="1" applyFill="1" applyAlignment="1">
      <alignment horizontal="center"/>
    </xf>
    <xf numFmtId="31" fontId="7" fillId="2" borderId="0" xfId="1" applyNumberFormat="1" applyFont="1" applyFill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/>
    </xf>
    <xf numFmtId="0" fontId="1" fillId="2" borderId="11" xfId="1" applyFont="1" applyFill="1" applyBorder="1" applyAlignment="1">
      <alignment horizontal="center"/>
    </xf>
    <xf numFmtId="31" fontId="6" fillId="2" borderId="9" xfId="1" applyNumberFormat="1" applyFont="1" applyFill="1" applyBorder="1" applyAlignment="1">
      <alignment horizontal="center"/>
    </xf>
    <xf numFmtId="31" fontId="6" fillId="2" borderId="10" xfId="1" applyNumberFormat="1" applyFont="1" applyFill="1" applyBorder="1" applyAlignment="1">
      <alignment horizontal="center"/>
    </xf>
    <xf numFmtId="31" fontId="6" fillId="2" borderId="11" xfId="1" applyNumberFormat="1" applyFont="1" applyFill="1" applyBorder="1" applyAlignment="1">
      <alignment horizontal="center"/>
    </xf>
    <xf numFmtId="0" fontId="1" fillId="4" borderId="21" xfId="2" applyFont="1" applyFill="1" applyBorder="1" applyAlignment="1">
      <alignment horizontal="center" vertical="center"/>
    </xf>
    <xf numFmtId="0" fontId="1" fillId="0" borderId="21" xfId="3" applyFont="1" applyBorder="1" applyAlignment="1">
      <alignment horizontal="center" vertical="center"/>
    </xf>
    <xf numFmtId="0" fontId="1" fillId="0" borderId="27" xfId="3" applyFont="1" applyBorder="1" applyAlignment="1">
      <alignment horizontal="center" vertical="center"/>
    </xf>
    <xf numFmtId="0" fontId="3" fillId="0" borderId="28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1" fillId="0" borderId="14" xfId="3" applyFont="1" applyBorder="1" applyAlignment="1">
      <alignment horizontal="center" vertical="center" wrapText="1"/>
    </xf>
    <xf numFmtId="0" fontId="1" fillId="0" borderId="15" xfId="3" applyFont="1" applyBorder="1" applyAlignment="1">
      <alignment horizontal="center" vertical="center" wrapText="1"/>
    </xf>
    <xf numFmtId="0" fontId="1" fillId="0" borderId="32" xfId="2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33" xfId="3" applyFont="1" applyBorder="1" applyAlignment="1">
      <alignment horizontal="center" vertical="center" wrapText="1"/>
    </xf>
    <xf numFmtId="0" fontId="1" fillId="0" borderId="34" xfId="3" applyFont="1" applyBorder="1" applyAlignment="1">
      <alignment horizontal="center" vertical="center" wrapText="1"/>
    </xf>
    <xf numFmtId="0" fontId="1" fillId="0" borderId="13" xfId="2" applyFont="1" applyBorder="1" applyAlignment="1">
      <alignment horizontal="center" vertical="center" wrapText="1"/>
    </xf>
    <xf numFmtId="0" fontId="1" fillId="0" borderId="29" xfId="3" applyFont="1" applyBorder="1" applyAlignment="1">
      <alignment horizontal="center" vertical="center" wrapText="1"/>
    </xf>
    <xf numFmtId="0" fontId="1" fillId="0" borderId="35" xfId="2" applyFont="1" applyBorder="1" applyAlignment="1">
      <alignment horizontal="center" vertical="center" wrapText="1"/>
    </xf>
    <xf numFmtId="0" fontId="1" fillId="0" borderId="36" xfId="3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37" xfId="3" applyFont="1" applyBorder="1" applyAlignment="1">
      <alignment horizontal="center" vertical="center"/>
    </xf>
    <xf numFmtId="0" fontId="11" fillId="0" borderId="33" xfId="3" applyFont="1" applyBorder="1" applyAlignment="1">
      <alignment horizontal="center" vertical="center"/>
    </xf>
    <xf numFmtId="0" fontId="11" fillId="0" borderId="36" xfId="3" applyFont="1" applyBorder="1" applyAlignment="1">
      <alignment horizontal="center" vertical="center"/>
    </xf>
    <xf numFmtId="0" fontId="0" fillId="0" borderId="15" xfId="2" applyFont="1" applyBorder="1" applyAlignment="1">
      <alignment horizontal="center" vertical="center"/>
    </xf>
    <xf numFmtId="0" fontId="1" fillId="0" borderId="30" xfId="3" applyFont="1" applyBorder="1" applyAlignment="1">
      <alignment horizontal="center" vertical="center"/>
    </xf>
    <xf numFmtId="0" fontId="1" fillId="0" borderId="34" xfId="3" applyFont="1" applyBorder="1" applyAlignment="1">
      <alignment horizontal="center" vertical="center"/>
    </xf>
    <xf numFmtId="0" fontId="1" fillId="0" borderId="38" xfId="3" applyFont="1" applyBorder="1" applyAlignment="1">
      <alignment horizontal="center" vertical="center"/>
    </xf>
    <xf numFmtId="14" fontId="1" fillId="0" borderId="30" xfId="2" applyNumberFormat="1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 wrapText="1"/>
    </xf>
    <xf numFmtId="14" fontId="1" fillId="0" borderId="14" xfId="2" applyNumberFormat="1" applyFont="1" applyBorder="1" applyAlignment="1">
      <alignment horizontal="center" vertical="center"/>
    </xf>
    <xf numFmtId="0" fontId="1" fillId="0" borderId="14" xfId="3" applyFont="1" applyBorder="1" applyAlignment="1">
      <alignment horizontal="center" vertical="center"/>
    </xf>
    <xf numFmtId="0" fontId="1" fillId="0" borderId="31" xfId="3" applyFont="1" applyBorder="1" applyAlignment="1">
      <alignment horizontal="center" vertical="center"/>
    </xf>
    <xf numFmtId="0" fontId="1" fillId="0" borderId="33" xfId="3" applyFont="1" applyBorder="1" applyAlignment="1">
      <alignment horizontal="center" vertical="center"/>
    </xf>
    <xf numFmtId="0" fontId="1" fillId="0" borderId="39" xfId="3" applyFont="1" applyBorder="1" applyAlignment="1">
      <alignment horizontal="center" vertical="center"/>
    </xf>
    <xf numFmtId="0" fontId="1" fillId="3" borderId="20" xfId="2" applyFont="1" applyFill="1" applyBorder="1" applyAlignment="1">
      <alignment horizontal="center" vertical="center"/>
    </xf>
    <xf numFmtId="0" fontId="1" fillId="3" borderId="21" xfId="2" applyFont="1" applyFill="1" applyBorder="1" applyAlignment="1">
      <alignment horizontal="center" vertical="center"/>
    </xf>
    <xf numFmtId="0" fontId="1" fillId="3" borderId="21" xfId="3" applyFont="1" applyFill="1" applyBorder="1" applyAlignment="1">
      <alignment horizontal="center" vertical="center"/>
    </xf>
    <xf numFmtId="0" fontId="1" fillId="3" borderId="22" xfId="3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 wrapText="1"/>
    </xf>
    <xf numFmtId="0" fontId="11" fillId="3" borderId="21" xfId="3" applyFont="1" applyFill="1" applyBorder="1" applyAlignment="1">
      <alignment horizontal="center" vertical="center"/>
    </xf>
    <xf numFmtId="0" fontId="11" fillId="3" borderId="25" xfId="3" applyFont="1" applyFill="1" applyBorder="1" applyAlignment="1">
      <alignment horizontal="center" vertical="center"/>
    </xf>
    <xf numFmtId="0" fontId="1" fillId="4" borderId="22" xfId="2" applyFont="1" applyFill="1" applyBorder="1" applyAlignment="1">
      <alignment horizontal="center" vertical="center"/>
    </xf>
    <xf numFmtId="0" fontId="1" fillId="0" borderId="26" xfId="3" applyFont="1" applyBorder="1" applyAlignment="1">
      <alignment horizontal="center" vertical="center"/>
    </xf>
    <xf numFmtId="0" fontId="1" fillId="4" borderId="26" xfId="2" applyFont="1" applyFill="1" applyBorder="1" applyAlignment="1">
      <alignment horizontal="center" vertical="center"/>
    </xf>
    <xf numFmtId="177" fontId="1" fillId="0" borderId="45" xfId="2" applyNumberFormat="1" applyFont="1" applyFill="1" applyBorder="1" applyAlignment="1">
      <alignment horizontal="center" vertical="center"/>
    </xf>
    <xf numFmtId="177" fontId="1" fillId="0" borderId="0" xfId="3" applyNumberFormat="1" applyFont="1" applyFill="1" applyBorder="1" applyAlignment="1">
      <alignment horizontal="center" vertical="center"/>
    </xf>
    <xf numFmtId="177" fontId="1" fillId="0" borderId="16" xfId="3" applyNumberFormat="1" applyFont="1" applyFill="1" applyBorder="1" applyAlignment="1">
      <alignment horizontal="center" vertical="center"/>
    </xf>
    <xf numFmtId="177" fontId="1" fillId="0" borderId="45" xfId="3" applyNumberFormat="1" applyFont="1" applyFill="1" applyBorder="1" applyAlignment="1">
      <alignment horizontal="center" vertical="center"/>
    </xf>
    <xf numFmtId="177" fontId="1" fillId="0" borderId="51" xfId="3" applyNumberFormat="1" applyFont="1" applyFill="1" applyBorder="1" applyAlignment="1">
      <alignment horizontal="center" vertical="center"/>
    </xf>
    <xf numFmtId="177" fontId="1" fillId="0" borderId="18" xfId="3" applyNumberFormat="1" applyFont="1" applyFill="1" applyBorder="1" applyAlignment="1">
      <alignment horizontal="center" vertical="center"/>
    </xf>
    <xf numFmtId="177" fontId="1" fillId="0" borderId="19" xfId="3" applyNumberFormat="1" applyFont="1" applyFill="1" applyBorder="1" applyAlignment="1">
      <alignment horizontal="center" vertical="center"/>
    </xf>
    <xf numFmtId="14" fontId="1" fillId="0" borderId="12" xfId="2" applyNumberFormat="1" applyFont="1" applyFill="1" applyBorder="1" applyAlignment="1">
      <alignment horizontal="center" vertical="center"/>
    </xf>
    <xf numFmtId="14" fontId="1" fillId="0" borderId="0" xfId="3" applyNumberFormat="1" applyFont="1" applyFill="1" applyBorder="1" applyAlignment="1">
      <alignment horizontal="center" vertical="center"/>
    </xf>
    <xf numFmtId="14" fontId="1" fillId="0" borderId="16" xfId="3" applyNumberFormat="1" applyFont="1" applyFill="1" applyBorder="1" applyAlignment="1">
      <alignment horizontal="center" vertical="center"/>
    </xf>
    <xf numFmtId="14" fontId="1" fillId="0" borderId="12" xfId="3" applyNumberFormat="1" applyFont="1" applyFill="1" applyBorder="1" applyAlignment="1">
      <alignment horizontal="center" vertical="center"/>
    </xf>
    <xf numFmtId="14" fontId="1" fillId="0" borderId="17" xfId="3" applyNumberFormat="1" applyFont="1" applyFill="1" applyBorder="1" applyAlignment="1">
      <alignment horizontal="center" vertical="center"/>
    </xf>
    <xf numFmtId="14" fontId="1" fillId="0" borderId="18" xfId="3" applyNumberFormat="1" applyFont="1" applyFill="1" applyBorder="1" applyAlignment="1">
      <alignment horizontal="center" vertical="center"/>
    </xf>
    <xf numFmtId="14" fontId="1" fillId="0" borderId="19" xfId="3" applyNumberFormat="1" applyFont="1" applyFill="1" applyBorder="1" applyAlignment="1">
      <alignment horizontal="center" vertical="center"/>
    </xf>
    <xf numFmtId="0" fontId="14" fillId="0" borderId="12" xfId="2" applyFont="1" applyFill="1" applyBorder="1" applyAlignment="1">
      <alignment horizontal="center" vertical="center"/>
    </xf>
    <xf numFmtId="0" fontId="14" fillId="0" borderId="0" xfId="3" applyFont="1" applyFill="1" applyBorder="1" applyAlignment="1">
      <alignment horizontal="center" vertical="center"/>
    </xf>
    <xf numFmtId="0" fontId="14" fillId="0" borderId="16" xfId="3" applyFont="1" applyFill="1" applyBorder="1" applyAlignment="1">
      <alignment horizontal="center" vertical="center"/>
    </xf>
    <xf numFmtId="0" fontId="14" fillId="0" borderId="12" xfId="3" applyFont="1" applyFill="1" applyBorder="1" applyAlignment="1">
      <alignment horizontal="center" vertical="center"/>
    </xf>
    <xf numFmtId="0" fontId="14" fillId="0" borderId="17" xfId="3" applyFont="1" applyFill="1" applyBorder="1" applyAlignment="1">
      <alignment horizontal="center" vertical="center"/>
    </xf>
    <xf numFmtId="0" fontId="14" fillId="0" borderId="18" xfId="3" applyFont="1" applyFill="1" applyBorder="1" applyAlignment="1">
      <alignment horizontal="center" vertical="center"/>
    </xf>
    <xf numFmtId="0" fontId="14" fillId="0" borderId="19" xfId="3" applyFont="1" applyFill="1" applyBorder="1" applyAlignment="1">
      <alignment horizontal="center" vertical="center"/>
    </xf>
    <xf numFmtId="0" fontId="23" fillId="0" borderId="12" xfId="2" applyFont="1" applyFill="1" applyBorder="1" applyAlignment="1">
      <alignment vertical="center" wrapText="1"/>
    </xf>
    <xf numFmtId="0" fontId="23" fillId="0" borderId="0" xfId="3" applyFont="1" applyFill="1" applyBorder="1" applyAlignment="1">
      <alignment vertical="center" wrapText="1"/>
    </xf>
    <xf numFmtId="0" fontId="23" fillId="0" borderId="16" xfId="3" applyFont="1" applyFill="1" applyBorder="1" applyAlignment="1">
      <alignment vertical="center" wrapText="1"/>
    </xf>
    <xf numFmtId="0" fontId="23" fillId="0" borderId="12" xfId="3" applyFont="1" applyFill="1" applyBorder="1" applyAlignment="1">
      <alignment vertical="center" wrapText="1"/>
    </xf>
    <xf numFmtId="0" fontId="23" fillId="0" borderId="17" xfId="3" applyFont="1" applyFill="1" applyBorder="1" applyAlignment="1">
      <alignment vertical="center" wrapText="1"/>
    </xf>
    <xf numFmtId="0" fontId="23" fillId="0" borderId="18" xfId="3" applyFont="1" applyFill="1" applyBorder="1" applyAlignment="1">
      <alignment vertical="center" wrapText="1"/>
    </xf>
    <xf numFmtId="0" fontId="23" fillId="0" borderId="19" xfId="3" applyFont="1" applyFill="1" applyBorder="1" applyAlignment="1">
      <alignment vertical="center" wrapText="1"/>
    </xf>
    <xf numFmtId="0" fontId="1" fillId="0" borderId="12" xfId="2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1" fillId="0" borderId="46" xfId="3" applyFont="1" applyFill="1" applyBorder="1" applyAlignment="1">
      <alignment horizontal="center" vertical="center"/>
    </xf>
    <xf numFmtId="0" fontId="1" fillId="0" borderId="12" xfId="3" applyFont="1" applyFill="1" applyBorder="1" applyAlignment="1">
      <alignment horizontal="center" vertical="center"/>
    </xf>
    <xf numFmtId="0" fontId="1" fillId="0" borderId="17" xfId="3" applyFont="1" applyFill="1" applyBorder="1" applyAlignment="1">
      <alignment horizontal="center" vertical="center"/>
    </xf>
    <xf numFmtId="0" fontId="1" fillId="0" borderId="18" xfId="3" applyFont="1" applyFill="1" applyBorder="1" applyAlignment="1">
      <alignment horizontal="center" vertical="center"/>
    </xf>
    <xf numFmtId="0" fontId="1" fillId="0" borderId="52" xfId="3" applyFont="1" applyFill="1" applyBorder="1" applyAlignment="1">
      <alignment horizontal="center" vertical="center"/>
    </xf>
    <xf numFmtId="0" fontId="1" fillId="4" borderId="40" xfId="2" applyFont="1" applyFill="1" applyBorder="1" applyAlignment="1">
      <alignment horizontal="center" vertical="center"/>
    </xf>
    <xf numFmtId="0" fontId="1" fillId="4" borderId="41" xfId="3" applyFont="1" applyFill="1" applyBorder="1" applyAlignment="1">
      <alignment horizontal="center" vertical="center"/>
    </xf>
    <xf numFmtId="0" fontId="1" fillId="4" borderId="42" xfId="3" applyFont="1" applyFill="1" applyBorder="1" applyAlignment="1">
      <alignment horizontal="center" vertical="center"/>
    </xf>
    <xf numFmtId="0" fontId="1" fillId="4" borderId="45" xfId="3" applyFont="1" applyFill="1" applyBorder="1" applyAlignment="1">
      <alignment horizontal="center" vertical="center"/>
    </xf>
    <xf numFmtId="0" fontId="1" fillId="4" borderId="0" xfId="3" applyFont="1" applyFill="1" applyBorder="1" applyAlignment="1">
      <alignment horizontal="center" vertical="center"/>
    </xf>
    <xf numFmtId="0" fontId="1" fillId="4" borderId="16" xfId="3" applyFont="1" applyFill="1" applyBorder="1" applyAlignment="1">
      <alignment horizontal="center" vertical="center"/>
    </xf>
    <xf numFmtId="0" fontId="1" fillId="4" borderId="47" xfId="3" applyFont="1" applyFill="1" applyBorder="1" applyAlignment="1">
      <alignment horizontal="center" vertical="center"/>
    </xf>
    <xf numFmtId="0" fontId="1" fillId="4" borderId="7" xfId="3" applyFont="1" applyFill="1" applyBorder="1" applyAlignment="1">
      <alignment horizontal="center" vertical="center"/>
    </xf>
    <xf numFmtId="0" fontId="1" fillId="4" borderId="48" xfId="3" applyFont="1" applyFill="1" applyBorder="1" applyAlignment="1">
      <alignment horizontal="center" vertical="center"/>
    </xf>
    <xf numFmtId="0" fontId="1" fillId="4" borderId="43" xfId="2" applyFont="1" applyFill="1" applyBorder="1" applyAlignment="1">
      <alignment horizontal="center" vertical="center"/>
    </xf>
    <xf numFmtId="0" fontId="1" fillId="4" borderId="12" xfId="3" applyFont="1" applyFill="1" applyBorder="1" applyAlignment="1">
      <alignment horizontal="center" vertical="center"/>
    </xf>
    <xf numFmtId="0" fontId="1" fillId="4" borderId="49" xfId="3" applyFont="1" applyFill="1" applyBorder="1" applyAlignment="1">
      <alignment horizontal="center" vertical="center"/>
    </xf>
    <xf numFmtId="0" fontId="1" fillId="4" borderId="44" xfId="3" applyFont="1" applyFill="1" applyBorder="1" applyAlignment="1">
      <alignment horizontal="center" vertical="center"/>
    </xf>
    <xf numFmtId="0" fontId="1" fillId="4" borderId="46" xfId="3" applyFont="1" applyFill="1" applyBorder="1" applyAlignment="1">
      <alignment horizontal="center" vertical="center"/>
    </xf>
    <xf numFmtId="0" fontId="1" fillId="4" borderId="50" xfId="3" applyFont="1" applyFill="1" applyBorder="1" applyAlignment="1">
      <alignment horizontal="center" vertical="center"/>
    </xf>
    <xf numFmtId="177" fontId="15" fillId="0" borderId="28" xfId="2" applyNumberFormat="1" applyFont="1" applyFill="1" applyBorder="1" applyAlignment="1">
      <alignment horizontal="center" vertical="center"/>
    </xf>
    <xf numFmtId="177" fontId="15" fillId="0" borderId="14" xfId="2" applyNumberFormat="1" applyFont="1" applyFill="1" applyBorder="1" applyAlignment="1">
      <alignment horizontal="center" vertical="center"/>
    </xf>
    <xf numFmtId="177" fontId="15" fillId="0" borderId="15" xfId="2" applyNumberFormat="1" applyFont="1" applyFill="1" applyBorder="1" applyAlignment="1">
      <alignment horizontal="center" vertical="center"/>
    </xf>
    <xf numFmtId="177" fontId="15" fillId="0" borderId="45" xfId="2" applyNumberFormat="1" applyFont="1" applyFill="1" applyBorder="1" applyAlignment="1">
      <alignment horizontal="center" vertical="center"/>
    </xf>
    <xf numFmtId="177" fontId="15" fillId="0" borderId="0" xfId="2" applyNumberFormat="1" applyFont="1" applyFill="1" applyBorder="1" applyAlignment="1">
      <alignment horizontal="center" vertical="center"/>
    </xf>
    <xf numFmtId="177" fontId="15" fillId="0" borderId="16" xfId="2" applyNumberFormat="1" applyFont="1" applyFill="1" applyBorder="1" applyAlignment="1">
      <alignment horizontal="center" vertical="center"/>
    </xf>
    <xf numFmtId="177" fontId="15" fillId="0" borderId="51" xfId="2" applyNumberFormat="1" applyFont="1" applyFill="1" applyBorder="1" applyAlignment="1">
      <alignment horizontal="center" vertical="center"/>
    </xf>
    <xf numFmtId="177" fontId="15" fillId="0" borderId="18" xfId="2" applyNumberFormat="1" applyFont="1" applyFill="1" applyBorder="1" applyAlignment="1">
      <alignment horizontal="center" vertical="center"/>
    </xf>
    <xf numFmtId="177" fontId="15" fillId="0" borderId="19" xfId="2" applyNumberFormat="1" applyFont="1" applyFill="1" applyBorder="1" applyAlignment="1">
      <alignment horizontal="center" vertical="center"/>
    </xf>
    <xf numFmtId="14" fontId="15" fillId="0" borderId="13" xfId="2" applyNumberFormat="1" applyFont="1" applyFill="1" applyBorder="1" applyAlignment="1">
      <alignment horizontal="center" vertical="center"/>
    </xf>
    <xf numFmtId="14" fontId="15" fillId="0" borderId="14" xfId="3" applyNumberFormat="1" applyFont="1" applyFill="1" applyBorder="1" applyAlignment="1">
      <alignment horizontal="center" vertical="center"/>
    </xf>
    <xf numFmtId="14" fontId="15" fillId="0" borderId="15" xfId="3" applyNumberFormat="1" applyFont="1" applyFill="1" applyBorder="1" applyAlignment="1">
      <alignment horizontal="center" vertical="center"/>
    </xf>
    <xf numFmtId="14" fontId="15" fillId="0" borderId="12" xfId="3" applyNumberFormat="1" applyFont="1" applyFill="1" applyBorder="1" applyAlignment="1">
      <alignment horizontal="center" vertical="center"/>
    </xf>
    <xf numFmtId="14" fontId="15" fillId="0" borderId="0" xfId="3" applyNumberFormat="1" applyFont="1" applyFill="1" applyBorder="1" applyAlignment="1">
      <alignment horizontal="center" vertical="center"/>
    </xf>
    <xf numFmtId="14" fontId="15" fillId="0" borderId="16" xfId="3" applyNumberFormat="1" applyFont="1" applyFill="1" applyBorder="1" applyAlignment="1">
      <alignment horizontal="center" vertical="center"/>
    </xf>
    <xf numFmtId="14" fontId="15" fillId="0" borderId="17" xfId="3" applyNumberFormat="1" applyFont="1" applyFill="1" applyBorder="1" applyAlignment="1">
      <alignment horizontal="center" vertical="center"/>
    </xf>
    <xf numFmtId="14" fontId="15" fillId="0" borderId="18" xfId="3" applyNumberFormat="1" applyFont="1" applyFill="1" applyBorder="1" applyAlignment="1">
      <alignment horizontal="center" vertical="center"/>
    </xf>
    <xf numFmtId="14" fontId="15" fillId="0" borderId="19" xfId="3" applyNumberFormat="1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 wrapText="1"/>
    </xf>
    <xf numFmtId="0" fontId="16" fillId="0" borderId="14" xfId="3" applyFont="1" applyFill="1" applyBorder="1" applyAlignment="1">
      <alignment horizontal="center" vertical="center" wrapText="1"/>
    </xf>
    <xf numFmtId="0" fontId="16" fillId="0" borderId="15" xfId="3" applyFont="1" applyFill="1" applyBorder="1" applyAlignment="1">
      <alignment horizontal="center" vertical="center" wrapText="1"/>
    </xf>
    <xf numFmtId="0" fontId="16" fillId="0" borderId="12" xfId="3" applyFont="1" applyFill="1" applyBorder="1" applyAlignment="1">
      <alignment horizontal="center" vertical="center" wrapText="1"/>
    </xf>
    <xf numFmtId="0" fontId="16" fillId="0" borderId="0" xfId="3" applyFont="1" applyFill="1" applyBorder="1" applyAlignment="1">
      <alignment horizontal="center" vertical="center" wrapText="1"/>
    </xf>
    <xf numFmtId="0" fontId="16" fillId="0" borderId="16" xfId="3" applyFont="1" applyFill="1" applyBorder="1" applyAlignment="1">
      <alignment horizontal="center" vertical="center" wrapText="1"/>
    </xf>
    <xf numFmtId="0" fontId="16" fillId="0" borderId="17" xfId="3" applyFont="1" applyFill="1" applyBorder="1" applyAlignment="1">
      <alignment horizontal="center" vertical="center" wrapText="1"/>
    </xf>
    <xf numFmtId="0" fontId="16" fillId="0" borderId="18" xfId="3" applyFont="1" applyFill="1" applyBorder="1" applyAlignment="1">
      <alignment horizontal="center" vertical="center" wrapText="1"/>
    </xf>
    <xf numFmtId="0" fontId="16" fillId="0" borderId="19" xfId="3" applyFont="1" applyFill="1" applyBorder="1" applyAlignment="1">
      <alignment horizontal="center" vertical="center" wrapText="1"/>
    </xf>
    <xf numFmtId="0" fontId="15" fillId="0" borderId="13" xfId="2" applyFont="1" applyFill="1" applyBorder="1" applyAlignment="1">
      <alignment vertical="center" wrapText="1"/>
    </xf>
    <xf numFmtId="0" fontId="15" fillId="0" borderId="14" xfId="3" applyFont="1" applyFill="1" applyBorder="1" applyAlignment="1">
      <alignment vertical="center" wrapText="1"/>
    </xf>
    <xf numFmtId="0" fontId="15" fillId="0" borderId="15" xfId="3" applyFont="1" applyFill="1" applyBorder="1" applyAlignment="1">
      <alignment vertical="center" wrapText="1"/>
    </xf>
    <xf numFmtId="0" fontId="15" fillId="0" borderId="12" xfId="3" applyFont="1" applyFill="1" applyBorder="1" applyAlignment="1">
      <alignment vertical="center" wrapText="1"/>
    </xf>
    <xf numFmtId="0" fontId="15" fillId="0" borderId="0" xfId="3" applyFont="1" applyFill="1" applyBorder="1" applyAlignment="1">
      <alignment vertical="center" wrapText="1"/>
    </xf>
    <xf numFmtId="0" fontId="15" fillId="0" borderId="16" xfId="3" applyFont="1" applyFill="1" applyBorder="1" applyAlignment="1">
      <alignment vertical="center" wrapText="1"/>
    </xf>
    <xf numFmtId="0" fontId="15" fillId="0" borderId="17" xfId="3" applyFont="1" applyFill="1" applyBorder="1" applyAlignment="1">
      <alignment vertical="center" wrapText="1"/>
    </xf>
    <xf numFmtId="0" fontId="15" fillId="0" borderId="18" xfId="3" applyFont="1" applyFill="1" applyBorder="1" applyAlignment="1">
      <alignment vertical="center" wrapText="1"/>
    </xf>
    <xf numFmtId="0" fontId="15" fillId="0" borderId="19" xfId="3" applyFont="1" applyFill="1" applyBorder="1" applyAlignment="1">
      <alignment vertical="center" wrapText="1"/>
    </xf>
    <xf numFmtId="0" fontId="15" fillId="0" borderId="13" xfId="2" applyFont="1" applyFill="1" applyBorder="1" applyAlignment="1">
      <alignment horizontal="center" vertical="center"/>
    </xf>
    <xf numFmtId="0" fontId="15" fillId="0" borderId="14" xfId="3" applyFont="1" applyFill="1" applyBorder="1" applyAlignment="1">
      <alignment horizontal="center" vertical="center"/>
    </xf>
    <xf numFmtId="0" fontId="15" fillId="0" borderId="31" xfId="3" applyFont="1" applyFill="1" applyBorder="1" applyAlignment="1">
      <alignment horizontal="center" vertical="center"/>
    </xf>
    <xf numFmtId="0" fontId="15" fillId="0" borderId="12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center" vertical="center"/>
    </xf>
    <xf numFmtId="0" fontId="15" fillId="0" borderId="46" xfId="3" applyFont="1" applyFill="1" applyBorder="1" applyAlignment="1">
      <alignment horizontal="center" vertical="center"/>
    </xf>
    <xf numFmtId="0" fontId="15" fillId="0" borderId="17" xfId="3" applyFont="1" applyFill="1" applyBorder="1" applyAlignment="1">
      <alignment horizontal="center" vertical="center"/>
    </xf>
    <xf numFmtId="0" fontId="15" fillId="0" borderId="18" xfId="3" applyFont="1" applyFill="1" applyBorder="1" applyAlignment="1">
      <alignment horizontal="center" vertical="center"/>
    </xf>
    <xf numFmtId="0" fontId="15" fillId="0" borderId="52" xfId="3" applyFont="1" applyFill="1" applyBorder="1" applyAlignment="1">
      <alignment horizontal="center" vertical="center"/>
    </xf>
    <xf numFmtId="177" fontId="1" fillId="0" borderId="28" xfId="2" applyNumberFormat="1" applyFont="1" applyFill="1" applyBorder="1" applyAlignment="1">
      <alignment horizontal="center" vertical="center"/>
    </xf>
    <xf numFmtId="177" fontId="1" fillId="0" borderId="14" xfId="2" applyNumberFormat="1" applyFont="1" applyFill="1" applyBorder="1" applyAlignment="1">
      <alignment horizontal="center" vertical="center"/>
    </xf>
    <xf numFmtId="177" fontId="1" fillId="0" borderId="15" xfId="2" applyNumberFormat="1" applyFont="1" applyFill="1" applyBorder="1" applyAlignment="1">
      <alignment horizontal="center" vertical="center"/>
    </xf>
    <xf numFmtId="177" fontId="1" fillId="0" borderId="0" xfId="2" applyNumberFormat="1" applyFont="1" applyFill="1" applyBorder="1" applyAlignment="1">
      <alignment horizontal="center" vertical="center"/>
    </xf>
    <xf numFmtId="177" fontId="1" fillId="0" borderId="16" xfId="2" applyNumberFormat="1" applyFont="1" applyFill="1" applyBorder="1" applyAlignment="1">
      <alignment horizontal="center" vertical="center"/>
    </xf>
    <xf numFmtId="177" fontId="1" fillId="0" borderId="51" xfId="2" applyNumberFormat="1" applyFont="1" applyFill="1" applyBorder="1" applyAlignment="1">
      <alignment horizontal="center" vertical="center"/>
    </xf>
    <xf numFmtId="177" fontId="1" fillId="0" borderId="18" xfId="2" applyNumberFormat="1" applyFont="1" applyFill="1" applyBorder="1" applyAlignment="1">
      <alignment horizontal="center" vertical="center"/>
    </xf>
    <xf numFmtId="177" fontId="1" fillId="0" borderId="19" xfId="2" applyNumberFormat="1" applyFont="1" applyFill="1" applyBorder="1" applyAlignment="1">
      <alignment horizontal="center" vertical="center"/>
    </xf>
    <xf numFmtId="14" fontId="1" fillId="0" borderId="13" xfId="2" applyNumberFormat="1" applyFont="1" applyFill="1" applyBorder="1" applyAlignment="1">
      <alignment horizontal="center" vertical="center"/>
    </xf>
    <xf numFmtId="14" fontId="1" fillId="0" borderId="14" xfId="3" applyNumberFormat="1" applyFont="1" applyFill="1" applyBorder="1" applyAlignment="1">
      <alignment horizontal="center" vertical="center"/>
    </xf>
    <xf numFmtId="14" fontId="1" fillId="0" borderId="15" xfId="3" applyNumberFormat="1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 wrapText="1"/>
    </xf>
    <xf numFmtId="0" fontId="14" fillId="0" borderId="14" xfId="3" applyFont="1" applyFill="1" applyBorder="1" applyAlignment="1">
      <alignment horizontal="center" vertical="center" wrapText="1"/>
    </xf>
    <xf numFmtId="0" fontId="14" fillId="0" borderId="15" xfId="3" applyFont="1" applyFill="1" applyBorder="1" applyAlignment="1">
      <alignment horizontal="center" vertical="center" wrapText="1"/>
    </xf>
    <xf numFmtId="0" fontId="14" fillId="0" borderId="12" xfId="2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horizontal="center" vertical="center" wrapText="1"/>
    </xf>
    <xf numFmtId="0" fontId="14" fillId="0" borderId="16" xfId="3" applyFont="1" applyFill="1" applyBorder="1" applyAlignment="1">
      <alignment horizontal="center" vertical="center" wrapText="1"/>
    </xf>
    <xf numFmtId="0" fontId="14" fillId="0" borderId="12" xfId="3" applyFont="1" applyFill="1" applyBorder="1" applyAlignment="1">
      <alignment horizontal="center" vertical="center" wrapText="1"/>
    </xf>
    <xf numFmtId="0" fontId="14" fillId="0" borderId="17" xfId="3" applyFont="1" applyFill="1" applyBorder="1" applyAlignment="1">
      <alignment horizontal="center" vertical="center" wrapText="1"/>
    </xf>
    <xf numFmtId="0" fontId="14" fillId="0" borderId="18" xfId="3" applyFont="1" applyFill="1" applyBorder="1" applyAlignment="1">
      <alignment horizontal="center" vertical="center" wrapText="1"/>
    </xf>
    <xf numFmtId="0" fontId="14" fillId="0" borderId="19" xfId="3" applyFont="1" applyFill="1" applyBorder="1" applyAlignment="1">
      <alignment horizontal="center" vertical="center" wrapText="1"/>
    </xf>
    <xf numFmtId="0" fontId="23" fillId="0" borderId="13" xfId="2" applyFont="1" applyFill="1" applyBorder="1" applyAlignment="1">
      <alignment vertical="center" wrapText="1"/>
    </xf>
    <xf numFmtId="0" fontId="23" fillId="0" borderId="14" xfId="3" applyFont="1" applyFill="1" applyBorder="1" applyAlignment="1">
      <alignment vertical="center" wrapText="1"/>
    </xf>
    <xf numFmtId="0" fontId="23" fillId="0" borderId="15" xfId="3" applyFont="1" applyFill="1" applyBorder="1" applyAlignment="1">
      <alignment vertical="center" wrapText="1"/>
    </xf>
    <xf numFmtId="0" fontId="1" fillId="0" borderId="13" xfId="2" applyFont="1" applyFill="1" applyBorder="1" applyAlignment="1">
      <alignment horizontal="center" vertical="center"/>
    </xf>
    <xf numFmtId="0" fontId="1" fillId="0" borderId="14" xfId="3" applyFont="1" applyFill="1" applyBorder="1" applyAlignment="1">
      <alignment horizontal="center" vertical="center"/>
    </xf>
    <xf numFmtId="0" fontId="1" fillId="0" borderId="31" xfId="3" applyFont="1" applyFill="1" applyBorder="1" applyAlignment="1">
      <alignment horizontal="center" vertical="center"/>
    </xf>
    <xf numFmtId="177" fontId="15" fillId="0" borderId="28" xfId="3" applyNumberFormat="1" applyFont="1" applyFill="1" applyBorder="1" applyAlignment="1">
      <alignment horizontal="center" vertical="center"/>
    </xf>
    <xf numFmtId="177" fontId="15" fillId="0" borderId="14" xfId="3" applyNumberFormat="1" applyFont="1" applyFill="1" applyBorder="1" applyAlignment="1">
      <alignment horizontal="center" vertical="center"/>
    </xf>
    <xf numFmtId="177" fontId="15" fillId="0" borderId="15" xfId="3" applyNumberFormat="1" applyFont="1" applyFill="1" applyBorder="1" applyAlignment="1">
      <alignment horizontal="center" vertical="center"/>
    </xf>
    <xf numFmtId="177" fontId="15" fillId="0" borderId="45" xfId="3" applyNumberFormat="1" applyFont="1" applyFill="1" applyBorder="1" applyAlignment="1">
      <alignment horizontal="center" vertical="center"/>
    </xf>
    <xf numFmtId="177" fontId="15" fillId="0" borderId="0" xfId="3" applyNumberFormat="1" applyFont="1" applyFill="1" applyBorder="1" applyAlignment="1">
      <alignment horizontal="center" vertical="center"/>
    </xf>
    <xf numFmtId="177" fontId="15" fillId="0" borderId="16" xfId="3" applyNumberFormat="1" applyFont="1" applyFill="1" applyBorder="1" applyAlignment="1">
      <alignment horizontal="center" vertical="center"/>
    </xf>
    <xf numFmtId="177" fontId="15" fillId="0" borderId="51" xfId="3" applyNumberFormat="1" applyFont="1" applyFill="1" applyBorder="1" applyAlignment="1">
      <alignment horizontal="center" vertical="center"/>
    </xf>
    <xf numFmtId="177" fontId="15" fillId="0" borderId="18" xfId="3" applyNumberFormat="1" applyFont="1" applyFill="1" applyBorder="1" applyAlignment="1">
      <alignment horizontal="center" vertical="center"/>
    </xf>
    <xf numFmtId="177" fontId="15" fillId="0" borderId="19" xfId="3" applyNumberFormat="1" applyFont="1" applyFill="1" applyBorder="1" applyAlignment="1">
      <alignment horizontal="center" vertical="center"/>
    </xf>
    <xf numFmtId="14" fontId="15" fillId="0" borderId="14" xfId="2" applyNumberFormat="1" applyFont="1" applyFill="1" applyBorder="1" applyAlignment="1">
      <alignment horizontal="center" vertical="center"/>
    </xf>
    <xf numFmtId="14" fontId="15" fillId="0" borderId="15" xfId="2" applyNumberFormat="1" applyFont="1" applyFill="1" applyBorder="1" applyAlignment="1">
      <alignment horizontal="center" vertical="center"/>
    </xf>
    <xf numFmtId="14" fontId="15" fillId="0" borderId="12" xfId="2" applyNumberFormat="1" applyFont="1" applyFill="1" applyBorder="1" applyAlignment="1">
      <alignment horizontal="center" vertical="center"/>
    </xf>
    <xf numFmtId="14" fontId="15" fillId="0" borderId="0" xfId="2" applyNumberFormat="1" applyFont="1" applyFill="1" applyBorder="1" applyAlignment="1">
      <alignment horizontal="center" vertical="center"/>
    </xf>
    <xf numFmtId="14" fontId="15" fillId="0" borderId="16" xfId="2" applyNumberFormat="1" applyFont="1" applyFill="1" applyBorder="1" applyAlignment="1">
      <alignment horizontal="center" vertical="center"/>
    </xf>
    <xf numFmtId="14" fontId="15" fillId="0" borderId="17" xfId="2" applyNumberFormat="1" applyFont="1" applyFill="1" applyBorder="1" applyAlignment="1">
      <alignment horizontal="center" vertical="center"/>
    </xf>
    <xf numFmtId="14" fontId="15" fillId="0" borderId="18" xfId="2" applyNumberFormat="1" applyFont="1" applyFill="1" applyBorder="1" applyAlignment="1">
      <alignment horizontal="center" vertical="center"/>
    </xf>
    <xf numFmtId="14" fontId="15" fillId="0" borderId="19" xfId="2" applyNumberFormat="1" applyFont="1" applyFill="1" applyBorder="1" applyAlignment="1">
      <alignment horizontal="center" vertical="center"/>
    </xf>
    <xf numFmtId="0" fontId="1" fillId="0" borderId="12" xfId="3" applyFont="1" applyFill="1" applyBorder="1" applyAlignment="1">
      <alignment vertical="center" wrapText="1"/>
    </xf>
    <xf numFmtId="0" fontId="1" fillId="0" borderId="0" xfId="3" applyFont="1" applyFill="1" applyBorder="1" applyAlignment="1">
      <alignment vertical="center" wrapText="1"/>
    </xf>
    <xf numFmtId="0" fontId="1" fillId="0" borderId="16" xfId="3" applyFont="1" applyFill="1" applyBorder="1" applyAlignment="1">
      <alignment vertical="center" wrapText="1"/>
    </xf>
    <xf numFmtId="0" fontId="1" fillId="0" borderId="17" xfId="3" applyFont="1" applyFill="1" applyBorder="1" applyAlignment="1">
      <alignment vertical="center" wrapText="1"/>
    </xf>
    <xf numFmtId="0" fontId="1" fillId="0" borderId="18" xfId="3" applyFont="1" applyFill="1" applyBorder="1" applyAlignment="1">
      <alignment vertical="center" wrapText="1"/>
    </xf>
    <xf numFmtId="0" fontId="1" fillId="0" borderId="19" xfId="3" applyFont="1" applyFill="1" applyBorder="1" applyAlignment="1">
      <alignment vertical="center" wrapText="1"/>
    </xf>
    <xf numFmtId="177" fontId="1" fillId="0" borderId="14" xfId="3" applyNumberFormat="1" applyFont="1" applyFill="1" applyBorder="1" applyAlignment="1">
      <alignment horizontal="center" vertical="center"/>
    </xf>
    <xf numFmtId="177" fontId="1" fillId="0" borderId="15" xfId="3" applyNumberFormat="1" applyFont="1" applyFill="1" applyBorder="1" applyAlignment="1">
      <alignment horizontal="center" vertical="center"/>
    </xf>
    <xf numFmtId="0" fontId="14" fillId="0" borderId="14" xfId="3" applyFont="1" applyFill="1" applyBorder="1" applyAlignment="1">
      <alignment horizontal="center" vertical="center"/>
    </xf>
    <xf numFmtId="0" fontId="14" fillId="0" borderId="15" xfId="3" applyFont="1" applyFill="1" applyBorder="1" applyAlignment="1">
      <alignment horizontal="center" vertical="center"/>
    </xf>
    <xf numFmtId="0" fontId="1" fillId="0" borderId="13" xfId="2" applyFont="1" applyFill="1" applyBorder="1" applyAlignment="1">
      <alignment vertical="center" wrapText="1"/>
    </xf>
    <xf numFmtId="0" fontId="1" fillId="0" borderId="14" xfId="3" applyFont="1" applyFill="1" applyBorder="1" applyAlignment="1">
      <alignment vertical="center" wrapText="1"/>
    </xf>
    <xf numFmtId="0" fontId="1" fillId="0" borderId="15" xfId="3" applyFont="1" applyFill="1" applyBorder="1" applyAlignment="1">
      <alignment vertical="center" wrapText="1"/>
    </xf>
    <xf numFmtId="177" fontId="1" fillId="0" borderId="32" xfId="3" applyNumberFormat="1" applyFont="1" applyFill="1" applyBorder="1" applyAlignment="1">
      <alignment horizontal="center" vertical="center"/>
    </xf>
    <xf numFmtId="177" fontId="1" fillId="0" borderId="33" xfId="3" applyNumberFormat="1" applyFont="1" applyFill="1" applyBorder="1" applyAlignment="1">
      <alignment horizontal="center" vertical="center"/>
    </xf>
    <xf numFmtId="177" fontId="1" fillId="0" borderId="34" xfId="3" applyNumberFormat="1" applyFont="1" applyFill="1" applyBorder="1" applyAlignment="1">
      <alignment horizontal="center" vertical="center"/>
    </xf>
    <xf numFmtId="14" fontId="1" fillId="0" borderId="35" xfId="3" applyNumberFormat="1" applyFont="1" applyFill="1" applyBorder="1" applyAlignment="1">
      <alignment horizontal="center" vertical="center"/>
    </xf>
    <xf numFmtId="14" fontId="1" fillId="0" borderId="33" xfId="3" applyNumberFormat="1" applyFont="1" applyFill="1" applyBorder="1" applyAlignment="1">
      <alignment horizontal="center" vertical="center"/>
    </xf>
    <xf numFmtId="14" fontId="1" fillId="0" borderId="34" xfId="3" applyNumberFormat="1" applyFont="1" applyFill="1" applyBorder="1" applyAlignment="1">
      <alignment horizontal="center" vertical="center"/>
    </xf>
    <xf numFmtId="0" fontId="14" fillId="0" borderId="13" xfId="2" applyFont="1" applyFill="1" applyBorder="1" applyAlignment="1">
      <alignment horizontal="center" vertical="center"/>
    </xf>
    <xf numFmtId="0" fontId="14" fillId="0" borderId="35" xfId="3" applyFont="1" applyFill="1" applyBorder="1" applyAlignment="1">
      <alignment horizontal="center" vertical="center"/>
    </xf>
    <xf numFmtId="0" fontId="14" fillId="0" borderId="33" xfId="3" applyFont="1" applyFill="1" applyBorder="1" applyAlignment="1">
      <alignment horizontal="center" vertical="center"/>
    </xf>
    <xf numFmtId="0" fontId="14" fillId="0" borderId="34" xfId="3" applyFont="1" applyFill="1" applyBorder="1" applyAlignment="1">
      <alignment horizontal="center" vertical="center"/>
    </xf>
    <xf numFmtId="0" fontId="1" fillId="0" borderId="35" xfId="3" applyFont="1" applyFill="1" applyBorder="1" applyAlignment="1">
      <alignment vertical="center" wrapText="1"/>
    </xf>
    <xf numFmtId="0" fontId="1" fillId="0" borderId="33" xfId="3" applyFont="1" applyFill="1" applyBorder="1" applyAlignment="1">
      <alignment vertical="center" wrapText="1"/>
    </xf>
    <xf numFmtId="0" fontId="1" fillId="0" borderId="34" xfId="3" applyFont="1" applyFill="1" applyBorder="1" applyAlignment="1">
      <alignment vertical="center" wrapText="1"/>
    </xf>
    <xf numFmtId="0" fontId="1" fillId="0" borderId="35" xfId="3" applyFont="1" applyFill="1" applyBorder="1" applyAlignment="1">
      <alignment horizontal="center" vertical="center"/>
    </xf>
    <xf numFmtId="0" fontId="1" fillId="0" borderId="33" xfId="3" applyFont="1" applyFill="1" applyBorder="1" applyAlignment="1">
      <alignment horizontal="center" vertical="center"/>
    </xf>
    <xf numFmtId="0" fontId="1" fillId="0" borderId="39" xfId="3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vertical="center" wrapText="1"/>
    </xf>
    <xf numFmtId="0" fontId="1" fillId="0" borderId="15" xfId="2" applyFont="1" applyFill="1" applyBorder="1" applyAlignment="1">
      <alignment vertical="center" wrapText="1"/>
    </xf>
    <xf numFmtId="0" fontId="1" fillId="0" borderId="12" xfId="2" applyFont="1" applyFill="1" applyBorder="1" applyAlignment="1">
      <alignment vertical="center" wrapText="1"/>
    </xf>
    <xf numFmtId="0" fontId="1" fillId="0" borderId="0" xfId="2" applyFont="1" applyFill="1" applyBorder="1" applyAlignment="1">
      <alignment vertical="center" wrapText="1"/>
    </xf>
    <xf numFmtId="0" fontId="1" fillId="0" borderId="16" xfId="2" applyFont="1" applyFill="1" applyBorder="1" applyAlignment="1">
      <alignment vertical="center" wrapText="1"/>
    </xf>
    <xf numFmtId="0" fontId="1" fillId="0" borderId="17" xfId="2" applyFont="1" applyFill="1" applyBorder="1" applyAlignment="1">
      <alignment vertical="center" wrapText="1"/>
    </xf>
    <xf numFmtId="0" fontId="1" fillId="0" borderId="18" xfId="2" applyFont="1" applyFill="1" applyBorder="1" applyAlignment="1">
      <alignment vertical="center" wrapText="1"/>
    </xf>
    <xf numFmtId="0" fontId="1" fillId="0" borderId="19" xfId="2" applyFont="1" applyFill="1" applyBorder="1" applyAlignment="1">
      <alignment vertical="center" wrapText="1"/>
    </xf>
    <xf numFmtId="177" fontId="12" fillId="0" borderId="0" xfId="2" applyNumberFormat="1" applyFont="1" applyFill="1" applyBorder="1" applyAlignment="1">
      <alignment horizontal="center" vertical="center"/>
    </xf>
    <xf numFmtId="14" fontId="12" fillId="0" borderId="0" xfId="2" applyNumberFormat="1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vertical="center" wrapText="1"/>
    </xf>
    <xf numFmtId="0" fontId="16" fillId="0" borderId="58" xfId="3" applyFont="1" applyBorder="1" applyAlignment="1">
      <alignment horizontal="left" vertical="center"/>
    </xf>
    <xf numFmtId="0" fontId="16" fillId="0" borderId="58" xfId="3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1" xfId="0" applyFont="1" applyBorder="1" applyAlignment="1">
      <alignment vertical="center"/>
    </xf>
    <xf numFmtId="0" fontId="19" fillId="6" borderId="9" xfId="0" applyFont="1" applyFill="1" applyBorder="1" applyAlignment="1">
      <alignment horizontal="left" vertical="center"/>
    </xf>
    <xf numFmtId="0" fontId="19" fillId="6" borderId="10" xfId="0" applyFont="1" applyFill="1" applyBorder="1" applyAlignment="1">
      <alignment horizontal="left" vertical="center"/>
    </xf>
    <xf numFmtId="0" fontId="19" fillId="6" borderId="11" xfId="0" applyFont="1" applyFill="1" applyBorder="1" applyAlignment="1">
      <alignment horizontal="left" vertical="center"/>
    </xf>
    <xf numFmtId="0" fontId="19" fillId="0" borderId="9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horizontal="left" vertical="center"/>
    </xf>
    <xf numFmtId="0" fontId="19" fillId="0" borderId="9" xfId="0" applyFont="1" applyFill="1" applyBorder="1" applyAlignment="1">
      <alignment vertical="center"/>
    </xf>
    <xf numFmtId="0" fontId="19" fillId="0" borderId="10" xfId="0" applyFont="1" applyFill="1" applyBorder="1" applyAlignment="1">
      <alignment vertical="center"/>
    </xf>
    <xf numFmtId="0" fontId="19" fillId="0" borderId="11" xfId="0" applyFont="1" applyFill="1" applyBorder="1" applyAlignment="1">
      <alignment vertical="center"/>
    </xf>
    <xf numFmtId="0" fontId="19" fillId="6" borderId="9" xfId="0" applyFont="1" applyFill="1" applyBorder="1" applyAlignment="1">
      <alignment vertical="center"/>
    </xf>
    <xf numFmtId="0" fontId="19" fillId="6" borderId="10" xfId="0" applyFont="1" applyFill="1" applyBorder="1" applyAlignment="1">
      <alignment vertical="center"/>
    </xf>
    <xf numFmtId="0" fontId="19" fillId="6" borderId="11" xfId="0" applyFont="1" applyFill="1" applyBorder="1" applyAlignment="1">
      <alignment vertical="center"/>
    </xf>
    <xf numFmtId="0" fontId="19" fillId="0" borderId="59" xfId="0" applyFont="1" applyBorder="1" applyAlignment="1">
      <alignment horizontal="center" vertical="center"/>
    </xf>
    <xf numFmtId="0" fontId="19" fillId="0" borderId="59" xfId="0" applyFont="1" applyBorder="1" applyAlignment="1">
      <alignment horizontal="left" vertical="center"/>
    </xf>
    <xf numFmtId="0" fontId="19" fillId="6" borderId="59" xfId="0" applyFont="1" applyFill="1" applyBorder="1" applyAlignment="1">
      <alignment horizontal="left" vertical="center"/>
    </xf>
    <xf numFmtId="0" fontId="19" fillId="0" borderId="58" xfId="0" applyFont="1" applyFill="1" applyBorder="1" applyAlignment="1">
      <alignment horizontal="left" vertical="center"/>
    </xf>
    <xf numFmtId="0" fontId="19" fillId="6" borderId="9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vertical="center"/>
    </xf>
    <xf numFmtId="0" fontId="24" fillId="6" borderId="10" xfId="0" applyFont="1" applyFill="1" applyBorder="1" applyAlignment="1">
      <alignment vertical="center"/>
    </xf>
    <xf numFmtId="0" fontId="24" fillId="6" borderId="11" xfId="0" applyFont="1" applyFill="1" applyBorder="1" applyAlignment="1">
      <alignment vertical="center"/>
    </xf>
    <xf numFmtId="0" fontId="19" fillId="5" borderId="58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" fillId="0" borderId="28" xfId="2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14" fontId="17" fillId="0" borderId="13" xfId="0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17" fillId="0" borderId="35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14" fontId="17" fillId="0" borderId="39" xfId="0" applyNumberFormat="1" applyFont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17" fillId="3" borderId="55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left" vertical="center"/>
    </xf>
    <xf numFmtId="0" fontId="19" fillId="8" borderId="11" xfId="0" applyFont="1" applyFill="1" applyBorder="1" applyAlignment="1">
      <alignment horizontal="left" vertical="center"/>
    </xf>
    <xf numFmtId="0" fontId="22" fillId="7" borderId="9" xfId="4" applyFont="1" applyFill="1" applyBorder="1" applyAlignment="1">
      <alignment horizontal="center" vertical="center"/>
    </xf>
    <xf numFmtId="0" fontId="22" fillId="7" borderId="10" xfId="4" applyFont="1" applyFill="1" applyBorder="1" applyAlignment="1">
      <alignment horizontal="center" vertical="center"/>
    </xf>
    <xf numFmtId="0" fontId="22" fillId="7" borderId="11" xfId="4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2" fillId="5" borderId="9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7" fillId="9" borderId="58" xfId="3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left" vertical="center"/>
    </xf>
    <xf numFmtId="0" fontId="24" fillId="6" borderId="10" xfId="0" applyFont="1" applyFill="1" applyBorder="1" applyAlignment="1">
      <alignment horizontal="left" vertical="center"/>
    </xf>
    <xf numFmtId="0" fontId="24" fillId="6" borderId="11" xfId="0" applyFont="1" applyFill="1" applyBorder="1" applyAlignment="1">
      <alignment horizontal="left" vertical="center"/>
    </xf>
    <xf numFmtId="0" fontId="24" fillId="6" borderId="10" xfId="0" applyFont="1" applyFill="1" applyBorder="1" applyAlignment="1">
      <alignment horizontal="center" vertical="center"/>
    </xf>
  </cellXfs>
  <cellStyles count="5">
    <cellStyle name="標準" xfId="0" builtinId="0"/>
    <cellStyle name="標準 2 2" xfId="3" xr:uid="{6ED51616-FE26-415A-8682-CE4450C14862}"/>
    <cellStyle name="標準 2 2 3" xfId="4" xr:uid="{6AEE2323-58E1-401C-9C1D-C1C1355EA774}"/>
    <cellStyle name="標準_開発計画_110720_v11" xfId="2" xr:uid="{DC275108-1B48-4D51-B593-F02386B2619C}"/>
    <cellStyle name="標準_朝日生命_バースデーキャンペーン_DB設計書_080415_社内_情報活用セミナー_Createテキストデータ設計書_081107-2" xfId="1" xr:uid="{A25DF9C2-8F3B-4082-9DA8-4F15E3402E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44C98A8-620E-4D7D-9448-6A0609D873F2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4DFCB79C-5465-4A93-A0F2-9F01FF0E04FF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20BC0A88-79D9-4168-ABB0-822F06225D8F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4E8625F2-B2FC-47FB-8615-005E6005349A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7630</xdr:colOff>
      <xdr:row>5</xdr:row>
      <xdr:rowOff>15245</xdr:rowOff>
    </xdr:from>
    <xdr:to>
      <xdr:col>48</xdr:col>
      <xdr:colOff>138007</xdr:colOff>
      <xdr:row>36</xdr:row>
      <xdr:rowOff>101734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506294-3BB7-4E68-AF33-BBDF45D3F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90" y="891545"/>
          <a:ext cx="8542857" cy="5321429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twoCellAnchor>
    <xdr:from>
      <xdr:col>10</xdr:col>
      <xdr:colOff>42611</xdr:colOff>
      <xdr:row>22</xdr:row>
      <xdr:rowOff>10428</xdr:rowOff>
    </xdr:from>
    <xdr:to>
      <xdr:col>12</xdr:col>
      <xdr:colOff>65472</xdr:colOff>
      <xdr:row>23</xdr:row>
      <xdr:rowOff>146585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E01CCB7-DD26-4F62-8FC6-1A5AE4F5CCBE}"/>
            </a:ext>
          </a:extLst>
        </xdr:cNvPr>
        <xdr:cNvSpPr/>
      </xdr:nvSpPr>
      <xdr:spPr>
        <a:xfrm>
          <a:off x="1847348" y="3800375"/>
          <a:ext cx="383808" cy="3066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89733</xdr:colOff>
      <xdr:row>22</xdr:row>
      <xdr:rowOff>74953</xdr:rowOff>
    </xdr:from>
    <xdr:to>
      <xdr:col>10</xdr:col>
      <xdr:colOff>84018</xdr:colOff>
      <xdr:row>23</xdr:row>
      <xdr:rowOff>149248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6A490A3-2E99-4753-A8C6-8529C202AD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848" t="54891" r="78823" b="40856"/>
        <a:stretch/>
      </xdr:blipFill>
      <xdr:spPr>
        <a:xfrm>
          <a:off x="1561181" y="3871815"/>
          <a:ext cx="362147" cy="245088"/>
        </a:xfrm>
        <a:prstGeom prst="rect">
          <a:avLst/>
        </a:prstGeom>
        <a:ln w="1270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DC5B-99F2-46C5-AB8C-F96B07F35DC3}">
  <sheetPr>
    <pageSetUpPr fitToPage="1"/>
  </sheetPr>
  <dimension ref="A1:BC38"/>
  <sheetViews>
    <sheetView tabSelected="1" view="pageBreakPreview" zoomScaleSheetLayoutView="100" workbookViewId="0"/>
  </sheetViews>
  <sheetFormatPr defaultColWidth="2.3984375" defaultRowHeight="18" x14ac:dyDescent="0.45"/>
  <cols>
    <col min="1" max="53" width="2.59765625" customWidth="1"/>
  </cols>
  <sheetData>
    <row r="1" spans="1:55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"/>
      <c r="BC1" s="2"/>
    </row>
    <row r="2" spans="1:55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"/>
      <c r="BC2" s="2"/>
    </row>
    <row r="3" spans="1:55" ht="13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"/>
      <c r="BC3" s="2"/>
    </row>
    <row r="4" spans="1:55" ht="13.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"/>
      <c r="BC4" s="2"/>
    </row>
    <row r="5" spans="1:55" ht="13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"/>
      <c r="BC5" s="2"/>
    </row>
    <row r="6" spans="1:55" ht="13.5" customHeight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"/>
      <c r="BC6" s="2"/>
    </row>
    <row r="7" spans="1:55" ht="13.5" customHeight="1" thickTop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"/>
      <c r="BC7" s="2"/>
    </row>
    <row r="8" spans="1:55" ht="19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6"/>
      <c r="O8" s="52" t="s">
        <v>0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7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"/>
      <c r="BC8" s="2"/>
    </row>
    <row r="9" spans="1:55" ht="19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6"/>
      <c r="O9" s="52" t="s">
        <v>99</v>
      </c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7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"/>
      <c r="BC9" s="2"/>
    </row>
    <row r="10" spans="1:55" ht="19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6"/>
      <c r="O10" s="52" t="s">
        <v>1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7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"/>
      <c r="BC10" s="2"/>
    </row>
    <row r="11" spans="1:55" ht="13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7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"/>
      <c r="BC11" s="2"/>
    </row>
    <row r="12" spans="1:55" ht="19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6"/>
      <c r="O12" s="8"/>
      <c r="P12" s="8"/>
      <c r="Q12" s="8"/>
      <c r="R12" s="8"/>
      <c r="S12" s="53" t="s">
        <v>88</v>
      </c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8"/>
      <c r="AL12" s="8"/>
      <c r="AM12" s="8"/>
      <c r="AN12" s="8"/>
      <c r="AO12" s="7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"/>
      <c r="BC12" s="2"/>
    </row>
    <row r="13" spans="1:55" ht="13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6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7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"/>
      <c r="BC13" s="2"/>
    </row>
    <row r="14" spans="1:55" ht="13.5" customHeight="1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2"/>
    </row>
    <row r="15" spans="1:55" ht="13.5" customHeight="1" thickTop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2"/>
      <c r="Y15" s="1"/>
      <c r="Z15" s="1"/>
      <c r="AA15" s="54"/>
      <c r="AB15" s="54"/>
      <c r="AC15" s="54"/>
      <c r="AD15" s="54"/>
      <c r="AE15" s="54"/>
      <c r="AF15" s="54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"/>
      <c r="BC15" s="2"/>
    </row>
    <row r="16" spans="1:55" ht="13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2"/>
      <c r="Y16" s="1"/>
      <c r="Z16" s="1"/>
      <c r="AA16" s="13"/>
      <c r="AB16" s="13"/>
      <c r="AC16" s="13"/>
      <c r="AD16" s="13"/>
      <c r="AE16" s="13"/>
      <c r="AF16" s="13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"/>
      <c r="BC16" s="2"/>
    </row>
    <row r="17" spans="1:55" ht="13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"/>
      <c r="S17" s="8"/>
      <c r="T17" s="8"/>
      <c r="U17" s="8"/>
      <c r="V17" s="8"/>
      <c r="W17" s="1"/>
      <c r="X17" s="8" t="str">
        <f>"第"&amp;TEXT(MAX(更新履歴!A8:I170),"#0.0")&amp;"版"</f>
        <v>第1.4版</v>
      </c>
      <c r="Y17" s="14"/>
      <c r="Z17" s="14"/>
      <c r="AA17" s="55">
        <f>MAX(更新履歴!J8:Q34)</f>
        <v>43783</v>
      </c>
      <c r="AB17" s="55"/>
      <c r="AC17" s="55"/>
      <c r="AD17" s="55"/>
      <c r="AE17" s="55"/>
      <c r="AF17" s="55"/>
      <c r="AG17" s="8"/>
      <c r="AH17" s="8"/>
      <c r="AI17" s="8"/>
      <c r="AJ17" s="8"/>
      <c r="AK17" s="8"/>
      <c r="AL17" s="8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"/>
      <c r="BC17" s="2"/>
    </row>
    <row r="18" spans="1:55" ht="13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"/>
      <c r="S18" s="8"/>
      <c r="T18" s="8"/>
      <c r="U18" s="8"/>
      <c r="V18" s="8"/>
      <c r="W18" s="8"/>
      <c r="X18" s="12"/>
      <c r="Y18" s="8"/>
      <c r="Z18" s="8"/>
      <c r="AA18" s="15"/>
      <c r="AB18" s="15"/>
      <c r="AC18" s="15"/>
      <c r="AD18" s="15"/>
      <c r="AE18" s="15"/>
      <c r="AF18" s="15"/>
      <c r="AG18" s="8"/>
      <c r="AH18" s="8"/>
      <c r="AI18" s="8"/>
      <c r="AJ18" s="8"/>
      <c r="AK18" s="8"/>
      <c r="AL18" s="8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"/>
      <c r="BC18" s="2"/>
    </row>
    <row r="19" spans="1:55" ht="13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6"/>
      <c r="Y19" s="8"/>
      <c r="Z19" s="8"/>
      <c r="AA19" s="56"/>
      <c r="AB19" s="56"/>
      <c r="AC19" s="56"/>
      <c r="AD19" s="56"/>
      <c r="AE19" s="56"/>
      <c r="AF19" s="56"/>
      <c r="AG19" s="17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57" t="s">
        <v>2</v>
      </c>
      <c r="V20" s="58"/>
      <c r="W20" s="58"/>
      <c r="X20" s="58"/>
      <c r="Y20" s="59"/>
      <c r="Z20" s="60" t="s">
        <v>3</v>
      </c>
      <c r="AA20" s="61"/>
      <c r="AB20" s="61"/>
      <c r="AC20" s="61"/>
      <c r="AD20" s="62"/>
      <c r="AE20" s="57" t="s">
        <v>4</v>
      </c>
      <c r="AF20" s="58"/>
      <c r="AG20" s="58"/>
      <c r="AH20" s="58"/>
      <c r="AI20" s="59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8"/>
      <c r="V21" s="8"/>
      <c r="W21" s="8"/>
      <c r="X21" s="8"/>
      <c r="Y21" s="8"/>
      <c r="Z21" s="19"/>
      <c r="AA21" s="20"/>
      <c r="AB21" s="20"/>
      <c r="AC21" s="20"/>
      <c r="AD21" s="21"/>
      <c r="AE21" s="8"/>
      <c r="AF21" s="8"/>
      <c r="AG21" s="8"/>
      <c r="AH21" s="8"/>
      <c r="AI21" s="2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8"/>
      <c r="V22" s="8"/>
      <c r="W22" s="8"/>
      <c r="X22" s="8"/>
      <c r="Y22" s="8"/>
      <c r="Z22" s="18"/>
      <c r="AA22" s="8"/>
      <c r="AB22" s="8"/>
      <c r="AC22" s="8"/>
      <c r="AD22" s="22"/>
      <c r="AE22" s="8"/>
      <c r="AF22" s="8"/>
      <c r="AG22" s="8"/>
      <c r="AH22" s="8"/>
      <c r="AI22" s="2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8"/>
      <c r="V23" s="8"/>
      <c r="W23" s="8"/>
      <c r="X23" s="8"/>
      <c r="Y23" s="8"/>
      <c r="Z23" s="18"/>
      <c r="AA23" s="8"/>
      <c r="AB23" s="8"/>
      <c r="AC23" s="8"/>
      <c r="AD23" s="22"/>
      <c r="AE23" s="8"/>
      <c r="AF23" s="8"/>
      <c r="AG23" s="8"/>
      <c r="AH23" s="8"/>
      <c r="AI23" s="22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3"/>
      <c r="V24" s="24"/>
      <c r="W24" s="24"/>
      <c r="X24" s="24"/>
      <c r="Y24" s="2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8"/>
      <c r="T25" s="8"/>
      <c r="U25" s="8"/>
      <c r="V25" s="8"/>
      <c r="W25" s="8"/>
      <c r="X25" s="8"/>
      <c r="Y25" s="8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8"/>
      <c r="T26" s="8"/>
      <c r="U26" s="8"/>
      <c r="V26" s="8"/>
      <c r="W26" s="8"/>
      <c r="X26" s="8"/>
      <c r="Y26" s="8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8"/>
      <c r="T27" s="8"/>
      <c r="U27" s="8"/>
      <c r="V27" s="8"/>
      <c r="W27" s="8"/>
      <c r="X27" s="8"/>
      <c r="Y27" s="8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8"/>
      <c r="T28" s="8"/>
      <c r="U28" s="8"/>
      <c r="V28" s="8"/>
      <c r="W28" s="8"/>
      <c r="X28" s="8"/>
      <c r="Y28" s="8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8"/>
      <c r="T30" s="8"/>
      <c r="U30" s="8"/>
      <c r="V30" s="8"/>
      <c r="W30" s="8"/>
      <c r="X30" s="8"/>
      <c r="Y30" s="8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 x14ac:dyDescent="0.2">
      <c r="A37" s="2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7"/>
    </row>
    <row r="38" spans="1:53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ageMargins left="0.23622047244094491" right="0.23622047244094491" top="0.74803149606299213" bottom="0.74803149606299213" header="0.31496062992125984" footer="0.31496062992125984"/>
  <pageSetup paperSize="9" scale="8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DEC1-D073-4A83-BC7C-4EAE53B2D66A}">
  <sheetPr>
    <pageSetUpPr fitToPage="1"/>
  </sheetPr>
  <dimension ref="A1:BC37"/>
  <sheetViews>
    <sheetView showGridLines="0" view="pageBreakPreview" zoomScaleNormal="85" zoomScaleSheetLayoutView="100" workbookViewId="0">
      <selection sqref="A1:I1"/>
    </sheetView>
  </sheetViews>
  <sheetFormatPr defaultColWidth="2.5" defaultRowHeight="13.5" customHeight="1" x14ac:dyDescent="0.15"/>
  <cols>
    <col min="1" max="55" width="2.3984375" style="34" customWidth="1"/>
    <col min="56" max="237" width="2.5" style="34"/>
    <col min="238" max="301" width="2.3984375" style="34" customWidth="1"/>
    <col min="302" max="493" width="2.5" style="34"/>
    <col min="494" max="557" width="2.3984375" style="34" customWidth="1"/>
    <col min="558" max="749" width="2.5" style="34"/>
    <col min="750" max="813" width="2.3984375" style="34" customWidth="1"/>
    <col min="814" max="1005" width="2.5" style="34"/>
    <col min="1006" max="1069" width="2.3984375" style="34" customWidth="1"/>
    <col min="1070" max="1261" width="2.5" style="34"/>
    <col min="1262" max="1325" width="2.3984375" style="34" customWidth="1"/>
    <col min="1326" max="1517" width="2.5" style="34"/>
    <col min="1518" max="1581" width="2.3984375" style="34" customWidth="1"/>
    <col min="1582" max="1773" width="2.5" style="34"/>
    <col min="1774" max="1837" width="2.3984375" style="34" customWidth="1"/>
    <col min="1838" max="2029" width="2.5" style="34"/>
    <col min="2030" max="2093" width="2.3984375" style="34" customWidth="1"/>
    <col min="2094" max="2285" width="2.5" style="34"/>
    <col min="2286" max="2349" width="2.3984375" style="34" customWidth="1"/>
    <col min="2350" max="2541" width="2.5" style="34"/>
    <col min="2542" max="2605" width="2.3984375" style="34" customWidth="1"/>
    <col min="2606" max="2797" width="2.5" style="34"/>
    <col min="2798" max="2861" width="2.3984375" style="34" customWidth="1"/>
    <col min="2862" max="3053" width="2.5" style="34"/>
    <col min="3054" max="3117" width="2.3984375" style="34" customWidth="1"/>
    <col min="3118" max="3309" width="2.5" style="34"/>
    <col min="3310" max="3373" width="2.3984375" style="34" customWidth="1"/>
    <col min="3374" max="3565" width="2.5" style="34"/>
    <col min="3566" max="3629" width="2.3984375" style="34" customWidth="1"/>
    <col min="3630" max="3821" width="2.5" style="34"/>
    <col min="3822" max="3885" width="2.3984375" style="34" customWidth="1"/>
    <col min="3886" max="4077" width="2.5" style="34"/>
    <col min="4078" max="4141" width="2.3984375" style="34" customWidth="1"/>
    <col min="4142" max="4333" width="2.5" style="34"/>
    <col min="4334" max="4397" width="2.3984375" style="34" customWidth="1"/>
    <col min="4398" max="4589" width="2.5" style="34"/>
    <col min="4590" max="4653" width="2.3984375" style="34" customWidth="1"/>
    <col min="4654" max="4845" width="2.5" style="34"/>
    <col min="4846" max="4909" width="2.3984375" style="34" customWidth="1"/>
    <col min="4910" max="5101" width="2.5" style="34"/>
    <col min="5102" max="5165" width="2.3984375" style="34" customWidth="1"/>
    <col min="5166" max="5357" width="2.5" style="34"/>
    <col min="5358" max="5421" width="2.3984375" style="34" customWidth="1"/>
    <col min="5422" max="5613" width="2.5" style="34"/>
    <col min="5614" max="5677" width="2.3984375" style="34" customWidth="1"/>
    <col min="5678" max="5869" width="2.5" style="34"/>
    <col min="5870" max="5933" width="2.3984375" style="34" customWidth="1"/>
    <col min="5934" max="6125" width="2.5" style="34"/>
    <col min="6126" max="6189" width="2.3984375" style="34" customWidth="1"/>
    <col min="6190" max="6381" width="2.5" style="34"/>
    <col min="6382" max="6445" width="2.3984375" style="34" customWidth="1"/>
    <col min="6446" max="6637" width="2.5" style="34"/>
    <col min="6638" max="6701" width="2.3984375" style="34" customWidth="1"/>
    <col min="6702" max="6893" width="2.5" style="34"/>
    <col min="6894" max="6957" width="2.3984375" style="34" customWidth="1"/>
    <col min="6958" max="7149" width="2.5" style="34"/>
    <col min="7150" max="7213" width="2.3984375" style="34" customWidth="1"/>
    <col min="7214" max="7405" width="2.5" style="34"/>
    <col min="7406" max="7469" width="2.3984375" style="34" customWidth="1"/>
    <col min="7470" max="7661" width="2.5" style="34"/>
    <col min="7662" max="7725" width="2.3984375" style="34" customWidth="1"/>
    <col min="7726" max="7917" width="2.5" style="34"/>
    <col min="7918" max="7981" width="2.3984375" style="34" customWidth="1"/>
    <col min="7982" max="8173" width="2.5" style="34"/>
    <col min="8174" max="8237" width="2.3984375" style="34" customWidth="1"/>
    <col min="8238" max="8429" width="2.5" style="34"/>
    <col min="8430" max="8493" width="2.3984375" style="34" customWidth="1"/>
    <col min="8494" max="8685" width="2.5" style="34"/>
    <col min="8686" max="8749" width="2.3984375" style="34" customWidth="1"/>
    <col min="8750" max="8941" width="2.5" style="34"/>
    <col min="8942" max="9005" width="2.3984375" style="34" customWidth="1"/>
    <col min="9006" max="9197" width="2.5" style="34"/>
    <col min="9198" max="9261" width="2.3984375" style="34" customWidth="1"/>
    <col min="9262" max="9453" width="2.5" style="34"/>
    <col min="9454" max="9517" width="2.3984375" style="34" customWidth="1"/>
    <col min="9518" max="9709" width="2.5" style="34"/>
    <col min="9710" max="9773" width="2.3984375" style="34" customWidth="1"/>
    <col min="9774" max="9965" width="2.5" style="34"/>
    <col min="9966" max="10029" width="2.3984375" style="34" customWidth="1"/>
    <col min="10030" max="10221" width="2.5" style="34"/>
    <col min="10222" max="10285" width="2.3984375" style="34" customWidth="1"/>
    <col min="10286" max="10477" width="2.5" style="34"/>
    <col min="10478" max="10541" width="2.3984375" style="34" customWidth="1"/>
    <col min="10542" max="10733" width="2.5" style="34"/>
    <col min="10734" max="10797" width="2.3984375" style="34" customWidth="1"/>
    <col min="10798" max="10989" width="2.5" style="34"/>
    <col min="10990" max="11053" width="2.3984375" style="34" customWidth="1"/>
    <col min="11054" max="11245" width="2.5" style="34"/>
    <col min="11246" max="11309" width="2.3984375" style="34" customWidth="1"/>
    <col min="11310" max="11501" width="2.5" style="34"/>
    <col min="11502" max="11565" width="2.3984375" style="34" customWidth="1"/>
    <col min="11566" max="11757" width="2.5" style="34"/>
    <col min="11758" max="11821" width="2.3984375" style="34" customWidth="1"/>
    <col min="11822" max="12013" width="2.5" style="34"/>
    <col min="12014" max="12077" width="2.3984375" style="34" customWidth="1"/>
    <col min="12078" max="12269" width="2.5" style="34"/>
    <col min="12270" max="12333" width="2.3984375" style="34" customWidth="1"/>
    <col min="12334" max="12525" width="2.5" style="34"/>
    <col min="12526" max="12589" width="2.3984375" style="34" customWidth="1"/>
    <col min="12590" max="12781" width="2.5" style="34"/>
    <col min="12782" max="12845" width="2.3984375" style="34" customWidth="1"/>
    <col min="12846" max="13037" width="2.5" style="34"/>
    <col min="13038" max="13101" width="2.3984375" style="34" customWidth="1"/>
    <col min="13102" max="13293" width="2.5" style="34"/>
    <col min="13294" max="13357" width="2.3984375" style="34" customWidth="1"/>
    <col min="13358" max="13549" width="2.5" style="34"/>
    <col min="13550" max="13613" width="2.3984375" style="34" customWidth="1"/>
    <col min="13614" max="13805" width="2.5" style="34"/>
    <col min="13806" max="13869" width="2.3984375" style="34" customWidth="1"/>
    <col min="13870" max="14061" width="2.5" style="34"/>
    <col min="14062" max="14125" width="2.3984375" style="34" customWidth="1"/>
    <col min="14126" max="14317" width="2.5" style="34"/>
    <col min="14318" max="14381" width="2.3984375" style="34" customWidth="1"/>
    <col min="14382" max="14573" width="2.5" style="34"/>
    <col min="14574" max="14637" width="2.3984375" style="34" customWidth="1"/>
    <col min="14638" max="14829" width="2.5" style="34"/>
    <col min="14830" max="14893" width="2.3984375" style="34" customWidth="1"/>
    <col min="14894" max="15085" width="2.5" style="34"/>
    <col min="15086" max="15149" width="2.3984375" style="34" customWidth="1"/>
    <col min="15150" max="15341" width="2.5" style="34"/>
    <col min="15342" max="15405" width="2.3984375" style="34" customWidth="1"/>
    <col min="15406" max="15597" width="2.5" style="34"/>
    <col min="15598" max="15661" width="2.3984375" style="34" customWidth="1"/>
    <col min="15662" max="15853" width="2.5" style="34"/>
    <col min="15854" max="15917" width="2.3984375" style="34" customWidth="1"/>
    <col min="15918" max="16109" width="2.5" style="34"/>
    <col min="16110" max="16173" width="2.3984375" style="34" customWidth="1"/>
    <col min="16174" max="16384" width="2.5" style="34"/>
  </cols>
  <sheetData>
    <row r="1" spans="1:55" s="28" customFormat="1" ht="13.5" customHeight="1" x14ac:dyDescent="0.45">
      <c r="A1" s="95" t="s">
        <v>5</v>
      </c>
      <c r="B1" s="96"/>
      <c r="C1" s="96"/>
      <c r="D1" s="96"/>
      <c r="E1" s="96"/>
      <c r="F1" s="97"/>
      <c r="G1" s="97"/>
      <c r="H1" s="97"/>
      <c r="I1" s="98"/>
      <c r="J1" s="99" t="s">
        <v>6</v>
      </c>
      <c r="K1" s="63"/>
      <c r="L1" s="63"/>
      <c r="M1" s="63"/>
      <c r="N1" s="63"/>
      <c r="O1" s="64"/>
      <c r="P1" s="64"/>
      <c r="Q1" s="64"/>
      <c r="R1" s="100" t="str">
        <f>表紙!S12</f>
        <v>会場アサイン変更画面</v>
      </c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2"/>
      <c r="AJ1" s="103" t="s">
        <v>7</v>
      </c>
      <c r="AK1" s="104"/>
      <c r="AL1" s="104"/>
      <c r="AM1" s="104"/>
      <c r="AN1" s="104"/>
      <c r="AO1" s="105" t="s">
        <v>8</v>
      </c>
      <c r="AP1" s="104"/>
      <c r="AQ1" s="104"/>
      <c r="AR1" s="104"/>
      <c r="AS1" s="104"/>
      <c r="AT1" s="105" t="s">
        <v>9</v>
      </c>
      <c r="AU1" s="104"/>
      <c r="AV1" s="104"/>
      <c r="AW1" s="104"/>
      <c r="AX1" s="104"/>
      <c r="AY1" s="63" t="s">
        <v>10</v>
      </c>
      <c r="AZ1" s="64"/>
      <c r="BA1" s="64"/>
      <c r="BB1" s="64"/>
      <c r="BC1" s="65"/>
    </row>
    <row r="2" spans="1:55" s="28" customFormat="1" ht="13.5" customHeight="1" x14ac:dyDescent="0.45">
      <c r="A2" s="66" t="s">
        <v>99</v>
      </c>
      <c r="B2" s="67"/>
      <c r="C2" s="67"/>
      <c r="D2" s="67"/>
      <c r="E2" s="67"/>
      <c r="F2" s="68"/>
      <c r="G2" s="68"/>
      <c r="H2" s="68"/>
      <c r="I2" s="69"/>
      <c r="J2" s="74" t="str">
        <f>表紙!O8</f>
        <v>LMS学習管理システム</v>
      </c>
      <c r="K2" s="67"/>
      <c r="L2" s="67"/>
      <c r="M2" s="67"/>
      <c r="N2" s="67"/>
      <c r="O2" s="68"/>
      <c r="P2" s="68"/>
      <c r="Q2" s="75"/>
      <c r="R2" s="78" t="s">
        <v>11</v>
      </c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80"/>
      <c r="AJ2" s="84" t="s">
        <v>48</v>
      </c>
      <c r="AK2" s="85"/>
      <c r="AL2" s="85"/>
      <c r="AM2" s="85"/>
      <c r="AN2" s="85"/>
      <c r="AO2" s="88">
        <v>42674</v>
      </c>
      <c r="AP2" s="85"/>
      <c r="AQ2" s="85"/>
      <c r="AR2" s="85"/>
      <c r="AS2" s="85"/>
      <c r="AT2" s="89" t="s">
        <v>92</v>
      </c>
      <c r="AU2" s="85"/>
      <c r="AV2" s="85"/>
      <c r="AW2" s="85"/>
      <c r="AX2" s="85"/>
      <c r="AY2" s="90">
        <v>43783</v>
      </c>
      <c r="AZ2" s="91"/>
      <c r="BA2" s="91"/>
      <c r="BB2" s="91"/>
      <c r="BC2" s="92"/>
    </row>
    <row r="3" spans="1:55" s="28" customFormat="1" ht="13.5" customHeight="1" thickBot="1" x14ac:dyDescent="0.5">
      <c r="A3" s="70"/>
      <c r="B3" s="71"/>
      <c r="C3" s="71"/>
      <c r="D3" s="71"/>
      <c r="E3" s="71"/>
      <c r="F3" s="72"/>
      <c r="G3" s="72"/>
      <c r="H3" s="72"/>
      <c r="I3" s="73"/>
      <c r="J3" s="76"/>
      <c r="K3" s="71"/>
      <c r="L3" s="71"/>
      <c r="M3" s="71"/>
      <c r="N3" s="71"/>
      <c r="O3" s="72"/>
      <c r="P3" s="72"/>
      <c r="Q3" s="77"/>
      <c r="R3" s="81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3"/>
      <c r="AJ3" s="86"/>
      <c r="AK3" s="87"/>
      <c r="AL3" s="87"/>
      <c r="AM3" s="87"/>
      <c r="AN3" s="87"/>
      <c r="AO3" s="87"/>
      <c r="AP3" s="87"/>
      <c r="AQ3" s="87"/>
      <c r="AR3" s="87"/>
      <c r="AS3" s="87"/>
      <c r="AT3" s="86"/>
      <c r="AU3" s="87"/>
      <c r="AV3" s="87"/>
      <c r="AW3" s="87"/>
      <c r="AX3" s="87"/>
      <c r="AY3" s="93"/>
      <c r="AZ3" s="93"/>
      <c r="BA3" s="93"/>
      <c r="BB3" s="93"/>
      <c r="BC3" s="94"/>
    </row>
    <row r="4" spans="1:55" ht="13.5" customHeight="1" thickBo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30"/>
      <c r="M4" s="30"/>
      <c r="N4" s="30"/>
      <c r="O4" s="30"/>
      <c r="P4" s="31"/>
      <c r="Q4" s="32"/>
      <c r="R4" s="32"/>
      <c r="S4" s="32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0"/>
      <c r="AQ4" s="30"/>
      <c r="AR4" s="30"/>
      <c r="AS4" s="30"/>
      <c r="AT4" s="30"/>
      <c r="AU4" s="31"/>
      <c r="AV4" s="31"/>
      <c r="AW4" s="31"/>
      <c r="AX4" s="33"/>
      <c r="AY4" s="31"/>
      <c r="AZ4" s="31"/>
      <c r="BA4" s="33"/>
      <c r="BB4" s="33"/>
      <c r="BC4" s="29"/>
    </row>
    <row r="5" spans="1:55" s="35" customFormat="1" ht="13.5" customHeight="1" x14ac:dyDescent="0.2">
      <c r="A5" s="141" t="s">
        <v>12</v>
      </c>
      <c r="B5" s="142"/>
      <c r="C5" s="142"/>
      <c r="D5" s="142"/>
      <c r="E5" s="142"/>
      <c r="F5" s="142"/>
      <c r="G5" s="142"/>
      <c r="H5" s="142"/>
      <c r="I5" s="143"/>
      <c r="J5" s="150" t="s">
        <v>13</v>
      </c>
      <c r="K5" s="142"/>
      <c r="L5" s="142"/>
      <c r="M5" s="142"/>
      <c r="N5" s="142"/>
      <c r="O5" s="142"/>
      <c r="P5" s="142"/>
      <c r="Q5" s="143"/>
      <c r="R5" s="150" t="s">
        <v>14</v>
      </c>
      <c r="S5" s="142"/>
      <c r="T5" s="142"/>
      <c r="U5" s="143"/>
      <c r="V5" s="150" t="s">
        <v>15</v>
      </c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3"/>
      <c r="AT5" s="150" t="s">
        <v>16</v>
      </c>
      <c r="AU5" s="142"/>
      <c r="AV5" s="142"/>
      <c r="AW5" s="142"/>
      <c r="AX5" s="142"/>
      <c r="AY5" s="142"/>
      <c r="AZ5" s="142"/>
      <c r="BA5" s="142"/>
      <c r="BB5" s="142"/>
      <c r="BC5" s="153"/>
    </row>
    <row r="6" spans="1:55" s="36" customFormat="1" ht="13.5" customHeight="1" x14ac:dyDescent="0.2">
      <c r="A6" s="144"/>
      <c r="B6" s="145"/>
      <c r="C6" s="145"/>
      <c r="D6" s="145"/>
      <c r="E6" s="145"/>
      <c r="F6" s="145"/>
      <c r="G6" s="145"/>
      <c r="H6" s="145"/>
      <c r="I6" s="146"/>
      <c r="J6" s="151"/>
      <c r="K6" s="145"/>
      <c r="L6" s="145"/>
      <c r="M6" s="145"/>
      <c r="N6" s="145"/>
      <c r="O6" s="145"/>
      <c r="P6" s="145"/>
      <c r="Q6" s="146"/>
      <c r="R6" s="151"/>
      <c r="S6" s="145"/>
      <c r="T6" s="145"/>
      <c r="U6" s="146"/>
      <c r="V6" s="151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6"/>
      <c r="AT6" s="151"/>
      <c r="AU6" s="145"/>
      <c r="AV6" s="145"/>
      <c r="AW6" s="145"/>
      <c r="AX6" s="145"/>
      <c r="AY6" s="145"/>
      <c r="AZ6" s="145"/>
      <c r="BA6" s="145"/>
      <c r="BB6" s="145"/>
      <c r="BC6" s="154"/>
    </row>
    <row r="7" spans="1:55" s="36" customFormat="1" ht="13.5" customHeight="1" thickBot="1" x14ac:dyDescent="0.25">
      <c r="A7" s="147"/>
      <c r="B7" s="148"/>
      <c r="C7" s="148"/>
      <c r="D7" s="148"/>
      <c r="E7" s="148"/>
      <c r="F7" s="148"/>
      <c r="G7" s="148"/>
      <c r="H7" s="148"/>
      <c r="I7" s="149"/>
      <c r="J7" s="152"/>
      <c r="K7" s="148"/>
      <c r="L7" s="148"/>
      <c r="M7" s="148"/>
      <c r="N7" s="148"/>
      <c r="O7" s="148"/>
      <c r="P7" s="148"/>
      <c r="Q7" s="149"/>
      <c r="R7" s="152"/>
      <c r="S7" s="148"/>
      <c r="T7" s="148"/>
      <c r="U7" s="149"/>
      <c r="V7" s="152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9"/>
      <c r="AT7" s="152"/>
      <c r="AU7" s="148"/>
      <c r="AV7" s="148"/>
      <c r="AW7" s="148"/>
      <c r="AX7" s="148"/>
      <c r="AY7" s="148"/>
      <c r="AZ7" s="148"/>
      <c r="BA7" s="148"/>
      <c r="BB7" s="148"/>
      <c r="BC7" s="155"/>
    </row>
    <row r="8" spans="1:55" s="36" customFormat="1" ht="13.5" customHeight="1" thickTop="1" x14ac:dyDescent="0.2">
      <c r="A8" s="106">
        <v>1</v>
      </c>
      <c r="B8" s="107"/>
      <c r="C8" s="107"/>
      <c r="D8" s="107"/>
      <c r="E8" s="107"/>
      <c r="F8" s="107"/>
      <c r="G8" s="107"/>
      <c r="H8" s="107"/>
      <c r="I8" s="108"/>
      <c r="J8" s="113">
        <v>42674</v>
      </c>
      <c r="K8" s="114"/>
      <c r="L8" s="114"/>
      <c r="M8" s="114"/>
      <c r="N8" s="114"/>
      <c r="O8" s="114"/>
      <c r="P8" s="114"/>
      <c r="Q8" s="115"/>
      <c r="R8" s="120" t="s">
        <v>17</v>
      </c>
      <c r="S8" s="121"/>
      <c r="T8" s="121"/>
      <c r="U8" s="122"/>
      <c r="V8" s="127" t="s">
        <v>46</v>
      </c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9"/>
      <c r="AT8" s="134" t="s">
        <v>47</v>
      </c>
      <c r="AU8" s="135"/>
      <c r="AV8" s="135"/>
      <c r="AW8" s="135"/>
      <c r="AX8" s="135"/>
      <c r="AY8" s="135"/>
      <c r="AZ8" s="135"/>
      <c r="BA8" s="135"/>
      <c r="BB8" s="135"/>
      <c r="BC8" s="136"/>
    </row>
    <row r="9" spans="1:55" s="36" customFormat="1" ht="13.5" customHeight="1" x14ac:dyDescent="0.2">
      <c r="A9" s="109"/>
      <c r="B9" s="107"/>
      <c r="C9" s="107"/>
      <c r="D9" s="107"/>
      <c r="E9" s="107"/>
      <c r="F9" s="107"/>
      <c r="G9" s="107"/>
      <c r="H9" s="107"/>
      <c r="I9" s="108"/>
      <c r="J9" s="116"/>
      <c r="K9" s="114"/>
      <c r="L9" s="114"/>
      <c r="M9" s="114"/>
      <c r="N9" s="114"/>
      <c r="O9" s="114"/>
      <c r="P9" s="114"/>
      <c r="Q9" s="115"/>
      <c r="R9" s="123"/>
      <c r="S9" s="121"/>
      <c r="T9" s="121"/>
      <c r="U9" s="122"/>
      <c r="V9" s="130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9"/>
      <c r="AT9" s="137"/>
      <c r="AU9" s="135"/>
      <c r="AV9" s="135"/>
      <c r="AW9" s="135"/>
      <c r="AX9" s="135"/>
      <c r="AY9" s="135"/>
      <c r="AZ9" s="135"/>
      <c r="BA9" s="135"/>
      <c r="BB9" s="135"/>
      <c r="BC9" s="136"/>
    </row>
    <row r="10" spans="1:55" s="36" customFormat="1" ht="13.5" customHeight="1" x14ac:dyDescent="0.2">
      <c r="A10" s="110"/>
      <c r="B10" s="111"/>
      <c r="C10" s="111"/>
      <c r="D10" s="111"/>
      <c r="E10" s="111"/>
      <c r="F10" s="111"/>
      <c r="G10" s="111"/>
      <c r="H10" s="111"/>
      <c r="I10" s="112"/>
      <c r="J10" s="117"/>
      <c r="K10" s="118"/>
      <c r="L10" s="118"/>
      <c r="M10" s="118"/>
      <c r="N10" s="118"/>
      <c r="O10" s="118"/>
      <c r="P10" s="118"/>
      <c r="Q10" s="119"/>
      <c r="R10" s="124"/>
      <c r="S10" s="125"/>
      <c r="T10" s="125"/>
      <c r="U10" s="126"/>
      <c r="V10" s="131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3"/>
      <c r="AT10" s="138"/>
      <c r="AU10" s="139"/>
      <c r="AV10" s="139"/>
      <c r="AW10" s="139"/>
      <c r="AX10" s="139"/>
      <c r="AY10" s="139"/>
      <c r="AZ10" s="139"/>
      <c r="BA10" s="139"/>
      <c r="BB10" s="139"/>
      <c r="BC10" s="140"/>
    </row>
    <row r="11" spans="1:55" s="36" customFormat="1" ht="13.5" customHeight="1" x14ac:dyDescent="0.2">
      <c r="A11" s="201">
        <v>1.1000000000000001</v>
      </c>
      <c r="B11" s="202"/>
      <c r="C11" s="202"/>
      <c r="D11" s="202"/>
      <c r="E11" s="202"/>
      <c r="F11" s="202"/>
      <c r="G11" s="202"/>
      <c r="H11" s="202"/>
      <c r="I11" s="203"/>
      <c r="J11" s="209">
        <v>43473</v>
      </c>
      <c r="K11" s="210"/>
      <c r="L11" s="210"/>
      <c r="M11" s="210"/>
      <c r="N11" s="210"/>
      <c r="O11" s="210"/>
      <c r="P11" s="210"/>
      <c r="Q11" s="211"/>
      <c r="R11" s="212" t="s">
        <v>56</v>
      </c>
      <c r="S11" s="213"/>
      <c r="T11" s="213"/>
      <c r="U11" s="214"/>
      <c r="V11" s="222" t="s">
        <v>91</v>
      </c>
      <c r="W11" s="223"/>
      <c r="X11" s="223"/>
      <c r="Y11" s="223"/>
      <c r="Z11" s="223"/>
      <c r="AA11" s="223"/>
      <c r="AB11" s="223"/>
      <c r="AC11" s="223"/>
      <c r="AD11" s="223"/>
      <c r="AE11" s="223"/>
      <c r="AF11" s="223"/>
      <c r="AG11" s="223"/>
      <c r="AH11" s="223"/>
      <c r="AI11" s="223"/>
      <c r="AJ11" s="223"/>
      <c r="AK11" s="223"/>
      <c r="AL11" s="223"/>
      <c r="AM11" s="223"/>
      <c r="AN11" s="223"/>
      <c r="AO11" s="223"/>
      <c r="AP11" s="223"/>
      <c r="AQ11" s="223"/>
      <c r="AR11" s="223"/>
      <c r="AS11" s="224"/>
      <c r="AT11" s="225" t="s">
        <v>45</v>
      </c>
      <c r="AU11" s="226"/>
      <c r="AV11" s="226"/>
      <c r="AW11" s="226"/>
      <c r="AX11" s="226"/>
      <c r="AY11" s="226"/>
      <c r="AZ11" s="226"/>
      <c r="BA11" s="226"/>
      <c r="BB11" s="226"/>
      <c r="BC11" s="227"/>
    </row>
    <row r="12" spans="1:55" s="36" customFormat="1" ht="13.5" customHeight="1" x14ac:dyDescent="0.2">
      <c r="A12" s="106"/>
      <c r="B12" s="204"/>
      <c r="C12" s="204"/>
      <c r="D12" s="204"/>
      <c r="E12" s="204"/>
      <c r="F12" s="204"/>
      <c r="G12" s="204"/>
      <c r="H12" s="204"/>
      <c r="I12" s="205"/>
      <c r="J12" s="113"/>
      <c r="K12" s="114"/>
      <c r="L12" s="114"/>
      <c r="M12" s="114"/>
      <c r="N12" s="114"/>
      <c r="O12" s="114"/>
      <c r="P12" s="114"/>
      <c r="Q12" s="115"/>
      <c r="R12" s="215"/>
      <c r="S12" s="216"/>
      <c r="T12" s="216"/>
      <c r="U12" s="217"/>
      <c r="V12" s="127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9"/>
      <c r="AT12" s="134"/>
      <c r="AU12" s="135"/>
      <c r="AV12" s="135"/>
      <c r="AW12" s="135"/>
      <c r="AX12" s="135"/>
      <c r="AY12" s="135"/>
      <c r="AZ12" s="135"/>
      <c r="BA12" s="135"/>
      <c r="BB12" s="135"/>
      <c r="BC12" s="136"/>
    </row>
    <row r="13" spans="1:55" s="36" customFormat="1" ht="13.5" customHeight="1" x14ac:dyDescent="0.2">
      <c r="A13" s="106"/>
      <c r="B13" s="204"/>
      <c r="C13" s="204"/>
      <c r="D13" s="204"/>
      <c r="E13" s="204"/>
      <c r="F13" s="204"/>
      <c r="G13" s="204"/>
      <c r="H13" s="204"/>
      <c r="I13" s="205"/>
      <c r="J13" s="113"/>
      <c r="K13" s="114"/>
      <c r="L13" s="114"/>
      <c r="M13" s="114"/>
      <c r="N13" s="114"/>
      <c r="O13" s="114"/>
      <c r="P13" s="114"/>
      <c r="Q13" s="115"/>
      <c r="R13" s="215"/>
      <c r="S13" s="216"/>
      <c r="T13" s="216"/>
      <c r="U13" s="217"/>
      <c r="V13" s="127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9"/>
      <c r="AT13" s="134"/>
      <c r="AU13" s="135"/>
      <c r="AV13" s="135"/>
      <c r="AW13" s="135"/>
      <c r="AX13" s="135"/>
      <c r="AY13" s="135"/>
      <c r="AZ13" s="135"/>
      <c r="BA13" s="135"/>
      <c r="BB13" s="135"/>
      <c r="BC13" s="136"/>
    </row>
    <row r="14" spans="1:55" s="36" customFormat="1" ht="13.5" customHeight="1" x14ac:dyDescent="0.2">
      <c r="A14" s="106"/>
      <c r="B14" s="204"/>
      <c r="C14" s="204"/>
      <c r="D14" s="204"/>
      <c r="E14" s="204"/>
      <c r="F14" s="204"/>
      <c r="G14" s="204"/>
      <c r="H14" s="204"/>
      <c r="I14" s="205"/>
      <c r="J14" s="116"/>
      <c r="K14" s="114"/>
      <c r="L14" s="114"/>
      <c r="M14" s="114"/>
      <c r="N14" s="114"/>
      <c r="O14" s="114"/>
      <c r="P14" s="114"/>
      <c r="Q14" s="115"/>
      <c r="R14" s="218"/>
      <c r="S14" s="216"/>
      <c r="T14" s="216"/>
      <c r="U14" s="217"/>
      <c r="V14" s="130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9"/>
      <c r="AT14" s="137"/>
      <c r="AU14" s="135"/>
      <c r="AV14" s="135"/>
      <c r="AW14" s="135"/>
      <c r="AX14" s="135"/>
      <c r="AY14" s="135"/>
      <c r="AZ14" s="135"/>
      <c r="BA14" s="135"/>
      <c r="BB14" s="135"/>
      <c r="BC14" s="136"/>
    </row>
    <row r="15" spans="1:55" s="36" customFormat="1" ht="13.5" customHeight="1" x14ac:dyDescent="0.2">
      <c r="A15" s="206"/>
      <c r="B15" s="207"/>
      <c r="C15" s="207"/>
      <c r="D15" s="207"/>
      <c r="E15" s="207"/>
      <c r="F15" s="207"/>
      <c r="G15" s="207"/>
      <c r="H15" s="207"/>
      <c r="I15" s="208"/>
      <c r="J15" s="117"/>
      <c r="K15" s="118"/>
      <c r="L15" s="118"/>
      <c r="M15" s="118"/>
      <c r="N15" s="118"/>
      <c r="O15" s="118"/>
      <c r="P15" s="118"/>
      <c r="Q15" s="119"/>
      <c r="R15" s="219"/>
      <c r="S15" s="220"/>
      <c r="T15" s="220"/>
      <c r="U15" s="221"/>
      <c r="V15" s="131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3"/>
      <c r="AT15" s="138"/>
      <c r="AU15" s="139"/>
      <c r="AV15" s="139"/>
      <c r="AW15" s="139"/>
      <c r="AX15" s="139"/>
      <c r="AY15" s="139"/>
      <c r="AZ15" s="139"/>
      <c r="BA15" s="139"/>
      <c r="BB15" s="139"/>
      <c r="BC15" s="140"/>
    </row>
    <row r="16" spans="1:55" s="36" customFormat="1" ht="13.5" customHeight="1" x14ac:dyDescent="0.2">
      <c r="A16" s="156">
        <v>1.2</v>
      </c>
      <c r="B16" s="157"/>
      <c r="C16" s="157"/>
      <c r="D16" s="157"/>
      <c r="E16" s="157"/>
      <c r="F16" s="157"/>
      <c r="G16" s="157"/>
      <c r="H16" s="157"/>
      <c r="I16" s="158"/>
      <c r="J16" s="165">
        <v>43759</v>
      </c>
      <c r="K16" s="166"/>
      <c r="L16" s="166"/>
      <c r="M16" s="166"/>
      <c r="N16" s="166"/>
      <c r="O16" s="166"/>
      <c r="P16" s="166"/>
      <c r="Q16" s="167"/>
      <c r="R16" s="174" t="s">
        <v>100</v>
      </c>
      <c r="S16" s="175"/>
      <c r="T16" s="175"/>
      <c r="U16" s="176"/>
      <c r="V16" s="183" t="s">
        <v>95</v>
      </c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5"/>
      <c r="AT16" s="192" t="s">
        <v>92</v>
      </c>
      <c r="AU16" s="193"/>
      <c r="AV16" s="193"/>
      <c r="AW16" s="193"/>
      <c r="AX16" s="193"/>
      <c r="AY16" s="193"/>
      <c r="AZ16" s="193"/>
      <c r="BA16" s="193"/>
      <c r="BB16" s="193"/>
      <c r="BC16" s="194"/>
    </row>
    <row r="17" spans="1:55" s="36" customFormat="1" ht="13.5" customHeight="1" x14ac:dyDescent="0.2">
      <c r="A17" s="159"/>
      <c r="B17" s="160"/>
      <c r="C17" s="160"/>
      <c r="D17" s="160"/>
      <c r="E17" s="160"/>
      <c r="F17" s="160"/>
      <c r="G17" s="160"/>
      <c r="H17" s="160"/>
      <c r="I17" s="161"/>
      <c r="J17" s="168"/>
      <c r="K17" s="169"/>
      <c r="L17" s="169"/>
      <c r="M17" s="169"/>
      <c r="N17" s="169"/>
      <c r="O17" s="169"/>
      <c r="P17" s="169"/>
      <c r="Q17" s="170"/>
      <c r="R17" s="177"/>
      <c r="S17" s="178"/>
      <c r="T17" s="178"/>
      <c r="U17" s="179"/>
      <c r="V17" s="186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7"/>
      <c r="AH17" s="187"/>
      <c r="AI17" s="187"/>
      <c r="AJ17" s="187"/>
      <c r="AK17" s="187"/>
      <c r="AL17" s="187"/>
      <c r="AM17" s="187"/>
      <c r="AN17" s="187"/>
      <c r="AO17" s="187"/>
      <c r="AP17" s="187"/>
      <c r="AQ17" s="187"/>
      <c r="AR17" s="187"/>
      <c r="AS17" s="188"/>
      <c r="AT17" s="195"/>
      <c r="AU17" s="196"/>
      <c r="AV17" s="196"/>
      <c r="AW17" s="196"/>
      <c r="AX17" s="196"/>
      <c r="AY17" s="196"/>
      <c r="AZ17" s="196"/>
      <c r="BA17" s="196"/>
      <c r="BB17" s="196"/>
      <c r="BC17" s="197"/>
    </row>
    <row r="18" spans="1:55" s="36" customFormat="1" ht="13.5" customHeight="1" x14ac:dyDescent="0.2">
      <c r="A18" s="162"/>
      <c r="B18" s="163"/>
      <c r="C18" s="163"/>
      <c r="D18" s="163"/>
      <c r="E18" s="163"/>
      <c r="F18" s="163"/>
      <c r="G18" s="163"/>
      <c r="H18" s="163"/>
      <c r="I18" s="164"/>
      <c r="J18" s="171"/>
      <c r="K18" s="172"/>
      <c r="L18" s="172"/>
      <c r="M18" s="172"/>
      <c r="N18" s="172"/>
      <c r="O18" s="172"/>
      <c r="P18" s="172"/>
      <c r="Q18" s="173"/>
      <c r="R18" s="180"/>
      <c r="S18" s="181"/>
      <c r="T18" s="181"/>
      <c r="U18" s="182"/>
      <c r="V18" s="189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1"/>
      <c r="AT18" s="198"/>
      <c r="AU18" s="199"/>
      <c r="AV18" s="199"/>
      <c r="AW18" s="199"/>
      <c r="AX18" s="199"/>
      <c r="AY18" s="199"/>
      <c r="AZ18" s="199"/>
      <c r="BA18" s="199"/>
      <c r="BB18" s="199"/>
      <c r="BC18" s="200"/>
    </row>
    <row r="19" spans="1:55" s="36" customFormat="1" ht="13.5" customHeight="1" x14ac:dyDescent="0.2">
      <c r="A19" s="156">
        <v>1.3</v>
      </c>
      <c r="B19" s="229"/>
      <c r="C19" s="229"/>
      <c r="D19" s="229"/>
      <c r="E19" s="229"/>
      <c r="F19" s="229"/>
      <c r="G19" s="229"/>
      <c r="H19" s="229"/>
      <c r="I19" s="230"/>
      <c r="J19" s="165">
        <v>43774</v>
      </c>
      <c r="K19" s="166"/>
      <c r="L19" s="166"/>
      <c r="M19" s="166"/>
      <c r="N19" s="166"/>
      <c r="O19" s="166"/>
      <c r="P19" s="166"/>
      <c r="Q19" s="167"/>
      <c r="R19" s="174" t="s">
        <v>100</v>
      </c>
      <c r="S19" s="175"/>
      <c r="T19" s="175"/>
      <c r="U19" s="176"/>
      <c r="V19" s="183" t="s">
        <v>101</v>
      </c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5"/>
      <c r="AT19" s="192" t="s">
        <v>92</v>
      </c>
      <c r="AU19" s="193"/>
      <c r="AV19" s="193"/>
      <c r="AW19" s="193"/>
      <c r="AX19" s="193"/>
      <c r="AY19" s="193"/>
      <c r="AZ19" s="193"/>
      <c r="BA19" s="193"/>
      <c r="BB19" s="193"/>
      <c r="BC19" s="194"/>
    </row>
    <row r="20" spans="1:55" s="36" customFormat="1" ht="13.5" customHeight="1" x14ac:dyDescent="0.2">
      <c r="A20" s="231"/>
      <c r="B20" s="232"/>
      <c r="C20" s="232"/>
      <c r="D20" s="232"/>
      <c r="E20" s="232"/>
      <c r="F20" s="232"/>
      <c r="G20" s="232"/>
      <c r="H20" s="232"/>
      <c r="I20" s="233"/>
      <c r="J20" s="168"/>
      <c r="K20" s="169"/>
      <c r="L20" s="169"/>
      <c r="M20" s="169"/>
      <c r="N20" s="169"/>
      <c r="O20" s="169"/>
      <c r="P20" s="169"/>
      <c r="Q20" s="170"/>
      <c r="R20" s="177"/>
      <c r="S20" s="178"/>
      <c r="T20" s="178"/>
      <c r="U20" s="179"/>
      <c r="V20" s="186"/>
      <c r="W20" s="187"/>
      <c r="X20" s="187"/>
      <c r="Y20" s="187"/>
      <c r="Z20" s="187"/>
      <c r="AA20" s="187"/>
      <c r="AB20" s="187"/>
      <c r="AC20" s="187"/>
      <c r="AD20" s="187"/>
      <c r="AE20" s="187"/>
      <c r="AF20" s="187"/>
      <c r="AG20" s="187"/>
      <c r="AH20" s="187"/>
      <c r="AI20" s="187"/>
      <c r="AJ20" s="187"/>
      <c r="AK20" s="187"/>
      <c r="AL20" s="187"/>
      <c r="AM20" s="187"/>
      <c r="AN20" s="187"/>
      <c r="AO20" s="187"/>
      <c r="AP20" s="187"/>
      <c r="AQ20" s="187"/>
      <c r="AR20" s="187"/>
      <c r="AS20" s="188"/>
      <c r="AT20" s="195"/>
      <c r="AU20" s="196"/>
      <c r="AV20" s="196"/>
      <c r="AW20" s="196"/>
      <c r="AX20" s="196"/>
      <c r="AY20" s="196"/>
      <c r="AZ20" s="196"/>
      <c r="BA20" s="196"/>
      <c r="BB20" s="196"/>
      <c r="BC20" s="197"/>
    </row>
    <row r="21" spans="1:55" s="36" customFormat="1" ht="13.5" customHeight="1" x14ac:dyDescent="0.2">
      <c r="A21" s="234"/>
      <c r="B21" s="235"/>
      <c r="C21" s="235"/>
      <c r="D21" s="235"/>
      <c r="E21" s="235"/>
      <c r="F21" s="235"/>
      <c r="G21" s="235"/>
      <c r="H21" s="235"/>
      <c r="I21" s="236"/>
      <c r="J21" s="171"/>
      <c r="K21" s="172"/>
      <c r="L21" s="172"/>
      <c r="M21" s="172"/>
      <c r="N21" s="172"/>
      <c r="O21" s="172"/>
      <c r="P21" s="172"/>
      <c r="Q21" s="173"/>
      <c r="R21" s="180"/>
      <c r="S21" s="181"/>
      <c r="T21" s="181"/>
      <c r="U21" s="182"/>
      <c r="V21" s="189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1"/>
      <c r="AT21" s="198"/>
      <c r="AU21" s="199"/>
      <c r="AV21" s="199"/>
      <c r="AW21" s="199"/>
      <c r="AX21" s="199"/>
      <c r="AY21" s="199"/>
      <c r="AZ21" s="199"/>
      <c r="BA21" s="199"/>
      <c r="BB21" s="199"/>
      <c r="BC21" s="200"/>
    </row>
    <row r="22" spans="1:55" s="36" customFormat="1" ht="13.5" customHeight="1" x14ac:dyDescent="0.2">
      <c r="A22" s="228">
        <v>1.4</v>
      </c>
      <c r="B22" s="229"/>
      <c r="C22" s="229"/>
      <c r="D22" s="229"/>
      <c r="E22" s="229"/>
      <c r="F22" s="229"/>
      <c r="G22" s="229"/>
      <c r="H22" s="229"/>
      <c r="I22" s="230"/>
      <c r="J22" s="165">
        <v>43776</v>
      </c>
      <c r="K22" s="237"/>
      <c r="L22" s="237"/>
      <c r="M22" s="237"/>
      <c r="N22" s="237"/>
      <c r="O22" s="237"/>
      <c r="P22" s="237"/>
      <c r="Q22" s="238"/>
      <c r="R22" s="174" t="s">
        <v>100</v>
      </c>
      <c r="S22" s="175"/>
      <c r="T22" s="175"/>
      <c r="U22" s="176"/>
      <c r="V22" s="183" t="s">
        <v>107</v>
      </c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5"/>
      <c r="AT22" s="192" t="s">
        <v>92</v>
      </c>
      <c r="AU22" s="193"/>
      <c r="AV22" s="193"/>
      <c r="AW22" s="193"/>
      <c r="AX22" s="193"/>
      <c r="AY22" s="193"/>
      <c r="AZ22" s="193"/>
      <c r="BA22" s="193"/>
      <c r="BB22" s="193"/>
      <c r="BC22" s="194"/>
    </row>
    <row r="23" spans="1:55" s="36" customFormat="1" ht="13.5" customHeight="1" x14ac:dyDescent="0.2">
      <c r="A23" s="231"/>
      <c r="B23" s="232"/>
      <c r="C23" s="232"/>
      <c r="D23" s="232"/>
      <c r="E23" s="232"/>
      <c r="F23" s="232"/>
      <c r="G23" s="232"/>
      <c r="H23" s="232"/>
      <c r="I23" s="233"/>
      <c r="J23" s="239"/>
      <c r="K23" s="240"/>
      <c r="L23" s="240"/>
      <c r="M23" s="240"/>
      <c r="N23" s="240"/>
      <c r="O23" s="240"/>
      <c r="P23" s="240"/>
      <c r="Q23" s="241"/>
      <c r="R23" s="177"/>
      <c r="S23" s="178"/>
      <c r="T23" s="178"/>
      <c r="U23" s="179"/>
      <c r="V23" s="186"/>
      <c r="W23" s="187"/>
      <c r="X23" s="187"/>
      <c r="Y23" s="187"/>
      <c r="Z23" s="187"/>
      <c r="AA23" s="187"/>
      <c r="AB23" s="187"/>
      <c r="AC23" s="187"/>
      <c r="AD23" s="187"/>
      <c r="AE23" s="187"/>
      <c r="AF23" s="187"/>
      <c r="AG23" s="187"/>
      <c r="AH23" s="187"/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8"/>
      <c r="AT23" s="195"/>
      <c r="AU23" s="196"/>
      <c r="AV23" s="196"/>
      <c r="AW23" s="196"/>
      <c r="AX23" s="196"/>
      <c r="AY23" s="196"/>
      <c r="AZ23" s="196"/>
      <c r="BA23" s="196"/>
      <c r="BB23" s="196"/>
      <c r="BC23" s="197"/>
    </row>
    <row r="24" spans="1:55" s="36" customFormat="1" ht="13.5" customHeight="1" x14ac:dyDescent="0.2">
      <c r="A24" s="234"/>
      <c r="B24" s="235"/>
      <c r="C24" s="235"/>
      <c r="D24" s="235"/>
      <c r="E24" s="235"/>
      <c r="F24" s="235"/>
      <c r="G24" s="235"/>
      <c r="H24" s="235"/>
      <c r="I24" s="236"/>
      <c r="J24" s="242"/>
      <c r="K24" s="243"/>
      <c r="L24" s="243"/>
      <c r="M24" s="243"/>
      <c r="N24" s="243"/>
      <c r="O24" s="243"/>
      <c r="P24" s="243"/>
      <c r="Q24" s="244"/>
      <c r="R24" s="180"/>
      <c r="S24" s="181"/>
      <c r="T24" s="181"/>
      <c r="U24" s="182"/>
      <c r="V24" s="189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0"/>
      <c r="AR24" s="190"/>
      <c r="AS24" s="191"/>
      <c r="AT24" s="198"/>
      <c r="AU24" s="199"/>
      <c r="AV24" s="199"/>
      <c r="AW24" s="199"/>
      <c r="AX24" s="199"/>
      <c r="AY24" s="199"/>
      <c r="AZ24" s="199"/>
      <c r="BA24" s="199"/>
      <c r="BB24" s="199"/>
      <c r="BC24" s="200"/>
    </row>
    <row r="25" spans="1:55" s="36" customFormat="1" ht="13.5" customHeight="1" x14ac:dyDescent="0.2">
      <c r="A25" s="228">
        <v>1.4</v>
      </c>
      <c r="B25" s="229"/>
      <c r="C25" s="229"/>
      <c r="D25" s="229"/>
      <c r="E25" s="229"/>
      <c r="F25" s="229"/>
      <c r="G25" s="229"/>
      <c r="H25" s="229"/>
      <c r="I25" s="230"/>
      <c r="J25" s="165">
        <v>43783</v>
      </c>
      <c r="K25" s="237"/>
      <c r="L25" s="237"/>
      <c r="M25" s="237"/>
      <c r="N25" s="237"/>
      <c r="O25" s="237"/>
      <c r="P25" s="237"/>
      <c r="Q25" s="238"/>
      <c r="R25" s="174" t="s">
        <v>100</v>
      </c>
      <c r="S25" s="175"/>
      <c r="T25" s="175"/>
      <c r="U25" s="176"/>
      <c r="V25" s="183" t="s">
        <v>109</v>
      </c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5"/>
      <c r="AT25" s="192" t="s">
        <v>92</v>
      </c>
      <c r="AU25" s="193"/>
      <c r="AV25" s="193"/>
      <c r="AW25" s="193"/>
      <c r="AX25" s="193"/>
      <c r="AY25" s="193"/>
      <c r="AZ25" s="193"/>
      <c r="BA25" s="193"/>
      <c r="BB25" s="193"/>
      <c r="BC25" s="194"/>
    </row>
    <row r="26" spans="1:55" s="36" customFormat="1" ht="13.5" customHeight="1" x14ac:dyDescent="0.2">
      <c r="A26" s="231"/>
      <c r="B26" s="232"/>
      <c r="C26" s="232"/>
      <c r="D26" s="232"/>
      <c r="E26" s="232"/>
      <c r="F26" s="232"/>
      <c r="G26" s="232"/>
      <c r="H26" s="232"/>
      <c r="I26" s="233"/>
      <c r="J26" s="239"/>
      <c r="K26" s="240"/>
      <c r="L26" s="240"/>
      <c r="M26" s="240"/>
      <c r="N26" s="240"/>
      <c r="O26" s="240"/>
      <c r="P26" s="240"/>
      <c r="Q26" s="241"/>
      <c r="R26" s="177"/>
      <c r="S26" s="178"/>
      <c r="T26" s="178"/>
      <c r="U26" s="179"/>
      <c r="V26" s="186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87"/>
      <c r="AM26" s="187"/>
      <c r="AN26" s="187"/>
      <c r="AO26" s="187"/>
      <c r="AP26" s="187"/>
      <c r="AQ26" s="187"/>
      <c r="AR26" s="187"/>
      <c r="AS26" s="188"/>
      <c r="AT26" s="195"/>
      <c r="AU26" s="196"/>
      <c r="AV26" s="196"/>
      <c r="AW26" s="196"/>
      <c r="AX26" s="196"/>
      <c r="AY26" s="196"/>
      <c r="AZ26" s="196"/>
      <c r="BA26" s="196"/>
      <c r="BB26" s="196"/>
      <c r="BC26" s="197"/>
    </row>
    <row r="27" spans="1:55" s="36" customFormat="1" ht="13.5" customHeight="1" x14ac:dyDescent="0.2">
      <c r="A27" s="234"/>
      <c r="B27" s="235"/>
      <c r="C27" s="235"/>
      <c r="D27" s="235"/>
      <c r="E27" s="235"/>
      <c r="F27" s="235"/>
      <c r="G27" s="235"/>
      <c r="H27" s="235"/>
      <c r="I27" s="236"/>
      <c r="J27" s="242"/>
      <c r="K27" s="243"/>
      <c r="L27" s="243"/>
      <c r="M27" s="243"/>
      <c r="N27" s="243"/>
      <c r="O27" s="243"/>
      <c r="P27" s="243"/>
      <c r="Q27" s="244"/>
      <c r="R27" s="180"/>
      <c r="S27" s="181"/>
      <c r="T27" s="181"/>
      <c r="U27" s="182"/>
      <c r="V27" s="189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1"/>
      <c r="AT27" s="198"/>
      <c r="AU27" s="199"/>
      <c r="AV27" s="199"/>
      <c r="AW27" s="199"/>
      <c r="AX27" s="199"/>
      <c r="AY27" s="199"/>
      <c r="AZ27" s="199"/>
      <c r="BA27" s="199"/>
      <c r="BB27" s="199"/>
      <c r="BC27" s="200"/>
    </row>
    <row r="28" spans="1:55" s="36" customFormat="1" ht="13.5" customHeight="1" x14ac:dyDescent="0.2">
      <c r="A28" s="201"/>
      <c r="B28" s="251"/>
      <c r="C28" s="251"/>
      <c r="D28" s="251"/>
      <c r="E28" s="251"/>
      <c r="F28" s="251"/>
      <c r="G28" s="251"/>
      <c r="H28" s="251"/>
      <c r="I28" s="252"/>
      <c r="J28" s="209"/>
      <c r="K28" s="210"/>
      <c r="L28" s="210"/>
      <c r="M28" s="210"/>
      <c r="N28" s="210"/>
      <c r="O28" s="210"/>
      <c r="P28" s="210"/>
      <c r="Q28" s="211"/>
      <c r="R28" s="212"/>
      <c r="S28" s="253"/>
      <c r="T28" s="253"/>
      <c r="U28" s="254"/>
      <c r="V28" s="255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7"/>
      <c r="AT28" s="225"/>
      <c r="AU28" s="226"/>
      <c r="AV28" s="226"/>
      <c r="AW28" s="226"/>
      <c r="AX28" s="226"/>
      <c r="AY28" s="226"/>
      <c r="AZ28" s="226"/>
      <c r="BA28" s="226"/>
      <c r="BB28" s="226"/>
      <c r="BC28" s="227"/>
    </row>
    <row r="29" spans="1:55" s="36" customFormat="1" ht="13.5" customHeight="1" x14ac:dyDescent="0.2">
      <c r="A29" s="109"/>
      <c r="B29" s="107"/>
      <c r="C29" s="107"/>
      <c r="D29" s="107"/>
      <c r="E29" s="107"/>
      <c r="F29" s="107"/>
      <c r="G29" s="107"/>
      <c r="H29" s="107"/>
      <c r="I29" s="108"/>
      <c r="J29" s="116"/>
      <c r="K29" s="114"/>
      <c r="L29" s="114"/>
      <c r="M29" s="114"/>
      <c r="N29" s="114"/>
      <c r="O29" s="114"/>
      <c r="P29" s="114"/>
      <c r="Q29" s="115"/>
      <c r="R29" s="123"/>
      <c r="S29" s="121"/>
      <c r="T29" s="121"/>
      <c r="U29" s="122"/>
      <c r="V29" s="245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7"/>
      <c r="AT29" s="137"/>
      <c r="AU29" s="135"/>
      <c r="AV29" s="135"/>
      <c r="AW29" s="135"/>
      <c r="AX29" s="135"/>
      <c r="AY29" s="135"/>
      <c r="AZ29" s="135"/>
      <c r="BA29" s="135"/>
      <c r="BB29" s="135"/>
      <c r="BC29" s="136"/>
    </row>
    <row r="30" spans="1:55" s="36" customFormat="1" ht="13.5" customHeight="1" x14ac:dyDescent="0.2">
      <c r="A30" s="110"/>
      <c r="B30" s="111"/>
      <c r="C30" s="111"/>
      <c r="D30" s="111"/>
      <c r="E30" s="111"/>
      <c r="F30" s="111"/>
      <c r="G30" s="111"/>
      <c r="H30" s="111"/>
      <c r="I30" s="112"/>
      <c r="J30" s="117"/>
      <c r="K30" s="118"/>
      <c r="L30" s="118"/>
      <c r="M30" s="118"/>
      <c r="N30" s="118"/>
      <c r="O30" s="118"/>
      <c r="P30" s="118"/>
      <c r="Q30" s="119"/>
      <c r="R30" s="124"/>
      <c r="S30" s="125"/>
      <c r="T30" s="125"/>
      <c r="U30" s="126"/>
      <c r="V30" s="248"/>
      <c r="W30" s="249"/>
      <c r="X30" s="249"/>
      <c r="Y30" s="249"/>
      <c r="Z30" s="249"/>
      <c r="AA30" s="249"/>
      <c r="AB30" s="249"/>
      <c r="AC30" s="249"/>
      <c r="AD30" s="249"/>
      <c r="AE30" s="249"/>
      <c r="AF30" s="249"/>
      <c r="AG30" s="249"/>
      <c r="AH30" s="249"/>
      <c r="AI30" s="249"/>
      <c r="AJ30" s="249"/>
      <c r="AK30" s="249"/>
      <c r="AL30" s="249"/>
      <c r="AM30" s="249"/>
      <c r="AN30" s="249"/>
      <c r="AO30" s="249"/>
      <c r="AP30" s="249"/>
      <c r="AQ30" s="249"/>
      <c r="AR30" s="249"/>
      <c r="AS30" s="250"/>
      <c r="AT30" s="138"/>
      <c r="AU30" s="139"/>
      <c r="AV30" s="139"/>
      <c r="AW30" s="139"/>
      <c r="AX30" s="139"/>
      <c r="AY30" s="139"/>
      <c r="AZ30" s="139"/>
      <c r="BA30" s="139"/>
      <c r="BB30" s="139"/>
      <c r="BC30" s="140"/>
    </row>
    <row r="31" spans="1:55" s="36" customFormat="1" ht="13.5" customHeight="1" x14ac:dyDescent="0.2">
      <c r="A31" s="201"/>
      <c r="B31" s="251"/>
      <c r="C31" s="251"/>
      <c r="D31" s="251"/>
      <c r="E31" s="251"/>
      <c r="F31" s="251"/>
      <c r="G31" s="251"/>
      <c r="H31" s="251"/>
      <c r="I31" s="252"/>
      <c r="J31" s="209"/>
      <c r="K31" s="210"/>
      <c r="L31" s="210"/>
      <c r="M31" s="210"/>
      <c r="N31" s="210"/>
      <c r="O31" s="210"/>
      <c r="P31" s="210"/>
      <c r="Q31" s="211"/>
      <c r="R31" s="264"/>
      <c r="S31" s="253"/>
      <c r="T31" s="253"/>
      <c r="U31" s="254"/>
      <c r="V31" s="255"/>
      <c r="W31" s="274"/>
      <c r="X31" s="274"/>
      <c r="Y31" s="274"/>
      <c r="Z31" s="274"/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5"/>
      <c r="AT31" s="225"/>
      <c r="AU31" s="226"/>
      <c r="AV31" s="226"/>
      <c r="AW31" s="226"/>
      <c r="AX31" s="226"/>
      <c r="AY31" s="226"/>
      <c r="AZ31" s="226"/>
      <c r="BA31" s="226"/>
      <c r="BB31" s="226"/>
      <c r="BC31" s="227"/>
    </row>
    <row r="32" spans="1:55" s="36" customFormat="1" ht="13.5" customHeight="1" x14ac:dyDescent="0.2">
      <c r="A32" s="109"/>
      <c r="B32" s="107"/>
      <c r="C32" s="107"/>
      <c r="D32" s="107"/>
      <c r="E32" s="107"/>
      <c r="F32" s="107"/>
      <c r="G32" s="107"/>
      <c r="H32" s="107"/>
      <c r="I32" s="108"/>
      <c r="J32" s="116"/>
      <c r="K32" s="114"/>
      <c r="L32" s="114"/>
      <c r="M32" s="114"/>
      <c r="N32" s="114"/>
      <c r="O32" s="114"/>
      <c r="P32" s="114"/>
      <c r="Q32" s="115"/>
      <c r="R32" s="123"/>
      <c r="S32" s="121"/>
      <c r="T32" s="121"/>
      <c r="U32" s="122"/>
      <c r="V32" s="276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  <c r="AL32" s="277"/>
      <c r="AM32" s="277"/>
      <c r="AN32" s="277"/>
      <c r="AO32" s="277"/>
      <c r="AP32" s="277"/>
      <c r="AQ32" s="277"/>
      <c r="AR32" s="277"/>
      <c r="AS32" s="278"/>
      <c r="AT32" s="137"/>
      <c r="AU32" s="135"/>
      <c r="AV32" s="135"/>
      <c r="AW32" s="135"/>
      <c r="AX32" s="135"/>
      <c r="AY32" s="135"/>
      <c r="AZ32" s="135"/>
      <c r="BA32" s="135"/>
      <c r="BB32" s="135"/>
      <c r="BC32" s="136"/>
    </row>
    <row r="33" spans="1:55" s="36" customFormat="1" ht="13.5" customHeight="1" x14ac:dyDescent="0.2">
      <c r="A33" s="110"/>
      <c r="B33" s="111"/>
      <c r="C33" s="111"/>
      <c r="D33" s="111"/>
      <c r="E33" s="111"/>
      <c r="F33" s="111"/>
      <c r="G33" s="111"/>
      <c r="H33" s="111"/>
      <c r="I33" s="112"/>
      <c r="J33" s="117"/>
      <c r="K33" s="118"/>
      <c r="L33" s="118"/>
      <c r="M33" s="118"/>
      <c r="N33" s="118"/>
      <c r="O33" s="118"/>
      <c r="P33" s="118"/>
      <c r="Q33" s="119"/>
      <c r="R33" s="124"/>
      <c r="S33" s="125"/>
      <c r="T33" s="125"/>
      <c r="U33" s="126"/>
      <c r="V33" s="279"/>
      <c r="W33" s="280"/>
      <c r="X33" s="280"/>
      <c r="Y33" s="280"/>
      <c r="Z33" s="280"/>
      <c r="AA33" s="280"/>
      <c r="AB33" s="280"/>
      <c r="AC33" s="280"/>
      <c r="AD33" s="280"/>
      <c r="AE33" s="280"/>
      <c r="AF33" s="280"/>
      <c r="AG33" s="280"/>
      <c r="AH33" s="280"/>
      <c r="AI33" s="280"/>
      <c r="AJ33" s="280"/>
      <c r="AK33" s="280"/>
      <c r="AL33" s="280"/>
      <c r="AM33" s="280"/>
      <c r="AN33" s="280"/>
      <c r="AO33" s="280"/>
      <c r="AP33" s="280"/>
      <c r="AQ33" s="280"/>
      <c r="AR33" s="280"/>
      <c r="AS33" s="281"/>
      <c r="AT33" s="138"/>
      <c r="AU33" s="139"/>
      <c r="AV33" s="139"/>
      <c r="AW33" s="139"/>
      <c r="AX33" s="139"/>
      <c r="AY33" s="139"/>
      <c r="AZ33" s="139"/>
      <c r="BA33" s="139"/>
      <c r="BB33" s="139"/>
      <c r="BC33" s="140"/>
    </row>
    <row r="34" spans="1:55" s="36" customFormat="1" ht="13.5" customHeight="1" x14ac:dyDescent="0.2">
      <c r="A34" s="201"/>
      <c r="B34" s="251"/>
      <c r="C34" s="251"/>
      <c r="D34" s="251"/>
      <c r="E34" s="251"/>
      <c r="F34" s="251"/>
      <c r="G34" s="251"/>
      <c r="H34" s="251"/>
      <c r="I34" s="252"/>
      <c r="J34" s="209"/>
      <c r="K34" s="210"/>
      <c r="L34" s="210"/>
      <c r="M34" s="210"/>
      <c r="N34" s="210"/>
      <c r="O34" s="210"/>
      <c r="P34" s="210"/>
      <c r="Q34" s="211"/>
      <c r="R34" s="264"/>
      <c r="S34" s="253"/>
      <c r="T34" s="253"/>
      <c r="U34" s="254"/>
      <c r="V34" s="255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7"/>
      <c r="AT34" s="225"/>
      <c r="AU34" s="226"/>
      <c r="AV34" s="226"/>
      <c r="AW34" s="226"/>
      <c r="AX34" s="226"/>
      <c r="AY34" s="226"/>
      <c r="AZ34" s="226"/>
      <c r="BA34" s="226"/>
      <c r="BB34" s="226"/>
      <c r="BC34" s="227"/>
    </row>
    <row r="35" spans="1:55" s="36" customFormat="1" ht="13.5" customHeight="1" x14ac:dyDescent="0.2">
      <c r="A35" s="109"/>
      <c r="B35" s="107"/>
      <c r="C35" s="107"/>
      <c r="D35" s="107"/>
      <c r="E35" s="107"/>
      <c r="F35" s="107"/>
      <c r="G35" s="107"/>
      <c r="H35" s="107"/>
      <c r="I35" s="108"/>
      <c r="J35" s="116"/>
      <c r="K35" s="114"/>
      <c r="L35" s="114"/>
      <c r="M35" s="114"/>
      <c r="N35" s="114"/>
      <c r="O35" s="114"/>
      <c r="P35" s="114"/>
      <c r="Q35" s="115"/>
      <c r="R35" s="123"/>
      <c r="S35" s="121"/>
      <c r="T35" s="121"/>
      <c r="U35" s="122"/>
      <c r="V35" s="245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7"/>
      <c r="AT35" s="137"/>
      <c r="AU35" s="135"/>
      <c r="AV35" s="135"/>
      <c r="AW35" s="135"/>
      <c r="AX35" s="135"/>
      <c r="AY35" s="135"/>
      <c r="AZ35" s="135"/>
      <c r="BA35" s="135"/>
      <c r="BB35" s="135"/>
      <c r="BC35" s="136"/>
    </row>
    <row r="36" spans="1:55" s="36" customFormat="1" ht="13.5" customHeight="1" thickBot="1" x14ac:dyDescent="0.25">
      <c r="A36" s="258"/>
      <c r="B36" s="259"/>
      <c r="C36" s="259"/>
      <c r="D36" s="259"/>
      <c r="E36" s="259"/>
      <c r="F36" s="259"/>
      <c r="G36" s="259"/>
      <c r="H36" s="259"/>
      <c r="I36" s="260"/>
      <c r="J36" s="261"/>
      <c r="K36" s="262"/>
      <c r="L36" s="262"/>
      <c r="M36" s="262"/>
      <c r="N36" s="262"/>
      <c r="O36" s="262"/>
      <c r="P36" s="262"/>
      <c r="Q36" s="263"/>
      <c r="R36" s="265"/>
      <c r="S36" s="266"/>
      <c r="T36" s="266"/>
      <c r="U36" s="267"/>
      <c r="V36" s="268"/>
      <c r="W36" s="269"/>
      <c r="X36" s="269"/>
      <c r="Y36" s="269"/>
      <c r="Z36" s="269"/>
      <c r="AA36" s="269"/>
      <c r="AB36" s="269"/>
      <c r="AC36" s="269"/>
      <c r="AD36" s="269"/>
      <c r="AE36" s="269"/>
      <c r="AF36" s="269"/>
      <c r="AG36" s="269"/>
      <c r="AH36" s="269"/>
      <c r="AI36" s="269"/>
      <c r="AJ36" s="269"/>
      <c r="AK36" s="269"/>
      <c r="AL36" s="269"/>
      <c r="AM36" s="269"/>
      <c r="AN36" s="269"/>
      <c r="AO36" s="269"/>
      <c r="AP36" s="269"/>
      <c r="AQ36" s="269"/>
      <c r="AR36" s="269"/>
      <c r="AS36" s="270"/>
      <c r="AT36" s="271"/>
      <c r="AU36" s="272"/>
      <c r="AV36" s="272"/>
      <c r="AW36" s="272"/>
      <c r="AX36" s="272"/>
      <c r="AY36" s="272"/>
      <c r="AZ36" s="272"/>
      <c r="BA36" s="272"/>
      <c r="BB36" s="272"/>
      <c r="BC36" s="273"/>
    </row>
    <row r="37" spans="1:55" s="36" customFormat="1" ht="13.5" customHeight="1" x14ac:dyDescent="0.2">
      <c r="A37" s="282"/>
      <c r="B37" s="107"/>
      <c r="C37" s="107"/>
      <c r="D37" s="107"/>
      <c r="E37" s="107"/>
      <c r="F37" s="107"/>
      <c r="G37" s="107"/>
      <c r="H37" s="107"/>
      <c r="I37" s="107"/>
      <c r="J37" s="283"/>
      <c r="K37" s="114"/>
      <c r="L37" s="114"/>
      <c r="M37" s="114"/>
      <c r="N37" s="114"/>
      <c r="O37" s="114"/>
      <c r="P37" s="114"/>
      <c r="Q37" s="114"/>
      <c r="R37" s="284"/>
      <c r="S37" s="135"/>
      <c r="T37" s="135"/>
      <c r="U37" s="135"/>
      <c r="V37" s="285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84"/>
      <c r="AU37" s="135"/>
      <c r="AV37" s="135"/>
      <c r="AW37" s="135"/>
      <c r="AX37" s="135"/>
      <c r="AY37" s="135"/>
      <c r="AZ37" s="135"/>
      <c r="BA37" s="135"/>
      <c r="BB37" s="135"/>
      <c r="BC37" s="135"/>
    </row>
  </sheetData>
  <mergeCells count="74">
    <mergeCell ref="A37:I37"/>
    <mergeCell ref="J37:Q37"/>
    <mergeCell ref="R37:U37"/>
    <mergeCell ref="V37:AS37"/>
    <mergeCell ref="AT37:BC37"/>
    <mergeCell ref="A31:I33"/>
    <mergeCell ref="J31:Q33"/>
    <mergeCell ref="R31:U33"/>
    <mergeCell ref="V31:AS33"/>
    <mergeCell ref="AT31:BC33"/>
    <mergeCell ref="A34:I36"/>
    <mergeCell ref="J34:Q36"/>
    <mergeCell ref="R34:U36"/>
    <mergeCell ref="V34:AS36"/>
    <mergeCell ref="AT34:BC36"/>
    <mergeCell ref="A28:I28"/>
    <mergeCell ref="J28:Q28"/>
    <mergeCell ref="R28:U28"/>
    <mergeCell ref="V28:AS28"/>
    <mergeCell ref="AT28:BC28"/>
    <mergeCell ref="A29:I30"/>
    <mergeCell ref="J29:Q30"/>
    <mergeCell ref="R29:U30"/>
    <mergeCell ref="V29:AS30"/>
    <mergeCell ref="AT29:BC30"/>
    <mergeCell ref="A25:I27"/>
    <mergeCell ref="J25:Q27"/>
    <mergeCell ref="R25:U27"/>
    <mergeCell ref="V25:AS27"/>
    <mergeCell ref="AT25:BC27"/>
    <mergeCell ref="A19:I21"/>
    <mergeCell ref="J19:Q21"/>
    <mergeCell ref="R19:U21"/>
    <mergeCell ref="V19:AS21"/>
    <mergeCell ref="AT19:BC21"/>
    <mergeCell ref="A22:I24"/>
    <mergeCell ref="J22:Q24"/>
    <mergeCell ref="R22:U24"/>
    <mergeCell ref="V22:AS24"/>
    <mergeCell ref="AT22:BC24"/>
    <mergeCell ref="A11:I15"/>
    <mergeCell ref="J11:Q15"/>
    <mergeCell ref="R11:U15"/>
    <mergeCell ref="V11:AS15"/>
    <mergeCell ref="AT11:BC15"/>
    <mergeCell ref="A16:I18"/>
    <mergeCell ref="J16:Q18"/>
    <mergeCell ref="R16:U18"/>
    <mergeCell ref="V16:AS18"/>
    <mergeCell ref="AT16:BC18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2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0662-29F7-4FC5-9D61-F24EE1504925}">
  <sheetPr>
    <pageSetUpPr fitToPage="1"/>
  </sheetPr>
  <dimension ref="A1:BC71"/>
  <sheetViews>
    <sheetView showGridLines="0" view="pageBreakPreview" zoomScaleNormal="60" zoomScaleSheetLayoutView="100" workbookViewId="0">
      <selection sqref="A1:I1"/>
    </sheetView>
  </sheetViews>
  <sheetFormatPr defaultColWidth="2.3984375" defaultRowHeight="13.5" customHeight="1" x14ac:dyDescent="0.45"/>
  <cols>
    <col min="1" max="16384" width="2.3984375" style="37"/>
  </cols>
  <sheetData>
    <row r="1" spans="1:55" ht="16.2" x14ac:dyDescent="0.45">
      <c r="A1" s="334" t="s">
        <v>18</v>
      </c>
      <c r="B1" s="317"/>
      <c r="C1" s="317"/>
      <c r="D1" s="317"/>
      <c r="E1" s="317"/>
      <c r="F1" s="317"/>
      <c r="G1" s="317"/>
      <c r="H1" s="317"/>
      <c r="I1" s="335"/>
      <c r="J1" s="336" t="s">
        <v>19</v>
      </c>
      <c r="K1" s="337"/>
      <c r="L1" s="337"/>
      <c r="M1" s="337"/>
      <c r="N1" s="337"/>
      <c r="O1" s="337"/>
      <c r="P1" s="337"/>
      <c r="Q1" s="337"/>
      <c r="R1" s="337" t="s">
        <v>20</v>
      </c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37" t="s">
        <v>2</v>
      </c>
      <c r="AK1" s="337"/>
      <c r="AL1" s="337"/>
      <c r="AM1" s="337"/>
      <c r="AN1" s="338"/>
      <c r="AO1" s="316" t="s">
        <v>21</v>
      </c>
      <c r="AP1" s="317"/>
      <c r="AQ1" s="317"/>
      <c r="AR1" s="317"/>
      <c r="AS1" s="335"/>
      <c r="AT1" s="316" t="s">
        <v>22</v>
      </c>
      <c r="AU1" s="317"/>
      <c r="AV1" s="317"/>
      <c r="AW1" s="317"/>
      <c r="AX1" s="335"/>
      <c r="AY1" s="316" t="s">
        <v>23</v>
      </c>
      <c r="AZ1" s="317"/>
      <c r="BA1" s="317"/>
      <c r="BB1" s="317"/>
      <c r="BC1" s="318"/>
    </row>
    <row r="2" spans="1:55" ht="13.5" customHeight="1" x14ac:dyDescent="0.45">
      <c r="A2" s="319" t="s">
        <v>99</v>
      </c>
      <c r="B2" s="67"/>
      <c r="C2" s="67"/>
      <c r="D2" s="67"/>
      <c r="E2" s="67"/>
      <c r="F2" s="68"/>
      <c r="G2" s="68"/>
      <c r="H2" s="68"/>
      <c r="I2" s="69"/>
      <c r="J2" s="74" t="s">
        <v>44</v>
      </c>
      <c r="K2" s="67"/>
      <c r="L2" s="67"/>
      <c r="M2" s="67"/>
      <c r="N2" s="67"/>
      <c r="O2" s="68"/>
      <c r="P2" s="68"/>
      <c r="Q2" s="75"/>
      <c r="R2" s="320" t="str">
        <f ca="1">RIGHT(CELL("filename",V2),LEN(CELL("filename",V2))-FIND("]",CELL("filename",V2)))</f>
        <v>会場アサイン変更</v>
      </c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0"/>
      <c r="AD2" s="320"/>
      <c r="AE2" s="320"/>
      <c r="AF2" s="320"/>
      <c r="AG2" s="320"/>
      <c r="AH2" s="320"/>
      <c r="AI2" s="320"/>
      <c r="AJ2" s="84" t="s">
        <v>48</v>
      </c>
      <c r="AK2" s="85"/>
      <c r="AL2" s="85"/>
      <c r="AM2" s="85"/>
      <c r="AN2" s="85"/>
      <c r="AO2" s="88">
        <v>42670</v>
      </c>
      <c r="AP2" s="85"/>
      <c r="AQ2" s="85"/>
      <c r="AR2" s="85"/>
      <c r="AS2" s="85"/>
      <c r="AT2" s="322" t="s">
        <v>92</v>
      </c>
      <c r="AU2" s="323"/>
      <c r="AV2" s="323"/>
      <c r="AW2" s="323"/>
      <c r="AX2" s="324"/>
      <c r="AY2" s="328">
        <v>43783</v>
      </c>
      <c r="AZ2" s="329"/>
      <c r="BA2" s="329"/>
      <c r="BB2" s="329"/>
      <c r="BC2" s="330"/>
    </row>
    <row r="3" spans="1:55" ht="13.5" customHeight="1" thickBot="1" x14ac:dyDescent="0.5">
      <c r="A3" s="70"/>
      <c r="B3" s="71"/>
      <c r="C3" s="71"/>
      <c r="D3" s="71"/>
      <c r="E3" s="71"/>
      <c r="F3" s="72"/>
      <c r="G3" s="72"/>
      <c r="H3" s="72"/>
      <c r="I3" s="73"/>
      <c r="J3" s="76"/>
      <c r="K3" s="71"/>
      <c r="L3" s="71"/>
      <c r="M3" s="71"/>
      <c r="N3" s="71"/>
      <c r="O3" s="72"/>
      <c r="P3" s="72"/>
      <c r="Q3" s="77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1"/>
      <c r="AJ3" s="86"/>
      <c r="AK3" s="87"/>
      <c r="AL3" s="87"/>
      <c r="AM3" s="87"/>
      <c r="AN3" s="87"/>
      <c r="AO3" s="87"/>
      <c r="AP3" s="87"/>
      <c r="AQ3" s="87"/>
      <c r="AR3" s="87"/>
      <c r="AS3" s="87"/>
      <c r="AT3" s="325"/>
      <c r="AU3" s="326"/>
      <c r="AV3" s="326"/>
      <c r="AW3" s="326"/>
      <c r="AX3" s="327"/>
      <c r="AY3" s="331"/>
      <c r="AZ3" s="332"/>
      <c r="BA3" s="332"/>
      <c r="BB3" s="332"/>
      <c r="BC3" s="333"/>
    </row>
    <row r="4" spans="1:55" ht="13.5" customHeight="1" x14ac:dyDescent="0.4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5" ht="13.5" customHeight="1" x14ac:dyDescent="0.45">
      <c r="A5" s="39"/>
      <c r="B5" s="40" t="s">
        <v>24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</row>
    <row r="6" spans="1:55" ht="13.5" customHeight="1" x14ac:dyDescent="0.45">
      <c r="A6" s="39"/>
      <c r="C6" s="39"/>
      <c r="D6" s="39"/>
      <c r="E6" s="39"/>
      <c r="F6" s="39"/>
      <c r="G6" s="39"/>
      <c r="H6" s="39"/>
      <c r="I6" s="39"/>
      <c r="J6" s="39"/>
      <c r="K6" s="39"/>
      <c r="L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</row>
    <row r="7" spans="1:55" ht="13.5" customHeight="1" x14ac:dyDescent="0.45">
      <c r="A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</row>
    <row r="8" spans="1:55" ht="13.5" customHeight="1" x14ac:dyDescent="0.45">
      <c r="A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</row>
    <row r="9" spans="1:55" ht="13.5" customHeight="1" x14ac:dyDescent="0.45">
      <c r="A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</row>
    <row r="10" spans="1:55" ht="13.5" customHeight="1" x14ac:dyDescent="0.45">
      <c r="A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</row>
    <row r="11" spans="1:55" ht="13.5" customHeight="1" x14ac:dyDescent="0.45">
      <c r="A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</row>
    <row r="12" spans="1:55" ht="13.5" customHeight="1" x14ac:dyDescent="0.45">
      <c r="A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5" ht="13.5" customHeight="1" x14ac:dyDescent="0.45">
      <c r="A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</row>
    <row r="14" spans="1:55" ht="13.5" customHeight="1" x14ac:dyDescent="0.45">
      <c r="A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</row>
    <row r="15" spans="1:55" ht="13.5" customHeight="1" x14ac:dyDescent="0.45">
      <c r="A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</row>
    <row r="16" spans="1:55" ht="13.5" customHeight="1" x14ac:dyDescent="0.45">
      <c r="A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</row>
    <row r="17" spans="1:50" ht="13.5" customHeight="1" x14ac:dyDescent="0.45">
      <c r="A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</row>
    <row r="18" spans="1:50" ht="13.5" customHeight="1" x14ac:dyDescent="0.45">
      <c r="A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</row>
    <row r="19" spans="1:50" ht="13.5" customHeight="1" x14ac:dyDescent="0.45">
      <c r="A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</row>
    <row r="20" spans="1:50" ht="13.5" customHeight="1" x14ac:dyDescent="0.45">
      <c r="A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</row>
    <row r="21" spans="1:50" ht="13.5" customHeight="1" x14ac:dyDescent="0.45">
      <c r="A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</row>
    <row r="22" spans="1:50" ht="13.5" customHeight="1" x14ac:dyDescent="0.45">
      <c r="A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</row>
    <row r="23" spans="1:50" ht="13.5" customHeight="1" x14ac:dyDescent="0.45">
      <c r="A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</row>
    <row r="24" spans="1:50" ht="13.5" customHeight="1" x14ac:dyDescent="0.45">
      <c r="A24" s="39"/>
      <c r="D24" s="39"/>
      <c r="E24" s="39"/>
      <c r="F24" s="39"/>
      <c r="G24" s="39"/>
      <c r="H24" s="39"/>
      <c r="J24" s="39"/>
      <c r="K24" s="39"/>
      <c r="L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</row>
    <row r="25" spans="1:50" ht="13.5" customHeight="1" x14ac:dyDescent="0.4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</row>
    <row r="26" spans="1:50" ht="13.5" customHeight="1" x14ac:dyDescent="0.4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</row>
    <row r="27" spans="1:50" ht="13.5" customHeight="1" x14ac:dyDescent="0.4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</row>
    <row r="28" spans="1:50" ht="13.5" customHeight="1" x14ac:dyDescent="0.4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</row>
    <row r="29" spans="1:50" ht="16.2" x14ac:dyDescent="0.4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1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</row>
    <row r="30" spans="1:50" ht="13.5" customHeight="1" x14ac:dyDescent="0.4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</row>
    <row r="31" spans="1:50" ht="13.5" customHeight="1" x14ac:dyDescent="0.4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</row>
    <row r="32" spans="1:50" ht="13.5" customHeight="1" x14ac:dyDescent="0.4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</row>
    <row r="33" spans="1:54" ht="13.5" customHeight="1" x14ac:dyDescent="0.4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</row>
    <row r="34" spans="1:54" ht="13.5" customHeight="1" x14ac:dyDescent="0.4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</row>
    <row r="35" spans="1:54" ht="13.5" customHeight="1" x14ac:dyDescent="0.4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</row>
    <row r="36" spans="1:54" ht="13.5" customHeight="1" x14ac:dyDescent="0.4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</row>
    <row r="37" spans="1:54" ht="13.5" customHeight="1" x14ac:dyDescent="0.4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</row>
    <row r="38" spans="1:54" ht="13.5" customHeight="1" x14ac:dyDescent="0.4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</row>
    <row r="39" spans="1:54" ht="13.5" customHeight="1" x14ac:dyDescent="0.45">
      <c r="B39" s="40" t="s">
        <v>25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 t="s">
        <v>26</v>
      </c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</row>
    <row r="40" spans="1:54" ht="16.2" x14ac:dyDescent="0.45">
      <c r="A40" s="39"/>
      <c r="B40" s="315" t="s">
        <v>27</v>
      </c>
      <c r="C40" s="315"/>
      <c r="D40" s="315" t="s">
        <v>28</v>
      </c>
      <c r="E40" s="315"/>
      <c r="F40" s="315"/>
      <c r="G40" s="315"/>
      <c r="H40" s="315"/>
      <c r="I40" s="315"/>
      <c r="J40" s="315"/>
      <c r="K40" s="315"/>
      <c r="L40" s="315"/>
      <c r="M40" s="315"/>
      <c r="N40" s="315" t="s">
        <v>29</v>
      </c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  <c r="Z40" s="315"/>
      <c r="AA40" s="315"/>
      <c r="AB40" s="315"/>
      <c r="AC40" s="315"/>
      <c r="AD40" s="315" t="s">
        <v>30</v>
      </c>
      <c r="AE40" s="315"/>
      <c r="AF40" s="315"/>
      <c r="AG40" s="315"/>
      <c r="AH40" s="315"/>
      <c r="AI40" s="315"/>
      <c r="AJ40" s="315"/>
      <c r="AK40" s="315"/>
      <c r="AL40" s="315"/>
      <c r="AM40" s="315"/>
      <c r="AN40" s="315"/>
      <c r="AO40" s="315"/>
      <c r="AP40" s="315"/>
      <c r="AQ40" s="315"/>
      <c r="AR40" s="315"/>
      <c r="AS40" s="315"/>
      <c r="AT40" s="315"/>
      <c r="AU40" s="315"/>
      <c r="AV40" s="315"/>
      <c r="AW40" s="315"/>
      <c r="AX40" s="315"/>
      <c r="AY40" s="315"/>
      <c r="AZ40" s="315"/>
      <c r="BA40" s="315"/>
      <c r="BB40" s="315"/>
    </row>
    <row r="41" spans="1:54" ht="16.2" x14ac:dyDescent="0.45">
      <c r="A41" s="39"/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 t="s">
        <v>31</v>
      </c>
      <c r="O41" s="315"/>
      <c r="P41" s="315"/>
      <c r="Q41" s="315"/>
      <c r="R41" s="315"/>
      <c r="S41" s="315"/>
      <c r="T41" s="315"/>
      <c r="U41" s="315"/>
      <c r="V41" s="315" t="s">
        <v>32</v>
      </c>
      <c r="W41" s="315"/>
      <c r="X41" s="315"/>
      <c r="Y41" s="315"/>
      <c r="Z41" s="315"/>
      <c r="AA41" s="315"/>
      <c r="AB41" s="315"/>
      <c r="AC41" s="315"/>
      <c r="AD41" s="315"/>
      <c r="AE41" s="315"/>
      <c r="AF41" s="315"/>
      <c r="AG41" s="315"/>
      <c r="AH41" s="315"/>
      <c r="AI41" s="315"/>
      <c r="AJ41" s="315"/>
      <c r="AK41" s="315"/>
      <c r="AL41" s="315"/>
      <c r="AM41" s="315"/>
      <c r="AN41" s="315"/>
      <c r="AO41" s="315"/>
      <c r="AP41" s="315"/>
      <c r="AQ41" s="315"/>
      <c r="AR41" s="315"/>
      <c r="AS41" s="315"/>
      <c r="AT41" s="315"/>
      <c r="AU41" s="315"/>
      <c r="AV41" s="315"/>
      <c r="AW41" s="315"/>
      <c r="AX41" s="315"/>
      <c r="AY41" s="315"/>
      <c r="AZ41" s="315"/>
      <c r="BA41" s="315"/>
      <c r="BB41" s="315"/>
    </row>
    <row r="42" spans="1:54" ht="16.2" x14ac:dyDescent="0.45">
      <c r="A42" s="39"/>
      <c r="B42" s="339" t="s">
        <v>50</v>
      </c>
      <c r="C42" s="340"/>
      <c r="D42" s="340"/>
      <c r="E42" s="340"/>
      <c r="F42" s="340"/>
      <c r="G42" s="340"/>
      <c r="H42" s="340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Y42" s="340"/>
      <c r="Z42" s="340"/>
      <c r="AA42" s="340"/>
      <c r="AB42" s="340"/>
      <c r="AC42" s="340"/>
      <c r="AD42" s="340"/>
      <c r="AE42" s="340"/>
      <c r="AF42" s="340"/>
      <c r="AG42" s="340"/>
      <c r="AH42" s="340"/>
      <c r="AI42" s="340"/>
      <c r="AJ42" s="340"/>
      <c r="AK42" s="340"/>
      <c r="AL42" s="340"/>
      <c r="AM42" s="340"/>
      <c r="AN42" s="340"/>
      <c r="AO42" s="340"/>
      <c r="AP42" s="340"/>
      <c r="AQ42" s="340"/>
      <c r="AR42" s="340"/>
      <c r="AS42" s="340"/>
      <c r="AT42" s="340"/>
      <c r="AU42" s="340"/>
      <c r="AV42" s="340"/>
      <c r="AW42" s="340"/>
      <c r="AX42" s="340"/>
      <c r="AY42" s="340"/>
      <c r="AZ42" s="340"/>
      <c r="BA42" s="340"/>
      <c r="BB42" s="341"/>
    </row>
    <row r="43" spans="1:54" ht="13.5" customHeight="1" x14ac:dyDescent="0.45">
      <c r="A43" s="39"/>
      <c r="B43" s="305">
        <v>1</v>
      </c>
      <c r="C43" s="305"/>
      <c r="D43" s="306" t="s">
        <v>57</v>
      </c>
      <c r="E43" s="306"/>
      <c r="F43" s="306"/>
      <c r="G43" s="306"/>
      <c r="H43" s="306"/>
      <c r="I43" s="306"/>
      <c r="J43" s="306"/>
      <c r="K43" s="306"/>
      <c r="L43" s="306"/>
      <c r="M43" s="306"/>
      <c r="N43" s="307" t="s">
        <v>67</v>
      </c>
      <c r="O43" s="307"/>
      <c r="P43" s="307"/>
      <c r="Q43" s="307"/>
      <c r="R43" s="307"/>
      <c r="S43" s="307"/>
      <c r="T43" s="307"/>
      <c r="U43" s="307"/>
      <c r="V43" s="307" t="s">
        <v>68</v>
      </c>
      <c r="W43" s="307"/>
      <c r="X43" s="307"/>
      <c r="Y43" s="307"/>
      <c r="Z43" s="307"/>
      <c r="AA43" s="307"/>
      <c r="AB43" s="307"/>
      <c r="AC43" s="307"/>
      <c r="AD43" s="308"/>
      <c r="AE43" s="308"/>
      <c r="AF43" s="308"/>
      <c r="AG43" s="308"/>
      <c r="AH43" s="308"/>
      <c r="AI43" s="308"/>
      <c r="AJ43" s="308"/>
      <c r="AK43" s="308"/>
      <c r="AL43" s="308"/>
      <c r="AM43" s="308"/>
      <c r="AN43" s="308"/>
      <c r="AO43" s="308"/>
      <c r="AP43" s="308"/>
      <c r="AQ43" s="308"/>
      <c r="AR43" s="308"/>
      <c r="AS43" s="308"/>
      <c r="AT43" s="308"/>
      <c r="AU43" s="308"/>
      <c r="AV43" s="308"/>
      <c r="AW43" s="308"/>
      <c r="AX43" s="308"/>
      <c r="AY43" s="308"/>
      <c r="AZ43" s="308"/>
      <c r="BA43" s="308"/>
      <c r="BB43" s="308"/>
    </row>
    <row r="44" spans="1:54" ht="13.5" customHeight="1" x14ac:dyDescent="0.45">
      <c r="A44" s="39"/>
      <c r="B44" s="305">
        <v>2</v>
      </c>
      <c r="C44" s="305"/>
      <c r="D44" s="306" t="s">
        <v>58</v>
      </c>
      <c r="E44" s="306"/>
      <c r="F44" s="306"/>
      <c r="G44" s="306"/>
      <c r="H44" s="306"/>
      <c r="I44" s="306"/>
      <c r="J44" s="306"/>
      <c r="K44" s="306"/>
      <c r="L44" s="306"/>
      <c r="M44" s="306"/>
      <c r="N44" s="307" t="s">
        <v>69</v>
      </c>
      <c r="O44" s="307"/>
      <c r="P44" s="307"/>
      <c r="Q44" s="307"/>
      <c r="R44" s="307"/>
      <c r="S44" s="307"/>
      <c r="T44" s="307"/>
      <c r="U44" s="307"/>
      <c r="V44" s="307" t="s">
        <v>70</v>
      </c>
      <c r="W44" s="307"/>
      <c r="X44" s="307"/>
      <c r="Y44" s="307"/>
      <c r="Z44" s="307"/>
      <c r="AA44" s="307"/>
      <c r="AB44" s="307"/>
      <c r="AC44" s="307"/>
      <c r="AD44" s="308"/>
      <c r="AE44" s="308"/>
      <c r="AF44" s="308"/>
      <c r="AG44" s="308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308"/>
      <c r="AU44" s="308"/>
      <c r="AV44" s="308"/>
      <c r="AW44" s="308"/>
      <c r="AX44" s="308"/>
      <c r="AY44" s="308"/>
      <c r="AZ44" s="308"/>
      <c r="BA44" s="308"/>
      <c r="BB44" s="308"/>
    </row>
    <row r="45" spans="1:54" ht="13.5" customHeight="1" x14ac:dyDescent="0.45">
      <c r="A45" s="39"/>
      <c r="B45" s="305">
        <v>3</v>
      </c>
      <c r="C45" s="305"/>
      <c r="D45" s="306" t="s">
        <v>89</v>
      </c>
      <c r="E45" s="306"/>
      <c r="F45" s="306"/>
      <c r="G45" s="306"/>
      <c r="H45" s="306"/>
      <c r="I45" s="306"/>
      <c r="J45" s="306"/>
      <c r="K45" s="306"/>
      <c r="L45" s="306"/>
      <c r="M45" s="306"/>
      <c r="N45" s="293" t="s">
        <v>49</v>
      </c>
      <c r="O45" s="294"/>
      <c r="P45" s="294"/>
      <c r="Q45" s="294"/>
      <c r="R45" s="294"/>
      <c r="S45" s="294"/>
      <c r="T45" s="294"/>
      <c r="U45" s="295"/>
      <c r="V45" s="293" t="s">
        <v>49</v>
      </c>
      <c r="W45" s="294"/>
      <c r="X45" s="294"/>
      <c r="Y45" s="294"/>
      <c r="Z45" s="294"/>
      <c r="AA45" s="294"/>
      <c r="AB45" s="294"/>
      <c r="AC45" s="295"/>
      <c r="AD45" s="308" t="s">
        <v>90</v>
      </c>
      <c r="AE45" s="308"/>
      <c r="AF45" s="308"/>
      <c r="AG45" s="308"/>
      <c r="AH45" s="308"/>
      <c r="AI45" s="308"/>
      <c r="AJ45" s="308"/>
      <c r="AK45" s="308"/>
      <c r="AL45" s="308"/>
      <c r="AM45" s="308"/>
      <c r="AN45" s="308"/>
      <c r="AO45" s="308"/>
      <c r="AP45" s="308"/>
      <c r="AQ45" s="308"/>
      <c r="AR45" s="308"/>
      <c r="AS45" s="308"/>
      <c r="AT45" s="308"/>
      <c r="AU45" s="308"/>
      <c r="AV45" s="308"/>
      <c r="AW45" s="308"/>
      <c r="AX45" s="308"/>
      <c r="AY45" s="308"/>
      <c r="AZ45" s="308"/>
      <c r="BA45" s="308"/>
      <c r="BB45" s="308"/>
    </row>
    <row r="46" spans="1:54" ht="16.2" x14ac:dyDescent="0.45">
      <c r="A46" s="39"/>
      <c r="B46" s="339" t="s">
        <v>51</v>
      </c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  <c r="AK46" s="340"/>
      <c r="AL46" s="340"/>
      <c r="AM46" s="340"/>
      <c r="AN46" s="340"/>
      <c r="AO46" s="340"/>
      <c r="AP46" s="340"/>
      <c r="AQ46" s="340"/>
      <c r="AR46" s="340"/>
      <c r="AS46" s="340"/>
      <c r="AT46" s="340"/>
      <c r="AU46" s="340"/>
      <c r="AV46" s="340"/>
      <c r="AW46" s="340"/>
      <c r="AX46" s="340"/>
      <c r="AY46" s="340"/>
      <c r="AZ46" s="340"/>
      <c r="BA46" s="340"/>
      <c r="BB46" s="341"/>
    </row>
    <row r="47" spans="1:54" ht="13.5" customHeight="1" x14ac:dyDescent="0.45">
      <c r="A47" s="39"/>
      <c r="B47" s="288">
        <v>1</v>
      </c>
      <c r="C47" s="289"/>
      <c r="D47" s="290" t="s">
        <v>59</v>
      </c>
      <c r="E47" s="291"/>
      <c r="F47" s="291"/>
      <c r="G47" s="291"/>
      <c r="H47" s="291"/>
      <c r="I47" s="291"/>
      <c r="J47" s="291"/>
      <c r="K47" s="291"/>
      <c r="L47" s="291"/>
      <c r="M47" s="292"/>
      <c r="N47" s="293" t="s">
        <v>71</v>
      </c>
      <c r="O47" s="294"/>
      <c r="P47" s="294"/>
      <c r="Q47" s="294"/>
      <c r="R47" s="294"/>
      <c r="S47" s="294"/>
      <c r="T47" s="294"/>
      <c r="U47" s="295"/>
      <c r="V47" s="302" t="s">
        <v>72</v>
      </c>
      <c r="W47" s="303"/>
      <c r="X47" s="303"/>
      <c r="Y47" s="303"/>
      <c r="Z47" s="303"/>
      <c r="AA47" s="303"/>
      <c r="AB47" s="303"/>
      <c r="AC47" s="304"/>
      <c r="AD47" s="296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297"/>
      <c r="AW47" s="297"/>
      <c r="AX47" s="297"/>
      <c r="AY47" s="297"/>
      <c r="AZ47" s="297"/>
      <c r="BA47" s="297"/>
      <c r="BB47" s="298"/>
    </row>
    <row r="48" spans="1:54" ht="13.5" customHeight="1" x14ac:dyDescent="0.45">
      <c r="A48" s="39"/>
      <c r="B48" s="288">
        <v>2</v>
      </c>
      <c r="C48" s="289"/>
      <c r="D48" s="290" t="s">
        <v>60</v>
      </c>
      <c r="E48" s="291"/>
      <c r="F48" s="291"/>
      <c r="G48" s="291"/>
      <c r="H48" s="291"/>
      <c r="I48" s="291"/>
      <c r="J48" s="291"/>
      <c r="K48" s="291"/>
      <c r="L48" s="291"/>
      <c r="M48" s="292"/>
      <c r="N48" s="296" t="s">
        <v>85</v>
      </c>
      <c r="O48" s="297"/>
      <c r="P48" s="297"/>
      <c r="Q48" s="297"/>
      <c r="R48" s="297"/>
      <c r="S48" s="297"/>
      <c r="T48" s="297"/>
      <c r="U48" s="298"/>
      <c r="V48" s="299" t="s">
        <v>86</v>
      </c>
      <c r="W48" s="300"/>
      <c r="X48" s="300"/>
      <c r="Y48" s="300"/>
      <c r="Z48" s="300"/>
      <c r="AA48" s="300"/>
      <c r="AB48" s="300"/>
      <c r="AC48" s="301"/>
      <c r="AD48" s="296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7"/>
      <c r="AX48" s="297"/>
      <c r="AY48" s="297"/>
      <c r="AZ48" s="297"/>
      <c r="BA48" s="297"/>
      <c r="BB48" s="298"/>
    </row>
    <row r="49" spans="1:55" ht="13.5" customHeight="1" x14ac:dyDescent="0.45">
      <c r="A49" s="39"/>
      <c r="B49" s="288">
        <v>3</v>
      </c>
      <c r="C49" s="289"/>
      <c r="D49" s="290" t="s">
        <v>61</v>
      </c>
      <c r="E49" s="291"/>
      <c r="F49" s="291"/>
      <c r="G49" s="291"/>
      <c r="H49" s="291"/>
      <c r="I49" s="291"/>
      <c r="J49" s="291"/>
      <c r="K49" s="291"/>
      <c r="L49" s="291"/>
      <c r="M49" s="292"/>
      <c r="N49" s="293" t="s">
        <v>66</v>
      </c>
      <c r="O49" s="294"/>
      <c r="P49" s="294"/>
      <c r="Q49" s="294"/>
      <c r="R49" s="294"/>
      <c r="S49" s="294"/>
      <c r="T49" s="294"/>
      <c r="U49" s="295"/>
      <c r="V49" s="293" t="s">
        <v>66</v>
      </c>
      <c r="W49" s="294"/>
      <c r="X49" s="294"/>
      <c r="Y49" s="294"/>
      <c r="Z49" s="294"/>
      <c r="AA49" s="294"/>
      <c r="AB49" s="294"/>
      <c r="AC49" s="295"/>
      <c r="AD49" s="296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7"/>
      <c r="AX49" s="297"/>
      <c r="AY49" s="297"/>
      <c r="AZ49" s="297"/>
      <c r="BA49" s="297"/>
      <c r="BB49" s="298"/>
    </row>
    <row r="50" spans="1:55" ht="13.5" customHeight="1" x14ac:dyDescent="0.45">
      <c r="A50" s="39"/>
      <c r="B50" s="288">
        <v>4</v>
      </c>
      <c r="C50" s="289"/>
      <c r="D50" s="290" t="s">
        <v>62</v>
      </c>
      <c r="E50" s="291"/>
      <c r="F50" s="291"/>
      <c r="G50" s="291"/>
      <c r="H50" s="291"/>
      <c r="I50" s="291"/>
      <c r="J50" s="291"/>
      <c r="K50" s="291"/>
      <c r="L50" s="291"/>
      <c r="M50" s="292"/>
      <c r="N50" s="293" t="s">
        <v>66</v>
      </c>
      <c r="O50" s="294"/>
      <c r="P50" s="294"/>
      <c r="Q50" s="294"/>
      <c r="R50" s="294"/>
      <c r="S50" s="294"/>
      <c r="T50" s="294"/>
      <c r="U50" s="295"/>
      <c r="V50" s="293" t="s">
        <v>66</v>
      </c>
      <c r="W50" s="294"/>
      <c r="X50" s="294"/>
      <c r="Y50" s="294"/>
      <c r="Z50" s="294"/>
      <c r="AA50" s="294"/>
      <c r="AB50" s="294"/>
      <c r="AC50" s="295"/>
      <c r="AD50" s="296"/>
      <c r="AE50" s="297"/>
      <c r="AF50" s="297"/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7"/>
      <c r="AT50" s="297"/>
      <c r="AU50" s="297"/>
      <c r="AV50" s="297"/>
      <c r="AW50" s="297"/>
      <c r="AX50" s="297"/>
      <c r="AY50" s="297"/>
      <c r="AZ50" s="297"/>
      <c r="BA50" s="297"/>
      <c r="BB50" s="298"/>
    </row>
    <row r="51" spans="1:55" ht="13.5" customHeight="1" x14ac:dyDescent="0.45">
      <c r="A51" s="39"/>
      <c r="B51" s="288">
        <v>5</v>
      </c>
      <c r="C51" s="289"/>
      <c r="D51" s="290" t="s">
        <v>63</v>
      </c>
      <c r="E51" s="291"/>
      <c r="F51" s="291"/>
      <c r="G51" s="291"/>
      <c r="H51" s="291"/>
      <c r="I51" s="291"/>
      <c r="J51" s="291"/>
      <c r="K51" s="291"/>
      <c r="L51" s="291"/>
      <c r="M51" s="292"/>
      <c r="N51" s="293" t="s">
        <v>66</v>
      </c>
      <c r="O51" s="294"/>
      <c r="P51" s="294"/>
      <c r="Q51" s="294"/>
      <c r="R51" s="294"/>
      <c r="S51" s="294"/>
      <c r="T51" s="294"/>
      <c r="U51" s="295"/>
      <c r="V51" s="293" t="s">
        <v>66</v>
      </c>
      <c r="W51" s="294"/>
      <c r="X51" s="294"/>
      <c r="Y51" s="294"/>
      <c r="Z51" s="294"/>
      <c r="AA51" s="294"/>
      <c r="AB51" s="294"/>
      <c r="AC51" s="295"/>
      <c r="AD51" s="296"/>
      <c r="AE51" s="297"/>
      <c r="AF51" s="297"/>
      <c r="AG51" s="297"/>
      <c r="AH51" s="297"/>
      <c r="AI51" s="297"/>
      <c r="AJ51" s="297"/>
      <c r="AK51" s="297"/>
      <c r="AL51" s="297"/>
      <c r="AM51" s="297"/>
      <c r="AN51" s="297"/>
      <c r="AO51" s="297"/>
      <c r="AP51" s="297"/>
      <c r="AQ51" s="297"/>
      <c r="AR51" s="297"/>
      <c r="AS51" s="297"/>
      <c r="AT51" s="297"/>
      <c r="AU51" s="297"/>
      <c r="AV51" s="297"/>
      <c r="AW51" s="297"/>
      <c r="AX51" s="297"/>
      <c r="AY51" s="297"/>
      <c r="AZ51" s="297"/>
      <c r="BA51" s="297"/>
      <c r="BB51" s="298"/>
    </row>
    <row r="52" spans="1:55" ht="13.5" customHeight="1" x14ac:dyDescent="0.45">
      <c r="A52" s="39"/>
      <c r="B52" s="288">
        <v>6</v>
      </c>
      <c r="C52" s="289"/>
      <c r="D52" s="290" t="s">
        <v>77</v>
      </c>
      <c r="E52" s="291"/>
      <c r="F52" s="291"/>
      <c r="G52" s="291"/>
      <c r="H52" s="291"/>
      <c r="I52" s="291"/>
      <c r="J52" s="291"/>
      <c r="K52" s="291"/>
      <c r="L52" s="291"/>
      <c r="M52" s="292"/>
      <c r="N52" s="296" t="s">
        <v>85</v>
      </c>
      <c r="O52" s="297"/>
      <c r="P52" s="297"/>
      <c r="Q52" s="297"/>
      <c r="R52" s="297"/>
      <c r="S52" s="297"/>
      <c r="T52" s="297"/>
      <c r="U52" s="298"/>
      <c r="V52" s="299" t="s">
        <v>86</v>
      </c>
      <c r="W52" s="300"/>
      <c r="X52" s="300"/>
      <c r="Y52" s="300"/>
      <c r="Z52" s="300"/>
      <c r="AA52" s="300"/>
      <c r="AB52" s="300"/>
      <c r="AC52" s="301"/>
      <c r="AD52" s="296" t="s">
        <v>87</v>
      </c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7"/>
      <c r="AU52" s="297"/>
      <c r="AV52" s="297"/>
      <c r="AW52" s="297"/>
      <c r="AX52" s="297"/>
      <c r="AY52" s="297"/>
      <c r="AZ52" s="297"/>
      <c r="BA52" s="297"/>
      <c r="BB52" s="298"/>
    </row>
    <row r="53" spans="1:55" ht="13.5" customHeight="1" x14ac:dyDescent="0.45">
      <c r="A53" s="39"/>
      <c r="B53" s="288">
        <v>7</v>
      </c>
      <c r="C53" s="289"/>
      <c r="D53" s="290" t="s">
        <v>78</v>
      </c>
      <c r="E53" s="291"/>
      <c r="F53" s="291"/>
      <c r="G53" s="291"/>
      <c r="H53" s="291"/>
      <c r="I53" s="291"/>
      <c r="J53" s="291"/>
      <c r="K53" s="291"/>
      <c r="L53" s="291"/>
      <c r="M53" s="292"/>
      <c r="N53" s="296" t="s">
        <v>85</v>
      </c>
      <c r="O53" s="297"/>
      <c r="P53" s="297"/>
      <c r="Q53" s="297"/>
      <c r="R53" s="297"/>
      <c r="S53" s="297"/>
      <c r="T53" s="297"/>
      <c r="U53" s="298"/>
      <c r="V53" s="299" t="s">
        <v>86</v>
      </c>
      <c r="W53" s="300"/>
      <c r="X53" s="300"/>
      <c r="Y53" s="300"/>
      <c r="Z53" s="300"/>
      <c r="AA53" s="300"/>
      <c r="AB53" s="300"/>
      <c r="AC53" s="301"/>
      <c r="AD53" s="296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7"/>
      <c r="AU53" s="297"/>
      <c r="AV53" s="297"/>
      <c r="AW53" s="297"/>
      <c r="AX53" s="297"/>
      <c r="AY53" s="297"/>
      <c r="AZ53" s="297"/>
      <c r="BA53" s="297"/>
      <c r="BB53" s="298"/>
    </row>
    <row r="54" spans="1:55" ht="13.5" customHeight="1" x14ac:dyDescent="0.45">
      <c r="A54" s="39"/>
      <c r="B54" s="288">
        <v>8</v>
      </c>
      <c r="C54" s="289"/>
      <c r="D54" s="290" t="s">
        <v>64</v>
      </c>
      <c r="E54" s="291"/>
      <c r="F54" s="291"/>
      <c r="G54" s="291"/>
      <c r="H54" s="291"/>
      <c r="I54" s="291"/>
      <c r="J54" s="291"/>
      <c r="K54" s="291"/>
      <c r="L54" s="291"/>
      <c r="M54" s="292"/>
      <c r="N54" s="293" t="s">
        <v>66</v>
      </c>
      <c r="O54" s="294"/>
      <c r="P54" s="294"/>
      <c r="Q54" s="294"/>
      <c r="R54" s="294"/>
      <c r="S54" s="294"/>
      <c r="T54" s="294"/>
      <c r="U54" s="295"/>
      <c r="V54" s="293" t="s">
        <v>66</v>
      </c>
      <c r="W54" s="294"/>
      <c r="X54" s="294"/>
      <c r="Y54" s="294"/>
      <c r="Z54" s="294"/>
      <c r="AA54" s="294"/>
      <c r="AB54" s="294"/>
      <c r="AC54" s="295"/>
      <c r="AD54" s="296"/>
      <c r="AE54" s="297"/>
      <c r="AF54" s="297"/>
      <c r="AG54" s="297"/>
      <c r="AH54" s="297"/>
      <c r="AI54" s="297"/>
      <c r="AJ54" s="297"/>
      <c r="AK54" s="297"/>
      <c r="AL54" s="297"/>
      <c r="AM54" s="297"/>
      <c r="AN54" s="297"/>
      <c r="AO54" s="297"/>
      <c r="AP54" s="297"/>
      <c r="AQ54" s="297"/>
      <c r="AR54" s="297"/>
      <c r="AS54" s="297"/>
      <c r="AT54" s="297"/>
      <c r="AU54" s="297"/>
      <c r="AV54" s="297"/>
      <c r="AW54" s="297"/>
      <c r="AX54" s="297"/>
      <c r="AY54" s="297"/>
      <c r="AZ54" s="297"/>
      <c r="BA54" s="297"/>
      <c r="BB54" s="298"/>
    </row>
    <row r="55" spans="1:55" ht="13.5" customHeight="1" x14ac:dyDescent="0.45">
      <c r="A55" s="39"/>
      <c r="B55" s="288">
        <v>9</v>
      </c>
      <c r="C55" s="289"/>
      <c r="D55" s="290" t="s">
        <v>65</v>
      </c>
      <c r="E55" s="291"/>
      <c r="F55" s="291"/>
      <c r="G55" s="291"/>
      <c r="H55" s="291"/>
      <c r="I55" s="291"/>
      <c r="J55" s="291"/>
      <c r="K55" s="291"/>
      <c r="L55" s="291"/>
      <c r="M55" s="292"/>
      <c r="N55" s="293" t="s">
        <v>66</v>
      </c>
      <c r="O55" s="294"/>
      <c r="P55" s="294"/>
      <c r="Q55" s="294"/>
      <c r="R55" s="294"/>
      <c r="S55" s="294"/>
      <c r="T55" s="294"/>
      <c r="U55" s="295"/>
      <c r="V55" s="293" t="s">
        <v>66</v>
      </c>
      <c r="W55" s="294"/>
      <c r="X55" s="294"/>
      <c r="Y55" s="294"/>
      <c r="Z55" s="294"/>
      <c r="AA55" s="294"/>
      <c r="AB55" s="294"/>
      <c r="AC55" s="295"/>
      <c r="AD55" s="296"/>
      <c r="AE55" s="297"/>
      <c r="AF55" s="297"/>
      <c r="AG55" s="297"/>
      <c r="AH55" s="297"/>
      <c r="AI55" s="297"/>
      <c r="AJ55" s="297"/>
      <c r="AK55" s="297"/>
      <c r="AL55" s="297"/>
      <c r="AM55" s="297"/>
      <c r="AN55" s="297"/>
      <c r="AO55" s="297"/>
      <c r="AP55" s="297"/>
      <c r="AQ55" s="297"/>
      <c r="AR55" s="297"/>
      <c r="AS55" s="297"/>
      <c r="AT55" s="297"/>
      <c r="AU55" s="297"/>
      <c r="AV55" s="297"/>
      <c r="AW55" s="297"/>
      <c r="AX55" s="297"/>
      <c r="AY55" s="297"/>
      <c r="AZ55" s="297"/>
      <c r="BA55" s="297"/>
      <c r="BB55" s="298"/>
    </row>
    <row r="56" spans="1:55" ht="13.2" customHeight="1" x14ac:dyDescent="0.4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</row>
    <row r="57" spans="1:55" ht="13.5" customHeight="1" x14ac:dyDescent="0.45">
      <c r="B57" s="44"/>
      <c r="C57" s="44"/>
      <c r="D57" s="45"/>
      <c r="E57" s="45"/>
      <c r="F57" s="45"/>
      <c r="G57" s="45"/>
      <c r="H57" s="45"/>
      <c r="I57" s="45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7"/>
    </row>
    <row r="58" spans="1:55" ht="13.5" customHeight="1" x14ac:dyDescent="0.45">
      <c r="B58" s="345" t="s">
        <v>73</v>
      </c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5"/>
      <c r="AM58" s="345"/>
      <c r="AN58" s="345"/>
      <c r="AO58" s="345"/>
      <c r="AP58" s="345"/>
      <c r="AQ58" s="345"/>
      <c r="AR58" s="345"/>
      <c r="AS58" s="345"/>
      <c r="AT58" s="345"/>
      <c r="AU58" s="345"/>
      <c r="AV58" s="345"/>
      <c r="AW58" s="345"/>
      <c r="AX58" s="345"/>
      <c r="AY58" s="345"/>
      <c r="AZ58" s="345"/>
      <c r="BA58" s="345"/>
      <c r="BB58" s="345"/>
    </row>
    <row r="59" spans="1:55" ht="13.5" customHeight="1" x14ac:dyDescent="0.45"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345"/>
      <c r="AB59" s="345"/>
      <c r="AC59" s="345"/>
      <c r="AD59" s="345"/>
      <c r="AE59" s="345"/>
      <c r="AF59" s="345"/>
      <c r="AG59" s="345"/>
      <c r="AH59" s="345"/>
      <c r="AI59" s="345"/>
      <c r="AJ59" s="345"/>
      <c r="AK59" s="345"/>
      <c r="AL59" s="345"/>
      <c r="AM59" s="345"/>
      <c r="AN59" s="345"/>
      <c r="AO59" s="345"/>
      <c r="AP59" s="345"/>
      <c r="AQ59" s="345"/>
      <c r="AR59" s="345"/>
      <c r="AS59" s="345"/>
      <c r="AT59" s="345"/>
      <c r="AU59" s="345"/>
      <c r="AV59" s="345"/>
      <c r="AW59" s="345"/>
      <c r="AX59" s="345"/>
      <c r="AY59" s="345"/>
      <c r="AZ59" s="345"/>
      <c r="BA59" s="345"/>
      <c r="BB59" s="345"/>
    </row>
    <row r="60" spans="1:55" ht="13.5" customHeight="1" x14ac:dyDescent="0.45">
      <c r="B60" s="40" t="s">
        <v>33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</row>
    <row r="61" spans="1:55" ht="13.5" customHeight="1" x14ac:dyDescent="0.45">
      <c r="B61" s="346" t="s">
        <v>27</v>
      </c>
      <c r="C61" s="347"/>
      <c r="D61" s="342" t="s">
        <v>34</v>
      </c>
      <c r="E61" s="343"/>
      <c r="F61" s="343"/>
      <c r="G61" s="343"/>
      <c r="H61" s="343"/>
      <c r="I61" s="344"/>
      <c r="J61" s="342" t="s">
        <v>35</v>
      </c>
      <c r="K61" s="343"/>
      <c r="L61" s="343"/>
      <c r="M61" s="343"/>
      <c r="N61" s="343"/>
      <c r="O61" s="344"/>
      <c r="P61" s="342" t="s">
        <v>36</v>
      </c>
      <c r="Q61" s="343"/>
      <c r="R61" s="343"/>
      <c r="S61" s="343"/>
      <c r="T61" s="343"/>
      <c r="U61" s="344"/>
      <c r="V61" s="342" t="s">
        <v>37</v>
      </c>
      <c r="W61" s="344"/>
      <c r="X61" s="342" t="s">
        <v>38</v>
      </c>
      <c r="Y61" s="343"/>
      <c r="Z61" s="344"/>
      <c r="AA61" s="342" t="s">
        <v>39</v>
      </c>
      <c r="AB61" s="343"/>
      <c r="AC61" s="344"/>
      <c r="AD61" s="342" t="s">
        <v>40</v>
      </c>
      <c r="AE61" s="343"/>
      <c r="AF61" s="344"/>
      <c r="AG61" s="342" t="s">
        <v>41</v>
      </c>
      <c r="AH61" s="344"/>
      <c r="AI61" s="342" t="s">
        <v>42</v>
      </c>
      <c r="AJ61" s="343"/>
      <c r="AK61" s="343"/>
      <c r="AL61" s="343"/>
      <c r="AM61" s="343"/>
      <c r="AN61" s="343"/>
      <c r="AO61" s="343"/>
      <c r="AP61" s="343"/>
      <c r="AQ61" s="344"/>
      <c r="AR61" s="342" t="s">
        <v>30</v>
      </c>
      <c r="AS61" s="343"/>
      <c r="AT61" s="343"/>
      <c r="AU61" s="343"/>
      <c r="AV61" s="343"/>
      <c r="AW61" s="343"/>
      <c r="AX61" s="343"/>
      <c r="AY61" s="343"/>
      <c r="AZ61" s="343"/>
      <c r="BA61" s="343"/>
      <c r="BB61" s="344"/>
    </row>
    <row r="62" spans="1:55" s="43" customFormat="1" ht="13.5" customHeight="1" x14ac:dyDescent="0.45">
      <c r="A62" s="42"/>
      <c r="B62" s="309">
        <v>1</v>
      </c>
      <c r="C62" s="310"/>
      <c r="D62" s="293" t="s">
        <v>75</v>
      </c>
      <c r="E62" s="294"/>
      <c r="F62" s="294"/>
      <c r="G62" s="294"/>
      <c r="H62" s="294"/>
      <c r="I62" s="295"/>
      <c r="J62" s="293" t="s">
        <v>52</v>
      </c>
      <c r="K62" s="294"/>
      <c r="L62" s="294"/>
      <c r="M62" s="294"/>
      <c r="N62" s="294"/>
      <c r="O62" s="295"/>
      <c r="P62" s="293" t="s">
        <v>53</v>
      </c>
      <c r="Q62" s="294"/>
      <c r="R62" s="294"/>
      <c r="S62" s="294"/>
      <c r="T62" s="294"/>
      <c r="U62" s="295"/>
      <c r="V62" s="309" t="s">
        <v>49</v>
      </c>
      <c r="W62" s="310"/>
      <c r="X62" s="309" t="s">
        <v>43</v>
      </c>
      <c r="Y62" s="311"/>
      <c r="Z62" s="310"/>
      <c r="AA62" s="309" t="s">
        <v>43</v>
      </c>
      <c r="AB62" s="311"/>
      <c r="AC62" s="310"/>
      <c r="AD62" s="309" t="s">
        <v>49</v>
      </c>
      <c r="AE62" s="311"/>
      <c r="AF62" s="310"/>
      <c r="AG62" s="309" t="s">
        <v>49</v>
      </c>
      <c r="AH62" s="310"/>
      <c r="AI62" s="312" t="s">
        <v>93</v>
      </c>
      <c r="AJ62" s="303"/>
      <c r="AK62" s="303"/>
      <c r="AL62" s="303"/>
      <c r="AM62" s="303"/>
      <c r="AN62" s="303"/>
      <c r="AO62" s="303"/>
      <c r="AP62" s="303"/>
      <c r="AQ62" s="304"/>
      <c r="AR62" s="312" t="s">
        <v>94</v>
      </c>
      <c r="AS62" s="313"/>
      <c r="AT62" s="313"/>
      <c r="AU62" s="313"/>
      <c r="AV62" s="313"/>
      <c r="AW62" s="313"/>
      <c r="AX62" s="313"/>
      <c r="AY62" s="313"/>
      <c r="AZ62" s="313"/>
      <c r="BA62" s="313"/>
      <c r="BB62" s="314"/>
      <c r="BC62" s="42"/>
    </row>
    <row r="63" spans="1:55" ht="13.5" customHeight="1" x14ac:dyDescent="0.45">
      <c r="B63" s="309">
        <v>2</v>
      </c>
      <c r="C63" s="310"/>
      <c r="D63" s="293" t="s">
        <v>74</v>
      </c>
      <c r="E63" s="294"/>
      <c r="F63" s="294"/>
      <c r="G63" s="294"/>
      <c r="H63" s="294"/>
      <c r="I63" s="295"/>
      <c r="J63" s="293" t="s">
        <v>76</v>
      </c>
      <c r="K63" s="294"/>
      <c r="L63" s="294"/>
      <c r="M63" s="294"/>
      <c r="N63" s="294"/>
      <c r="O63" s="295"/>
      <c r="P63" s="293" t="s">
        <v>96</v>
      </c>
      <c r="Q63" s="294"/>
      <c r="R63" s="294"/>
      <c r="S63" s="294"/>
      <c r="T63" s="294"/>
      <c r="U63" s="295"/>
      <c r="V63" s="309" t="s">
        <v>54</v>
      </c>
      <c r="W63" s="310"/>
      <c r="X63" s="309" t="s">
        <v>43</v>
      </c>
      <c r="Y63" s="311"/>
      <c r="Z63" s="310"/>
      <c r="AA63" s="309" t="s">
        <v>43</v>
      </c>
      <c r="AB63" s="311"/>
      <c r="AC63" s="310"/>
      <c r="AD63" s="309" t="s">
        <v>49</v>
      </c>
      <c r="AE63" s="311"/>
      <c r="AF63" s="310"/>
      <c r="AG63" s="309" t="s">
        <v>49</v>
      </c>
      <c r="AH63" s="310"/>
      <c r="AI63" s="302" t="s">
        <v>55</v>
      </c>
      <c r="AJ63" s="303"/>
      <c r="AK63" s="303"/>
      <c r="AL63" s="303"/>
      <c r="AM63" s="303"/>
      <c r="AN63" s="303"/>
      <c r="AO63" s="303"/>
      <c r="AP63" s="303"/>
      <c r="AQ63" s="304"/>
      <c r="AR63" s="302"/>
      <c r="AS63" s="303"/>
      <c r="AT63" s="303"/>
      <c r="AU63" s="303"/>
      <c r="AV63" s="303"/>
      <c r="AW63" s="303"/>
      <c r="AX63" s="303"/>
      <c r="AY63" s="303"/>
      <c r="AZ63" s="303"/>
      <c r="BA63" s="303"/>
      <c r="BB63" s="304"/>
    </row>
    <row r="64" spans="1:55" ht="13.5" customHeight="1" x14ac:dyDescent="0.45">
      <c r="B64" s="349">
        <v>3</v>
      </c>
      <c r="C64" s="350"/>
      <c r="D64" s="351" t="s">
        <v>60</v>
      </c>
      <c r="E64" s="352"/>
      <c r="F64" s="352"/>
      <c r="G64" s="352"/>
      <c r="H64" s="352"/>
      <c r="I64" s="353"/>
      <c r="J64" s="351" t="s">
        <v>98</v>
      </c>
      <c r="K64" s="352"/>
      <c r="L64" s="352"/>
      <c r="M64" s="352"/>
      <c r="N64" s="352"/>
      <c r="O64" s="353"/>
      <c r="P64" s="351" t="s">
        <v>97</v>
      </c>
      <c r="Q64" s="352"/>
      <c r="R64" s="352"/>
      <c r="S64" s="352"/>
      <c r="T64" s="352"/>
      <c r="U64" s="353"/>
      <c r="V64" s="349" t="s">
        <v>54</v>
      </c>
      <c r="W64" s="350"/>
      <c r="X64" s="349" t="s">
        <v>43</v>
      </c>
      <c r="Y64" s="354"/>
      <c r="Z64" s="350"/>
      <c r="AA64" s="349" t="s">
        <v>43</v>
      </c>
      <c r="AB64" s="354"/>
      <c r="AC64" s="350"/>
      <c r="AD64" s="349" t="s">
        <v>49</v>
      </c>
      <c r="AE64" s="354"/>
      <c r="AF64" s="350"/>
      <c r="AG64" s="349" t="s">
        <v>49</v>
      </c>
      <c r="AH64" s="350"/>
      <c r="AI64" s="312" t="s">
        <v>55</v>
      </c>
      <c r="AJ64" s="313"/>
      <c r="AK64" s="313"/>
      <c r="AL64" s="313"/>
      <c r="AM64" s="313"/>
      <c r="AN64" s="313"/>
      <c r="AO64" s="313"/>
      <c r="AP64" s="313"/>
      <c r="AQ64" s="314"/>
      <c r="AR64" s="312" t="s">
        <v>108</v>
      </c>
      <c r="AS64" s="313"/>
      <c r="AT64" s="313"/>
      <c r="AU64" s="313"/>
      <c r="AV64" s="313"/>
      <c r="AW64" s="313"/>
      <c r="AX64" s="313"/>
      <c r="AY64" s="313"/>
      <c r="AZ64" s="313"/>
      <c r="BA64" s="313"/>
      <c r="BB64" s="314"/>
    </row>
    <row r="65" spans="2:54" ht="13.5" customHeight="1" x14ac:dyDescent="0.45">
      <c r="B65" s="349">
        <v>4</v>
      </c>
      <c r="C65" s="350"/>
      <c r="D65" s="351" t="s">
        <v>61</v>
      </c>
      <c r="E65" s="352"/>
      <c r="F65" s="352"/>
      <c r="G65" s="352"/>
      <c r="H65" s="352"/>
      <c r="I65" s="353"/>
      <c r="J65" s="351" t="s">
        <v>49</v>
      </c>
      <c r="K65" s="352"/>
      <c r="L65" s="352"/>
      <c r="M65" s="352"/>
      <c r="N65" s="352"/>
      <c r="O65" s="353"/>
      <c r="P65" s="351" t="s">
        <v>49</v>
      </c>
      <c r="Q65" s="352"/>
      <c r="R65" s="352"/>
      <c r="S65" s="352"/>
      <c r="T65" s="352"/>
      <c r="U65" s="353"/>
      <c r="V65" s="349" t="s">
        <v>49</v>
      </c>
      <c r="W65" s="350"/>
      <c r="X65" s="349" t="s">
        <v>43</v>
      </c>
      <c r="Y65" s="354"/>
      <c r="Z65" s="350"/>
      <c r="AA65" s="349" t="s">
        <v>43</v>
      </c>
      <c r="AB65" s="354"/>
      <c r="AC65" s="350"/>
      <c r="AD65" s="349" t="s">
        <v>49</v>
      </c>
      <c r="AE65" s="354"/>
      <c r="AF65" s="350"/>
      <c r="AG65" s="349" t="s">
        <v>49</v>
      </c>
      <c r="AH65" s="350"/>
      <c r="AI65" s="312" t="s">
        <v>55</v>
      </c>
      <c r="AJ65" s="313"/>
      <c r="AK65" s="313"/>
      <c r="AL65" s="313"/>
      <c r="AM65" s="313"/>
      <c r="AN65" s="313"/>
      <c r="AO65" s="313"/>
      <c r="AP65" s="313"/>
      <c r="AQ65" s="314"/>
      <c r="AR65" s="312" t="s">
        <v>108</v>
      </c>
      <c r="AS65" s="313"/>
      <c r="AT65" s="313"/>
      <c r="AU65" s="313"/>
      <c r="AV65" s="313"/>
      <c r="AW65" s="313"/>
      <c r="AX65" s="313"/>
      <c r="AY65" s="313"/>
      <c r="AZ65" s="313"/>
      <c r="BA65" s="313"/>
      <c r="BB65" s="314"/>
    </row>
    <row r="66" spans="2:54" ht="13.5" customHeight="1" x14ac:dyDescent="0.45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</row>
    <row r="67" spans="2:54" ht="13.5" customHeight="1" x14ac:dyDescent="0.45">
      <c r="B67" s="48" t="s">
        <v>79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</row>
    <row r="68" spans="2:54" ht="13.5" customHeight="1" x14ac:dyDescent="0.45">
      <c r="B68" s="348" t="s">
        <v>27</v>
      </c>
      <c r="C68" s="348"/>
      <c r="D68" s="348" t="s">
        <v>80</v>
      </c>
      <c r="E68" s="348"/>
      <c r="F68" s="348"/>
      <c r="G68" s="348"/>
      <c r="H68" s="348"/>
      <c r="I68" s="348"/>
      <c r="J68" s="348"/>
      <c r="K68" s="348"/>
      <c r="L68" s="348"/>
      <c r="M68" s="348" t="s">
        <v>81</v>
      </c>
      <c r="N68" s="348"/>
      <c r="O68" s="348"/>
      <c r="P68" s="348"/>
      <c r="Q68" s="348"/>
      <c r="R68" s="348"/>
      <c r="S68" s="348"/>
      <c r="T68" s="348"/>
      <c r="U68" s="348"/>
      <c r="V68" s="348"/>
      <c r="W68" s="348" t="s">
        <v>82</v>
      </c>
      <c r="X68" s="348"/>
      <c r="Y68" s="348"/>
      <c r="Z68" s="348"/>
      <c r="AA68" s="348"/>
      <c r="AB68" s="348"/>
      <c r="AC68" s="348"/>
      <c r="AD68" s="348"/>
      <c r="AE68" s="348"/>
      <c r="AF68" s="348" t="s">
        <v>83</v>
      </c>
      <c r="AG68" s="348"/>
      <c r="AH68" s="348"/>
      <c r="AI68" s="348"/>
      <c r="AJ68" s="348"/>
      <c r="AK68" s="348"/>
      <c r="AL68" s="348"/>
      <c r="AM68" s="348"/>
      <c r="AN68" s="348"/>
      <c r="AO68" s="348"/>
      <c r="AP68" s="348"/>
      <c r="AQ68" s="348"/>
      <c r="AR68" s="348"/>
      <c r="AS68" s="348"/>
      <c r="AT68" s="348"/>
      <c r="AU68" s="348"/>
      <c r="AV68" s="348"/>
      <c r="AW68" s="348"/>
      <c r="AX68" s="348"/>
      <c r="AY68" s="348"/>
      <c r="AZ68" s="348"/>
      <c r="BA68" s="348"/>
      <c r="BB68" s="348"/>
    </row>
    <row r="69" spans="2:54" ht="13.5" customHeight="1" x14ac:dyDescent="0.45">
      <c r="B69" s="287">
        <v>1</v>
      </c>
      <c r="C69" s="287"/>
      <c r="D69" s="286" t="s">
        <v>84</v>
      </c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86"/>
      <c r="AB69" s="286"/>
      <c r="AC69" s="286"/>
      <c r="AD69" s="286"/>
      <c r="AE69" s="286"/>
      <c r="AF69" s="286" t="s">
        <v>106</v>
      </c>
      <c r="AG69" s="286"/>
      <c r="AH69" s="286"/>
      <c r="AI69" s="286"/>
      <c r="AJ69" s="286"/>
      <c r="AK69" s="286"/>
      <c r="AL69" s="286"/>
      <c r="AM69" s="286"/>
      <c r="AN69" s="286"/>
      <c r="AO69" s="286"/>
      <c r="AP69" s="286"/>
      <c r="AQ69" s="286"/>
      <c r="AR69" s="286"/>
      <c r="AS69" s="286"/>
      <c r="AT69" s="286"/>
      <c r="AU69" s="286"/>
      <c r="AV69" s="286"/>
      <c r="AW69" s="286"/>
      <c r="AX69" s="286"/>
      <c r="AY69" s="286"/>
      <c r="AZ69" s="286"/>
      <c r="BA69" s="286"/>
      <c r="BB69" s="286"/>
    </row>
    <row r="70" spans="2:54" ht="13.5" customHeight="1" x14ac:dyDescent="0.45">
      <c r="B70" s="287">
        <v>2</v>
      </c>
      <c r="C70" s="287"/>
      <c r="D70" s="286" t="s">
        <v>102</v>
      </c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  <c r="AC70" s="286"/>
      <c r="AD70" s="286"/>
      <c r="AE70" s="286"/>
      <c r="AF70" s="286" t="s">
        <v>106</v>
      </c>
      <c r="AG70" s="286"/>
      <c r="AH70" s="286"/>
      <c r="AI70" s="286"/>
      <c r="AJ70" s="286"/>
      <c r="AK70" s="286"/>
      <c r="AL70" s="286"/>
      <c r="AM70" s="286"/>
      <c r="AN70" s="286"/>
      <c r="AO70" s="286"/>
      <c r="AP70" s="286"/>
      <c r="AQ70" s="286"/>
      <c r="AR70" s="286"/>
      <c r="AS70" s="286"/>
      <c r="AT70" s="286"/>
      <c r="AU70" s="286"/>
      <c r="AV70" s="286"/>
      <c r="AW70" s="286"/>
      <c r="AX70" s="286"/>
      <c r="AY70" s="286"/>
      <c r="AZ70" s="286"/>
      <c r="BA70" s="286"/>
      <c r="BB70" s="286"/>
    </row>
    <row r="71" spans="2:54" ht="13.5" customHeight="1" x14ac:dyDescent="0.45">
      <c r="B71" s="287">
        <v>3</v>
      </c>
      <c r="C71" s="287"/>
      <c r="D71" s="286" t="s">
        <v>103</v>
      </c>
      <c r="E71" s="286"/>
      <c r="F71" s="286"/>
      <c r="G71" s="286"/>
      <c r="H71" s="286"/>
      <c r="I71" s="286"/>
      <c r="J71" s="286"/>
      <c r="K71" s="286"/>
      <c r="L71" s="286"/>
      <c r="M71" s="286" t="s">
        <v>105</v>
      </c>
      <c r="N71" s="286"/>
      <c r="O71" s="286"/>
      <c r="P71" s="286"/>
      <c r="Q71" s="286"/>
      <c r="R71" s="286"/>
      <c r="S71" s="286"/>
      <c r="T71" s="286"/>
      <c r="U71" s="286"/>
      <c r="V71" s="286"/>
      <c r="W71" s="286" t="s">
        <v>104</v>
      </c>
      <c r="X71" s="286"/>
      <c r="Y71" s="286"/>
      <c r="Z71" s="286"/>
      <c r="AA71" s="286"/>
      <c r="AB71" s="286"/>
      <c r="AC71" s="286"/>
      <c r="AD71" s="286"/>
      <c r="AE71" s="286"/>
      <c r="AF71" s="286" t="s">
        <v>106</v>
      </c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  <c r="AV71" s="286"/>
      <c r="AW71" s="286"/>
      <c r="AX71" s="286"/>
      <c r="AY71" s="286"/>
      <c r="AZ71" s="286"/>
      <c r="BA71" s="286"/>
      <c r="BB71" s="286"/>
    </row>
  </sheetData>
  <mergeCells count="158">
    <mergeCell ref="AI65:AQ65"/>
    <mergeCell ref="AR65:BB65"/>
    <mergeCell ref="B64:C64"/>
    <mergeCell ref="D64:I64"/>
    <mergeCell ref="J64:O64"/>
    <mergeCell ref="P64:U64"/>
    <mergeCell ref="V64:W64"/>
    <mergeCell ref="X64:Z64"/>
    <mergeCell ref="AA64:AC64"/>
    <mergeCell ref="AD64:AF64"/>
    <mergeCell ref="AG64:AH64"/>
    <mergeCell ref="AI64:AQ64"/>
    <mergeCell ref="AR64:BB64"/>
    <mergeCell ref="B65:C65"/>
    <mergeCell ref="D65:I65"/>
    <mergeCell ref="J65:O65"/>
    <mergeCell ref="P65:U65"/>
    <mergeCell ref="V65:W65"/>
    <mergeCell ref="X65:Z65"/>
    <mergeCell ref="AA65:AC65"/>
    <mergeCell ref="AD65:AF65"/>
    <mergeCell ref="AG65:AH65"/>
    <mergeCell ref="B69:C69"/>
    <mergeCell ref="D69:L69"/>
    <mergeCell ref="M69:V69"/>
    <mergeCell ref="W69:AE69"/>
    <mergeCell ref="AF69:BB69"/>
    <mergeCell ref="V53:AC53"/>
    <mergeCell ref="AD53:BB53"/>
    <mergeCell ref="B68:C68"/>
    <mergeCell ref="D68:L68"/>
    <mergeCell ref="M68:V68"/>
    <mergeCell ref="W68:AE68"/>
    <mergeCell ref="AF68:BB68"/>
    <mergeCell ref="B55:C55"/>
    <mergeCell ref="D55:M55"/>
    <mergeCell ref="N55:U55"/>
    <mergeCell ref="V55:AC55"/>
    <mergeCell ref="AD55:BB55"/>
    <mergeCell ref="AA63:AC63"/>
    <mergeCell ref="AD63:AF63"/>
    <mergeCell ref="AI63:AQ63"/>
    <mergeCell ref="AR63:BB63"/>
    <mergeCell ref="B62:C62"/>
    <mergeCell ref="D62:I62"/>
    <mergeCell ref="J62:O62"/>
    <mergeCell ref="B54:C54"/>
    <mergeCell ref="D54:M54"/>
    <mergeCell ref="N54:U54"/>
    <mergeCell ref="V54:AC54"/>
    <mergeCell ref="AD54:BB54"/>
    <mergeCell ref="B52:C52"/>
    <mergeCell ref="D52:M52"/>
    <mergeCell ref="N52:U52"/>
    <mergeCell ref="V52:AC52"/>
    <mergeCell ref="AD52:BB52"/>
    <mergeCell ref="B53:C53"/>
    <mergeCell ref="D53:M53"/>
    <mergeCell ref="N53:U53"/>
    <mergeCell ref="B42:BB42"/>
    <mergeCell ref="P61:U61"/>
    <mergeCell ref="V61:W61"/>
    <mergeCell ref="X61:Z61"/>
    <mergeCell ref="AA61:AC61"/>
    <mergeCell ref="AD61:AF61"/>
    <mergeCell ref="AG61:AH61"/>
    <mergeCell ref="B58:BB59"/>
    <mergeCell ref="AI61:AQ61"/>
    <mergeCell ref="AR61:BB61"/>
    <mergeCell ref="B61:C61"/>
    <mergeCell ref="D61:I61"/>
    <mergeCell ref="J61:O61"/>
    <mergeCell ref="B50:C50"/>
    <mergeCell ref="D50:M50"/>
    <mergeCell ref="N50:U50"/>
    <mergeCell ref="B43:C43"/>
    <mergeCell ref="D43:M43"/>
    <mergeCell ref="N43:U43"/>
    <mergeCell ref="V43:AC43"/>
    <mergeCell ref="AD43:BB43"/>
    <mergeCell ref="B46:BB46"/>
    <mergeCell ref="B48:C48"/>
    <mergeCell ref="D48:M48"/>
    <mergeCell ref="D40:M41"/>
    <mergeCell ref="N40:AC40"/>
    <mergeCell ref="AD40:BB41"/>
    <mergeCell ref="N41:U41"/>
    <mergeCell ref="V41:AC41"/>
    <mergeCell ref="AG63:AH63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40:C41"/>
    <mergeCell ref="P63:U63"/>
    <mergeCell ref="V63:W63"/>
    <mergeCell ref="X63:Z63"/>
    <mergeCell ref="P62:U62"/>
    <mergeCell ref="V62:W62"/>
    <mergeCell ref="X62:Z62"/>
    <mergeCell ref="AA62:AC62"/>
    <mergeCell ref="AD62:AF62"/>
    <mergeCell ref="AG62:AH62"/>
    <mergeCell ref="AI62:AQ62"/>
    <mergeCell ref="AR62:BB62"/>
    <mergeCell ref="B63:C63"/>
    <mergeCell ref="D63:I63"/>
    <mergeCell ref="J63:O63"/>
    <mergeCell ref="N48:U48"/>
    <mergeCell ref="V48:AC48"/>
    <mergeCell ref="AD48:BB48"/>
    <mergeCell ref="B47:C47"/>
    <mergeCell ref="D47:M47"/>
    <mergeCell ref="N47:U47"/>
    <mergeCell ref="V47:AC47"/>
    <mergeCell ref="AD47:BB47"/>
    <mergeCell ref="B44:C44"/>
    <mergeCell ref="D44:M44"/>
    <mergeCell ref="N44:U44"/>
    <mergeCell ref="V44:AC44"/>
    <mergeCell ref="AD44:BB44"/>
    <mergeCell ref="B45:C45"/>
    <mergeCell ref="D45:M45"/>
    <mergeCell ref="N45:U45"/>
    <mergeCell ref="V45:AC45"/>
    <mergeCell ref="AD45:BB45"/>
    <mergeCell ref="B49:C49"/>
    <mergeCell ref="D49:M49"/>
    <mergeCell ref="N49:U49"/>
    <mergeCell ref="V49:AC49"/>
    <mergeCell ref="AD49:BB49"/>
    <mergeCell ref="B51:C51"/>
    <mergeCell ref="D51:M51"/>
    <mergeCell ref="N51:U51"/>
    <mergeCell ref="V51:AC51"/>
    <mergeCell ref="AD51:BB51"/>
    <mergeCell ref="V50:AC50"/>
    <mergeCell ref="AD50:BB50"/>
    <mergeCell ref="D70:L70"/>
    <mergeCell ref="M70:V70"/>
    <mergeCell ref="W70:AE70"/>
    <mergeCell ref="AF70:BB70"/>
    <mergeCell ref="D71:L71"/>
    <mergeCell ref="M71:V71"/>
    <mergeCell ref="W71:AE71"/>
    <mergeCell ref="AF71:BB71"/>
    <mergeCell ref="B71:C71"/>
    <mergeCell ref="B70:C70"/>
  </mergeCells>
  <phoneticPr fontId="2"/>
  <pageMargins left="0.23622047244094491" right="0.23622047244094491" top="0.35433070866141736" bottom="0.35433070866141736" header="0.31496062992125984" footer="0.31496062992125984"/>
  <pageSetup paperSize="9" scale="48" orientation="landscape" r:id="rId1"/>
  <headerFooter>
    <oddFooter>&amp;C&amp;8&amp;P / &amp;N ページ</oddFooter>
  </headerFooter>
  <rowBreaks count="1" manualBreakCount="1">
    <brk id="37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会場アサイン変更</vt:lpstr>
      <vt:lpstr>会場アサイン変更!Print_Area</vt:lpstr>
      <vt:lpstr>更新履歴!Print_Area</vt:lpstr>
      <vt:lpstr>会場アサイン変更!Print_Titles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sakurai</dc:creator>
  <cp:lastModifiedBy>m-taniguchi</cp:lastModifiedBy>
  <cp:lastPrinted>2019-01-07T05:58:31Z</cp:lastPrinted>
  <dcterms:created xsi:type="dcterms:W3CDTF">2018-12-26T08:34:58Z</dcterms:created>
  <dcterms:modified xsi:type="dcterms:W3CDTF">2019-11-19T01:41:26Z</dcterms:modified>
</cp:coreProperties>
</file>