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filterPrivacy="1" defaultThemeVersion="124226"/>
  <xr:revisionPtr revIDLastSave="0" documentId="13_ncr:1_{E539DC77-5265-43E5-9DD9-7A89B75089F6}" xr6:coauthVersionLast="45" xr6:coauthVersionMax="45" xr10:uidLastSave="{00000000-0000-0000-0000-000000000000}"/>
  <bookViews>
    <workbookView xWindow="-120" yWindow="-120" windowWidth="29040" windowHeight="15840" tabRatio="807" xr2:uid="{00000000-000D-0000-FFFF-FFFF00000000}"/>
  </bookViews>
  <sheets>
    <sheet name="表紙" sheetId="4" r:id="rId1"/>
    <sheet name="更新履歴" sheetId="5" r:id="rId2"/>
    <sheet name="見積もり情報編集画面（管理者権限）" sheetId="49" r:id="rId3"/>
  </sheets>
  <externalReferences>
    <externalReference r:id="rId4"/>
    <externalReference r:id="rId5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>[1]SW!#REF!</definedName>
    <definedName name="Excel_BuiltIn_Print_Titles_7_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'見積もり情報編集画面（管理者権限）'!$A$1:$BC$108</definedName>
    <definedName name="_xlnm.Print_Area" localSheetId="1">更新履歴!$A$1:$BC$32</definedName>
    <definedName name="_xlnm.Print_Titles" localSheetId="2">'見積もり情報編集画面（管理者権限）'!$1:$4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17" i="4" l="1"/>
  <c r="X17" i="4"/>
  <c r="J2" i="49" l="1"/>
  <c r="A2" i="49"/>
  <c r="J2" i="5"/>
  <c r="A2" i="5"/>
  <c r="R2" i="49" l="1"/>
  <c r="R1" i="49"/>
  <c r="R1" i="5"/>
</calcChain>
</file>

<file path=xl/sharedStrings.xml><?xml version="1.0" encoding="utf-8"?>
<sst xmlns="http://schemas.openxmlformats.org/spreadsheetml/2006/main" count="186" uniqueCount="98">
  <si>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</si>
  <si>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</si>
  <si>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</si>
  <si>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</si>
  <si>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</si>
  <si>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</si>
  <si>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</si>
  <si>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</si>
  <si>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</si>
  <si>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</si>
  <si>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</si>
  <si>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</si>
  <si>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</si>
  <si>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</si>
  <si>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</si>
  <si>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</si>
  <si>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</si>
  <si>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</si>
  <si>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</si>
  <si>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</si>
  <si>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</si>
  <si>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</si>
  <si>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</si>
  <si>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</si>
  <si>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</si>
  <si>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</si>
  <si>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</si>
  <si>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</si>
  <si>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</si>
  <si>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</si>
  <si>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</si>
  <si>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</si>
  <si>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</si>
  <si>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</si>
  <si>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</si>
  <si>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</si>
  <si>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LMS学習管理システム</t>
    <phoneticPr fontId="1"/>
  </si>
  <si>
    <t>送信ボタン</t>
  </si>
  <si>
    <t>櫻井</t>
    <rPh sb="0" eb="2">
      <t>サクライ</t>
    </rPh>
    <phoneticPr fontId="1"/>
  </si>
  <si>
    <t>高橋大</t>
    <rPh sb="0" eb="2">
      <t>タカハシ</t>
    </rPh>
    <rPh sb="2" eb="3">
      <t>ダイ</t>
    </rPh>
    <phoneticPr fontId="1"/>
  </si>
  <si>
    <t>高橋大</t>
    <rPh sb="0" eb="2">
      <t>タカハシ</t>
    </rPh>
    <rPh sb="2" eb="3">
      <t>ダイ</t>
    </rPh>
    <phoneticPr fontId="3"/>
  </si>
  <si>
    <t>基本情報</t>
    <rPh sb="0" eb="2">
      <t>キホン</t>
    </rPh>
    <rPh sb="2" eb="4">
      <t>ジョウホウ</t>
    </rPh>
    <phoneticPr fontId="1"/>
  </si>
  <si>
    <t>企業名</t>
    <rPh sb="0" eb="2">
      <t>キギョウ</t>
    </rPh>
    <rPh sb="2" eb="3">
      <t>メイ</t>
    </rPh>
    <phoneticPr fontId="1"/>
  </si>
  <si>
    <t>コース名</t>
    <rPh sb="3" eb="4">
      <t>メイ</t>
    </rPh>
    <phoneticPr fontId="1"/>
  </si>
  <si>
    <t>会場</t>
    <rPh sb="0" eb="2">
      <t>カイジョウ</t>
    </rPh>
    <phoneticPr fontId="1"/>
  </si>
  <si>
    <t>会場名</t>
    <rPh sb="0" eb="2">
      <t>カイジョウ</t>
    </rPh>
    <rPh sb="2" eb="3">
      <t>メイ</t>
    </rPh>
    <phoneticPr fontId="1"/>
  </si>
  <si>
    <t>品名</t>
    <rPh sb="0" eb="1">
      <t>シナ</t>
    </rPh>
    <rPh sb="1" eb="2">
      <t>メイ</t>
    </rPh>
    <phoneticPr fontId="1"/>
  </si>
  <si>
    <t>金額</t>
    <rPh sb="0" eb="2">
      <t>キンガク</t>
    </rPh>
    <phoneticPr fontId="1"/>
  </si>
  <si>
    <t>数量</t>
    <rPh sb="0" eb="2">
      <t>スウリョウ</t>
    </rPh>
    <phoneticPr fontId="1"/>
  </si>
  <si>
    <t>税率</t>
    <rPh sb="0" eb="2">
      <t>ゼイリツ</t>
    </rPh>
    <phoneticPr fontId="1"/>
  </si>
  <si>
    <t>◆『確定』ボタン押下時</t>
    <rPh sb="2" eb="4">
      <t>カクテイ</t>
    </rPh>
    <phoneticPr fontId="1"/>
  </si>
  <si>
    <t>確定</t>
    <rPh sb="0" eb="2">
      <t>カクテイ</t>
    </rPh>
    <phoneticPr fontId="1"/>
  </si>
  <si>
    <t>m_place</t>
    <phoneticPr fontId="1"/>
  </si>
  <si>
    <t>place_name</t>
    <phoneticPr fontId="1"/>
  </si>
  <si>
    <t>m_course</t>
    <phoneticPr fontId="1"/>
  </si>
  <si>
    <t>course_name</t>
    <phoneticPr fontId="1"/>
  </si>
  <si>
    <t>t_estimate_detail</t>
    <phoneticPr fontId="1"/>
  </si>
  <si>
    <t>product_name</t>
    <phoneticPr fontId="1"/>
  </si>
  <si>
    <t>price</t>
    <phoneticPr fontId="1"/>
  </si>
  <si>
    <t>t_estimate</t>
    <phoneticPr fontId="1"/>
  </si>
  <si>
    <t>tax</t>
    <phoneticPr fontId="1"/>
  </si>
  <si>
    <t>/lms/subsidy/company/detail/?companyId=</t>
    <phoneticPr fontId="1"/>
  </si>
  <si>
    <t>企業ＩＤ</t>
    <rPh sb="0" eb="2">
      <t>キギョウ</t>
    </rPh>
    <phoneticPr fontId="1"/>
  </si>
  <si>
    <t>companyId</t>
    <phoneticPr fontId="1"/>
  </si>
  <si>
    <t>13期12月対応</t>
    <phoneticPr fontId="1"/>
  </si>
  <si>
    <t>品名</t>
    <phoneticPr fontId="1"/>
  </si>
  <si>
    <t>金額</t>
    <phoneticPr fontId="1"/>
  </si>
  <si>
    <t>税率</t>
    <phoneticPr fontId="1"/>
  </si>
  <si>
    <t>会場ID</t>
    <phoneticPr fontId="1"/>
  </si>
  <si>
    <t>placeId</t>
    <phoneticPr fontId="1"/>
  </si>
  <si>
    <t>hidden</t>
    <phoneticPr fontId="1"/>
  </si>
  <si>
    <t>productName</t>
    <phoneticPr fontId="1"/>
  </si>
  <si>
    <t>セレクトボックス</t>
    <phoneticPr fontId="1"/>
  </si>
  <si>
    <t>テキストボックス</t>
    <phoneticPr fontId="1"/>
  </si>
  <si>
    <t>○</t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</si>
  <si>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</si>
  <si>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</si>
  <si>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</si>
  <si>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</si>
  <si>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</si>
  <si>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全項目</t>
    <rPh sb="0" eb="1">
      <t>ゼン</t>
    </rPh>
    <rPh sb="1" eb="3">
      <t>コウモク</t>
    </rPh>
    <phoneticPr fontId="1"/>
  </si>
  <si>
    <t>未入力の場合</t>
    <rPh sb="0" eb="3">
      <t>ミニュウリョク</t>
    </rPh>
    <rPh sb="4" eb="6">
      <t>バアイ</t>
    </rPh>
    <phoneticPr fontId="1"/>
  </si>
  <si>
    <t>エラー文を表示</t>
    <rPh sb="3" eb="4">
      <t>ブン</t>
    </rPh>
    <rPh sb="5" eb="7">
      <t>ヒョウジ</t>
    </rPh>
    <phoneticPr fontId="1"/>
  </si>
  <si>
    <t>{項目名}は必須です。</t>
    <rPh sb="1" eb="3">
      <t>コウモク</t>
    </rPh>
    <rPh sb="3" eb="4">
      <t>メイ</t>
    </rPh>
    <rPh sb="6" eb="8">
      <t>ヒッス</t>
    </rPh>
    <phoneticPr fontId="1"/>
  </si>
  <si>
    <t>【13期12月対応】
内部レビュー対応</t>
    <rPh sb="11" eb="13">
      <t>ナイブ</t>
    </rPh>
    <rPh sb="17" eb="19">
      <t>タイオウ</t>
    </rPh>
    <phoneticPr fontId="1"/>
  </si>
  <si>
    <t>アサイン人数</t>
    <rPh sb="4" eb="6">
      <t>ニンズウ</t>
    </rPh>
    <phoneticPr fontId="1"/>
  </si>
  <si>
    <t>applicantAmount</t>
    <phoneticPr fontId="1"/>
  </si>
  <si>
    <t>-</t>
  </si>
  <si>
    <t>半角数字</t>
    <rPh sb="0" eb="2">
      <t>ハンカク</t>
    </rPh>
    <rPh sb="2" eb="4">
      <t>スウジ</t>
    </rPh>
    <phoneticPr fontId="1"/>
  </si>
  <si>
    <t>オプション会場</t>
    <rPh sb="5" eb="7">
      <t>カイジョウ</t>
    </rPh>
    <phoneticPr fontId="1"/>
  </si>
  <si>
    <t>〇※1</t>
    <phoneticPr fontId="1"/>
  </si>
  <si>
    <t xml:space="preserve"> アサイン変更画面から遷移時に値取得</t>
    <phoneticPr fontId="1"/>
  </si>
  <si>
    <t>アサイン変更画面から遷移時に値取得</t>
    <rPh sb="4" eb="6">
      <t>ヘンコウ</t>
    </rPh>
    <rPh sb="6" eb="8">
      <t>ガメン</t>
    </rPh>
    <rPh sb="10" eb="12">
      <t>センイ</t>
    </rPh>
    <rPh sb="12" eb="13">
      <t>ジ</t>
    </rPh>
    <rPh sb="14" eb="15">
      <t>アタイ</t>
    </rPh>
    <rPh sb="15" eb="17">
      <t>シュトク</t>
    </rPh>
    <phoneticPr fontId="1"/>
  </si>
  <si>
    <t>※1 アサイン変更画面から遷移時入力必須</t>
    <rPh sb="7" eb="9">
      <t>ヘンコウ</t>
    </rPh>
    <rPh sb="9" eb="11">
      <t>ガメン</t>
    </rPh>
    <rPh sb="13" eb="15">
      <t>センイ</t>
    </rPh>
    <rPh sb="15" eb="16">
      <t>ジ</t>
    </rPh>
    <rPh sb="16" eb="18">
      <t>ニュウリョク</t>
    </rPh>
    <rPh sb="18" eb="20">
      <t>ヒッス</t>
    </rPh>
    <phoneticPr fontId="1"/>
  </si>
  <si>
    <t>編集前見積もり情報</t>
    <rPh sb="0" eb="2">
      <t>ヘンシュウ</t>
    </rPh>
    <rPh sb="2" eb="3">
      <t>マエ</t>
    </rPh>
    <rPh sb="3" eb="5">
      <t>ミツモリ</t>
    </rPh>
    <rPh sb="7" eb="9">
      <t>ジョウホウ</t>
    </rPh>
    <phoneticPr fontId="1"/>
  </si>
  <si>
    <t>請求月</t>
    <rPh sb="0" eb="2">
      <t>セイキュウ</t>
    </rPh>
    <rPh sb="2" eb="3">
      <t>ツキ</t>
    </rPh>
    <phoneticPr fontId="1"/>
  </si>
  <si>
    <t>billing_month</t>
    <phoneticPr fontId="1"/>
  </si>
  <si>
    <t>【13期12月対応】
外部レビュー対応：編集前見積情報の表示欄を追加</t>
    <rPh sb="11" eb="13">
      <t>ガイブ</t>
    </rPh>
    <rPh sb="17" eb="19">
      <t>タイオウ</t>
    </rPh>
    <rPh sb="20" eb="22">
      <t>ヘンシュウ</t>
    </rPh>
    <rPh sb="22" eb="23">
      <t>マエ</t>
    </rPh>
    <rPh sb="23" eb="25">
      <t>ミツモリ</t>
    </rPh>
    <rPh sb="25" eb="27">
      <t>ジョウホウ</t>
    </rPh>
    <rPh sb="28" eb="30">
      <t>ヒョウジ</t>
    </rPh>
    <rPh sb="30" eb="31">
      <t>ラン</t>
    </rPh>
    <rPh sb="32" eb="34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</si>
</sst>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59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0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  <xf numFmtId="0" fontId="48" fillId="3" borderId="76" applyNumberFormat="0" applyProtection="0">
      <alignment vertical="center"/>
    </xf>
    <xf numFmtId="0" fontId="19" fillId="8" borderId="78" applyNumberFormat="0" applyProtection="0">
      <alignment vertical="center"/>
    </xf>
    <xf numFmtId="0" fontId="18" fillId="0" borderId="80" applyNumberFormat="0" applyFill="0" applyProtection="0">
      <alignment vertical="center"/>
    </xf>
    <xf numFmtId="0" fontId="13" fillId="8" borderId="76" applyNumberFormat="0" applyProtection="0">
      <alignment vertical="center"/>
    </xf>
    <xf numFmtId="0" fontId="2" fillId="10" borderId="77" applyNumberFormat="0" applyProtection="0">
      <alignment vertical="center"/>
    </xf>
    <xf numFmtId="0" fontId="46" fillId="0" borderId="79" applyNumberFormat="0" applyFill="0" applyProtection="0">
      <alignment vertical="center"/>
    </xf>
    <xf numFmtId="0" fontId="44" fillId="20" borderId="78" applyNumberFormat="0" applyProtection="0">
      <alignment vertical="center"/>
    </xf>
    <xf numFmtId="0" fontId="2" fillId="10" borderId="77" applyNumberFormat="0" applyProtection="0">
      <alignment vertical="center"/>
    </xf>
    <xf numFmtId="0" fontId="41" fillId="7" borderId="76" applyNumberFormat="0" applyProtection="0">
      <alignment vertical="center"/>
    </xf>
    <xf numFmtId="0" fontId="33" fillId="20" borderId="70" applyNumberFormat="0" applyProtection="0">
      <alignment vertical="center"/>
    </xf>
    <xf numFmtId="0" fontId="33" fillId="20" borderId="76" applyNumberFormat="0" applyProtection="0">
      <alignment vertical="center"/>
    </xf>
    <xf numFmtId="0" fontId="41" fillId="7" borderId="70" applyNumberFormat="0" applyProtection="0">
      <alignment vertical="center"/>
    </xf>
    <xf numFmtId="0" fontId="2" fillId="10" borderId="71" applyNumberFormat="0" applyProtection="0">
      <alignment vertical="center"/>
    </xf>
    <xf numFmtId="0" fontId="44" fillId="20" borderId="72" applyNumberFormat="0" applyProtection="0">
      <alignment vertical="center"/>
    </xf>
    <xf numFmtId="0" fontId="46" fillId="0" borderId="73" applyNumberFormat="0" applyFill="0" applyProtection="0">
      <alignment vertical="center"/>
    </xf>
    <xf numFmtId="0" fontId="2" fillId="10" borderId="71" applyNumberFormat="0" applyProtection="0">
      <alignment vertical="center"/>
    </xf>
    <xf numFmtId="0" fontId="13" fillId="8" borderId="70" applyNumberFormat="0" applyProtection="0">
      <alignment vertical="center"/>
    </xf>
    <xf numFmtId="0" fontId="18" fillId="0" borderId="74" applyNumberFormat="0" applyFill="0" applyProtection="0">
      <alignment vertical="center"/>
    </xf>
    <xf numFmtId="0" fontId="19" fillId="8" borderId="72" applyNumberFormat="0" applyProtection="0">
      <alignment vertical="center"/>
    </xf>
    <xf numFmtId="0" fontId="48" fillId="3" borderId="70" applyNumberFormat="0" applyProtection="0">
      <alignment vertical="center"/>
    </xf>
  </cellStyleXfs>
  <cellXfs count="298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54" fillId="0" borderId="0" xfId="0" applyFont="1" applyBorder="1">
      <alignment vertical="center"/>
    </xf>
    <xf numFmtId="0" fontId="55" fillId="0" borderId="0" xfId="0" applyFont="1" applyBorder="1">
      <alignment vertical="center"/>
    </xf>
    <xf numFmtId="0" fontId="55" fillId="0" borderId="0" xfId="0" applyFont="1">
      <alignment vertical="center"/>
    </xf>
    <xf numFmtId="0" fontId="55" fillId="30" borderId="0" xfId="0" applyFont="1" applyFill="1" applyBorder="1">
      <alignment vertical="center"/>
    </xf>
    <xf numFmtId="0" fontId="56" fillId="30" borderId="0" xfId="0" applyFont="1" applyFill="1" applyBorder="1">
      <alignment vertical="center"/>
    </xf>
    <xf numFmtId="0" fontId="55" fillId="30" borderId="0" xfId="0" applyFont="1" applyFill="1">
      <alignment vertical="center"/>
    </xf>
    <xf numFmtId="0" fontId="54" fillId="0" borderId="0" xfId="0" applyFont="1">
      <alignment vertical="center"/>
    </xf>
    <xf numFmtId="0" fontId="56" fillId="0" borderId="0" xfId="0" applyFont="1">
      <alignment vertical="center"/>
    </xf>
    <xf numFmtId="0" fontId="56" fillId="32" borderId="0" xfId="0" applyFont="1" applyFill="1">
      <alignment vertical="center"/>
    </xf>
    <xf numFmtId="0" fontId="53" fillId="33" borderId="87" xfId="0" applyFont="1" applyFill="1" applyBorder="1">
      <alignment vertical="center"/>
    </xf>
    <xf numFmtId="0" fontId="53" fillId="33" borderId="31" xfId="0" applyFont="1" applyFill="1" applyBorder="1">
      <alignment vertical="center"/>
    </xf>
    <xf numFmtId="0" fontId="55" fillId="33" borderId="88" xfId="0" applyFont="1" applyFill="1" applyBorder="1">
      <alignment vertical="center"/>
    </xf>
    <xf numFmtId="0" fontId="53" fillId="0" borderId="86" xfId="0" applyFont="1" applyBorder="1">
      <alignment vertical="center"/>
    </xf>
    <xf numFmtId="0" fontId="53" fillId="0" borderId="87" xfId="0" applyFont="1" applyBorder="1">
      <alignment vertical="center"/>
    </xf>
    <xf numFmtId="0" fontId="53" fillId="0" borderId="83" xfId="0" applyFont="1" applyBorder="1">
      <alignment vertical="center"/>
    </xf>
    <xf numFmtId="0" fontId="53" fillId="0" borderId="85" xfId="0" applyFont="1" applyBorder="1">
      <alignment vertical="center"/>
    </xf>
    <xf numFmtId="0" fontId="53" fillId="32" borderId="84" xfId="0" applyFont="1" applyFill="1" applyBorder="1">
      <alignment vertical="center"/>
    </xf>
    <xf numFmtId="0" fontId="55" fillId="0" borderId="88" xfId="0" applyFont="1" applyBorder="1">
      <alignment vertical="center"/>
    </xf>
    <xf numFmtId="0" fontId="53" fillId="32" borderId="0" xfId="0" applyFont="1" applyFill="1" applyAlignment="1">
      <alignment horizontal="center" vertical="center"/>
    </xf>
    <xf numFmtId="0" fontId="53" fillId="32" borderId="0" xfId="0" applyFont="1" applyFill="1" applyAlignment="1">
      <alignment horizontal="left" vertical="center"/>
    </xf>
    <xf numFmtId="0" fontId="53" fillId="32" borderId="0" xfId="0" applyFont="1" applyFill="1">
      <alignment vertical="center"/>
    </xf>
    <xf numFmtId="0" fontId="53" fillId="0" borderId="0" xfId="0" applyFont="1">
      <alignment vertical="center"/>
    </xf>
    <xf numFmtId="0" fontId="53" fillId="32" borderId="86" xfId="0" applyFont="1" applyFill="1" applyBorder="1">
      <alignment vertical="center"/>
    </xf>
    <xf numFmtId="0" fontId="53" fillId="32" borderId="87" xfId="0" applyFont="1" applyFill="1" applyBorder="1">
      <alignment vertical="center"/>
    </xf>
    <xf numFmtId="0" fontId="53" fillId="32" borderId="88" xfId="0" applyFont="1" applyFill="1" applyBorder="1">
      <alignment vertical="center"/>
    </xf>
    <xf numFmtId="0" fontId="53" fillId="33" borderId="86" xfId="0" applyFont="1" applyFill="1" applyBorder="1">
      <alignment vertical="center"/>
    </xf>
    <xf numFmtId="0" fontId="53" fillId="32" borderId="69" xfId="0" applyFont="1" applyFill="1" applyBorder="1">
      <alignment vertical="center"/>
    </xf>
    <xf numFmtId="0" fontId="53" fillId="32" borderId="86" xfId="0" applyFont="1" applyFill="1" applyBorder="1">
      <alignment vertical="center"/>
    </xf>
    <xf numFmtId="0" fontId="53" fillId="32" borderId="87" xfId="0" applyFont="1" applyFill="1" applyBorder="1">
      <alignment vertical="center"/>
    </xf>
    <xf numFmtId="0" fontId="53" fillId="32" borderId="88" xfId="0" applyFont="1" applyFill="1" applyBorder="1">
      <alignment vertical="center"/>
    </xf>
    <xf numFmtId="0" fontId="58" fillId="0" borderId="0" xfId="0" applyFont="1">
      <alignment vertical="center"/>
    </xf>
    <xf numFmtId="0" fontId="53" fillId="32" borderId="88" xfId="0" applyFont="1" applyFill="1" applyBorder="1">
      <alignment vertical="center"/>
    </xf>
    <xf numFmtId="0" fontId="53" fillId="0" borderId="86" xfId="0" applyFont="1" applyBorder="1">
      <alignment vertical="center"/>
    </xf>
    <xf numFmtId="0" fontId="53" fillId="0" borderId="87" xfId="0" applyFont="1" applyBorder="1">
      <alignment vertical="center"/>
    </xf>
    <xf numFmtId="0" fontId="53" fillId="32" borderId="0" xfId="0" applyFont="1" applyFill="1" applyBorder="1" applyAlignment="1">
      <alignment horizontal="center" vertical="center"/>
    </xf>
    <xf numFmtId="0" fontId="53" fillId="32" borderId="0" xfId="0" applyFont="1" applyFill="1" applyBorder="1" applyAlignment="1">
      <alignment horizontal="left" vertical="center"/>
    </xf>
    <xf numFmtId="0" fontId="53" fillId="32" borderId="0" xfId="0" applyFont="1" applyFill="1" applyBorder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8" borderId="81" xfId="102" applyFont="1" applyFill="1" applyBorder="1" applyAlignment="1">
      <alignment horizontal="center" vertical="center"/>
    </xf>
    <xf numFmtId="0" fontId="2" fillId="28" borderId="75" xfId="102" applyFont="1" applyFill="1" applyBorder="1" applyAlignment="1">
      <alignment horizontal="center" vertical="center"/>
    </xf>
    <xf numFmtId="0" fontId="2" fillId="28" borderId="82" xfId="102" applyFont="1" applyFill="1" applyBorder="1" applyAlignment="1">
      <alignment horizontal="center" vertical="center"/>
    </xf>
    <xf numFmtId="0" fontId="2" fillId="28" borderId="25" xfId="102" applyFont="1" applyFill="1" applyBorder="1" applyAlignment="1">
      <alignment horizontal="center" vertical="center"/>
    </xf>
    <xf numFmtId="0" fontId="2" fillId="28" borderId="0" xfId="102" applyFont="1" applyFill="1" applyBorder="1" applyAlignment="1">
      <alignment horizontal="center" vertical="center"/>
    </xf>
    <xf numFmtId="0" fontId="2" fillId="28" borderId="29" xfId="102" applyFont="1" applyFill="1" applyBorder="1" applyAlignment="1">
      <alignment horizontal="center" vertical="center"/>
    </xf>
    <xf numFmtId="0" fontId="2" fillId="28" borderId="67" xfId="102" applyFont="1" applyFill="1" applyBorder="1" applyAlignment="1">
      <alignment horizontal="center" vertical="center"/>
    </xf>
    <xf numFmtId="0" fontId="2" fillId="28" borderId="31" xfId="102" applyFont="1" applyFill="1" applyBorder="1" applyAlignment="1">
      <alignment horizontal="center" vertical="center"/>
    </xf>
    <xf numFmtId="0" fontId="2" fillId="28" borderId="69" xfId="102" applyFont="1" applyFill="1" applyBorder="1" applyAlignment="1">
      <alignment horizontal="center" vertical="center"/>
    </xf>
    <xf numFmtId="176" fontId="50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25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50" fillId="0" borderId="25" xfId="101" applyFont="1" applyFill="1" applyBorder="1" applyAlignment="1">
      <alignment horizontal="center" vertical="center"/>
    </xf>
    <xf numFmtId="0" fontId="50" fillId="0" borderId="92" xfId="101" applyFont="1" applyBorder="1" applyAlignment="1">
      <alignment vertical="center" wrapText="1"/>
    </xf>
    <xf numFmtId="0" fontId="2" fillId="0" borderId="94" xfId="105" applyBorder="1" applyAlignment="1">
      <alignment vertical="center" wrapText="1"/>
    </xf>
    <xf numFmtId="0" fontId="2" fillId="0" borderId="93" xfId="105" applyBorder="1" applyAlignment="1">
      <alignment vertical="center" wrapText="1"/>
    </xf>
    <xf numFmtId="0" fontId="2" fillId="0" borderId="25" xfId="105" applyBorder="1" applyAlignment="1">
      <alignment vertical="center" wrapText="1"/>
    </xf>
    <xf numFmtId="0" fontId="2" fillId="0" borderId="0" xfId="105" applyAlignment="1">
      <alignment vertical="center" wrapText="1"/>
    </xf>
    <xf numFmtId="0" fontId="2" fillId="0" borderId="29" xfId="105" applyBorder="1" applyAlignment="1">
      <alignment vertical="center" wrapText="1"/>
    </xf>
    <xf numFmtId="0" fontId="2" fillId="0" borderId="67" xfId="105" applyBorder="1" applyAlignment="1">
      <alignment vertical="center" wrapText="1"/>
    </xf>
    <xf numFmtId="0" fontId="2" fillId="0" borderId="31" xfId="105" applyBorder="1" applyAlignment="1">
      <alignment vertical="center" wrapText="1"/>
    </xf>
    <xf numFmtId="0" fontId="2" fillId="0" borderId="69" xfId="105" applyBorder="1" applyAlignment="1">
      <alignment vertical="center" wrapText="1"/>
    </xf>
    <xf numFmtId="0" fontId="50" fillId="0" borderId="25" xfId="101" applyFont="1" applyBorder="1" applyAlignment="1">
      <alignment horizontal="center" vertical="center"/>
    </xf>
    <xf numFmtId="0" fontId="2" fillId="0" borderId="0" xfId="105" applyAlignment="1">
      <alignment horizontal="center" vertical="center"/>
    </xf>
    <xf numFmtId="0" fontId="2" fillId="0" borderId="37" xfId="105" applyBorder="1" applyAlignment="1">
      <alignment horizontal="center" vertical="center"/>
    </xf>
    <xf numFmtId="0" fontId="2" fillId="0" borderId="25" xfId="105" applyBorder="1" applyAlignment="1">
      <alignment horizontal="center" vertical="center"/>
    </xf>
    <xf numFmtId="0" fontId="2" fillId="0" borderId="67" xfId="105" applyBorder="1" applyAlignment="1">
      <alignment horizontal="center" vertical="center"/>
    </xf>
    <xf numFmtId="0" fontId="2" fillId="0" borderId="31" xfId="105" applyBorder="1" applyAlignment="1">
      <alignment horizontal="center" vertical="center"/>
    </xf>
    <xf numFmtId="0" fontId="2" fillId="0" borderId="38" xfId="105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53" fillId="32" borderId="89" xfId="0" applyFont="1" applyFill="1" applyBorder="1" applyAlignment="1">
      <alignment horizontal="center" vertical="center"/>
    </xf>
    <xf numFmtId="0" fontId="53" fillId="32" borderId="91" xfId="0" applyFont="1" applyFill="1" applyBorder="1" applyAlignment="1">
      <alignment horizontal="center" vertical="center"/>
    </xf>
    <xf numFmtId="0" fontId="53" fillId="32" borderId="89" xfId="0" applyFont="1" applyFill="1" applyBorder="1" applyAlignment="1">
      <alignment horizontal="left" vertical="center"/>
    </xf>
    <xf numFmtId="0" fontId="53" fillId="32" borderId="90" xfId="0" applyFont="1" applyFill="1" applyBorder="1" applyAlignment="1">
      <alignment horizontal="left" vertical="center"/>
    </xf>
    <xf numFmtId="0" fontId="53" fillId="32" borderId="91" xfId="0" applyFont="1" applyFill="1" applyBorder="1" applyAlignment="1">
      <alignment horizontal="left" vertical="center"/>
    </xf>
    <xf numFmtId="0" fontId="53" fillId="32" borderId="90" xfId="0" applyFont="1" applyFill="1" applyBorder="1" applyAlignment="1">
      <alignment horizontal="center" vertical="center"/>
    </xf>
    <xf numFmtId="0" fontId="53" fillId="32" borderId="95" xfId="0" applyFont="1" applyFill="1" applyBorder="1" applyAlignment="1">
      <alignment horizontal="left" vertical="center"/>
    </xf>
    <xf numFmtId="0" fontId="53" fillId="32" borderId="92" xfId="0" applyFont="1" applyFill="1" applyBorder="1" applyAlignment="1">
      <alignment horizontal="left" vertical="center"/>
    </xf>
    <xf numFmtId="0" fontId="53" fillId="32" borderId="94" xfId="0" applyFont="1" applyFill="1" applyBorder="1" applyAlignment="1">
      <alignment horizontal="left" vertical="center"/>
    </xf>
    <xf numFmtId="0" fontId="53" fillId="32" borderId="93" xfId="0" applyFont="1" applyFill="1" applyBorder="1" applyAlignment="1">
      <alignment horizontal="left" vertical="center"/>
    </xf>
    <xf numFmtId="0" fontId="53" fillId="32" borderId="67" xfId="0" applyFont="1" applyFill="1" applyBorder="1" applyAlignment="1">
      <alignment horizontal="left" vertical="center"/>
    </xf>
    <xf numFmtId="0" fontId="53" fillId="32" borderId="31" xfId="0" applyFont="1" applyFill="1" applyBorder="1" applyAlignment="1">
      <alignment horizontal="left" vertical="center"/>
    </xf>
    <xf numFmtId="0" fontId="53" fillId="32" borderId="69" xfId="0" applyFont="1" applyFill="1" applyBorder="1" applyAlignment="1">
      <alignment horizontal="left" vertical="center"/>
    </xf>
    <xf numFmtId="0" fontId="53" fillId="32" borderId="92" xfId="0" applyFont="1" applyFill="1" applyBorder="1" applyAlignment="1">
      <alignment horizontal="center" vertical="center"/>
    </xf>
    <xf numFmtId="0" fontId="53" fillId="32" borderId="93" xfId="0" applyFont="1" applyFill="1" applyBorder="1" applyAlignment="1">
      <alignment horizontal="center" vertical="center"/>
    </xf>
    <xf numFmtId="0" fontId="53" fillId="32" borderId="67" xfId="0" applyFont="1" applyFill="1" applyBorder="1" applyAlignment="1">
      <alignment horizontal="center" vertical="center"/>
    </xf>
    <xf numFmtId="0" fontId="53" fillId="32" borderId="69" xfId="0" applyFont="1" applyFill="1" applyBorder="1" applyAlignment="1">
      <alignment horizontal="center" vertical="center"/>
    </xf>
    <xf numFmtId="0" fontId="53" fillId="32" borderId="94" xfId="0" applyFont="1" applyFill="1" applyBorder="1" applyAlignment="1">
      <alignment horizontal="center" vertical="center"/>
    </xf>
    <xf numFmtId="0" fontId="53" fillId="32" borderId="31" xfId="0" applyFont="1" applyFill="1" applyBorder="1" applyAlignment="1">
      <alignment horizontal="center" vertical="center"/>
    </xf>
    <xf numFmtId="0" fontId="53" fillId="32" borderId="86" xfId="0" applyFont="1" applyFill="1" applyBorder="1" applyAlignment="1">
      <alignment horizontal="center" vertical="center"/>
    </xf>
    <xf numFmtId="0" fontId="53" fillId="32" borderId="87" xfId="0" applyFont="1" applyFill="1" applyBorder="1" applyAlignment="1">
      <alignment horizontal="center" vertical="center"/>
    </xf>
    <xf numFmtId="0" fontId="53" fillId="32" borderId="88" xfId="0" applyFont="1" applyFill="1" applyBorder="1" applyAlignment="1">
      <alignment horizontal="center" vertical="center"/>
    </xf>
    <xf numFmtId="0" fontId="53" fillId="32" borderId="86" xfId="0" applyFont="1" applyFill="1" applyBorder="1">
      <alignment vertical="center"/>
    </xf>
    <xf numFmtId="0" fontId="53" fillId="32" borderId="87" xfId="0" applyFont="1" applyFill="1" applyBorder="1">
      <alignment vertical="center"/>
    </xf>
    <xf numFmtId="0" fontId="53" fillId="32" borderId="88" xfId="0" applyFont="1" applyFill="1" applyBorder="1">
      <alignment vertical="center"/>
    </xf>
    <xf numFmtId="0" fontId="53" fillId="32" borderId="86" xfId="0" applyFont="1" applyFill="1" applyBorder="1" applyAlignment="1">
      <alignment horizontal="left" vertical="center"/>
    </xf>
    <xf numFmtId="0" fontId="53" fillId="32" borderId="87" xfId="0" applyFont="1" applyFill="1" applyBorder="1" applyAlignment="1">
      <alignment horizontal="left" vertical="center"/>
    </xf>
    <xf numFmtId="0" fontId="53" fillId="32" borderId="88" xfId="0" applyFont="1" applyFill="1" applyBorder="1" applyAlignment="1">
      <alignment horizontal="left" vertical="center"/>
    </xf>
    <xf numFmtId="0" fontId="53" fillId="0" borderId="86" xfId="0" applyFont="1" applyBorder="1">
      <alignment vertical="center"/>
    </xf>
    <xf numFmtId="0" fontId="53" fillId="0" borderId="87" xfId="0" applyFont="1" applyBorder="1">
      <alignment vertical="center"/>
    </xf>
    <xf numFmtId="0" fontId="53" fillId="0" borderId="88" xfId="0" applyFont="1" applyBorder="1">
      <alignment vertical="center"/>
    </xf>
    <xf numFmtId="0" fontId="57" fillId="0" borderId="0" xfId="0" applyFont="1" applyAlignment="1">
      <alignment horizontal="left" vertical="center"/>
    </xf>
    <xf numFmtId="0" fontId="53" fillId="0" borderId="86" xfId="0" applyFont="1" applyBorder="1" applyAlignment="1">
      <alignment horizontal="left" vertical="center"/>
    </xf>
    <xf numFmtId="0" fontId="53" fillId="0" borderId="87" xfId="0" applyFont="1" applyBorder="1" applyAlignment="1">
      <alignment horizontal="left" vertical="center"/>
    </xf>
    <xf numFmtId="0" fontId="53" fillId="0" borderId="88" xfId="0" applyFont="1" applyBorder="1" applyAlignment="1">
      <alignment horizontal="left" vertical="center"/>
    </xf>
    <xf numFmtId="0" fontId="53" fillId="32" borderId="83" xfId="0" applyFont="1" applyFill="1" applyBorder="1" applyAlignment="1">
      <alignment horizontal="left" vertical="center"/>
    </xf>
    <xf numFmtId="0" fontId="53" fillId="32" borderId="85" xfId="0" applyFont="1" applyFill="1" applyBorder="1" applyAlignment="1">
      <alignment horizontal="left" vertical="center"/>
    </xf>
    <xf numFmtId="0" fontId="53" fillId="32" borderId="84" xfId="0" applyFont="1" applyFill="1" applyBorder="1" applyAlignment="1">
      <alignment horizontal="left" vertical="center"/>
    </xf>
    <xf numFmtId="0" fontId="52" fillId="30" borderId="83" xfId="0" applyFont="1" applyFill="1" applyBorder="1" applyAlignment="1">
      <alignment horizontal="center" vertical="center"/>
    </xf>
    <xf numFmtId="0" fontId="52" fillId="30" borderId="84" xfId="0" applyFont="1" applyFill="1" applyBorder="1" applyAlignment="1">
      <alignment horizontal="center" vertical="center"/>
    </xf>
    <xf numFmtId="0" fontId="52" fillId="31" borderId="83" xfId="98" applyFont="1" applyFill="1" applyBorder="1" applyAlignment="1">
      <alignment horizontal="center" vertical="center"/>
    </xf>
    <xf numFmtId="0" fontId="52" fillId="31" borderId="85" xfId="98" applyFont="1" applyFill="1" applyBorder="1" applyAlignment="1">
      <alignment horizontal="center" vertical="center"/>
    </xf>
    <xf numFmtId="0" fontId="52" fillId="31" borderId="84" xfId="98" applyFont="1" applyFill="1" applyBorder="1" applyAlignment="1">
      <alignment horizontal="center" vertical="center"/>
    </xf>
    <xf numFmtId="0" fontId="52" fillId="30" borderId="67" xfId="0" applyFont="1" applyFill="1" applyBorder="1" applyAlignment="1">
      <alignment horizontal="center" vertical="center"/>
    </xf>
    <xf numFmtId="0" fontId="52" fillId="30" borderId="69" xfId="0" applyFont="1" applyFill="1" applyBorder="1" applyAlignment="1">
      <alignment horizontal="center" vertical="center"/>
    </xf>
    <xf numFmtId="0" fontId="53" fillId="32" borderId="83" xfId="0" applyFont="1" applyFill="1" applyBorder="1" applyAlignment="1">
      <alignment horizontal="center" vertical="center"/>
    </xf>
    <xf numFmtId="0" fontId="53" fillId="32" borderId="84" xfId="0" applyFont="1" applyFill="1" applyBorder="1" applyAlignment="1">
      <alignment horizontal="center" vertical="center"/>
    </xf>
    <xf numFmtId="0" fontId="52" fillId="31" borderId="67" xfId="98" applyFont="1" applyFill="1" applyBorder="1" applyAlignment="1">
      <alignment horizontal="center" vertical="center"/>
    </xf>
    <xf numFmtId="0" fontId="52" fillId="31" borderId="31" xfId="98" applyFont="1" applyFill="1" applyBorder="1" applyAlignment="1">
      <alignment horizontal="center" vertical="center"/>
    </xf>
    <xf numFmtId="0" fontId="52" fillId="31" borderId="69" xfId="98" applyFont="1" applyFill="1" applyBorder="1" applyAlignment="1">
      <alignment horizontal="center" vertical="center"/>
    </xf>
    <xf numFmtId="0" fontId="52" fillId="31" borderId="86" xfId="98" applyFont="1" applyFill="1" applyBorder="1" applyAlignment="1">
      <alignment horizontal="center" vertical="center"/>
    </xf>
    <xf numFmtId="0" fontId="52" fillId="31" borderId="87" xfId="98" applyFont="1" applyFill="1" applyBorder="1" applyAlignment="1">
      <alignment horizontal="center" vertical="center"/>
    </xf>
    <xf numFmtId="0" fontId="52" fillId="31" borderId="88" xfId="98" applyFont="1" applyFill="1" applyBorder="1" applyAlignment="1">
      <alignment horizontal="center" vertical="center"/>
    </xf>
    <xf numFmtId="0" fontId="52" fillId="30" borderId="85" xfId="0" applyFont="1" applyFill="1" applyBorder="1" applyAlignment="1">
      <alignment horizontal="center" vertical="center"/>
    </xf>
    <xf numFmtId="0" fontId="52" fillId="30" borderId="31" xfId="0" applyFont="1" applyFill="1" applyBorder="1" applyAlignment="1">
      <alignment horizontal="center" vertical="center"/>
    </xf>
    <xf numFmtId="0" fontId="55" fillId="0" borderId="33" xfId="101" applyFont="1" applyBorder="1" applyAlignment="1">
      <alignment horizontal="center" vertical="center" wrapText="1"/>
    </xf>
    <xf numFmtId="0" fontId="55" fillId="0" borderId="28" xfId="101" applyFont="1" applyBorder="1" applyAlignment="1">
      <alignment horizontal="center" vertical="center"/>
    </xf>
    <xf numFmtId="0" fontId="2" fillId="0" borderId="68" xfId="105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52" fillId="30" borderId="92" xfId="0" applyFont="1" applyFill="1" applyBorder="1" applyAlignment="1">
      <alignment horizontal="center" vertical="center"/>
    </xf>
    <xf numFmtId="0" fontId="52" fillId="30" borderId="93" xfId="0" applyFont="1" applyFill="1" applyBorder="1" applyAlignment="1">
      <alignment horizontal="center" vertical="center"/>
    </xf>
    <xf numFmtId="0" fontId="52" fillId="31" borderId="92" xfId="98" applyFont="1" applyFill="1" applyBorder="1" applyAlignment="1">
      <alignment horizontal="center" vertical="center"/>
    </xf>
    <xf numFmtId="0" fontId="52" fillId="31" borderId="94" xfId="98" applyFont="1" applyFill="1" applyBorder="1" applyAlignment="1">
      <alignment horizontal="center" vertical="center"/>
    </xf>
    <xf numFmtId="0" fontId="52" fillId="31" borderId="93" xfId="98" applyFont="1" applyFill="1" applyBorder="1" applyAlignment="1">
      <alignment horizontal="center" vertical="center"/>
    </xf>
    <xf numFmtId="0" fontId="52" fillId="30" borderId="89" xfId="0" applyFont="1" applyFill="1" applyBorder="1" applyAlignment="1">
      <alignment horizontal="center" vertical="center"/>
    </xf>
    <xf numFmtId="0" fontId="52" fillId="30" borderId="90" xfId="0" applyFont="1" applyFill="1" applyBorder="1" applyAlignment="1">
      <alignment horizontal="center" vertical="center"/>
    </xf>
    <xf numFmtId="0" fontId="52" fillId="30" borderId="91" xfId="0" applyFont="1" applyFill="1" applyBorder="1" applyAlignment="1">
      <alignment horizontal="center" vertical="center"/>
    </xf>
    <xf numFmtId="0" fontId="53" fillId="0" borderId="89" xfId="0" applyFont="1" applyBorder="1" applyAlignment="1">
      <alignment horizontal="center" vertical="center"/>
    </xf>
    <xf numFmtId="0" fontId="53" fillId="0" borderId="91" xfId="0" applyFont="1" applyBorder="1" applyAlignment="1">
      <alignment horizontal="center" vertical="center"/>
    </xf>
    <xf numFmtId="0" fontId="53" fillId="0" borderId="89" xfId="0" applyFont="1" applyBorder="1" applyAlignment="1">
      <alignment horizontal="left" vertical="center"/>
    </xf>
    <xf numFmtId="0" fontId="53" fillId="0" borderId="90" xfId="0" applyFont="1" applyBorder="1" applyAlignment="1">
      <alignment horizontal="left" vertical="center"/>
    </xf>
    <xf numFmtId="0" fontId="53" fillId="0" borderId="91" xfId="0" applyFont="1" applyBorder="1" applyAlignment="1">
      <alignment horizontal="left" vertical="center"/>
    </xf>
    <xf numFmtId="0" fontId="53" fillId="0" borderId="89" xfId="0" applyFont="1" applyBorder="1" applyAlignment="1">
      <alignment horizontal="left" vertical="center" wrapText="1"/>
    </xf>
    <xf numFmtId="0" fontId="53" fillId="0" borderId="90" xfId="0" applyFont="1" applyBorder="1" applyAlignment="1">
      <alignment horizontal="left" vertical="center" wrapText="1"/>
    </xf>
    <xf numFmtId="0" fontId="53" fillId="0" borderId="91" xfId="0" applyFont="1" applyBorder="1" applyAlignment="1">
      <alignment horizontal="left" vertical="center" wrapText="1"/>
    </xf>
  </cellXfs>
  <cellStyles count="13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19" xr:uid="{00000000-0005-0000-0000-00002D000000}"/>
    <cellStyle name="Calculation 3" xfId="120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21" xr:uid="{00000000-0005-0000-0000-00003D000000}"/>
    <cellStyle name="Input 3" xfId="118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22" xr:uid="{00000000-0005-0000-0000-000048000000}"/>
    <cellStyle name="Note 3" xfId="117" xr:uid="{00000000-0005-0000-0000-000049000000}"/>
    <cellStyle name="Output" xfId="68" xr:uid="{00000000-0005-0000-0000-00004A000000}"/>
    <cellStyle name="Output 2" xfId="123" xr:uid="{00000000-0005-0000-0000-00004B000000}"/>
    <cellStyle name="Output 3" xfId="116" xr:uid="{00000000-0005-0000-0000-00004C000000}"/>
    <cellStyle name="Title" xfId="69" xr:uid="{00000000-0005-0000-0000-00004D000000}"/>
    <cellStyle name="Total" xfId="70" xr:uid="{00000000-0005-0000-0000-00004E000000}"/>
    <cellStyle name="Total 2" xfId="124" xr:uid="{00000000-0005-0000-0000-00004F000000}"/>
    <cellStyle name="Total 3" xfId="115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フェンスチャート" xfId="83" xr:uid="{00000000-0005-0000-0000-00005D000000}"/>
    <cellStyle name="メモ 2" xfId="84" xr:uid="{00000000-0005-0000-0000-00005E000000}"/>
    <cellStyle name="メモ 2 2" xfId="125" xr:uid="{00000000-0005-0000-0000-00005F000000}"/>
    <cellStyle name="メモ 2 3" xfId="114" xr:uid="{00000000-0005-0000-0000-000060000000}"/>
    <cellStyle name="リンク セル 2" xfId="85" xr:uid="{00000000-0005-0000-0000-000061000000}"/>
    <cellStyle name="悪い 2" xfId="86" xr:uid="{00000000-0005-0000-0000-000062000000}"/>
    <cellStyle name="計算 2" xfId="87" xr:uid="{00000000-0005-0000-0000-000063000000}"/>
    <cellStyle name="計算 2 2" xfId="126" xr:uid="{00000000-0005-0000-0000-000064000000}"/>
    <cellStyle name="計算 2 3" xfId="113" xr:uid="{00000000-0005-0000-0000-000065000000}"/>
    <cellStyle name="警告文 2" xfId="88" xr:uid="{00000000-0005-0000-0000-000066000000}"/>
    <cellStyle name="桁区切り 2" xfId="109" xr:uid="{00000000-0005-0000-0000-000067000000}"/>
    <cellStyle name="見出し 1 2" xfId="89" xr:uid="{00000000-0005-0000-0000-000068000000}"/>
    <cellStyle name="見出し 2 2" xfId="90" xr:uid="{00000000-0005-0000-0000-000069000000}"/>
    <cellStyle name="見出し 3 2" xfId="91" xr:uid="{00000000-0005-0000-0000-00006A000000}"/>
    <cellStyle name="見出し 4 2" xfId="92" xr:uid="{00000000-0005-0000-0000-00006B000000}"/>
    <cellStyle name="集計 2" xfId="93" xr:uid="{00000000-0005-0000-0000-00006C000000}"/>
    <cellStyle name="集計 2 2" xfId="127" xr:uid="{00000000-0005-0000-0000-00006D000000}"/>
    <cellStyle name="集計 2 3" xfId="112" xr:uid="{00000000-0005-0000-0000-00006E000000}"/>
    <cellStyle name="出力 2" xfId="94" xr:uid="{00000000-0005-0000-0000-00006F000000}"/>
    <cellStyle name="出力 2 2" xfId="128" xr:uid="{00000000-0005-0000-0000-000070000000}"/>
    <cellStyle name="出力 2 3" xfId="111" xr:uid="{00000000-0005-0000-0000-000071000000}"/>
    <cellStyle name="状態遷移図" xfId="95" xr:uid="{00000000-0005-0000-0000-000072000000}"/>
    <cellStyle name="説明文 2" xfId="96" xr:uid="{00000000-0005-0000-0000-000073000000}"/>
    <cellStyle name="入力 2" xfId="97" xr:uid="{00000000-0005-0000-0000-000074000000}"/>
    <cellStyle name="入力 2 2" xfId="129" xr:uid="{00000000-0005-0000-0000-000075000000}"/>
    <cellStyle name="入力 2 3" xfId="110" xr:uid="{00000000-0005-0000-0000-000076000000}"/>
    <cellStyle name="標準" xfId="0" builtinId="0"/>
    <cellStyle name="標準 2" xfId="98" xr:uid="{00000000-0005-0000-0000-000078000000}"/>
    <cellStyle name="標準 2 2" xfId="105" xr:uid="{00000000-0005-0000-0000-000079000000}"/>
    <cellStyle name="標準 2_デモ／空メールエントリーシステム＿メモ" xfId="108" xr:uid="{00000000-0005-0000-0000-00007A000000}"/>
    <cellStyle name="標準 3" xfId="99" xr:uid="{00000000-0005-0000-0000-00007B000000}"/>
    <cellStyle name="標準 4" xfId="100" xr:uid="{00000000-0005-0000-0000-00007C000000}"/>
    <cellStyle name="標準 5" xfId="1" xr:uid="{00000000-0005-0000-0000-00007D000000}"/>
    <cellStyle name="標準_開発計画_110720_v11" xfId="101" xr:uid="{00000000-0005-0000-0000-00007E000000}"/>
    <cellStyle name="標準_朝日生命_バースデーキャンペーン_DB設計書_080415_社内_情報活用セミナー_Createテキストデータ設計書_081107-2" xfId="102" xr:uid="{00000000-0005-0000-0000-00007F000000}"/>
    <cellStyle name="未定義" xfId="103" xr:uid="{00000000-0005-0000-0000-000080000000}"/>
    <cellStyle name="良い 2" xfId="104" xr:uid="{00000000-0005-0000-0000-00008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53</xdr:col>
      <xdr:colOff>0</xdr:colOff>
      <xdr:row>63</xdr:row>
      <xdr:rowOff>91029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F2194DC-7961-4FCA-ABE3-49E28EC7A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28700"/>
          <a:ext cx="10201275" cy="986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66" t="s">
        <v>36</v>
      </c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66" t="s">
        <v>64</v>
      </c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67" t="s">
        <v>19</v>
      </c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68"/>
      <c r="AB15" s="68"/>
      <c r="AC15" s="68"/>
      <c r="AD15" s="68"/>
      <c r="AE15" s="68"/>
      <c r="AF15" s="68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"第"&amp;TEXT(MAX(更新履歴!A8:I31),"0.0")&amp;"版"</f>
        <v>第1.2版</v>
      </c>
      <c r="Y17" s="26"/>
      <c r="Z17" s="26"/>
      <c r="AA17" s="69">
        <f>MAX(更新履歴!J8:Q31)</f>
        <v>43776</v>
      </c>
      <c r="AB17" s="69"/>
      <c r="AC17" s="69"/>
      <c r="AD17" s="69"/>
      <c r="AE17" s="69"/>
      <c r="AF17" s="69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69"/>
      <c r="AB19" s="69"/>
      <c r="AC19" s="69"/>
      <c r="AD19" s="69"/>
      <c r="AE19" s="69"/>
      <c r="AF19" s="69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70" t="s">
        <v>6</v>
      </c>
      <c r="V20" s="71"/>
      <c r="W20" s="71"/>
      <c r="X20" s="71"/>
      <c r="Y20" s="72"/>
      <c r="Z20" s="73" t="s">
        <v>7</v>
      </c>
      <c r="AA20" s="74"/>
      <c r="AB20" s="74"/>
      <c r="AC20" s="74"/>
      <c r="AD20" s="75"/>
      <c r="AE20" s="70" t="s">
        <v>8</v>
      </c>
      <c r="AF20" s="71"/>
      <c r="AG20" s="71"/>
      <c r="AH20" s="71"/>
      <c r="AI20" s="72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76" t="s">
        <v>38</v>
      </c>
      <c r="V21" s="77"/>
      <c r="W21" s="77"/>
      <c r="X21" s="77"/>
      <c r="Y21" s="78"/>
      <c r="Z21" s="76"/>
      <c r="AA21" s="77"/>
      <c r="AB21" s="77"/>
      <c r="AC21" s="77"/>
      <c r="AD21" s="78"/>
      <c r="AE21" s="76"/>
      <c r="AF21" s="77"/>
      <c r="AG21" s="77"/>
      <c r="AH21" s="77"/>
      <c r="AI21" s="78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79"/>
      <c r="V22" s="80"/>
      <c r="W22" s="80"/>
      <c r="X22" s="80"/>
      <c r="Y22" s="81"/>
      <c r="Z22" s="79"/>
      <c r="AA22" s="80"/>
      <c r="AB22" s="80"/>
      <c r="AC22" s="80"/>
      <c r="AD22" s="81"/>
      <c r="AE22" s="79"/>
      <c r="AF22" s="80"/>
      <c r="AG22" s="80"/>
      <c r="AH22" s="80"/>
      <c r="AI22" s="8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79"/>
      <c r="V23" s="80"/>
      <c r="W23" s="80"/>
      <c r="X23" s="80"/>
      <c r="Y23" s="81"/>
      <c r="Z23" s="79"/>
      <c r="AA23" s="80"/>
      <c r="AB23" s="80"/>
      <c r="AC23" s="80"/>
      <c r="AD23" s="81"/>
      <c r="AE23" s="79"/>
      <c r="AF23" s="80"/>
      <c r="AG23" s="80"/>
      <c r="AH23" s="80"/>
      <c r="AI23" s="8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82"/>
      <c r="V24" s="83"/>
      <c r="W24" s="83"/>
      <c r="X24" s="83"/>
      <c r="Y24" s="84"/>
      <c r="Z24" s="82"/>
      <c r="AA24" s="83"/>
      <c r="AB24" s="83"/>
      <c r="AC24" s="83"/>
      <c r="AD24" s="84"/>
      <c r="AE24" s="82"/>
      <c r="AF24" s="83"/>
      <c r="AG24" s="83"/>
      <c r="AH24" s="83"/>
      <c r="AI24" s="84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5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  <mergeCell ref="U21:Y24"/>
    <mergeCell ref="Z21:AD24"/>
    <mergeCell ref="AE21:AI2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23" customWidth="1"/>
    <col min="56" max="237" width="2.75" style="23"/>
    <col min="238" max="301" width="2.625" style="23" customWidth="1"/>
    <col min="302" max="493" width="2.75" style="23"/>
    <col min="494" max="557" width="2.625" style="23" customWidth="1"/>
    <col min="558" max="749" width="2.75" style="23"/>
    <col min="750" max="813" width="2.625" style="23" customWidth="1"/>
    <col min="814" max="1005" width="2.75" style="23"/>
    <col min="1006" max="1069" width="2.625" style="23" customWidth="1"/>
    <col min="1070" max="1261" width="2.75" style="23"/>
    <col min="1262" max="1325" width="2.625" style="23" customWidth="1"/>
    <col min="1326" max="1517" width="2.75" style="23"/>
    <col min="1518" max="1581" width="2.625" style="23" customWidth="1"/>
    <col min="1582" max="1773" width="2.75" style="23"/>
    <col min="1774" max="1837" width="2.625" style="23" customWidth="1"/>
    <col min="1838" max="2029" width="2.75" style="23"/>
    <col min="2030" max="2093" width="2.625" style="23" customWidth="1"/>
    <col min="2094" max="2285" width="2.75" style="23"/>
    <col min="2286" max="2349" width="2.625" style="23" customWidth="1"/>
    <col min="2350" max="2541" width="2.75" style="23"/>
    <col min="2542" max="2605" width="2.625" style="23" customWidth="1"/>
    <col min="2606" max="2797" width="2.75" style="23"/>
    <col min="2798" max="2861" width="2.625" style="23" customWidth="1"/>
    <col min="2862" max="3053" width="2.75" style="23"/>
    <col min="3054" max="3117" width="2.625" style="23" customWidth="1"/>
    <col min="3118" max="3309" width="2.75" style="23"/>
    <col min="3310" max="3373" width="2.625" style="23" customWidth="1"/>
    <col min="3374" max="3565" width="2.75" style="23"/>
    <col min="3566" max="3629" width="2.625" style="23" customWidth="1"/>
    <col min="3630" max="3821" width="2.75" style="23"/>
    <col min="3822" max="3885" width="2.625" style="23" customWidth="1"/>
    <col min="3886" max="4077" width="2.75" style="23"/>
    <col min="4078" max="4141" width="2.625" style="23" customWidth="1"/>
    <col min="4142" max="4333" width="2.75" style="23"/>
    <col min="4334" max="4397" width="2.625" style="23" customWidth="1"/>
    <col min="4398" max="4589" width="2.75" style="23"/>
    <col min="4590" max="4653" width="2.625" style="23" customWidth="1"/>
    <col min="4654" max="4845" width="2.75" style="23"/>
    <col min="4846" max="4909" width="2.625" style="23" customWidth="1"/>
    <col min="4910" max="5101" width="2.75" style="23"/>
    <col min="5102" max="5165" width="2.625" style="23" customWidth="1"/>
    <col min="5166" max="5357" width="2.75" style="23"/>
    <col min="5358" max="5421" width="2.625" style="23" customWidth="1"/>
    <col min="5422" max="5613" width="2.75" style="23"/>
    <col min="5614" max="5677" width="2.625" style="23" customWidth="1"/>
    <col min="5678" max="5869" width="2.75" style="23"/>
    <col min="5870" max="5933" width="2.625" style="23" customWidth="1"/>
    <col min="5934" max="6125" width="2.75" style="23"/>
    <col min="6126" max="6189" width="2.625" style="23" customWidth="1"/>
    <col min="6190" max="6381" width="2.75" style="23"/>
    <col min="6382" max="6445" width="2.625" style="23" customWidth="1"/>
    <col min="6446" max="6637" width="2.75" style="23"/>
    <col min="6638" max="6701" width="2.625" style="23" customWidth="1"/>
    <col min="6702" max="6893" width="2.75" style="23"/>
    <col min="6894" max="6957" width="2.625" style="23" customWidth="1"/>
    <col min="6958" max="7149" width="2.75" style="23"/>
    <col min="7150" max="7213" width="2.625" style="23" customWidth="1"/>
    <col min="7214" max="7405" width="2.75" style="23"/>
    <col min="7406" max="7469" width="2.625" style="23" customWidth="1"/>
    <col min="7470" max="7661" width="2.75" style="23"/>
    <col min="7662" max="7725" width="2.625" style="23" customWidth="1"/>
    <col min="7726" max="7917" width="2.75" style="23"/>
    <col min="7918" max="7981" width="2.625" style="23" customWidth="1"/>
    <col min="7982" max="8173" width="2.75" style="23"/>
    <col min="8174" max="8237" width="2.625" style="23" customWidth="1"/>
    <col min="8238" max="8429" width="2.75" style="23"/>
    <col min="8430" max="8493" width="2.625" style="23" customWidth="1"/>
    <col min="8494" max="8685" width="2.75" style="23"/>
    <col min="8686" max="8749" width="2.625" style="23" customWidth="1"/>
    <col min="8750" max="8941" width="2.75" style="23"/>
    <col min="8942" max="9005" width="2.625" style="23" customWidth="1"/>
    <col min="9006" max="9197" width="2.75" style="23"/>
    <col min="9198" max="9261" width="2.625" style="23" customWidth="1"/>
    <col min="9262" max="9453" width="2.75" style="23"/>
    <col min="9454" max="9517" width="2.625" style="23" customWidth="1"/>
    <col min="9518" max="9709" width="2.75" style="23"/>
    <col min="9710" max="9773" width="2.625" style="23" customWidth="1"/>
    <col min="9774" max="9965" width="2.75" style="23"/>
    <col min="9966" max="10029" width="2.625" style="23" customWidth="1"/>
    <col min="10030" max="10221" width="2.75" style="23"/>
    <col min="10222" max="10285" width="2.625" style="23" customWidth="1"/>
    <col min="10286" max="10477" width="2.75" style="23"/>
    <col min="10478" max="10541" width="2.625" style="23" customWidth="1"/>
    <col min="10542" max="10733" width="2.75" style="23"/>
    <col min="10734" max="10797" width="2.625" style="23" customWidth="1"/>
    <col min="10798" max="10989" width="2.75" style="23"/>
    <col min="10990" max="11053" width="2.625" style="23" customWidth="1"/>
    <col min="11054" max="11245" width="2.75" style="23"/>
    <col min="11246" max="11309" width="2.625" style="23" customWidth="1"/>
    <col min="11310" max="11501" width="2.75" style="23"/>
    <col min="11502" max="11565" width="2.625" style="23" customWidth="1"/>
    <col min="11566" max="11757" width="2.75" style="23"/>
    <col min="11758" max="11821" width="2.625" style="23" customWidth="1"/>
    <col min="11822" max="12013" width="2.75" style="23"/>
    <col min="12014" max="12077" width="2.625" style="23" customWidth="1"/>
    <col min="12078" max="12269" width="2.75" style="23"/>
    <col min="12270" max="12333" width="2.625" style="23" customWidth="1"/>
    <col min="12334" max="12525" width="2.75" style="23"/>
    <col min="12526" max="12589" width="2.625" style="23" customWidth="1"/>
    <col min="12590" max="12781" width="2.75" style="23"/>
    <col min="12782" max="12845" width="2.625" style="23" customWidth="1"/>
    <col min="12846" max="13037" width="2.75" style="23"/>
    <col min="13038" max="13101" width="2.625" style="23" customWidth="1"/>
    <col min="13102" max="13293" width="2.75" style="23"/>
    <col min="13294" max="13357" width="2.625" style="23" customWidth="1"/>
    <col min="13358" max="13549" width="2.75" style="23"/>
    <col min="13550" max="13613" width="2.625" style="23" customWidth="1"/>
    <col min="13614" max="13805" width="2.75" style="23"/>
    <col min="13806" max="13869" width="2.625" style="23" customWidth="1"/>
    <col min="13870" max="14061" width="2.75" style="23"/>
    <col min="14062" max="14125" width="2.625" style="23" customWidth="1"/>
    <col min="14126" max="14317" width="2.75" style="23"/>
    <col min="14318" max="14381" width="2.625" style="23" customWidth="1"/>
    <col min="14382" max="14573" width="2.75" style="23"/>
    <col min="14574" max="14637" width="2.625" style="23" customWidth="1"/>
    <col min="14638" max="14829" width="2.75" style="23"/>
    <col min="14830" max="14893" width="2.625" style="23" customWidth="1"/>
    <col min="14894" max="15085" width="2.75" style="23"/>
    <col min="15086" max="15149" width="2.625" style="23" customWidth="1"/>
    <col min="15150" max="15341" width="2.75" style="23"/>
    <col min="15342" max="15405" width="2.625" style="23" customWidth="1"/>
    <col min="15406" max="15597" width="2.75" style="23"/>
    <col min="15598" max="15661" width="2.625" style="23" customWidth="1"/>
    <col min="15662" max="15853" width="2.75" style="23"/>
    <col min="15854" max="15917" width="2.625" style="23" customWidth="1"/>
    <col min="15918" max="16109" width="2.75" style="23"/>
    <col min="16110" max="16173" width="2.625" style="23" customWidth="1"/>
    <col min="16174" max="16384" width="2.75" style="23"/>
  </cols>
  <sheetData>
    <row r="1" spans="1:55" s="17" customFormat="1" ht="13.5" customHeight="1">
      <c r="A1" s="214" t="s">
        <v>0</v>
      </c>
      <c r="B1" s="183"/>
      <c r="C1" s="183"/>
      <c r="D1" s="183"/>
      <c r="E1" s="183"/>
      <c r="F1" s="184"/>
      <c r="G1" s="184"/>
      <c r="H1" s="184"/>
      <c r="I1" s="215"/>
      <c r="J1" s="216" t="s">
        <v>1</v>
      </c>
      <c r="K1" s="183"/>
      <c r="L1" s="183"/>
      <c r="M1" s="183"/>
      <c r="N1" s="183"/>
      <c r="O1" s="184"/>
      <c r="P1" s="184"/>
      <c r="Q1" s="184"/>
      <c r="R1" s="217" t="str">
        <f>表紙!S12</f>
        <v>画面レイアウト設計書</v>
      </c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9"/>
      <c r="AJ1" s="220" t="s">
        <v>2</v>
      </c>
      <c r="AK1" s="221"/>
      <c r="AL1" s="221"/>
      <c r="AM1" s="221"/>
      <c r="AN1" s="221"/>
      <c r="AO1" s="222" t="s">
        <v>3</v>
      </c>
      <c r="AP1" s="221"/>
      <c r="AQ1" s="221"/>
      <c r="AR1" s="221"/>
      <c r="AS1" s="221"/>
      <c r="AT1" s="222" t="s">
        <v>4</v>
      </c>
      <c r="AU1" s="221"/>
      <c r="AV1" s="221"/>
      <c r="AW1" s="221"/>
      <c r="AX1" s="221"/>
      <c r="AY1" s="183" t="s">
        <v>5</v>
      </c>
      <c r="AZ1" s="184"/>
      <c r="BA1" s="184"/>
      <c r="BB1" s="184"/>
      <c r="BC1" s="185"/>
    </row>
    <row r="2" spans="1:55" s="17" customFormat="1" ht="13.5" customHeight="1">
      <c r="A2" s="186" t="str">
        <f>表紙!O10</f>
        <v>13期12月対応</v>
      </c>
      <c r="B2" s="187"/>
      <c r="C2" s="187"/>
      <c r="D2" s="187"/>
      <c r="E2" s="187"/>
      <c r="F2" s="188"/>
      <c r="G2" s="188"/>
      <c r="H2" s="188"/>
      <c r="I2" s="189"/>
      <c r="J2" s="194" t="str">
        <f>表紙!O9</f>
        <v>LMS学習管理システム</v>
      </c>
      <c r="K2" s="187"/>
      <c r="L2" s="187"/>
      <c r="M2" s="187"/>
      <c r="N2" s="187"/>
      <c r="O2" s="188"/>
      <c r="P2" s="188"/>
      <c r="Q2" s="195"/>
      <c r="R2" s="198" t="s">
        <v>9</v>
      </c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200"/>
      <c r="AJ2" s="204" t="s">
        <v>40</v>
      </c>
      <c r="AK2" s="205"/>
      <c r="AL2" s="205"/>
      <c r="AM2" s="205"/>
      <c r="AN2" s="205"/>
      <c r="AO2" s="208">
        <v>43766</v>
      </c>
      <c r="AP2" s="205"/>
      <c r="AQ2" s="205"/>
      <c r="AR2" s="205"/>
      <c r="AS2" s="205"/>
      <c r="AT2" s="204" t="s">
        <v>39</v>
      </c>
      <c r="AU2" s="205"/>
      <c r="AV2" s="205"/>
      <c r="AW2" s="205"/>
      <c r="AX2" s="205"/>
      <c r="AY2" s="209">
        <v>43776</v>
      </c>
      <c r="AZ2" s="210"/>
      <c r="BA2" s="210"/>
      <c r="BB2" s="210"/>
      <c r="BC2" s="211"/>
    </row>
    <row r="3" spans="1:55" s="17" customFormat="1" ht="13.5" customHeight="1" thickBot="1">
      <c r="A3" s="190"/>
      <c r="B3" s="191"/>
      <c r="C3" s="191"/>
      <c r="D3" s="191"/>
      <c r="E3" s="191"/>
      <c r="F3" s="192"/>
      <c r="G3" s="192"/>
      <c r="H3" s="192"/>
      <c r="I3" s="193"/>
      <c r="J3" s="196"/>
      <c r="K3" s="191"/>
      <c r="L3" s="191"/>
      <c r="M3" s="191"/>
      <c r="N3" s="191"/>
      <c r="O3" s="192"/>
      <c r="P3" s="192"/>
      <c r="Q3" s="197"/>
      <c r="R3" s="201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3"/>
      <c r="AJ3" s="206"/>
      <c r="AK3" s="207"/>
      <c r="AL3" s="207"/>
      <c r="AM3" s="207"/>
      <c r="AN3" s="207"/>
      <c r="AO3" s="207"/>
      <c r="AP3" s="207"/>
      <c r="AQ3" s="207"/>
      <c r="AR3" s="207"/>
      <c r="AS3" s="207"/>
      <c r="AT3" s="206"/>
      <c r="AU3" s="207"/>
      <c r="AV3" s="207"/>
      <c r="AW3" s="207"/>
      <c r="AX3" s="207"/>
      <c r="AY3" s="212"/>
      <c r="AZ3" s="212"/>
      <c r="BA3" s="212"/>
      <c r="BB3" s="212"/>
      <c r="BC3" s="213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166" t="s">
        <v>10</v>
      </c>
      <c r="B5" s="167"/>
      <c r="C5" s="167"/>
      <c r="D5" s="167"/>
      <c r="E5" s="167"/>
      <c r="F5" s="167"/>
      <c r="G5" s="167"/>
      <c r="H5" s="167"/>
      <c r="I5" s="168"/>
      <c r="J5" s="175" t="s">
        <v>11</v>
      </c>
      <c r="K5" s="167"/>
      <c r="L5" s="167"/>
      <c r="M5" s="167"/>
      <c r="N5" s="167"/>
      <c r="O5" s="167"/>
      <c r="P5" s="167"/>
      <c r="Q5" s="168"/>
      <c r="R5" s="175" t="s">
        <v>12</v>
      </c>
      <c r="S5" s="167"/>
      <c r="T5" s="167"/>
      <c r="U5" s="168"/>
      <c r="V5" s="175" t="s">
        <v>13</v>
      </c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7"/>
      <c r="AQ5" s="167"/>
      <c r="AR5" s="167"/>
      <c r="AS5" s="168"/>
      <c r="AT5" s="175" t="s">
        <v>14</v>
      </c>
      <c r="AU5" s="167"/>
      <c r="AV5" s="167"/>
      <c r="AW5" s="167"/>
      <c r="AX5" s="167"/>
      <c r="AY5" s="167"/>
      <c r="AZ5" s="167"/>
      <c r="BA5" s="167"/>
      <c r="BB5" s="167"/>
      <c r="BC5" s="178"/>
    </row>
    <row r="6" spans="1:55" s="25" customFormat="1" ht="13.5" customHeight="1">
      <c r="A6" s="169"/>
      <c r="B6" s="170"/>
      <c r="C6" s="170"/>
      <c r="D6" s="170"/>
      <c r="E6" s="170"/>
      <c r="F6" s="170"/>
      <c r="G6" s="170"/>
      <c r="H6" s="170"/>
      <c r="I6" s="171"/>
      <c r="J6" s="176"/>
      <c r="K6" s="170"/>
      <c r="L6" s="170"/>
      <c r="M6" s="170"/>
      <c r="N6" s="170"/>
      <c r="O6" s="170"/>
      <c r="P6" s="170"/>
      <c r="Q6" s="171"/>
      <c r="R6" s="176"/>
      <c r="S6" s="170"/>
      <c r="T6" s="170"/>
      <c r="U6" s="171"/>
      <c r="V6" s="176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  <c r="AM6" s="170"/>
      <c r="AN6" s="170"/>
      <c r="AO6" s="170"/>
      <c r="AP6" s="170"/>
      <c r="AQ6" s="170"/>
      <c r="AR6" s="170"/>
      <c r="AS6" s="171"/>
      <c r="AT6" s="176"/>
      <c r="AU6" s="170"/>
      <c r="AV6" s="170"/>
      <c r="AW6" s="170"/>
      <c r="AX6" s="170"/>
      <c r="AY6" s="170"/>
      <c r="AZ6" s="170"/>
      <c r="BA6" s="170"/>
      <c r="BB6" s="170"/>
      <c r="BC6" s="179"/>
    </row>
    <row r="7" spans="1:55" s="25" customFormat="1" ht="13.5" customHeight="1" thickBot="1">
      <c r="A7" s="172"/>
      <c r="B7" s="173"/>
      <c r="C7" s="173"/>
      <c r="D7" s="173"/>
      <c r="E7" s="173"/>
      <c r="F7" s="173"/>
      <c r="G7" s="173"/>
      <c r="H7" s="173"/>
      <c r="I7" s="174"/>
      <c r="J7" s="177"/>
      <c r="K7" s="173"/>
      <c r="L7" s="173"/>
      <c r="M7" s="173"/>
      <c r="N7" s="173"/>
      <c r="O7" s="173"/>
      <c r="P7" s="173"/>
      <c r="Q7" s="174"/>
      <c r="R7" s="177"/>
      <c r="S7" s="173"/>
      <c r="T7" s="173"/>
      <c r="U7" s="174"/>
      <c r="V7" s="177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4"/>
      <c r="AT7" s="177"/>
      <c r="AU7" s="173"/>
      <c r="AV7" s="173"/>
      <c r="AW7" s="173"/>
      <c r="AX7" s="173"/>
      <c r="AY7" s="173"/>
      <c r="AZ7" s="173"/>
      <c r="BA7" s="173"/>
      <c r="BB7" s="173"/>
      <c r="BC7" s="180"/>
    </row>
    <row r="8" spans="1:55" s="25" customFormat="1" ht="13.5" customHeight="1" thickTop="1">
      <c r="A8" s="181">
        <v>1</v>
      </c>
      <c r="B8" s="86"/>
      <c r="C8" s="86"/>
      <c r="D8" s="86"/>
      <c r="E8" s="86"/>
      <c r="F8" s="86"/>
      <c r="G8" s="86"/>
      <c r="H8" s="86"/>
      <c r="I8" s="97"/>
      <c r="J8" s="182">
        <v>43766</v>
      </c>
      <c r="K8" s="88"/>
      <c r="L8" s="88"/>
      <c r="M8" s="88"/>
      <c r="N8" s="88"/>
      <c r="O8" s="88"/>
      <c r="P8" s="88"/>
      <c r="Q8" s="105"/>
      <c r="R8" s="149" t="s">
        <v>15</v>
      </c>
      <c r="S8" s="90"/>
      <c r="T8" s="90"/>
      <c r="U8" s="113"/>
      <c r="V8" s="120" t="s">
        <v>16</v>
      </c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140"/>
      <c r="AT8" s="149" t="s">
        <v>39</v>
      </c>
      <c r="AU8" s="90"/>
      <c r="AV8" s="90"/>
      <c r="AW8" s="90"/>
      <c r="AX8" s="90"/>
      <c r="AY8" s="90"/>
      <c r="AZ8" s="90"/>
      <c r="BA8" s="90"/>
      <c r="BB8" s="90"/>
      <c r="BC8" s="126"/>
    </row>
    <row r="9" spans="1:55" s="25" customFormat="1" ht="13.5" customHeight="1">
      <c r="A9" s="96"/>
      <c r="B9" s="86"/>
      <c r="C9" s="86"/>
      <c r="D9" s="86"/>
      <c r="E9" s="86"/>
      <c r="F9" s="86"/>
      <c r="G9" s="86"/>
      <c r="H9" s="86"/>
      <c r="I9" s="97"/>
      <c r="J9" s="104"/>
      <c r="K9" s="88"/>
      <c r="L9" s="88"/>
      <c r="M9" s="88"/>
      <c r="N9" s="88"/>
      <c r="O9" s="88"/>
      <c r="P9" s="88"/>
      <c r="Q9" s="105"/>
      <c r="R9" s="112"/>
      <c r="S9" s="90"/>
      <c r="T9" s="90"/>
      <c r="U9" s="113"/>
      <c r="V9" s="139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140"/>
      <c r="AT9" s="112"/>
      <c r="AU9" s="90"/>
      <c r="AV9" s="90"/>
      <c r="AW9" s="90"/>
      <c r="AX9" s="90"/>
      <c r="AY9" s="90"/>
      <c r="AZ9" s="90"/>
      <c r="BA9" s="90"/>
      <c r="BB9" s="90"/>
      <c r="BC9" s="126"/>
    </row>
    <row r="10" spans="1:55" s="25" customFormat="1" ht="13.5" customHeight="1">
      <c r="A10" s="98"/>
      <c r="B10" s="99"/>
      <c r="C10" s="99"/>
      <c r="D10" s="99"/>
      <c r="E10" s="99"/>
      <c r="F10" s="99"/>
      <c r="G10" s="99"/>
      <c r="H10" s="99"/>
      <c r="I10" s="100"/>
      <c r="J10" s="106"/>
      <c r="K10" s="107"/>
      <c r="L10" s="107"/>
      <c r="M10" s="107"/>
      <c r="N10" s="107"/>
      <c r="O10" s="107"/>
      <c r="P10" s="107"/>
      <c r="Q10" s="108"/>
      <c r="R10" s="114"/>
      <c r="S10" s="115"/>
      <c r="T10" s="115"/>
      <c r="U10" s="116"/>
      <c r="V10" s="146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8"/>
      <c r="AT10" s="114"/>
      <c r="AU10" s="115"/>
      <c r="AV10" s="115"/>
      <c r="AW10" s="115"/>
      <c r="AX10" s="115"/>
      <c r="AY10" s="115"/>
      <c r="AZ10" s="115"/>
      <c r="BA10" s="115"/>
      <c r="BB10" s="115"/>
      <c r="BC10" s="127"/>
    </row>
    <row r="11" spans="1:55" s="25" customFormat="1" ht="13.5" customHeight="1">
      <c r="A11" s="93">
        <v>1.1000000000000001</v>
      </c>
      <c r="B11" s="94"/>
      <c r="C11" s="94"/>
      <c r="D11" s="94"/>
      <c r="E11" s="94"/>
      <c r="F11" s="94"/>
      <c r="G11" s="94"/>
      <c r="H11" s="94"/>
      <c r="I11" s="95"/>
      <c r="J11" s="101">
        <v>43774</v>
      </c>
      <c r="K11" s="102"/>
      <c r="L11" s="102"/>
      <c r="M11" s="102"/>
      <c r="N11" s="102"/>
      <c r="O11" s="102"/>
      <c r="P11" s="102"/>
      <c r="Q11" s="103"/>
      <c r="R11" s="149" t="s">
        <v>15</v>
      </c>
      <c r="S11" s="90"/>
      <c r="T11" s="90"/>
      <c r="U11" s="113"/>
      <c r="V11" s="150" t="s">
        <v>84</v>
      </c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2"/>
      <c r="AT11" s="159" t="s">
        <v>39</v>
      </c>
      <c r="AU11" s="160"/>
      <c r="AV11" s="160"/>
      <c r="AW11" s="160"/>
      <c r="AX11" s="160"/>
      <c r="AY11" s="160"/>
      <c r="AZ11" s="160"/>
      <c r="BA11" s="160"/>
      <c r="BB11" s="160"/>
      <c r="BC11" s="161"/>
    </row>
    <row r="12" spans="1:55" s="25" customFormat="1" ht="13.5" customHeight="1">
      <c r="A12" s="96"/>
      <c r="B12" s="86"/>
      <c r="C12" s="86"/>
      <c r="D12" s="86"/>
      <c r="E12" s="86"/>
      <c r="F12" s="86"/>
      <c r="G12" s="86"/>
      <c r="H12" s="86"/>
      <c r="I12" s="97"/>
      <c r="J12" s="104"/>
      <c r="K12" s="88"/>
      <c r="L12" s="88"/>
      <c r="M12" s="88"/>
      <c r="N12" s="88"/>
      <c r="O12" s="88"/>
      <c r="P12" s="88"/>
      <c r="Q12" s="105"/>
      <c r="R12" s="112"/>
      <c r="S12" s="90"/>
      <c r="T12" s="90"/>
      <c r="U12" s="113"/>
      <c r="V12" s="153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5"/>
      <c r="AT12" s="162"/>
      <c r="AU12" s="160"/>
      <c r="AV12" s="160"/>
      <c r="AW12" s="160"/>
      <c r="AX12" s="160"/>
      <c r="AY12" s="160"/>
      <c r="AZ12" s="160"/>
      <c r="BA12" s="160"/>
      <c r="BB12" s="160"/>
      <c r="BC12" s="161"/>
    </row>
    <row r="13" spans="1:55" s="25" customFormat="1" ht="13.5" customHeight="1">
      <c r="A13" s="98"/>
      <c r="B13" s="99"/>
      <c r="C13" s="99"/>
      <c r="D13" s="99"/>
      <c r="E13" s="99"/>
      <c r="F13" s="99"/>
      <c r="G13" s="99"/>
      <c r="H13" s="99"/>
      <c r="I13" s="100"/>
      <c r="J13" s="106"/>
      <c r="K13" s="107"/>
      <c r="L13" s="107"/>
      <c r="M13" s="107"/>
      <c r="N13" s="107"/>
      <c r="O13" s="107"/>
      <c r="P13" s="107"/>
      <c r="Q13" s="108"/>
      <c r="R13" s="114"/>
      <c r="S13" s="115"/>
      <c r="T13" s="115"/>
      <c r="U13" s="116"/>
      <c r="V13" s="156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8"/>
      <c r="AT13" s="163"/>
      <c r="AU13" s="164"/>
      <c r="AV13" s="164"/>
      <c r="AW13" s="164"/>
      <c r="AX13" s="164"/>
      <c r="AY13" s="164"/>
      <c r="AZ13" s="164"/>
      <c r="BA13" s="164"/>
      <c r="BB13" s="164"/>
      <c r="BC13" s="165"/>
    </row>
    <row r="14" spans="1:55" s="25" customFormat="1" ht="13.5" customHeight="1">
      <c r="A14" s="93">
        <v>1.2</v>
      </c>
      <c r="B14" s="94"/>
      <c r="C14" s="94"/>
      <c r="D14" s="94"/>
      <c r="E14" s="94"/>
      <c r="F14" s="94"/>
      <c r="G14" s="94"/>
      <c r="H14" s="94"/>
      <c r="I14" s="95"/>
      <c r="J14" s="101">
        <v>43776</v>
      </c>
      <c r="K14" s="102"/>
      <c r="L14" s="102"/>
      <c r="M14" s="102"/>
      <c r="N14" s="102"/>
      <c r="O14" s="102"/>
      <c r="P14" s="102"/>
      <c r="Q14" s="103"/>
      <c r="R14" s="149" t="s">
        <v>15</v>
      </c>
      <c r="S14" s="90"/>
      <c r="T14" s="90"/>
      <c r="U14" s="113"/>
      <c r="V14" s="150" t="s">
        <v>97</v>
      </c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2"/>
      <c r="AT14" s="159" t="s">
        <v>39</v>
      </c>
      <c r="AU14" s="160"/>
      <c r="AV14" s="160"/>
      <c r="AW14" s="160"/>
      <c r="AX14" s="160"/>
      <c r="AY14" s="160"/>
      <c r="AZ14" s="160"/>
      <c r="BA14" s="160"/>
      <c r="BB14" s="160"/>
      <c r="BC14" s="161"/>
    </row>
    <row r="15" spans="1:55" s="25" customFormat="1" ht="13.5" customHeight="1">
      <c r="A15" s="96"/>
      <c r="B15" s="86"/>
      <c r="C15" s="86"/>
      <c r="D15" s="86"/>
      <c r="E15" s="86"/>
      <c r="F15" s="86"/>
      <c r="G15" s="86"/>
      <c r="H15" s="86"/>
      <c r="I15" s="97"/>
      <c r="J15" s="104"/>
      <c r="K15" s="88"/>
      <c r="L15" s="88"/>
      <c r="M15" s="88"/>
      <c r="N15" s="88"/>
      <c r="O15" s="88"/>
      <c r="P15" s="88"/>
      <c r="Q15" s="105"/>
      <c r="R15" s="112"/>
      <c r="S15" s="90"/>
      <c r="T15" s="90"/>
      <c r="U15" s="113"/>
      <c r="V15" s="153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5"/>
      <c r="AT15" s="162"/>
      <c r="AU15" s="160"/>
      <c r="AV15" s="160"/>
      <c r="AW15" s="160"/>
      <c r="AX15" s="160"/>
      <c r="AY15" s="160"/>
      <c r="AZ15" s="160"/>
      <c r="BA15" s="160"/>
      <c r="BB15" s="160"/>
      <c r="BC15" s="161"/>
    </row>
    <row r="16" spans="1:55" s="25" customFormat="1" ht="13.5" customHeight="1">
      <c r="A16" s="98"/>
      <c r="B16" s="99"/>
      <c r="C16" s="99"/>
      <c r="D16" s="99"/>
      <c r="E16" s="99"/>
      <c r="F16" s="99"/>
      <c r="G16" s="99"/>
      <c r="H16" s="99"/>
      <c r="I16" s="100"/>
      <c r="J16" s="106"/>
      <c r="K16" s="107"/>
      <c r="L16" s="107"/>
      <c r="M16" s="107"/>
      <c r="N16" s="107"/>
      <c r="O16" s="107"/>
      <c r="P16" s="107"/>
      <c r="Q16" s="108"/>
      <c r="R16" s="114"/>
      <c r="S16" s="115"/>
      <c r="T16" s="115"/>
      <c r="U16" s="116"/>
      <c r="V16" s="156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8"/>
      <c r="AT16" s="163"/>
      <c r="AU16" s="164"/>
      <c r="AV16" s="164"/>
      <c r="AW16" s="164"/>
      <c r="AX16" s="164"/>
      <c r="AY16" s="164"/>
      <c r="AZ16" s="164"/>
      <c r="BA16" s="164"/>
      <c r="BB16" s="164"/>
      <c r="BC16" s="165"/>
    </row>
    <row r="17" spans="1:55" s="25" customFormat="1" ht="13.5" customHeight="1">
      <c r="A17" s="93"/>
      <c r="B17" s="94"/>
      <c r="C17" s="94"/>
      <c r="D17" s="94"/>
      <c r="E17" s="94"/>
      <c r="F17" s="94"/>
      <c r="G17" s="94"/>
      <c r="H17" s="94"/>
      <c r="I17" s="95"/>
      <c r="J17" s="101"/>
      <c r="K17" s="102"/>
      <c r="L17" s="102"/>
      <c r="M17" s="102"/>
      <c r="N17" s="102"/>
      <c r="O17" s="102"/>
      <c r="P17" s="102"/>
      <c r="Q17" s="103"/>
      <c r="R17" s="145"/>
      <c r="S17" s="110"/>
      <c r="T17" s="110"/>
      <c r="U17" s="111"/>
      <c r="V17" s="11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8"/>
      <c r="AT17" s="109"/>
      <c r="AU17" s="110"/>
      <c r="AV17" s="110"/>
      <c r="AW17" s="110"/>
      <c r="AX17" s="110"/>
      <c r="AY17" s="110"/>
      <c r="AZ17" s="110"/>
      <c r="BA17" s="110"/>
      <c r="BB17" s="110"/>
      <c r="BC17" s="125"/>
    </row>
    <row r="18" spans="1:55" s="25" customFormat="1" ht="13.5" customHeight="1">
      <c r="A18" s="96"/>
      <c r="B18" s="86"/>
      <c r="C18" s="86"/>
      <c r="D18" s="86"/>
      <c r="E18" s="86"/>
      <c r="F18" s="86"/>
      <c r="G18" s="86"/>
      <c r="H18" s="86"/>
      <c r="I18" s="97"/>
      <c r="J18" s="104"/>
      <c r="K18" s="88"/>
      <c r="L18" s="88"/>
      <c r="M18" s="88"/>
      <c r="N18" s="88"/>
      <c r="O18" s="88"/>
      <c r="P18" s="88"/>
      <c r="Q18" s="105"/>
      <c r="R18" s="112"/>
      <c r="S18" s="90"/>
      <c r="T18" s="90"/>
      <c r="U18" s="113"/>
      <c r="V18" s="139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140"/>
      <c r="AT18" s="112"/>
      <c r="AU18" s="90"/>
      <c r="AV18" s="90"/>
      <c r="AW18" s="90"/>
      <c r="AX18" s="90"/>
      <c r="AY18" s="90"/>
      <c r="AZ18" s="90"/>
      <c r="BA18" s="90"/>
      <c r="BB18" s="90"/>
      <c r="BC18" s="126"/>
    </row>
    <row r="19" spans="1:55" s="25" customFormat="1" ht="13.5" customHeight="1">
      <c r="A19" s="98"/>
      <c r="B19" s="99"/>
      <c r="C19" s="99"/>
      <c r="D19" s="99"/>
      <c r="E19" s="99"/>
      <c r="F19" s="99"/>
      <c r="G19" s="99"/>
      <c r="H19" s="99"/>
      <c r="I19" s="100"/>
      <c r="J19" s="106"/>
      <c r="K19" s="107"/>
      <c r="L19" s="107"/>
      <c r="M19" s="107"/>
      <c r="N19" s="107"/>
      <c r="O19" s="107"/>
      <c r="P19" s="107"/>
      <c r="Q19" s="108"/>
      <c r="R19" s="114"/>
      <c r="S19" s="115"/>
      <c r="T19" s="115"/>
      <c r="U19" s="116"/>
      <c r="V19" s="146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8"/>
      <c r="AT19" s="114"/>
      <c r="AU19" s="115"/>
      <c r="AV19" s="115"/>
      <c r="AW19" s="115"/>
      <c r="AX19" s="115"/>
      <c r="AY19" s="115"/>
      <c r="AZ19" s="115"/>
      <c r="BA19" s="115"/>
      <c r="BB19" s="115"/>
      <c r="BC19" s="127"/>
    </row>
    <row r="20" spans="1:55" s="25" customFormat="1" ht="13.5" customHeight="1">
      <c r="A20" s="93"/>
      <c r="B20" s="94"/>
      <c r="C20" s="94"/>
      <c r="D20" s="94"/>
      <c r="E20" s="94"/>
      <c r="F20" s="94"/>
      <c r="G20" s="94"/>
      <c r="H20" s="94"/>
      <c r="I20" s="95"/>
      <c r="J20" s="101"/>
      <c r="K20" s="102"/>
      <c r="L20" s="102"/>
      <c r="M20" s="102"/>
      <c r="N20" s="102"/>
      <c r="O20" s="102"/>
      <c r="P20" s="102"/>
      <c r="Q20" s="103"/>
      <c r="R20" s="145"/>
      <c r="S20" s="110"/>
      <c r="T20" s="110"/>
      <c r="U20" s="111"/>
      <c r="V20" s="11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8"/>
      <c r="AT20" s="109"/>
      <c r="AU20" s="110"/>
      <c r="AV20" s="110"/>
      <c r="AW20" s="110"/>
      <c r="AX20" s="110"/>
      <c r="AY20" s="110"/>
      <c r="AZ20" s="110"/>
      <c r="BA20" s="110"/>
      <c r="BB20" s="110"/>
      <c r="BC20" s="125"/>
    </row>
    <row r="21" spans="1:55" s="25" customFormat="1" ht="13.5" customHeight="1">
      <c r="A21" s="96"/>
      <c r="B21" s="86"/>
      <c r="C21" s="86"/>
      <c r="D21" s="86"/>
      <c r="E21" s="86"/>
      <c r="F21" s="86"/>
      <c r="G21" s="86"/>
      <c r="H21" s="86"/>
      <c r="I21" s="97"/>
      <c r="J21" s="104"/>
      <c r="K21" s="88"/>
      <c r="L21" s="88"/>
      <c r="M21" s="88"/>
      <c r="N21" s="88"/>
      <c r="O21" s="88"/>
      <c r="P21" s="88"/>
      <c r="Q21" s="105"/>
      <c r="R21" s="112"/>
      <c r="S21" s="90"/>
      <c r="T21" s="90"/>
      <c r="U21" s="113"/>
      <c r="V21" s="139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140"/>
      <c r="AT21" s="112"/>
      <c r="AU21" s="90"/>
      <c r="AV21" s="90"/>
      <c r="AW21" s="90"/>
      <c r="AX21" s="90"/>
      <c r="AY21" s="90"/>
      <c r="AZ21" s="90"/>
      <c r="BA21" s="90"/>
      <c r="BB21" s="90"/>
      <c r="BC21" s="126"/>
    </row>
    <row r="22" spans="1:55" s="25" customFormat="1" ht="13.5" customHeight="1">
      <c r="A22" s="98"/>
      <c r="B22" s="99"/>
      <c r="C22" s="99"/>
      <c r="D22" s="99"/>
      <c r="E22" s="99"/>
      <c r="F22" s="99"/>
      <c r="G22" s="99"/>
      <c r="H22" s="99"/>
      <c r="I22" s="100"/>
      <c r="J22" s="106"/>
      <c r="K22" s="107"/>
      <c r="L22" s="107"/>
      <c r="M22" s="107"/>
      <c r="N22" s="107"/>
      <c r="O22" s="107"/>
      <c r="P22" s="107"/>
      <c r="Q22" s="108"/>
      <c r="R22" s="114"/>
      <c r="S22" s="115"/>
      <c r="T22" s="115"/>
      <c r="U22" s="116"/>
      <c r="V22" s="146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8"/>
      <c r="AT22" s="114"/>
      <c r="AU22" s="115"/>
      <c r="AV22" s="115"/>
      <c r="AW22" s="115"/>
      <c r="AX22" s="115"/>
      <c r="AY22" s="115"/>
      <c r="AZ22" s="115"/>
      <c r="BA22" s="115"/>
      <c r="BB22" s="115"/>
      <c r="BC22" s="127"/>
    </row>
    <row r="23" spans="1:55" s="25" customFormat="1" ht="13.5" customHeight="1">
      <c r="A23" s="93"/>
      <c r="B23" s="94"/>
      <c r="C23" s="94"/>
      <c r="D23" s="94"/>
      <c r="E23" s="94"/>
      <c r="F23" s="94"/>
      <c r="G23" s="94"/>
      <c r="H23" s="94"/>
      <c r="I23" s="95"/>
      <c r="J23" s="101"/>
      <c r="K23" s="102"/>
      <c r="L23" s="102"/>
      <c r="M23" s="102"/>
      <c r="N23" s="102"/>
      <c r="O23" s="102"/>
      <c r="P23" s="102"/>
      <c r="Q23" s="103"/>
      <c r="R23" s="145"/>
      <c r="S23" s="110"/>
      <c r="T23" s="110"/>
      <c r="U23" s="111"/>
      <c r="V23" s="11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8"/>
      <c r="AT23" s="109"/>
      <c r="AU23" s="110"/>
      <c r="AV23" s="110"/>
      <c r="AW23" s="110"/>
      <c r="AX23" s="110"/>
      <c r="AY23" s="110"/>
      <c r="AZ23" s="110"/>
      <c r="BA23" s="110"/>
      <c r="BB23" s="110"/>
      <c r="BC23" s="125"/>
    </row>
    <row r="24" spans="1:55" s="25" customFormat="1" ht="13.5" customHeight="1">
      <c r="A24" s="96"/>
      <c r="B24" s="86"/>
      <c r="C24" s="86"/>
      <c r="D24" s="86"/>
      <c r="E24" s="86"/>
      <c r="F24" s="86"/>
      <c r="G24" s="86"/>
      <c r="H24" s="86"/>
      <c r="I24" s="97"/>
      <c r="J24" s="104"/>
      <c r="K24" s="88"/>
      <c r="L24" s="88"/>
      <c r="M24" s="88"/>
      <c r="N24" s="88"/>
      <c r="O24" s="88"/>
      <c r="P24" s="88"/>
      <c r="Q24" s="105"/>
      <c r="R24" s="112"/>
      <c r="S24" s="90"/>
      <c r="T24" s="90"/>
      <c r="U24" s="113"/>
      <c r="V24" s="139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140"/>
      <c r="AT24" s="112"/>
      <c r="AU24" s="90"/>
      <c r="AV24" s="90"/>
      <c r="AW24" s="90"/>
      <c r="AX24" s="90"/>
      <c r="AY24" s="90"/>
      <c r="AZ24" s="90"/>
      <c r="BA24" s="90"/>
      <c r="BB24" s="90"/>
      <c r="BC24" s="126"/>
    </row>
    <row r="25" spans="1:55" s="25" customFormat="1" ht="13.5" customHeight="1">
      <c r="A25" s="98"/>
      <c r="B25" s="99"/>
      <c r="C25" s="99"/>
      <c r="D25" s="99"/>
      <c r="E25" s="99"/>
      <c r="F25" s="99"/>
      <c r="G25" s="99"/>
      <c r="H25" s="99"/>
      <c r="I25" s="100"/>
      <c r="J25" s="106"/>
      <c r="K25" s="107"/>
      <c r="L25" s="107"/>
      <c r="M25" s="107"/>
      <c r="N25" s="107"/>
      <c r="O25" s="107"/>
      <c r="P25" s="107"/>
      <c r="Q25" s="108"/>
      <c r="R25" s="114"/>
      <c r="S25" s="115"/>
      <c r="T25" s="115"/>
      <c r="U25" s="116"/>
      <c r="V25" s="146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8"/>
      <c r="AT25" s="114"/>
      <c r="AU25" s="115"/>
      <c r="AV25" s="115"/>
      <c r="AW25" s="115"/>
      <c r="AX25" s="115"/>
      <c r="AY25" s="115"/>
      <c r="AZ25" s="115"/>
      <c r="BA25" s="115"/>
      <c r="BB25" s="115"/>
      <c r="BC25" s="127"/>
    </row>
    <row r="26" spans="1:55" s="25" customFormat="1" ht="13.5" customHeight="1">
      <c r="A26" s="93"/>
      <c r="B26" s="94"/>
      <c r="C26" s="94"/>
      <c r="D26" s="94"/>
      <c r="E26" s="94"/>
      <c r="F26" s="94"/>
      <c r="G26" s="94"/>
      <c r="H26" s="94"/>
      <c r="I26" s="95"/>
      <c r="J26" s="101"/>
      <c r="K26" s="102"/>
      <c r="L26" s="102"/>
      <c r="M26" s="102"/>
      <c r="N26" s="102"/>
      <c r="O26" s="102"/>
      <c r="P26" s="102"/>
      <c r="Q26" s="103"/>
      <c r="R26" s="109"/>
      <c r="S26" s="110"/>
      <c r="T26" s="110"/>
      <c r="U26" s="111"/>
      <c r="V26" s="117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9"/>
      <c r="AT26" s="109"/>
      <c r="AU26" s="110"/>
      <c r="AV26" s="110"/>
      <c r="AW26" s="110"/>
      <c r="AX26" s="110"/>
      <c r="AY26" s="110"/>
      <c r="AZ26" s="110"/>
      <c r="BA26" s="110"/>
      <c r="BB26" s="110"/>
      <c r="BC26" s="125"/>
    </row>
    <row r="27" spans="1:55" s="25" customFormat="1" ht="13.5" customHeight="1">
      <c r="A27" s="96"/>
      <c r="B27" s="86"/>
      <c r="C27" s="86"/>
      <c r="D27" s="86"/>
      <c r="E27" s="86"/>
      <c r="F27" s="86"/>
      <c r="G27" s="86"/>
      <c r="H27" s="86"/>
      <c r="I27" s="97"/>
      <c r="J27" s="104"/>
      <c r="K27" s="88"/>
      <c r="L27" s="88"/>
      <c r="M27" s="88"/>
      <c r="N27" s="88"/>
      <c r="O27" s="88"/>
      <c r="P27" s="88"/>
      <c r="Q27" s="105"/>
      <c r="R27" s="112"/>
      <c r="S27" s="90"/>
      <c r="T27" s="90"/>
      <c r="U27" s="113"/>
      <c r="V27" s="120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121"/>
      <c r="AT27" s="112"/>
      <c r="AU27" s="90"/>
      <c r="AV27" s="90"/>
      <c r="AW27" s="90"/>
      <c r="AX27" s="90"/>
      <c r="AY27" s="90"/>
      <c r="AZ27" s="90"/>
      <c r="BA27" s="90"/>
      <c r="BB27" s="90"/>
      <c r="BC27" s="126"/>
    </row>
    <row r="28" spans="1:55" s="25" customFormat="1" ht="13.5" customHeight="1">
      <c r="A28" s="98"/>
      <c r="B28" s="99"/>
      <c r="C28" s="99"/>
      <c r="D28" s="99"/>
      <c r="E28" s="99"/>
      <c r="F28" s="99"/>
      <c r="G28" s="99"/>
      <c r="H28" s="99"/>
      <c r="I28" s="100"/>
      <c r="J28" s="106"/>
      <c r="K28" s="107"/>
      <c r="L28" s="107"/>
      <c r="M28" s="107"/>
      <c r="N28" s="107"/>
      <c r="O28" s="107"/>
      <c r="P28" s="107"/>
      <c r="Q28" s="108"/>
      <c r="R28" s="114"/>
      <c r="S28" s="115"/>
      <c r="T28" s="115"/>
      <c r="U28" s="116"/>
      <c r="V28" s="122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4"/>
      <c r="AT28" s="114"/>
      <c r="AU28" s="115"/>
      <c r="AV28" s="115"/>
      <c r="AW28" s="115"/>
      <c r="AX28" s="115"/>
      <c r="AY28" s="115"/>
      <c r="AZ28" s="115"/>
      <c r="BA28" s="115"/>
      <c r="BB28" s="115"/>
      <c r="BC28" s="127"/>
    </row>
    <row r="29" spans="1:55" s="25" customFormat="1" ht="13.5" customHeight="1">
      <c r="A29" s="93"/>
      <c r="B29" s="94"/>
      <c r="C29" s="94"/>
      <c r="D29" s="94"/>
      <c r="E29" s="94"/>
      <c r="F29" s="94"/>
      <c r="G29" s="94"/>
      <c r="H29" s="94"/>
      <c r="I29" s="95"/>
      <c r="J29" s="101"/>
      <c r="K29" s="102"/>
      <c r="L29" s="102"/>
      <c r="M29" s="102"/>
      <c r="N29" s="102"/>
      <c r="O29" s="102"/>
      <c r="P29" s="102"/>
      <c r="Q29" s="103"/>
      <c r="R29" s="109"/>
      <c r="S29" s="110"/>
      <c r="T29" s="110"/>
      <c r="U29" s="111"/>
      <c r="V29" s="11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8"/>
      <c r="AT29" s="109"/>
      <c r="AU29" s="110"/>
      <c r="AV29" s="110"/>
      <c r="AW29" s="110"/>
      <c r="AX29" s="110"/>
      <c r="AY29" s="110"/>
      <c r="AZ29" s="110"/>
      <c r="BA29" s="110"/>
      <c r="BB29" s="110"/>
      <c r="BC29" s="125"/>
    </row>
    <row r="30" spans="1:55" s="25" customFormat="1" ht="13.5" customHeight="1">
      <c r="A30" s="96"/>
      <c r="B30" s="86"/>
      <c r="C30" s="86"/>
      <c r="D30" s="86"/>
      <c r="E30" s="86"/>
      <c r="F30" s="86"/>
      <c r="G30" s="86"/>
      <c r="H30" s="86"/>
      <c r="I30" s="97"/>
      <c r="J30" s="104"/>
      <c r="K30" s="88"/>
      <c r="L30" s="88"/>
      <c r="M30" s="88"/>
      <c r="N30" s="88"/>
      <c r="O30" s="88"/>
      <c r="P30" s="88"/>
      <c r="Q30" s="105"/>
      <c r="R30" s="112"/>
      <c r="S30" s="90"/>
      <c r="T30" s="90"/>
      <c r="U30" s="113"/>
      <c r="V30" s="139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140"/>
      <c r="AT30" s="112"/>
      <c r="AU30" s="90"/>
      <c r="AV30" s="90"/>
      <c r="AW30" s="90"/>
      <c r="AX30" s="90"/>
      <c r="AY30" s="90"/>
      <c r="AZ30" s="90"/>
      <c r="BA30" s="90"/>
      <c r="BB30" s="90"/>
      <c r="BC30" s="126"/>
    </row>
    <row r="31" spans="1:55" s="25" customFormat="1" ht="13.5" customHeight="1" thickBot="1">
      <c r="A31" s="128"/>
      <c r="B31" s="129"/>
      <c r="C31" s="129"/>
      <c r="D31" s="129"/>
      <c r="E31" s="129"/>
      <c r="F31" s="129"/>
      <c r="G31" s="129"/>
      <c r="H31" s="129"/>
      <c r="I31" s="130"/>
      <c r="J31" s="131"/>
      <c r="K31" s="132"/>
      <c r="L31" s="132"/>
      <c r="M31" s="132"/>
      <c r="N31" s="132"/>
      <c r="O31" s="132"/>
      <c r="P31" s="132"/>
      <c r="Q31" s="133"/>
      <c r="R31" s="134"/>
      <c r="S31" s="135"/>
      <c r="T31" s="135"/>
      <c r="U31" s="136"/>
      <c r="V31" s="141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3"/>
      <c r="AT31" s="134"/>
      <c r="AU31" s="135"/>
      <c r="AV31" s="135"/>
      <c r="AW31" s="135"/>
      <c r="AX31" s="135"/>
      <c r="AY31" s="135"/>
      <c r="AZ31" s="135"/>
      <c r="BA31" s="135"/>
      <c r="BB31" s="135"/>
      <c r="BC31" s="144"/>
    </row>
    <row r="32" spans="1:55" s="25" customFormat="1" ht="13.5" customHeight="1">
      <c r="A32" s="85"/>
      <c r="B32" s="86"/>
      <c r="C32" s="86"/>
      <c r="D32" s="86"/>
      <c r="E32" s="86"/>
      <c r="F32" s="86"/>
      <c r="G32" s="86"/>
      <c r="H32" s="86"/>
      <c r="I32" s="86"/>
      <c r="J32" s="87"/>
      <c r="K32" s="88"/>
      <c r="L32" s="88"/>
      <c r="M32" s="88"/>
      <c r="N32" s="88"/>
      <c r="O32" s="88"/>
      <c r="P32" s="88"/>
      <c r="Q32" s="88"/>
      <c r="R32" s="89"/>
      <c r="S32" s="90"/>
      <c r="T32" s="90"/>
      <c r="U32" s="90"/>
      <c r="V32" s="91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89"/>
      <c r="AU32" s="90"/>
      <c r="AV32" s="90"/>
      <c r="AW32" s="90"/>
      <c r="AX32" s="90"/>
      <c r="AY32" s="90"/>
      <c r="AZ32" s="90"/>
      <c r="BA32" s="90"/>
      <c r="BB32" s="90"/>
      <c r="BC32" s="90"/>
    </row>
  </sheetData>
  <mergeCells count="64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1:I13"/>
    <mergeCell ref="J11:Q13"/>
    <mergeCell ref="R11:U13"/>
    <mergeCell ref="V11:AS13"/>
    <mergeCell ref="AT11:BC13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32:I32"/>
    <mergeCell ref="J32:Q32"/>
    <mergeCell ref="R32:U32"/>
    <mergeCell ref="V32:AS32"/>
    <mergeCell ref="AT32:BC32"/>
  </mergeCells>
  <phoneticPr fontId="1"/>
  <pageMargins left="0.23622047244094491" right="0.23622047244094491" top="0.55118110236220474" bottom="0.74803149606299213" header="0.31496062992125984" footer="0.31496062992125984"/>
  <pageSetup paperSize="9" fitToWidth="0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106"/>
  <sheetViews>
    <sheetView showGridLines="0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29" customWidth="1"/>
    <col min="2" max="27" width="2.625" style="29"/>
    <col min="28" max="28" width="2.625" style="29" customWidth="1"/>
    <col min="29" max="41" width="2.625" style="29"/>
    <col min="42" max="43" width="2.625" style="29" customWidth="1"/>
    <col min="44" max="51" width="2.625" style="29"/>
    <col min="52" max="53" width="2.625" style="29" customWidth="1"/>
    <col min="54" max="54" width="2.75" style="29" customWidth="1"/>
    <col min="55" max="55" width="2.375" style="29" customWidth="1"/>
    <col min="56" max="56" width="3.125" style="29" hidden="1" customWidth="1"/>
    <col min="57" max="58" width="2.625" style="29" hidden="1" customWidth="1"/>
    <col min="59" max="16384" width="2.625" style="29"/>
  </cols>
  <sheetData>
    <row r="1" spans="1:55" ht="13.5" customHeight="1">
      <c r="A1" s="214" t="s">
        <v>0</v>
      </c>
      <c r="B1" s="183"/>
      <c r="C1" s="183"/>
      <c r="D1" s="183"/>
      <c r="E1" s="183"/>
      <c r="F1" s="184"/>
      <c r="G1" s="184"/>
      <c r="H1" s="184"/>
      <c r="I1" s="215"/>
      <c r="J1" s="216" t="s">
        <v>1</v>
      </c>
      <c r="K1" s="183"/>
      <c r="L1" s="183"/>
      <c r="M1" s="183"/>
      <c r="N1" s="183"/>
      <c r="O1" s="184"/>
      <c r="P1" s="184"/>
      <c r="Q1" s="184"/>
      <c r="R1" s="217" t="str">
        <f>表紙!S12</f>
        <v>画面レイアウト設計書</v>
      </c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9"/>
      <c r="AJ1" s="220" t="s">
        <v>2</v>
      </c>
      <c r="AK1" s="221"/>
      <c r="AL1" s="221"/>
      <c r="AM1" s="221"/>
      <c r="AN1" s="221"/>
      <c r="AO1" s="222" t="s">
        <v>3</v>
      </c>
      <c r="AP1" s="221"/>
      <c r="AQ1" s="221"/>
      <c r="AR1" s="221"/>
      <c r="AS1" s="221"/>
      <c r="AT1" s="222" t="s">
        <v>4</v>
      </c>
      <c r="AU1" s="221"/>
      <c r="AV1" s="221"/>
      <c r="AW1" s="221"/>
      <c r="AX1" s="221"/>
      <c r="AY1" s="183" t="s">
        <v>5</v>
      </c>
      <c r="AZ1" s="184"/>
      <c r="BA1" s="184"/>
      <c r="BB1" s="184"/>
      <c r="BC1" s="185"/>
    </row>
    <row r="2" spans="1:55" ht="13.5" customHeight="1">
      <c r="A2" s="278" t="str">
        <f>表紙!O10</f>
        <v>13期12月対応</v>
      </c>
      <c r="B2" s="187"/>
      <c r="C2" s="187"/>
      <c r="D2" s="187"/>
      <c r="E2" s="187"/>
      <c r="F2" s="188"/>
      <c r="G2" s="188"/>
      <c r="H2" s="188"/>
      <c r="I2" s="189"/>
      <c r="J2" s="194" t="str">
        <f>表紙!O9</f>
        <v>LMS学習管理システム</v>
      </c>
      <c r="K2" s="187"/>
      <c r="L2" s="187"/>
      <c r="M2" s="187"/>
      <c r="N2" s="187"/>
      <c r="O2" s="188"/>
      <c r="P2" s="188"/>
      <c r="Q2" s="195"/>
      <c r="R2" s="198" t="str">
        <f ca="1">RIGHT(CELL("filename",A1),LEN(CELL("filename",A1))-FIND("]",CELL("filename",A1)))</f>
        <v>見積もり情報編集画面（管理者権限）</v>
      </c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200"/>
      <c r="AJ2" s="279" t="s">
        <v>39</v>
      </c>
      <c r="AK2" s="205"/>
      <c r="AL2" s="205"/>
      <c r="AM2" s="205"/>
      <c r="AN2" s="205"/>
      <c r="AO2" s="208">
        <v>43766</v>
      </c>
      <c r="AP2" s="205"/>
      <c r="AQ2" s="280"/>
      <c r="AR2" s="205"/>
      <c r="AS2" s="205"/>
      <c r="AT2" s="279" t="s">
        <v>39</v>
      </c>
      <c r="AU2" s="205"/>
      <c r="AV2" s="280"/>
      <c r="AW2" s="205"/>
      <c r="AX2" s="205"/>
      <c r="AY2" s="209">
        <v>43776</v>
      </c>
      <c r="AZ2" s="210"/>
      <c r="BA2" s="210"/>
      <c r="BB2" s="281"/>
      <c r="BC2" s="211"/>
    </row>
    <row r="3" spans="1:55" ht="13.5" customHeight="1" thickBot="1">
      <c r="A3" s="190"/>
      <c r="B3" s="191"/>
      <c r="C3" s="191"/>
      <c r="D3" s="191"/>
      <c r="E3" s="191"/>
      <c r="F3" s="192"/>
      <c r="G3" s="192"/>
      <c r="H3" s="192"/>
      <c r="I3" s="193"/>
      <c r="J3" s="196"/>
      <c r="K3" s="191"/>
      <c r="L3" s="191"/>
      <c r="M3" s="191"/>
      <c r="N3" s="191"/>
      <c r="O3" s="192"/>
      <c r="P3" s="192"/>
      <c r="Q3" s="197"/>
      <c r="R3" s="201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3"/>
      <c r="AJ3" s="206"/>
      <c r="AK3" s="207"/>
      <c r="AL3" s="207"/>
      <c r="AM3" s="207"/>
      <c r="AN3" s="207"/>
      <c r="AO3" s="207"/>
      <c r="AP3" s="207"/>
      <c r="AQ3" s="207"/>
      <c r="AR3" s="207"/>
      <c r="AS3" s="207"/>
      <c r="AT3" s="206"/>
      <c r="AU3" s="207"/>
      <c r="AV3" s="207"/>
      <c r="AW3" s="207"/>
      <c r="AX3" s="207"/>
      <c r="AY3" s="212"/>
      <c r="AZ3" s="212"/>
      <c r="BA3" s="212"/>
      <c r="BB3" s="212"/>
      <c r="BC3" s="213"/>
    </row>
    <row r="4" spans="1:55" ht="13.5" customHeight="1"/>
    <row r="5" spans="1:55" ht="13.5" customHeight="1">
      <c r="A5" s="28"/>
      <c r="B5" s="27" t="s">
        <v>20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</row>
    <row r="6" spans="1:55" ht="13.5" customHeight="1">
      <c r="A6" s="28"/>
      <c r="B6" s="30"/>
      <c r="C6" s="31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2"/>
      <c r="AA6" s="30"/>
      <c r="AB6" s="30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28"/>
    </row>
    <row r="7" spans="1:55" ht="13.5" customHeight="1">
      <c r="A7" s="28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28"/>
    </row>
    <row r="8" spans="1:55" ht="13.5" customHeight="1">
      <c r="A8" s="28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28"/>
    </row>
    <row r="9" spans="1:55" ht="13.5" customHeight="1">
      <c r="A9" s="28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28"/>
    </row>
    <row r="10" spans="1:55" ht="13.5" customHeight="1">
      <c r="A10" s="28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28"/>
    </row>
    <row r="11" spans="1:55" ht="13.5" customHeight="1">
      <c r="A11" s="28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28"/>
    </row>
    <row r="12" spans="1:55" ht="13.5" customHeight="1">
      <c r="A12" s="28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28"/>
    </row>
    <row r="13" spans="1:55" ht="13.5" customHeight="1">
      <c r="A13" s="28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28"/>
    </row>
    <row r="14" spans="1:55" ht="13.5" customHeight="1">
      <c r="A14" s="28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28"/>
    </row>
    <row r="15" spans="1:55" ht="13.5" customHeight="1">
      <c r="A15" s="28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28"/>
    </row>
    <row r="16" spans="1:55" ht="13.5" customHeight="1">
      <c r="A16" s="28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28"/>
    </row>
    <row r="17" spans="1:55" ht="13.5" customHeight="1">
      <c r="A17" s="28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28"/>
    </row>
    <row r="18" spans="1:55" ht="13.5" customHeight="1">
      <c r="A18" s="28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28"/>
    </row>
    <row r="19" spans="1:55" ht="13.5" customHeight="1">
      <c r="A19" s="28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28"/>
    </row>
    <row r="20" spans="1:55" ht="13.5" customHeight="1">
      <c r="A20" s="28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28"/>
    </row>
    <row r="21" spans="1:55" ht="13.5" customHeight="1">
      <c r="A21" s="28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28"/>
    </row>
    <row r="22" spans="1:55" ht="13.5" customHeight="1">
      <c r="A22" s="28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28"/>
    </row>
    <row r="23" spans="1:55" ht="13.5" customHeight="1">
      <c r="A23" s="28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28"/>
    </row>
    <row r="24" spans="1:55" ht="13.5" customHeight="1">
      <c r="A24" s="28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28"/>
    </row>
    <row r="25" spans="1:55" ht="13.5" customHeight="1">
      <c r="A25" s="28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28"/>
    </row>
    <row r="26" spans="1:55" ht="13.5" customHeight="1">
      <c r="A26" s="28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28"/>
    </row>
    <row r="27" spans="1:55" ht="13.5" customHeight="1">
      <c r="A27" s="28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28"/>
    </row>
    <row r="28" spans="1:55" ht="13.5" customHeight="1">
      <c r="A28" s="28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28"/>
    </row>
    <row r="29" spans="1:55" ht="13.5" customHeight="1">
      <c r="A29" s="28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28"/>
    </row>
    <row r="30" spans="1:55" ht="13.5" customHeight="1">
      <c r="A30" s="28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28"/>
    </row>
    <row r="31" spans="1:55" ht="13.5" customHeight="1">
      <c r="A31" s="28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28"/>
    </row>
    <row r="32" spans="1:55" ht="13.5" customHeight="1">
      <c r="A32" s="28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28"/>
    </row>
    <row r="33" spans="1:55" ht="13.5" customHeight="1">
      <c r="A33" s="28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28"/>
    </row>
    <row r="34" spans="1:55" ht="13.5" customHeight="1">
      <c r="A34" s="28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28"/>
    </row>
    <row r="35" spans="1:55" ht="13.5" customHeight="1">
      <c r="A35" s="28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28"/>
    </row>
    <row r="36" spans="1:55" ht="13.5" customHeight="1">
      <c r="A36" s="28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28"/>
    </row>
    <row r="37" spans="1:55" ht="13.5" customHeight="1">
      <c r="A37" s="28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28"/>
    </row>
    <row r="38" spans="1:55" ht="13.5" customHeight="1">
      <c r="A38" s="28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28"/>
    </row>
    <row r="39" spans="1:55" ht="13.5" customHeight="1">
      <c r="A39" s="28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28"/>
    </row>
    <row r="40" spans="1:55" ht="13.5" customHeight="1">
      <c r="A40" s="28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28"/>
    </row>
    <row r="41" spans="1:55">
      <c r="A41" s="28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28"/>
    </row>
    <row r="42" spans="1:55">
      <c r="A42" s="28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28"/>
    </row>
    <row r="43" spans="1:55">
      <c r="A43" s="28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28"/>
    </row>
    <row r="44" spans="1:55">
      <c r="A44" s="28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28"/>
    </row>
    <row r="45" spans="1:55">
      <c r="A45" s="28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28"/>
    </row>
    <row r="46" spans="1:55">
      <c r="A46" s="28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28"/>
    </row>
    <row r="47" spans="1:55">
      <c r="A47" s="28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28"/>
    </row>
    <row r="48" spans="1:55">
      <c r="A48" s="28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28"/>
    </row>
    <row r="49" spans="1:55">
      <c r="A49" s="28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28"/>
    </row>
    <row r="50" spans="1:55">
      <c r="A50" s="28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28"/>
    </row>
    <row r="51" spans="1:55">
      <c r="A51" s="28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28"/>
    </row>
    <row r="52" spans="1:55">
      <c r="A52" s="28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28"/>
    </row>
    <row r="53" spans="1:55">
      <c r="A53" s="28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28"/>
    </row>
    <row r="54" spans="1:55">
      <c r="A54" s="28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28"/>
    </row>
    <row r="55" spans="1:55">
      <c r="A55" s="28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28"/>
    </row>
    <row r="56" spans="1:55">
      <c r="A56" s="28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28"/>
    </row>
    <row r="57" spans="1:55">
      <c r="A57" s="28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28"/>
    </row>
    <row r="58" spans="1:55">
      <c r="A58" s="28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28"/>
    </row>
    <row r="59" spans="1:55">
      <c r="A59" s="28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28"/>
    </row>
    <row r="60" spans="1:55">
      <c r="A60" s="28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28"/>
    </row>
    <row r="61" spans="1:55">
      <c r="A61" s="28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28"/>
    </row>
    <row r="62" spans="1:55">
      <c r="A62" s="28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28"/>
    </row>
    <row r="63" spans="1:55">
      <c r="A63" s="28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28"/>
    </row>
    <row r="64" spans="1:55">
      <c r="A64" s="28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28"/>
    </row>
    <row r="65" spans="1:55">
      <c r="A65" s="28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28"/>
    </row>
    <row r="66" spans="1:5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</row>
    <row r="67" spans="1:5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</row>
    <row r="68" spans="1:55">
      <c r="A68" s="28"/>
      <c r="B68" s="33" t="s">
        <v>35</v>
      </c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5"/>
    </row>
    <row r="69" spans="1:55">
      <c r="A69" s="28"/>
      <c r="B69" s="261" t="s">
        <v>17</v>
      </c>
      <c r="C69" s="262"/>
      <c r="D69" s="263" t="s">
        <v>28</v>
      </c>
      <c r="E69" s="264"/>
      <c r="F69" s="264"/>
      <c r="G69" s="264"/>
      <c r="H69" s="264"/>
      <c r="I69" s="264"/>
      <c r="J69" s="264"/>
      <c r="K69" s="264"/>
      <c r="L69" s="265"/>
      <c r="M69" s="273" t="s">
        <v>21</v>
      </c>
      <c r="N69" s="274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  <c r="AA69" s="274"/>
      <c r="AB69" s="274"/>
      <c r="AC69" s="274"/>
      <c r="AD69" s="274"/>
      <c r="AE69" s="275"/>
      <c r="AF69" s="261" t="s">
        <v>18</v>
      </c>
      <c r="AG69" s="276"/>
      <c r="AH69" s="276"/>
      <c r="AI69" s="276"/>
      <c r="AJ69" s="276"/>
      <c r="AK69" s="276"/>
      <c r="AL69" s="276"/>
      <c r="AM69" s="276"/>
      <c r="AN69" s="276"/>
      <c r="AO69" s="276"/>
      <c r="AP69" s="276"/>
      <c r="AQ69" s="276"/>
      <c r="AR69" s="276"/>
      <c r="AS69" s="276"/>
      <c r="AT69" s="276"/>
      <c r="AU69" s="276"/>
      <c r="AV69" s="276"/>
      <c r="AW69" s="276"/>
      <c r="AX69" s="276"/>
      <c r="AY69" s="276"/>
      <c r="AZ69" s="276"/>
      <c r="BA69" s="276"/>
      <c r="BB69" s="262"/>
    </row>
    <row r="70" spans="1:55">
      <c r="A70" s="28"/>
      <c r="B70" s="266"/>
      <c r="C70" s="267"/>
      <c r="D70" s="270"/>
      <c r="E70" s="271"/>
      <c r="F70" s="271"/>
      <c r="G70" s="271"/>
      <c r="H70" s="271"/>
      <c r="I70" s="271"/>
      <c r="J70" s="271"/>
      <c r="K70" s="271"/>
      <c r="L70" s="272"/>
      <c r="M70" s="273" t="s">
        <v>34</v>
      </c>
      <c r="N70" s="274"/>
      <c r="O70" s="274"/>
      <c r="P70" s="274"/>
      <c r="Q70" s="274"/>
      <c r="R70" s="274"/>
      <c r="S70" s="274"/>
      <c r="T70" s="274"/>
      <c r="U70" s="274"/>
      <c r="V70" s="275"/>
      <c r="W70" s="273" t="s">
        <v>30</v>
      </c>
      <c r="X70" s="274"/>
      <c r="Y70" s="274"/>
      <c r="Z70" s="274"/>
      <c r="AA70" s="274"/>
      <c r="AB70" s="274"/>
      <c r="AC70" s="274"/>
      <c r="AD70" s="274"/>
      <c r="AE70" s="275"/>
      <c r="AF70" s="266"/>
      <c r="AG70" s="277"/>
      <c r="AH70" s="277"/>
      <c r="AI70" s="277"/>
      <c r="AJ70" s="277"/>
      <c r="AK70" s="277"/>
      <c r="AL70" s="277"/>
      <c r="AM70" s="277"/>
      <c r="AN70" s="277"/>
      <c r="AO70" s="277"/>
      <c r="AP70" s="277"/>
      <c r="AQ70" s="277"/>
      <c r="AR70" s="277"/>
      <c r="AS70" s="277"/>
      <c r="AT70" s="277"/>
      <c r="AU70" s="277"/>
      <c r="AV70" s="277"/>
      <c r="AW70" s="277"/>
      <c r="AX70" s="277"/>
      <c r="AY70" s="277"/>
      <c r="AZ70" s="277"/>
      <c r="BA70" s="277"/>
      <c r="BB70" s="267"/>
    </row>
    <row r="71" spans="1:55">
      <c r="A71" s="28"/>
      <c r="B71" s="52" t="s">
        <v>41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8"/>
    </row>
    <row r="72" spans="1:55">
      <c r="A72" s="28"/>
      <c r="B72" s="242">
        <v>1</v>
      </c>
      <c r="C72" s="244"/>
      <c r="D72" s="248" t="s">
        <v>42</v>
      </c>
      <c r="E72" s="249"/>
      <c r="F72" s="249"/>
      <c r="G72" s="249"/>
      <c r="H72" s="249"/>
      <c r="I72" s="249"/>
      <c r="J72" s="249"/>
      <c r="K72" s="249"/>
      <c r="L72" s="250"/>
      <c r="M72" s="245" t="s">
        <v>52</v>
      </c>
      <c r="N72" s="246"/>
      <c r="O72" s="246"/>
      <c r="P72" s="246"/>
      <c r="Q72" s="246"/>
      <c r="R72" s="246"/>
      <c r="S72" s="246"/>
      <c r="T72" s="246"/>
      <c r="U72" s="246"/>
      <c r="V72" s="247"/>
      <c r="W72" s="251" t="s">
        <v>53</v>
      </c>
      <c r="X72" s="252"/>
      <c r="Y72" s="252"/>
      <c r="Z72" s="252"/>
      <c r="AA72" s="252"/>
      <c r="AB72" s="252"/>
      <c r="AC72" s="252"/>
      <c r="AD72" s="252"/>
      <c r="AE72" s="253"/>
      <c r="AF72" s="39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51"/>
    </row>
    <row r="73" spans="1:55">
      <c r="A73" s="28"/>
      <c r="B73" s="242">
        <v>2</v>
      </c>
      <c r="C73" s="244"/>
      <c r="D73" s="255" t="s">
        <v>43</v>
      </c>
      <c r="E73" s="256"/>
      <c r="F73" s="256"/>
      <c r="G73" s="256"/>
      <c r="H73" s="256"/>
      <c r="I73" s="256"/>
      <c r="J73" s="256"/>
      <c r="K73" s="256"/>
      <c r="L73" s="257"/>
      <c r="M73" s="251" t="s">
        <v>54</v>
      </c>
      <c r="N73" s="252"/>
      <c r="O73" s="252"/>
      <c r="P73" s="252"/>
      <c r="Q73" s="252"/>
      <c r="R73" s="252"/>
      <c r="S73" s="252"/>
      <c r="T73" s="252"/>
      <c r="U73" s="252"/>
      <c r="V73" s="253"/>
      <c r="W73" s="251" t="s">
        <v>55</v>
      </c>
      <c r="X73" s="252"/>
      <c r="Y73" s="252"/>
      <c r="Z73" s="252"/>
      <c r="AA73" s="252"/>
      <c r="AB73" s="252"/>
      <c r="AC73" s="252"/>
      <c r="AD73" s="252"/>
      <c r="AE73" s="253"/>
      <c r="AF73" s="39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53"/>
    </row>
    <row r="74" spans="1:55">
      <c r="A74" s="28"/>
      <c r="B74" s="52" t="s">
        <v>94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8"/>
    </row>
    <row r="75" spans="1:55">
      <c r="A75" s="28"/>
      <c r="B75" s="242">
        <v>3</v>
      </c>
      <c r="C75" s="244"/>
      <c r="D75" s="248" t="s">
        <v>45</v>
      </c>
      <c r="E75" s="249"/>
      <c r="F75" s="249"/>
      <c r="G75" s="249"/>
      <c r="H75" s="249"/>
      <c r="I75" s="249"/>
      <c r="J75" s="249"/>
      <c r="K75" s="249"/>
      <c r="L75" s="250"/>
      <c r="M75" s="251" t="s">
        <v>52</v>
      </c>
      <c r="N75" s="252"/>
      <c r="O75" s="252"/>
      <c r="P75" s="252"/>
      <c r="Q75" s="252"/>
      <c r="R75" s="252"/>
      <c r="S75" s="252"/>
      <c r="T75" s="252"/>
      <c r="U75" s="252"/>
      <c r="V75" s="253"/>
      <c r="W75" s="251" t="s">
        <v>53</v>
      </c>
      <c r="X75" s="252"/>
      <c r="Y75" s="252"/>
      <c r="Z75" s="252"/>
      <c r="AA75" s="252"/>
      <c r="AB75" s="252"/>
      <c r="AC75" s="252"/>
      <c r="AD75" s="252"/>
      <c r="AE75" s="253"/>
      <c r="AF75" s="59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58"/>
    </row>
    <row r="76" spans="1:55">
      <c r="A76" s="28"/>
      <c r="B76" s="268">
        <v>4</v>
      </c>
      <c r="C76" s="269"/>
      <c r="D76" s="258" t="s">
        <v>95</v>
      </c>
      <c r="E76" s="259"/>
      <c r="F76" s="259"/>
      <c r="G76" s="259"/>
      <c r="H76" s="259"/>
      <c r="I76" s="259"/>
      <c r="J76" s="259"/>
      <c r="K76" s="259"/>
      <c r="L76" s="260"/>
      <c r="M76" s="251" t="s">
        <v>59</v>
      </c>
      <c r="N76" s="252"/>
      <c r="O76" s="252"/>
      <c r="P76" s="252"/>
      <c r="Q76" s="252"/>
      <c r="R76" s="252"/>
      <c r="S76" s="252"/>
      <c r="T76" s="252"/>
      <c r="U76" s="252"/>
      <c r="V76" s="253"/>
      <c r="W76" s="251" t="s">
        <v>96</v>
      </c>
      <c r="X76" s="252"/>
      <c r="Y76" s="252"/>
      <c r="Z76" s="252"/>
      <c r="AA76" s="252"/>
      <c r="AB76" s="252"/>
      <c r="AC76" s="252"/>
      <c r="AD76" s="252"/>
      <c r="AE76" s="253"/>
      <c r="AF76" s="41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3"/>
    </row>
    <row r="77" spans="1:55">
      <c r="A77" s="28"/>
      <c r="B77" s="242">
        <v>5</v>
      </c>
      <c r="C77" s="244"/>
      <c r="D77" s="258" t="s">
        <v>46</v>
      </c>
      <c r="E77" s="259"/>
      <c r="F77" s="259"/>
      <c r="G77" s="259"/>
      <c r="H77" s="259"/>
      <c r="I77" s="259"/>
      <c r="J77" s="259"/>
      <c r="K77" s="259"/>
      <c r="L77" s="260"/>
      <c r="M77" s="251" t="s">
        <v>56</v>
      </c>
      <c r="N77" s="252"/>
      <c r="O77" s="252"/>
      <c r="P77" s="252"/>
      <c r="Q77" s="252"/>
      <c r="R77" s="252"/>
      <c r="S77" s="252"/>
      <c r="T77" s="252"/>
      <c r="U77" s="252"/>
      <c r="V77" s="253"/>
      <c r="W77" s="251" t="s">
        <v>57</v>
      </c>
      <c r="X77" s="252"/>
      <c r="Y77" s="252"/>
      <c r="Z77" s="252"/>
      <c r="AA77" s="252"/>
      <c r="AB77" s="252"/>
      <c r="AC77" s="252"/>
      <c r="AD77" s="252"/>
      <c r="AE77" s="253"/>
      <c r="AF77" s="41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3"/>
    </row>
    <row r="78" spans="1:55">
      <c r="A78" s="28"/>
      <c r="B78" s="268">
        <v>6</v>
      </c>
      <c r="C78" s="269"/>
      <c r="D78" s="248" t="s">
        <v>47</v>
      </c>
      <c r="E78" s="249"/>
      <c r="F78" s="249"/>
      <c r="G78" s="249"/>
      <c r="H78" s="249"/>
      <c r="I78" s="249"/>
      <c r="J78" s="249"/>
      <c r="K78" s="249"/>
      <c r="L78" s="250"/>
      <c r="M78" s="251" t="s">
        <v>56</v>
      </c>
      <c r="N78" s="252"/>
      <c r="O78" s="252"/>
      <c r="P78" s="252"/>
      <c r="Q78" s="252"/>
      <c r="R78" s="252"/>
      <c r="S78" s="252"/>
      <c r="T78" s="252"/>
      <c r="U78" s="252"/>
      <c r="V78" s="253"/>
      <c r="W78" s="251" t="s">
        <v>58</v>
      </c>
      <c r="X78" s="252"/>
      <c r="Y78" s="252"/>
      <c r="Z78" s="252"/>
      <c r="AA78" s="252"/>
      <c r="AB78" s="252"/>
      <c r="AC78" s="252"/>
      <c r="AD78" s="252"/>
      <c r="AE78" s="253"/>
      <c r="AF78" s="59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44"/>
    </row>
    <row r="79" spans="1:55">
      <c r="A79" s="28"/>
      <c r="B79" s="242">
        <v>7</v>
      </c>
      <c r="C79" s="244"/>
      <c r="D79" s="248" t="s">
        <v>48</v>
      </c>
      <c r="E79" s="249"/>
      <c r="F79" s="249"/>
      <c r="G79" s="249"/>
      <c r="H79" s="249"/>
      <c r="I79" s="249"/>
      <c r="J79" s="249"/>
      <c r="K79" s="249"/>
      <c r="L79" s="250"/>
      <c r="M79" s="251" t="s">
        <v>31</v>
      </c>
      <c r="N79" s="252"/>
      <c r="O79" s="252"/>
      <c r="P79" s="252"/>
      <c r="Q79" s="252"/>
      <c r="R79" s="252"/>
      <c r="S79" s="252"/>
      <c r="T79" s="252"/>
      <c r="U79" s="252"/>
      <c r="V79" s="253"/>
      <c r="W79" s="251" t="s">
        <v>31</v>
      </c>
      <c r="X79" s="252"/>
      <c r="Y79" s="252"/>
      <c r="Z79" s="252"/>
      <c r="AA79" s="252"/>
      <c r="AB79" s="252"/>
      <c r="AC79" s="252"/>
      <c r="AD79" s="252"/>
      <c r="AE79" s="253"/>
      <c r="AF79" s="59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44"/>
    </row>
    <row r="80" spans="1:55">
      <c r="A80" s="28"/>
      <c r="B80" s="268">
        <v>8</v>
      </c>
      <c r="C80" s="269"/>
      <c r="D80" s="248" t="s">
        <v>49</v>
      </c>
      <c r="E80" s="249"/>
      <c r="F80" s="249"/>
      <c r="G80" s="249"/>
      <c r="H80" s="249"/>
      <c r="I80" s="249"/>
      <c r="J80" s="249"/>
      <c r="K80" s="249"/>
      <c r="L80" s="250"/>
      <c r="M80" s="251" t="s">
        <v>59</v>
      </c>
      <c r="N80" s="252"/>
      <c r="O80" s="252"/>
      <c r="P80" s="252"/>
      <c r="Q80" s="252"/>
      <c r="R80" s="252"/>
      <c r="S80" s="252"/>
      <c r="T80" s="252"/>
      <c r="U80" s="252"/>
      <c r="V80" s="253"/>
      <c r="W80" s="251" t="s">
        <v>60</v>
      </c>
      <c r="X80" s="252"/>
      <c r="Y80" s="252"/>
      <c r="Z80" s="252"/>
      <c r="AA80" s="252"/>
      <c r="AB80" s="252"/>
      <c r="AC80" s="252"/>
      <c r="AD80" s="252"/>
      <c r="AE80" s="253"/>
      <c r="AF80" s="59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44"/>
    </row>
    <row r="81" spans="1:54">
      <c r="A81" s="28"/>
      <c r="B81" s="52" t="s">
        <v>44</v>
      </c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8"/>
    </row>
    <row r="82" spans="1:54">
      <c r="A82" s="28"/>
      <c r="B82" s="242">
        <v>9</v>
      </c>
      <c r="C82" s="244"/>
      <c r="D82" s="248" t="s">
        <v>45</v>
      </c>
      <c r="E82" s="249"/>
      <c r="F82" s="249"/>
      <c r="G82" s="249"/>
      <c r="H82" s="249"/>
      <c r="I82" s="249"/>
      <c r="J82" s="249"/>
      <c r="K82" s="249"/>
      <c r="L82" s="250"/>
      <c r="M82" s="251" t="s">
        <v>52</v>
      </c>
      <c r="N82" s="252"/>
      <c r="O82" s="252"/>
      <c r="P82" s="252"/>
      <c r="Q82" s="252"/>
      <c r="R82" s="252"/>
      <c r="S82" s="252"/>
      <c r="T82" s="252"/>
      <c r="U82" s="252"/>
      <c r="V82" s="253"/>
      <c r="W82" s="251" t="s">
        <v>53</v>
      </c>
      <c r="X82" s="252"/>
      <c r="Y82" s="252"/>
      <c r="Z82" s="252"/>
      <c r="AA82" s="252"/>
      <c r="AB82" s="252"/>
      <c r="AC82" s="252"/>
      <c r="AD82" s="252"/>
      <c r="AE82" s="253"/>
      <c r="AF82" s="39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51"/>
    </row>
    <row r="83" spans="1:54">
      <c r="A83" s="28"/>
      <c r="B83" s="268">
        <v>10</v>
      </c>
      <c r="C83" s="269"/>
      <c r="D83" s="258" t="s">
        <v>46</v>
      </c>
      <c r="E83" s="259"/>
      <c r="F83" s="259"/>
      <c r="G83" s="259"/>
      <c r="H83" s="259"/>
      <c r="I83" s="259"/>
      <c r="J83" s="259"/>
      <c r="K83" s="259"/>
      <c r="L83" s="260"/>
      <c r="M83" s="251" t="s">
        <v>56</v>
      </c>
      <c r="N83" s="252"/>
      <c r="O83" s="252"/>
      <c r="P83" s="252"/>
      <c r="Q83" s="252"/>
      <c r="R83" s="252"/>
      <c r="S83" s="252"/>
      <c r="T83" s="252"/>
      <c r="U83" s="252"/>
      <c r="V83" s="253"/>
      <c r="W83" s="251" t="s">
        <v>57</v>
      </c>
      <c r="X83" s="252"/>
      <c r="Y83" s="252"/>
      <c r="Z83" s="252"/>
      <c r="AA83" s="252"/>
      <c r="AB83" s="252"/>
      <c r="AC83" s="252"/>
      <c r="AD83" s="252"/>
      <c r="AE83" s="253"/>
      <c r="AF83" s="41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3"/>
    </row>
    <row r="84" spans="1:54">
      <c r="A84" s="28"/>
      <c r="B84" s="242">
        <v>11</v>
      </c>
      <c r="C84" s="244"/>
      <c r="D84" s="248" t="s">
        <v>47</v>
      </c>
      <c r="E84" s="249"/>
      <c r="F84" s="249"/>
      <c r="G84" s="249"/>
      <c r="H84" s="249"/>
      <c r="I84" s="249"/>
      <c r="J84" s="249"/>
      <c r="K84" s="249"/>
      <c r="L84" s="250"/>
      <c r="M84" s="251" t="s">
        <v>56</v>
      </c>
      <c r="N84" s="252"/>
      <c r="O84" s="252"/>
      <c r="P84" s="252"/>
      <c r="Q84" s="252"/>
      <c r="R84" s="252"/>
      <c r="S84" s="252"/>
      <c r="T84" s="252"/>
      <c r="U84" s="252"/>
      <c r="V84" s="253"/>
      <c r="W84" s="251" t="s">
        <v>58</v>
      </c>
      <c r="X84" s="252"/>
      <c r="Y84" s="252"/>
      <c r="Z84" s="252"/>
      <c r="AA84" s="252"/>
      <c r="AB84" s="252"/>
      <c r="AC84" s="252"/>
      <c r="AD84" s="252"/>
      <c r="AE84" s="253"/>
      <c r="AF84" s="39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4"/>
    </row>
    <row r="85" spans="1:54">
      <c r="A85" s="28"/>
      <c r="B85" s="242">
        <v>12</v>
      </c>
      <c r="C85" s="244"/>
      <c r="D85" s="248" t="s">
        <v>48</v>
      </c>
      <c r="E85" s="249"/>
      <c r="F85" s="249"/>
      <c r="G85" s="249"/>
      <c r="H85" s="249"/>
      <c r="I85" s="249"/>
      <c r="J85" s="249"/>
      <c r="K85" s="249"/>
      <c r="L85" s="250"/>
      <c r="M85" s="251" t="s">
        <v>31</v>
      </c>
      <c r="N85" s="252"/>
      <c r="O85" s="252"/>
      <c r="P85" s="252"/>
      <c r="Q85" s="252"/>
      <c r="R85" s="252"/>
      <c r="S85" s="252"/>
      <c r="T85" s="252"/>
      <c r="U85" s="252"/>
      <c r="V85" s="253"/>
      <c r="W85" s="251" t="s">
        <v>31</v>
      </c>
      <c r="X85" s="252"/>
      <c r="Y85" s="252"/>
      <c r="Z85" s="252"/>
      <c r="AA85" s="252"/>
      <c r="AB85" s="252"/>
      <c r="AC85" s="252"/>
      <c r="AD85" s="252"/>
      <c r="AE85" s="253"/>
      <c r="AF85" s="39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4"/>
    </row>
    <row r="86" spans="1:54">
      <c r="A86" s="28"/>
      <c r="B86" s="242">
        <v>13</v>
      </c>
      <c r="C86" s="244"/>
      <c r="D86" s="248" t="s">
        <v>49</v>
      </c>
      <c r="E86" s="249"/>
      <c r="F86" s="249"/>
      <c r="G86" s="249"/>
      <c r="H86" s="249"/>
      <c r="I86" s="249"/>
      <c r="J86" s="249"/>
      <c r="K86" s="249"/>
      <c r="L86" s="250"/>
      <c r="M86" s="251" t="s">
        <v>59</v>
      </c>
      <c r="N86" s="252"/>
      <c r="O86" s="252"/>
      <c r="P86" s="252"/>
      <c r="Q86" s="252"/>
      <c r="R86" s="252"/>
      <c r="S86" s="252"/>
      <c r="T86" s="252"/>
      <c r="U86" s="252"/>
      <c r="V86" s="253"/>
      <c r="W86" s="251" t="s">
        <v>60</v>
      </c>
      <c r="X86" s="252"/>
      <c r="Y86" s="252"/>
      <c r="Z86" s="252"/>
      <c r="AA86" s="252"/>
      <c r="AB86" s="252"/>
      <c r="AC86" s="252"/>
      <c r="AD86" s="252"/>
      <c r="AE86" s="253"/>
      <c r="AF86" s="39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4"/>
    </row>
    <row r="87" spans="1:54">
      <c r="A87" s="28"/>
      <c r="B87" s="45"/>
      <c r="C87" s="45"/>
      <c r="D87" s="46"/>
      <c r="E87" s="46"/>
      <c r="F87" s="46"/>
      <c r="G87" s="46"/>
      <c r="H87" s="46"/>
      <c r="I87" s="46"/>
      <c r="J87" s="46"/>
      <c r="K87" s="46"/>
      <c r="L87" s="46"/>
      <c r="M87" s="47"/>
      <c r="N87" s="47"/>
      <c r="O87" s="47"/>
      <c r="P87" s="47"/>
      <c r="Q87" s="47"/>
      <c r="R87" s="47"/>
      <c r="S87" s="47"/>
      <c r="T87" s="47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</row>
    <row r="88" spans="1:54">
      <c r="B88" s="45"/>
      <c r="C88" s="45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</row>
    <row r="89" spans="1:54">
      <c r="B89" s="254" t="s">
        <v>50</v>
      </c>
      <c r="C89" s="254"/>
      <c r="D89" s="254"/>
      <c r="E89" s="254"/>
      <c r="F89" s="254"/>
      <c r="G89" s="254"/>
      <c r="H89" s="254"/>
      <c r="I89" s="254"/>
      <c r="J89" s="254"/>
      <c r="K89" s="254"/>
      <c r="L89" s="254"/>
      <c r="M89" s="254"/>
      <c r="N89" s="254"/>
      <c r="O89" s="254"/>
      <c r="P89" s="254"/>
      <c r="Q89" s="254"/>
      <c r="R89" s="254"/>
      <c r="S89" s="254"/>
      <c r="T89" s="254"/>
      <c r="U89" s="254"/>
      <c r="V89" s="254"/>
      <c r="W89" s="254"/>
      <c r="X89" s="254"/>
      <c r="Y89" s="254"/>
      <c r="Z89" s="254"/>
      <c r="AA89" s="254"/>
      <c r="AB89" s="254"/>
      <c r="AC89" s="254"/>
      <c r="AD89" s="254"/>
      <c r="AE89" s="254"/>
      <c r="AF89" s="254"/>
      <c r="AG89" s="254"/>
      <c r="AH89" s="254"/>
      <c r="AI89" s="254"/>
      <c r="AJ89" s="254"/>
      <c r="AK89" s="254"/>
      <c r="AL89" s="254"/>
      <c r="AM89" s="254"/>
      <c r="AN89" s="254"/>
      <c r="AO89" s="254"/>
      <c r="AP89" s="254"/>
      <c r="AQ89" s="254"/>
      <c r="AR89" s="254"/>
      <c r="AS89" s="254"/>
      <c r="AT89" s="254"/>
      <c r="AU89" s="254"/>
      <c r="AV89" s="254"/>
      <c r="AW89" s="254"/>
      <c r="AX89" s="254"/>
      <c r="AY89" s="254"/>
      <c r="AZ89" s="254"/>
      <c r="BA89" s="254"/>
      <c r="BB89" s="254"/>
    </row>
    <row r="90" spans="1:54">
      <c r="A90" s="28"/>
      <c r="B90" s="254"/>
      <c r="C90" s="254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/>
      <c r="O90" s="254"/>
      <c r="P90" s="254"/>
      <c r="Q90" s="254"/>
      <c r="R90" s="254"/>
      <c r="S90" s="254"/>
      <c r="T90" s="254"/>
      <c r="U90" s="254"/>
      <c r="V90" s="254"/>
      <c r="W90" s="254"/>
      <c r="X90" s="254"/>
      <c r="Y90" s="254"/>
      <c r="Z90" s="254"/>
      <c r="AA90" s="254"/>
      <c r="AB90" s="254"/>
      <c r="AC90" s="254"/>
      <c r="AD90" s="254"/>
      <c r="AE90" s="254"/>
      <c r="AF90" s="254"/>
      <c r="AG90" s="254"/>
      <c r="AH90" s="254"/>
      <c r="AI90" s="254"/>
      <c r="AJ90" s="254"/>
      <c r="AK90" s="254"/>
      <c r="AL90" s="254"/>
      <c r="AM90" s="254"/>
      <c r="AN90" s="254"/>
      <c r="AO90" s="254"/>
      <c r="AP90" s="254"/>
      <c r="AQ90" s="254"/>
      <c r="AR90" s="254"/>
      <c r="AS90" s="254"/>
      <c r="AT90" s="254"/>
      <c r="AU90" s="254"/>
      <c r="AV90" s="254"/>
      <c r="AW90" s="254"/>
      <c r="AX90" s="254"/>
      <c r="AY90" s="254"/>
      <c r="AZ90" s="254"/>
      <c r="BA90" s="254"/>
      <c r="BB90" s="254"/>
    </row>
    <row r="91" spans="1:54">
      <c r="A91" s="28"/>
      <c r="B91" s="33" t="s">
        <v>29</v>
      </c>
    </row>
    <row r="92" spans="1:54">
      <c r="A92" s="28"/>
      <c r="B92" s="261" t="s">
        <v>17</v>
      </c>
      <c r="C92" s="262"/>
      <c r="D92" s="263" t="s">
        <v>28</v>
      </c>
      <c r="E92" s="264"/>
      <c r="F92" s="264"/>
      <c r="G92" s="264"/>
      <c r="H92" s="264"/>
      <c r="I92" s="265"/>
      <c r="J92" s="263" t="s">
        <v>27</v>
      </c>
      <c r="K92" s="264"/>
      <c r="L92" s="264"/>
      <c r="M92" s="264"/>
      <c r="N92" s="264"/>
      <c r="O92" s="265"/>
      <c r="P92" s="263" t="s">
        <v>32</v>
      </c>
      <c r="Q92" s="264"/>
      <c r="R92" s="264"/>
      <c r="S92" s="264"/>
      <c r="T92" s="264"/>
      <c r="U92" s="265"/>
      <c r="V92" s="263" t="s">
        <v>26</v>
      </c>
      <c r="W92" s="265"/>
      <c r="X92" s="263" t="s">
        <v>25</v>
      </c>
      <c r="Y92" s="264"/>
      <c r="Z92" s="265"/>
      <c r="AA92" s="263" t="s">
        <v>24</v>
      </c>
      <c r="AB92" s="264"/>
      <c r="AC92" s="265"/>
      <c r="AD92" s="263" t="s">
        <v>23</v>
      </c>
      <c r="AE92" s="264"/>
      <c r="AF92" s="265"/>
      <c r="AG92" s="263" t="s">
        <v>33</v>
      </c>
      <c r="AH92" s="265"/>
      <c r="AI92" s="263" t="s">
        <v>22</v>
      </c>
      <c r="AJ92" s="264"/>
      <c r="AK92" s="264"/>
      <c r="AL92" s="264"/>
      <c r="AM92" s="264"/>
      <c r="AN92" s="264"/>
      <c r="AO92" s="264"/>
      <c r="AP92" s="265"/>
      <c r="AQ92" s="273" t="s">
        <v>18</v>
      </c>
      <c r="AR92" s="274"/>
      <c r="AS92" s="274"/>
      <c r="AT92" s="274"/>
      <c r="AU92" s="274"/>
      <c r="AV92" s="274"/>
      <c r="AW92" s="274"/>
      <c r="AX92" s="274"/>
      <c r="AY92" s="274"/>
      <c r="AZ92" s="274"/>
      <c r="BA92" s="274"/>
      <c r="BB92" s="275"/>
    </row>
    <row r="93" spans="1:54">
      <c r="A93" s="28"/>
      <c r="B93" s="242">
        <v>1</v>
      </c>
      <c r="C93" s="244"/>
      <c r="D93" s="248" t="s">
        <v>51</v>
      </c>
      <c r="E93" s="249"/>
      <c r="F93" s="249"/>
      <c r="G93" s="249"/>
      <c r="H93" s="249"/>
      <c r="I93" s="250"/>
      <c r="J93" s="248" t="s">
        <v>31</v>
      </c>
      <c r="K93" s="249"/>
      <c r="L93" s="249"/>
      <c r="M93" s="249"/>
      <c r="N93" s="249"/>
      <c r="O93" s="250"/>
      <c r="P93" s="248" t="s">
        <v>37</v>
      </c>
      <c r="Q93" s="249"/>
      <c r="R93" s="249"/>
      <c r="S93" s="249"/>
      <c r="T93" s="249"/>
      <c r="U93" s="250"/>
      <c r="V93" s="242" t="s">
        <v>31</v>
      </c>
      <c r="W93" s="244"/>
      <c r="X93" s="242" t="s">
        <v>31</v>
      </c>
      <c r="Y93" s="243"/>
      <c r="Z93" s="244"/>
      <c r="AA93" s="242" t="s">
        <v>31</v>
      </c>
      <c r="AB93" s="243"/>
      <c r="AC93" s="244"/>
      <c r="AD93" s="242" t="s">
        <v>31</v>
      </c>
      <c r="AE93" s="243"/>
      <c r="AF93" s="244"/>
      <c r="AG93" s="242" t="s">
        <v>31</v>
      </c>
      <c r="AH93" s="244"/>
      <c r="AI93" s="245" t="s">
        <v>61</v>
      </c>
      <c r="AJ93" s="246"/>
      <c r="AK93" s="246"/>
      <c r="AL93" s="246"/>
      <c r="AM93" s="246"/>
      <c r="AN93" s="246"/>
      <c r="AO93" s="246"/>
      <c r="AP93" s="247"/>
      <c r="AQ93" s="49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1"/>
    </row>
    <row r="94" spans="1:54">
      <c r="A94" s="28"/>
      <c r="B94" s="242">
        <v>2</v>
      </c>
      <c r="C94" s="244"/>
      <c r="D94" s="248" t="s">
        <v>62</v>
      </c>
      <c r="E94" s="249"/>
      <c r="F94" s="249"/>
      <c r="G94" s="249"/>
      <c r="H94" s="249"/>
      <c r="I94" s="250"/>
      <c r="J94" s="248" t="s">
        <v>63</v>
      </c>
      <c r="K94" s="249"/>
      <c r="L94" s="249"/>
      <c r="M94" s="249"/>
      <c r="N94" s="249"/>
      <c r="O94" s="250"/>
      <c r="P94" s="225" t="s">
        <v>70</v>
      </c>
      <c r="Q94" s="226"/>
      <c r="R94" s="226"/>
      <c r="S94" s="226"/>
      <c r="T94" s="226"/>
      <c r="U94" s="227"/>
      <c r="V94" s="223" t="s">
        <v>74</v>
      </c>
      <c r="W94" s="224"/>
      <c r="X94" s="242" t="s">
        <v>31</v>
      </c>
      <c r="Y94" s="243"/>
      <c r="Z94" s="244"/>
      <c r="AA94" s="242" t="s">
        <v>31</v>
      </c>
      <c r="AB94" s="243"/>
      <c r="AC94" s="244"/>
      <c r="AD94" s="242" t="s">
        <v>31</v>
      </c>
      <c r="AE94" s="243"/>
      <c r="AF94" s="244"/>
      <c r="AG94" s="242" t="s">
        <v>31</v>
      </c>
      <c r="AH94" s="244"/>
      <c r="AI94" s="245" t="s">
        <v>31</v>
      </c>
      <c r="AJ94" s="246"/>
      <c r="AK94" s="246"/>
      <c r="AL94" s="246"/>
      <c r="AM94" s="246"/>
      <c r="AN94" s="246"/>
      <c r="AO94" s="246"/>
      <c r="AP94" s="247"/>
      <c r="AQ94" s="49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1"/>
    </row>
    <row r="95" spans="1:54">
      <c r="A95" s="28"/>
      <c r="B95" s="242">
        <v>3</v>
      </c>
      <c r="C95" s="244"/>
      <c r="D95" s="248" t="s">
        <v>68</v>
      </c>
      <c r="E95" s="249"/>
      <c r="F95" s="249"/>
      <c r="G95" s="249"/>
      <c r="H95" s="249"/>
      <c r="I95" s="250"/>
      <c r="J95" s="248" t="s">
        <v>69</v>
      </c>
      <c r="K95" s="249"/>
      <c r="L95" s="249"/>
      <c r="M95" s="249"/>
      <c r="N95" s="249"/>
      <c r="O95" s="250"/>
      <c r="P95" s="225" t="s">
        <v>70</v>
      </c>
      <c r="Q95" s="226"/>
      <c r="R95" s="226"/>
      <c r="S95" s="226"/>
      <c r="T95" s="226"/>
      <c r="U95" s="227"/>
      <c r="V95" s="223" t="s">
        <v>74</v>
      </c>
      <c r="W95" s="224"/>
      <c r="X95" s="242" t="s">
        <v>31</v>
      </c>
      <c r="Y95" s="243"/>
      <c r="Z95" s="244"/>
      <c r="AA95" s="242" t="s">
        <v>31</v>
      </c>
      <c r="AB95" s="243"/>
      <c r="AC95" s="244"/>
      <c r="AD95" s="242" t="s">
        <v>31</v>
      </c>
      <c r="AE95" s="243"/>
      <c r="AF95" s="244"/>
      <c r="AG95" s="242" t="s">
        <v>31</v>
      </c>
      <c r="AH95" s="244"/>
      <c r="AI95" s="245" t="s">
        <v>31</v>
      </c>
      <c r="AJ95" s="246"/>
      <c r="AK95" s="246"/>
      <c r="AL95" s="246"/>
      <c r="AM95" s="246"/>
      <c r="AN95" s="246"/>
      <c r="AO95" s="246"/>
      <c r="AP95" s="247"/>
      <c r="AQ95" s="54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6"/>
    </row>
    <row r="96" spans="1:54">
      <c r="A96" s="28"/>
      <c r="B96" s="242">
        <v>4</v>
      </c>
      <c r="C96" s="244"/>
      <c r="D96" s="225" t="s">
        <v>65</v>
      </c>
      <c r="E96" s="226"/>
      <c r="F96" s="226"/>
      <c r="G96" s="226"/>
      <c r="H96" s="226"/>
      <c r="I96" s="227"/>
      <c r="J96" s="225" t="s">
        <v>71</v>
      </c>
      <c r="K96" s="226"/>
      <c r="L96" s="226"/>
      <c r="M96" s="226"/>
      <c r="N96" s="226"/>
      <c r="O96" s="227"/>
      <c r="P96" s="225" t="s">
        <v>72</v>
      </c>
      <c r="Q96" s="226"/>
      <c r="R96" s="226"/>
      <c r="S96" s="226"/>
      <c r="T96" s="226"/>
      <c r="U96" s="227"/>
      <c r="V96" s="223" t="s">
        <v>74</v>
      </c>
      <c r="W96" s="224"/>
      <c r="X96" s="242" t="s">
        <v>31</v>
      </c>
      <c r="Y96" s="243"/>
      <c r="Z96" s="244"/>
      <c r="AA96" s="242" t="s">
        <v>31</v>
      </c>
      <c r="AB96" s="243"/>
      <c r="AC96" s="244"/>
      <c r="AD96" s="242" t="s">
        <v>31</v>
      </c>
      <c r="AE96" s="243"/>
      <c r="AF96" s="244"/>
      <c r="AG96" s="242" t="s">
        <v>31</v>
      </c>
      <c r="AH96" s="244"/>
      <c r="AI96" s="245" t="s">
        <v>31</v>
      </c>
      <c r="AJ96" s="246"/>
      <c r="AK96" s="246"/>
      <c r="AL96" s="246"/>
      <c r="AM96" s="246"/>
      <c r="AN96" s="246"/>
      <c r="AO96" s="246"/>
      <c r="AP96" s="247"/>
      <c r="AQ96" s="54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6"/>
    </row>
    <row r="97" spans="1:54">
      <c r="A97" s="28"/>
      <c r="B97" s="242">
        <v>5</v>
      </c>
      <c r="C97" s="244"/>
      <c r="D97" s="225" t="s">
        <v>66</v>
      </c>
      <c r="E97" s="226"/>
      <c r="F97" s="226"/>
      <c r="G97" s="226"/>
      <c r="H97" s="226"/>
      <c r="I97" s="227"/>
      <c r="J97" s="225" t="s">
        <v>58</v>
      </c>
      <c r="K97" s="226"/>
      <c r="L97" s="226"/>
      <c r="M97" s="226"/>
      <c r="N97" s="226"/>
      <c r="O97" s="227"/>
      <c r="P97" s="225" t="s">
        <v>73</v>
      </c>
      <c r="Q97" s="226"/>
      <c r="R97" s="226"/>
      <c r="S97" s="226"/>
      <c r="T97" s="226"/>
      <c r="U97" s="227"/>
      <c r="V97" s="223" t="s">
        <v>74</v>
      </c>
      <c r="W97" s="224"/>
      <c r="X97" s="242" t="s">
        <v>31</v>
      </c>
      <c r="Y97" s="243"/>
      <c r="Z97" s="244"/>
      <c r="AA97" s="242" t="s">
        <v>31</v>
      </c>
      <c r="AB97" s="243"/>
      <c r="AC97" s="244"/>
      <c r="AD97" s="242" t="s">
        <v>31</v>
      </c>
      <c r="AE97" s="243"/>
      <c r="AF97" s="244"/>
      <c r="AG97" s="242" t="s">
        <v>31</v>
      </c>
      <c r="AH97" s="244"/>
      <c r="AI97" s="245" t="s">
        <v>31</v>
      </c>
      <c r="AJ97" s="246"/>
      <c r="AK97" s="246"/>
      <c r="AL97" s="246"/>
      <c r="AM97" s="246"/>
      <c r="AN97" s="246"/>
      <c r="AO97" s="246"/>
      <c r="AP97" s="247"/>
      <c r="AQ97" s="54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6"/>
    </row>
    <row r="98" spans="1:54">
      <c r="A98" s="28"/>
      <c r="B98" s="242">
        <v>6</v>
      </c>
      <c r="C98" s="244"/>
      <c r="D98" s="225" t="s">
        <v>67</v>
      </c>
      <c r="E98" s="226"/>
      <c r="F98" s="226"/>
      <c r="G98" s="226"/>
      <c r="H98" s="226"/>
      <c r="I98" s="227"/>
      <c r="J98" s="225" t="s">
        <v>60</v>
      </c>
      <c r="K98" s="226"/>
      <c r="L98" s="226"/>
      <c r="M98" s="226"/>
      <c r="N98" s="226"/>
      <c r="O98" s="227"/>
      <c r="P98" s="225" t="s">
        <v>73</v>
      </c>
      <c r="Q98" s="226"/>
      <c r="R98" s="226"/>
      <c r="S98" s="226"/>
      <c r="T98" s="226"/>
      <c r="U98" s="227"/>
      <c r="V98" s="223" t="s">
        <v>74</v>
      </c>
      <c r="W98" s="224"/>
      <c r="X98" s="242" t="s">
        <v>31</v>
      </c>
      <c r="Y98" s="243"/>
      <c r="Z98" s="244"/>
      <c r="AA98" s="242" t="s">
        <v>31</v>
      </c>
      <c r="AB98" s="243"/>
      <c r="AC98" s="244"/>
      <c r="AD98" s="242" t="s">
        <v>31</v>
      </c>
      <c r="AE98" s="243"/>
      <c r="AF98" s="244"/>
      <c r="AG98" s="242" t="s">
        <v>31</v>
      </c>
      <c r="AH98" s="244"/>
      <c r="AI98" s="245" t="s">
        <v>31</v>
      </c>
      <c r="AJ98" s="246"/>
      <c r="AK98" s="246"/>
      <c r="AL98" s="246"/>
      <c r="AM98" s="246"/>
      <c r="AN98" s="246"/>
      <c r="AO98" s="246"/>
      <c r="AP98" s="247"/>
      <c r="AQ98" s="54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6"/>
    </row>
    <row r="99" spans="1:54">
      <c r="A99" s="28"/>
      <c r="B99" s="236">
        <v>8</v>
      </c>
      <c r="C99" s="237"/>
      <c r="D99" s="230" t="s">
        <v>85</v>
      </c>
      <c r="E99" s="231"/>
      <c r="F99" s="231"/>
      <c r="G99" s="231"/>
      <c r="H99" s="231"/>
      <c r="I99" s="232"/>
      <c r="J99" s="230" t="s">
        <v>86</v>
      </c>
      <c r="K99" s="231"/>
      <c r="L99" s="231"/>
      <c r="M99" s="231"/>
      <c r="N99" s="231"/>
      <c r="O99" s="232"/>
      <c r="P99" s="230" t="s">
        <v>70</v>
      </c>
      <c r="Q99" s="231"/>
      <c r="R99" s="231"/>
      <c r="S99" s="231"/>
      <c r="T99" s="231"/>
      <c r="U99" s="232"/>
      <c r="V99" s="236" t="s">
        <v>90</v>
      </c>
      <c r="W99" s="237"/>
      <c r="X99" s="236" t="s">
        <v>87</v>
      </c>
      <c r="Y99" s="240"/>
      <c r="Z99" s="237"/>
      <c r="AA99" s="236" t="s">
        <v>87</v>
      </c>
      <c r="AB99" s="240"/>
      <c r="AC99" s="237"/>
      <c r="AD99" s="236" t="s">
        <v>31</v>
      </c>
      <c r="AE99" s="240"/>
      <c r="AF99" s="237"/>
      <c r="AG99" s="236" t="s">
        <v>31</v>
      </c>
      <c r="AH99" s="237"/>
      <c r="AI99" s="230" t="s">
        <v>88</v>
      </c>
      <c r="AJ99" s="231"/>
      <c r="AK99" s="231"/>
      <c r="AL99" s="231"/>
      <c r="AM99" s="231"/>
      <c r="AN99" s="231"/>
      <c r="AO99" s="231"/>
      <c r="AP99" s="232"/>
      <c r="AQ99" s="225" t="s">
        <v>92</v>
      </c>
      <c r="AR99" s="226"/>
      <c r="AS99" s="226"/>
      <c r="AT99" s="226"/>
      <c r="AU99" s="226"/>
      <c r="AV99" s="226"/>
      <c r="AW99" s="226"/>
      <c r="AX99" s="226"/>
      <c r="AY99" s="226"/>
      <c r="AZ99" s="226"/>
      <c r="BA99" s="226"/>
      <c r="BB99" s="227"/>
    </row>
    <row r="100" spans="1:54">
      <c r="A100" s="28"/>
      <c r="B100" s="238"/>
      <c r="C100" s="239"/>
      <c r="D100" s="233"/>
      <c r="E100" s="234"/>
      <c r="F100" s="234"/>
      <c r="G100" s="234"/>
      <c r="H100" s="234"/>
      <c r="I100" s="235"/>
      <c r="J100" s="233"/>
      <c r="K100" s="234"/>
      <c r="L100" s="234"/>
      <c r="M100" s="234"/>
      <c r="N100" s="234"/>
      <c r="O100" s="235"/>
      <c r="P100" s="233"/>
      <c r="Q100" s="234"/>
      <c r="R100" s="234"/>
      <c r="S100" s="234"/>
      <c r="T100" s="234"/>
      <c r="U100" s="235"/>
      <c r="V100" s="238"/>
      <c r="W100" s="239"/>
      <c r="X100" s="238"/>
      <c r="Y100" s="241"/>
      <c r="Z100" s="239"/>
      <c r="AA100" s="238"/>
      <c r="AB100" s="241"/>
      <c r="AC100" s="239"/>
      <c r="AD100" s="238"/>
      <c r="AE100" s="241"/>
      <c r="AF100" s="239"/>
      <c r="AG100" s="238"/>
      <c r="AH100" s="239"/>
      <c r="AI100" s="233"/>
      <c r="AJ100" s="234"/>
      <c r="AK100" s="234"/>
      <c r="AL100" s="234"/>
      <c r="AM100" s="234"/>
      <c r="AN100" s="234"/>
      <c r="AO100" s="234"/>
      <c r="AP100" s="235"/>
      <c r="AQ100" s="225" t="s">
        <v>93</v>
      </c>
      <c r="AR100" s="226"/>
      <c r="AS100" s="226"/>
      <c r="AT100" s="226"/>
      <c r="AU100" s="226"/>
      <c r="AV100" s="226"/>
      <c r="AW100" s="226"/>
      <c r="AX100" s="226"/>
      <c r="AY100" s="226"/>
      <c r="AZ100" s="226"/>
      <c r="BA100" s="226"/>
      <c r="BB100" s="227"/>
    </row>
    <row r="101" spans="1:54">
      <c r="A101" s="28"/>
      <c r="B101" s="223">
        <v>9</v>
      </c>
      <c r="C101" s="224"/>
      <c r="D101" s="225" t="s">
        <v>89</v>
      </c>
      <c r="E101" s="226"/>
      <c r="F101" s="226"/>
      <c r="G101" s="226"/>
      <c r="H101" s="226"/>
      <c r="I101" s="227"/>
      <c r="J101" s="225" t="s">
        <v>31</v>
      </c>
      <c r="K101" s="226"/>
      <c r="L101" s="226"/>
      <c r="M101" s="226"/>
      <c r="N101" s="226"/>
      <c r="O101" s="227"/>
      <c r="P101" s="225" t="s">
        <v>70</v>
      </c>
      <c r="Q101" s="226"/>
      <c r="R101" s="226"/>
      <c r="S101" s="226"/>
      <c r="T101" s="226"/>
      <c r="U101" s="227"/>
      <c r="V101" s="223" t="s">
        <v>31</v>
      </c>
      <c r="W101" s="224"/>
      <c r="X101" s="223" t="s">
        <v>87</v>
      </c>
      <c r="Y101" s="228"/>
      <c r="Z101" s="224"/>
      <c r="AA101" s="223" t="s">
        <v>87</v>
      </c>
      <c r="AB101" s="228"/>
      <c r="AC101" s="224"/>
      <c r="AD101" s="223" t="s">
        <v>31</v>
      </c>
      <c r="AE101" s="228"/>
      <c r="AF101" s="224"/>
      <c r="AG101" s="223" t="s">
        <v>31</v>
      </c>
      <c r="AH101" s="224"/>
      <c r="AI101" s="229" t="s">
        <v>88</v>
      </c>
      <c r="AJ101" s="229"/>
      <c r="AK101" s="229"/>
      <c r="AL101" s="229"/>
      <c r="AM101" s="229"/>
      <c r="AN101" s="229"/>
      <c r="AO101" s="229"/>
      <c r="AP101" s="229"/>
      <c r="AQ101" s="225" t="s">
        <v>91</v>
      </c>
      <c r="AR101" s="226"/>
      <c r="AS101" s="226"/>
      <c r="AT101" s="226"/>
      <c r="AU101" s="226"/>
      <c r="AV101" s="226"/>
      <c r="AW101" s="226"/>
      <c r="AX101" s="226"/>
      <c r="AY101" s="226"/>
      <c r="AZ101" s="226"/>
      <c r="BA101" s="226"/>
      <c r="BB101" s="227"/>
    </row>
    <row r="102" spans="1:54">
      <c r="A102" s="28"/>
      <c r="B102" s="61"/>
      <c r="C102" s="61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</row>
    <row r="104" spans="1:54" s="57" customFormat="1">
      <c r="A104" s="29"/>
      <c r="B104" s="33" t="s">
        <v>75</v>
      </c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</row>
    <row r="105" spans="1:54" s="57" customFormat="1">
      <c r="A105" s="29"/>
      <c r="B105" s="282" t="s">
        <v>76</v>
      </c>
      <c r="C105" s="283"/>
      <c r="D105" s="284" t="s">
        <v>28</v>
      </c>
      <c r="E105" s="285"/>
      <c r="F105" s="285"/>
      <c r="G105" s="285"/>
      <c r="H105" s="285"/>
      <c r="I105" s="286"/>
      <c r="J105" s="287" t="s">
        <v>77</v>
      </c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9"/>
      <c r="W105" s="287" t="s">
        <v>78</v>
      </c>
      <c r="X105" s="288"/>
      <c r="Y105" s="288"/>
      <c r="Z105" s="288"/>
      <c r="AA105" s="288"/>
      <c r="AB105" s="288"/>
      <c r="AC105" s="288"/>
      <c r="AD105" s="288"/>
      <c r="AE105" s="288"/>
      <c r="AF105" s="288"/>
      <c r="AG105" s="288"/>
      <c r="AH105" s="288"/>
      <c r="AI105" s="289"/>
      <c r="AJ105" s="287" t="s">
        <v>79</v>
      </c>
      <c r="AK105" s="288"/>
      <c r="AL105" s="288"/>
      <c r="AM105" s="288"/>
      <c r="AN105" s="288"/>
      <c r="AO105" s="288"/>
      <c r="AP105" s="288"/>
      <c r="AQ105" s="288"/>
      <c r="AR105" s="288"/>
      <c r="AS105" s="288"/>
      <c r="AT105" s="288"/>
      <c r="AU105" s="288"/>
      <c r="AV105" s="288"/>
      <c r="AW105" s="288"/>
      <c r="AX105" s="288"/>
      <c r="AY105" s="288"/>
      <c r="AZ105" s="288"/>
      <c r="BA105" s="288"/>
      <c r="BB105" s="289"/>
    </row>
    <row r="106" spans="1:54" s="57" customFormat="1">
      <c r="A106" s="29"/>
      <c r="B106" s="290">
        <v>1</v>
      </c>
      <c r="C106" s="291"/>
      <c r="D106" s="292" t="s">
        <v>80</v>
      </c>
      <c r="E106" s="293"/>
      <c r="F106" s="293"/>
      <c r="G106" s="293"/>
      <c r="H106" s="293"/>
      <c r="I106" s="294"/>
      <c r="J106" s="295" t="s">
        <v>81</v>
      </c>
      <c r="K106" s="296"/>
      <c r="L106" s="296"/>
      <c r="M106" s="296"/>
      <c r="N106" s="296"/>
      <c r="O106" s="296"/>
      <c r="P106" s="296"/>
      <c r="Q106" s="296"/>
      <c r="R106" s="296"/>
      <c r="S106" s="296"/>
      <c r="T106" s="296"/>
      <c r="U106" s="296"/>
      <c r="V106" s="297"/>
      <c r="W106" s="225" t="s">
        <v>82</v>
      </c>
      <c r="X106" s="226"/>
      <c r="Y106" s="226"/>
      <c r="Z106" s="226"/>
      <c r="AA106" s="226"/>
      <c r="AB106" s="226"/>
      <c r="AC106" s="226"/>
      <c r="AD106" s="226"/>
      <c r="AE106" s="226"/>
      <c r="AF106" s="226"/>
      <c r="AG106" s="226"/>
      <c r="AH106" s="226"/>
      <c r="AI106" s="227"/>
      <c r="AJ106" s="292" t="s">
        <v>83</v>
      </c>
      <c r="AK106" s="293"/>
      <c r="AL106" s="293"/>
      <c r="AM106" s="293"/>
      <c r="AN106" s="293"/>
      <c r="AO106" s="293"/>
      <c r="AP106" s="293"/>
      <c r="AQ106" s="293"/>
      <c r="AR106" s="293"/>
      <c r="AS106" s="293"/>
      <c r="AT106" s="293"/>
      <c r="AU106" s="293"/>
      <c r="AV106" s="293"/>
      <c r="AW106" s="293"/>
      <c r="AX106" s="293"/>
      <c r="AY106" s="293"/>
      <c r="AZ106" s="293"/>
      <c r="BA106" s="293"/>
      <c r="BB106" s="294"/>
    </row>
  </sheetData>
  <mergeCells count="177">
    <mergeCell ref="B80:C80"/>
    <mergeCell ref="D80:L80"/>
    <mergeCell ref="M80:V80"/>
    <mergeCell ref="W80:AE80"/>
    <mergeCell ref="B76:C76"/>
    <mergeCell ref="D76:L76"/>
    <mergeCell ref="M76:V76"/>
    <mergeCell ref="W76:AE76"/>
    <mergeCell ref="B105:C105"/>
    <mergeCell ref="D105:I105"/>
    <mergeCell ref="J105:V105"/>
    <mergeCell ref="W105:AI105"/>
    <mergeCell ref="AJ105:BB105"/>
    <mergeCell ref="B106:C106"/>
    <mergeCell ref="D106:I106"/>
    <mergeCell ref="J106:V106"/>
    <mergeCell ref="W106:AI106"/>
    <mergeCell ref="AJ106:BB106"/>
    <mergeCell ref="AF69:BB70"/>
    <mergeCell ref="AG92:AH92"/>
    <mergeCell ref="AI92:AP92"/>
    <mergeCell ref="AQ92:BB92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75:C75"/>
    <mergeCell ref="D75:L75"/>
    <mergeCell ref="M75:V75"/>
    <mergeCell ref="W75:AE75"/>
    <mergeCell ref="B77:C77"/>
    <mergeCell ref="D77:L77"/>
    <mergeCell ref="B69:C70"/>
    <mergeCell ref="B82:C82"/>
    <mergeCell ref="D82:L82"/>
    <mergeCell ref="M82:V82"/>
    <mergeCell ref="W82:AE82"/>
    <mergeCell ref="B85:C85"/>
    <mergeCell ref="D85:L85"/>
    <mergeCell ref="M85:V85"/>
    <mergeCell ref="W85:AE85"/>
    <mergeCell ref="B73:C73"/>
    <mergeCell ref="B84:C84"/>
    <mergeCell ref="D84:L84"/>
    <mergeCell ref="M84:V84"/>
    <mergeCell ref="W84:AE84"/>
    <mergeCell ref="B83:C83"/>
    <mergeCell ref="D69:L70"/>
    <mergeCell ref="M69:AE69"/>
    <mergeCell ref="M70:V70"/>
    <mergeCell ref="W70:AE70"/>
    <mergeCell ref="M77:V77"/>
    <mergeCell ref="W77:AE77"/>
    <mergeCell ref="B78:C78"/>
    <mergeCell ref="D78:L78"/>
    <mergeCell ref="M78:V78"/>
    <mergeCell ref="B92:C92"/>
    <mergeCell ref="D92:I92"/>
    <mergeCell ref="J92:O92"/>
    <mergeCell ref="P92:U92"/>
    <mergeCell ref="V92:W92"/>
    <mergeCell ref="X92:Z92"/>
    <mergeCell ref="AA92:AC92"/>
    <mergeCell ref="AD92:AF92"/>
    <mergeCell ref="AI94:AP94"/>
    <mergeCell ref="AI93:AP93"/>
    <mergeCell ref="B93:C93"/>
    <mergeCell ref="D93:I93"/>
    <mergeCell ref="J93:O93"/>
    <mergeCell ref="P93:U93"/>
    <mergeCell ref="V93:W93"/>
    <mergeCell ref="X93:Z93"/>
    <mergeCell ref="AA93:AC93"/>
    <mergeCell ref="AD93:AF93"/>
    <mergeCell ref="AG93:AH93"/>
    <mergeCell ref="B72:C72"/>
    <mergeCell ref="D72:L72"/>
    <mergeCell ref="M72:V72"/>
    <mergeCell ref="W72:AE72"/>
    <mergeCell ref="B89:BB90"/>
    <mergeCell ref="D73:L73"/>
    <mergeCell ref="M73:V73"/>
    <mergeCell ref="W73:AE73"/>
    <mergeCell ref="B86:C86"/>
    <mergeCell ref="D86:L86"/>
    <mergeCell ref="M86:V86"/>
    <mergeCell ref="W86:AE86"/>
    <mergeCell ref="D83:L83"/>
    <mergeCell ref="M83:V83"/>
    <mergeCell ref="W83:AE83"/>
    <mergeCell ref="W78:AE78"/>
    <mergeCell ref="B79:C79"/>
    <mergeCell ref="D79:L79"/>
    <mergeCell ref="M79:V79"/>
    <mergeCell ref="W79:AE79"/>
    <mergeCell ref="B94:C94"/>
    <mergeCell ref="D94:I94"/>
    <mergeCell ref="J94:O94"/>
    <mergeCell ref="P94:U94"/>
    <mergeCell ref="V94:W94"/>
    <mergeCell ref="X94:Z94"/>
    <mergeCell ref="AA94:AC94"/>
    <mergeCell ref="AD94:AF94"/>
    <mergeCell ref="AG94:AH94"/>
    <mergeCell ref="X95:Z95"/>
    <mergeCell ref="AA95:AC95"/>
    <mergeCell ref="AD95:AF95"/>
    <mergeCell ref="AG95:AH95"/>
    <mergeCell ref="AI95:AP95"/>
    <mergeCell ref="B95:C95"/>
    <mergeCell ref="D95:I95"/>
    <mergeCell ref="J95:O95"/>
    <mergeCell ref="P95:U95"/>
    <mergeCell ref="V95:W95"/>
    <mergeCell ref="X96:Z96"/>
    <mergeCell ref="AA96:AC96"/>
    <mergeCell ref="AD96:AF96"/>
    <mergeCell ref="AG96:AH96"/>
    <mergeCell ref="AI96:AP96"/>
    <mergeCell ref="B96:C96"/>
    <mergeCell ref="D96:I96"/>
    <mergeCell ref="J96:O96"/>
    <mergeCell ref="P96:U96"/>
    <mergeCell ref="V96:W96"/>
    <mergeCell ref="X97:Z97"/>
    <mergeCell ref="AA97:AC97"/>
    <mergeCell ref="AD97:AF97"/>
    <mergeCell ref="AG97:AH97"/>
    <mergeCell ref="AI97:AP97"/>
    <mergeCell ref="B97:C97"/>
    <mergeCell ref="D97:I97"/>
    <mergeCell ref="J97:O97"/>
    <mergeCell ref="P97:U97"/>
    <mergeCell ref="V97:W97"/>
    <mergeCell ref="X98:Z98"/>
    <mergeCell ref="AA98:AC98"/>
    <mergeCell ref="AD98:AF98"/>
    <mergeCell ref="AG98:AH98"/>
    <mergeCell ref="AI98:AP98"/>
    <mergeCell ref="B98:C98"/>
    <mergeCell ref="D98:I98"/>
    <mergeCell ref="J98:O98"/>
    <mergeCell ref="P98:U98"/>
    <mergeCell ref="V98:W98"/>
    <mergeCell ref="AI101:AP101"/>
    <mergeCell ref="AQ99:BB99"/>
    <mergeCell ref="AQ101:BB101"/>
    <mergeCell ref="AI99:AP100"/>
    <mergeCell ref="AQ100:BB100"/>
    <mergeCell ref="B99:C100"/>
    <mergeCell ref="D99:I100"/>
    <mergeCell ref="J99:O100"/>
    <mergeCell ref="P99:U100"/>
    <mergeCell ref="V99:W100"/>
    <mergeCell ref="X99:Z100"/>
    <mergeCell ref="AA99:AC100"/>
    <mergeCell ref="AD99:AF100"/>
    <mergeCell ref="AG99:AH100"/>
    <mergeCell ref="B101:C101"/>
    <mergeCell ref="D101:I101"/>
    <mergeCell ref="J101:O101"/>
    <mergeCell ref="P101:U101"/>
    <mergeCell ref="V101:W101"/>
    <mergeCell ref="X101:Z101"/>
    <mergeCell ref="AA101:AC101"/>
    <mergeCell ref="AD101:AF101"/>
    <mergeCell ref="AG101:AH101"/>
  </mergeCells>
  <phoneticPr fontId="1"/>
  <pageMargins left="0.23622047244094491" right="0.23622047244094491" top="0.55118110236220474" bottom="0.74803149606299213" header="0.31496062992125984" footer="0.31496062992125984"/>
  <pageSetup paperSize="9" scale="53" orientation="landscape" r:id="rId1"/>
  <headerFooter>
    <oddFooter>&amp;C&amp;8&amp;P / &amp;N ページ</oddFooter>
  </headerFooter>
  <rowBreaks count="1" manualBreakCount="1">
    <brk id="66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見積もり情報編集画面（管理者権限）</vt:lpstr>
      <vt:lpstr>'見積もり情報編集画面（管理者権限）'!Print_Area</vt:lpstr>
      <vt:lpstr>更新履歴!Print_Area</vt:lpstr>
      <vt:lpstr>'見積もり情報編集画面（管理者権限）'!Print_Titles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2019-11-07T05:44:50Z</dcterms:modified>
</cp:coreProperties>
</file>