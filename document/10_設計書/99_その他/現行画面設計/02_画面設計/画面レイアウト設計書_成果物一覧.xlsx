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4660DE5F-3357-4466-A819-BF0169A8EE7E}" xr6:coauthVersionLast="45" xr6:coauthVersionMax="45" xr10:uidLastSave="{00000000-0000-0000-0000-000000000000}"/>
  <bookViews>
    <workbookView xWindow="-120" yWindow="-120" windowWidth="29040" windowHeight="15840" tabRatio="807" xr2:uid="{00000000-000D-0000-FFFF-FFFF00000000}"/>
  </bookViews>
  <sheets>
    <sheet name="表紙" sheetId="4" r:id="rId1"/>
    <sheet name="更新履歴" sheetId="5" r:id="rId2"/>
    <sheet name="成果物一覧画面（管理者権限）" sheetId="49" r:id="rId3"/>
    <sheet name="成果物一覧画面（講師権限）" sheetId="50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更新履歴!$A$1:$BC$32</definedName>
    <definedName name="_xlnm.Print_Area" localSheetId="2">'成果物一覧画面（管理者権限）'!$A$1:$BD$150</definedName>
    <definedName name="_xlnm.Print_Area" localSheetId="3">'成果物一覧画面（講師権限）'!$A$1:$BC$152</definedName>
    <definedName name="_xlnm.Print_Titles" localSheetId="2">'成果物一覧画面（管理者権限）'!$1:$4</definedName>
    <definedName name="_xlnm.Print_Titles" localSheetId="3">'成果物一覧画面（講師権限）'!$1:$4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" i="50" l="1"/>
  <c r="J2" i="50"/>
  <c r="A2" i="50"/>
  <c r="R1" i="50"/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<sst xmlns="http://schemas.openxmlformats.org/spreadsheetml/2006/main" count="620" uniqueCount="137">
  <si>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</si>
  <si>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</si>
  <si>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</si>
  <si>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</si>
  <si>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</si>
  <si>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</si>
  <si>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</si>
  <si>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</si>
  <si>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</si>
  <si>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</si>
  <si>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</si>
  <si>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</si>
  <si>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</si>
  <si>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</si>
  <si>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</si>
  <si>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</si>
  <si>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</si>
  <si>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</si>
  <si>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</si>
  <si>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</si>
  <si>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</si>
  <si>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</si>
  <si>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</si>
  <si>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</si>
  <si>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</si>
  <si>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</si>
  <si>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</si>
  <si>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</si>
  <si>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</si>
  <si>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</si>
  <si>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</si>
  <si>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</si>
  <si>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</si>
  <si>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</si>
  <si>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</si>
  <si>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</si>
  <si>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</si>
  <si>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</si>
  <si>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</si>
  <si>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</si>
  <si>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</si>
  <si>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LMS学習管理システム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</si>
  <si>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</si>
  <si>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</si>
  <si>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</si>
  <si>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セクションID</t>
    <phoneticPr fontId="1"/>
  </si>
  <si>
    <t>セレクトボックス</t>
    <phoneticPr fontId="1"/>
  </si>
  <si>
    <t>送信ボタン</t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</si>
  <si>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</si>
  <si>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</si>
  <si>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成果物名</t>
    <rPh sb="0" eb="3">
      <t>セイカブツ</t>
    </rPh>
    <rPh sb="3" eb="4">
      <t>メイ</t>
    </rPh>
    <phoneticPr fontId="1"/>
  </si>
  <si>
    <t>検索条件</t>
    <rPh sb="0" eb="2">
      <t>ケンサク</t>
    </rPh>
    <rPh sb="2" eb="4">
      <t>ジョウケン</t>
    </rPh>
    <phoneticPr fontId="1"/>
  </si>
  <si>
    <t>会場名</t>
    <rPh sb="0" eb="2">
      <t>カイジョウ</t>
    </rPh>
    <rPh sb="2" eb="3">
      <t>メイ</t>
    </rPh>
    <phoneticPr fontId="1"/>
  </si>
  <si>
    <t>データリスト</t>
    <phoneticPr fontId="1"/>
  </si>
  <si>
    <t>成果物一覧</t>
    <rPh sb="0" eb="3">
      <t>セイカブツ</t>
    </rPh>
    <rPh sb="3" eb="5">
      <t>イチラン</t>
    </rPh>
    <phoneticPr fontId="1"/>
  </si>
  <si>
    <t>チェックボックス</t>
    <phoneticPr fontId="1"/>
  </si>
  <si>
    <t>チェック付与でボタン機能の対象</t>
    <rPh sb="10" eb="12">
      <t>キノウ</t>
    </rPh>
    <phoneticPr fontId="1"/>
  </si>
  <si>
    <t>ユーザ名</t>
    <rPh sb="3" eb="4">
      <t>メイ</t>
    </rPh>
    <phoneticPr fontId="1"/>
  </si>
  <si>
    <t>コース名</t>
    <rPh sb="3" eb="4">
      <t>メイ</t>
    </rPh>
    <phoneticPr fontId="1"/>
  </si>
  <si>
    <t>企業名</t>
    <rPh sb="0" eb="2">
      <t>キギョウ</t>
    </rPh>
    <rPh sb="2" eb="3">
      <t>メイ</t>
    </rPh>
    <phoneticPr fontId="1"/>
  </si>
  <si>
    <t>会場</t>
    <rPh sb="0" eb="2">
      <t>カイジョウ</t>
    </rPh>
    <phoneticPr fontId="1"/>
  </si>
  <si>
    <t>提出期限</t>
    <rPh sb="0" eb="2">
      <t>テイシュツ</t>
    </rPh>
    <rPh sb="2" eb="4">
      <t>キゲン</t>
    </rPh>
    <phoneticPr fontId="1"/>
  </si>
  <si>
    <t>採点</t>
    <rPh sb="0" eb="2">
      <t>サイテン</t>
    </rPh>
    <phoneticPr fontId="1"/>
  </si>
  <si>
    <t>◆『チェックした成果物を一括ダウンロード』ボタン押下時</t>
    <rPh sb="8" eb="11">
      <t>セイカブツ</t>
    </rPh>
    <rPh sb="12" eb="14">
      <t>イッカツ</t>
    </rPh>
    <phoneticPr fontId="1"/>
  </si>
  <si>
    <t>◆『表示している採点を反映』ボタン押下時</t>
    <rPh sb="2" eb="4">
      <t>ヒョウジ</t>
    </rPh>
    <rPh sb="8" eb="10">
      <t>サイテン</t>
    </rPh>
    <rPh sb="11" eb="13">
      <t>ハンエイ</t>
    </rPh>
    <phoneticPr fontId="1"/>
  </si>
  <si>
    <t>提出済の場合：提出時間を表示、未提出の場合：空表示</t>
    <rPh sb="0" eb="2">
      <t>テイシュツ</t>
    </rPh>
    <rPh sb="2" eb="3">
      <t>スミ</t>
    </rPh>
    <rPh sb="4" eb="6">
      <t>バアイ</t>
    </rPh>
    <rPh sb="7" eb="9">
      <t>テイシュツ</t>
    </rPh>
    <rPh sb="9" eb="11">
      <t>ジカン</t>
    </rPh>
    <rPh sb="12" eb="14">
      <t>ヒョウジ</t>
    </rPh>
    <rPh sb="15" eb="18">
      <t>ミテイシュツ</t>
    </rPh>
    <rPh sb="19" eb="21">
      <t>バアイ</t>
    </rPh>
    <rPh sb="22" eb="23">
      <t>カラ</t>
    </rPh>
    <rPh sb="23" eb="25">
      <t>ヒョウジ</t>
    </rPh>
    <phoneticPr fontId="1"/>
  </si>
  <si>
    <t>チェックした成果物を一括ダウンロード</t>
    <rPh sb="6" eb="9">
      <t>セイカブツ</t>
    </rPh>
    <rPh sb="10" eb="12">
      <t>イッカツ</t>
    </rPh>
    <phoneticPr fontId="1"/>
  </si>
  <si>
    <t>表示している採点を反映</t>
    <phoneticPr fontId="1"/>
  </si>
  <si>
    <t>◆『チェックした成果物を削除』ボタン押下時</t>
    <rPh sb="8" eb="11">
      <t>セイカブツ</t>
    </rPh>
    <rPh sb="12" eb="14">
      <t>サクジョ</t>
    </rPh>
    <phoneticPr fontId="1"/>
  </si>
  <si>
    <t>チェックした成果物を削除</t>
    <rPh sb="6" eb="9">
      <t>セイカブツ</t>
    </rPh>
    <rPh sb="10" eb="12">
      <t>サクジョ</t>
    </rPh>
    <phoneticPr fontId="1"/>
  </si>
  <si>
    <t>講師に紐付く会場名を非活性で表示</t>
    <rPh sb="0" eb="2">
      <t>コウシ</t>
    </rPh>
    <rPh sb="3" eb="4">
      <t>ヒモ</t>
    </rPh>
    <rPh sb="4" eb="5">
      <t>ツ</t>
    </rPh>
    <rPh sb="6" eb="8">
      <t>カイジョウ</t>
    </rPh>
    <rPh sb="8" eb="9">
      <t>メイ</t>
    </rPh>
    <rPh sb="10" eb="11">
      <t>ヒ</t>
    </rPh>
    <rPh sb="11" eb="13">
      <t>カッセイ</t>
    </rPh>
    <rPh sb="14" eb="16">
      <t>ヒョウジ</t>
    </rPh>
    <phoneticPr fontId="1"/>
  </si>
  <si>
    <t>◆『検索』押下時</t>
    <rPh sb="2" eb="4">
      <t>ケンサク</t>
    </rPh>
    <rPh sb="5" eb="7">
      <t>オウカ</t>
    </rPh>
    <rPh sb="7" eb="8">
      <t>ジ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</si>
  <si>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</si>
  <si>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</si>
  <si>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検索</t>
    <phoneticPr fontId="1"/>
  </si>
  <si>
    <t>送信ボタン</t>
    <phoneticPr fontId="1"/>
  </si>
  <si>
    <t>-</t>
  </si>
  <si>
    <t>search</t>
    <phoneticPr fontId="1"/>
  </si>
  <si>
    <t>deliverablesName</t>
    <phoneticPr fontId="1"/>
  </si>
  <si>
    <t>placeName</t>
    <phoneticPr fontId="1"/>
  </si>
  <si>
    <t>成果物ID</t>
    <phoneticPr fontId="1"/>
  </si>
  <si>
    <t>lms_userId</t>
    <phoneticPr fontId="1"/>
  </si>
  <si>
    <t>deliverablesId</t>
    <phoneticPr fontId="1"/>
  </si>
  <si>
    <t>チェックした成果物を一括ダウンロード</t>
    <phoneticPr fontId="1"/>
  </si>
  <si>
    <t>ダウンロード総量が500MB以上の場合</t>
    <rPh sb="6" eb="8">
      <t>ソウリョウ</t>
    </rPh>
    <rPh sb="14" eb="16">
      <t>イジョウ</t>
    </rPh>
    <rPh sb="17" eb="19">
      <t>バアイ</t>
    </rPh>
    <phoneticPr fontId="1"/>
  </si>
  <si>
    <t>エラー文を表示</t>
    <rPh sb="3" eb="4">
      <t>ブン</t>
    </rPh>
    <rPh sb="5" eb="7">
      <t>ヒョウジ</t>
    </rPh>
    <phoneticPr fontId="1"/>
  </si>
  <si>
    <t>ダウロードしようとしたデータ量が大きすぎます。チェックを減らしてください。</t>
    <rPh sb="14" eb="15">
      <t>リョウ</t>
    </rPh>
    <rPh sb="16" eb="17">
      <t>オオ</t>
    </rPh>
    <rPh sb="28" eb="29">
      <t>ヘ</t>
    </rPh>
    <phoneticPr fontId="1"/>
  </si>
  <si>
    <t>LMSユーザID</t>
    <phoneticPr fontId="1"/>
  </si>
  <si>
    <t>lmsUserId</t>
    <phoneticPr fontId="1"/>
  </si>
  <si>
    <t>成果物・セクション紐付けID</t>
    <phoneticPr fontId="1"/>
  </si>
  <si>
    <t>deliverablesSectionId</t>
    <phoneticPr fontId="1"/>
  </si>
  <si>
    <t>user_name</t>
    <phoneticPr fontId="1"/>
  </si>
  <si>
    <t>course_name</t>
    <phoneticPr fontId="1"/>
  </si>
  <si>
    <t>m_course</t>
    <phoneticPr fontId="1"/>
  </si>
  <si>
    <t>m_company</t>
    <phoneticPr fontId="1"/>
  </si>
  <si>
    <t>company_name</t>
    <phoneticPr fontId="1"/>
  </si>
  <si>
    <t>m_place</t>
    <phoneticPr fontId="1"/>
  </si>
  <si>
    <t>place_name</t>
    <phoneticPr fontId="1"/>
  </si>
  <si>
    <t>submission_time</t>
    <phoneticPr fontId="1"/>
  </si>
  <si>
    <t>t_deliverables_result</t>
    <phoneticPr fontId="1"/>
  </si>
  <si>
    <t>score</t>
    <phoneticPr fontId="1"/>
  </si>
  <si>
    <t>deliverables_name</t>
    <phoneticPr fontId="1"/>
  </si>
  <si>
    <t>m_deliverables</t>
    <phoneticPr fontId="1"/>
  </si>
  <si>
    <t>成果物の提出期限より遅れて提出されている場合、背景色を変更して表示</t>
    <phoneticPr fontId="1"/>
  </si>
  <si>
    <t>成果物が採点無し設定されている場合非表示</t>
    <rPh sb="0" eb="2">
      <t>セイカ</t>
    </rPh>
    <rPh sb="2" eb="3">
      <t>ブツ</t>
    </rPh>
    <rPh sb="4" eb="6">
      <t>サイテン</t>
    </rPh>
    <rPh sb="6" eb="7">
      <t>ナ</t>
    </rPh>
    <rPh sb="8" eb="10">
      <t>セッテイ</t>
    </rPh>
    <rPh sb="15" eb="17">
      <t>バアイ</t>
    </rPh>
    <rPh sb="17" eb="20">
      <t>ヒヒョウジ</t>
    </rPh>
    <phoneticPr fontId="1"/>
  </si>
  <si>
    <t>成果物結果ID</t>
    <rPh sb="0" eb="3">
      <t>セイカブツ</t>
    </rPh>
    <rPh sb="3" eb="5">
      <t>ケッカ</t>
    </rPh>
    <phoneticPr fontId="1"/>
  </si>
  <si>
    <t>deliverablesResult_id</t>
    <phoneticPr fontId="1"/>
  </si>
  <si>
    <t>sectionId</t>
    <phoneticPr fontId="1"/>
  </si>
  <si>
    <t>全角文字</t>
    <rPh sb="0" eb="2">
      <t>ゼンカク</t>
    </rPh>
    <rPh sb="2" eb="4">
      <t>モジ</t>
    </rPh>
    <phoneticPr fontId="1"/>
  </si>
  <si>
    <t>採点</t>
    <phoneticPr fontId="1"/>
  </si>
  <si>
    <t>13期12月対応</t>
    <phoneticPr fontId="1"/>
  </si>
  <si>
    <t>【13期12月対応】
内部レビュー対応</t>
    <phoneticPr fontId="1"/>
  </si>
  <si>
    <t>【13期1月対応】
画面イメージ修正</t>
    <rPh sb="10" eb="12">
      <t>ガメン</t>
    </rPh>
    <rPh sb="16" eb="18">
      <t>シュウセイ</t>
    </rPh>
    <phoneticPr fontId="1"/>
  </si>
  <si>
    <t>谷口</t>
    <rPh sb="0" eb="2">
      <t>タニグチ</t>
    </rPh>
    <phoneticPr fontId="1"/>
  </si>
  <si>
    <t>フィードバック</t>
    <phoneticPr fontId="1"/>
  </si>
  <si>
    <t>feedback</t>
    <phoneticPr fontId="1"/>
  </si>
  <si>
    <t>◆『入力』ボタン押下時</t>
    <rPh sb="2" eb="4">
      <t>ニュウリョク</t>
    </rPh>
    <phoneticPr fontId="1"/>
  </si>
  <si>
    <t>全て</t>
    <rPh sb="0" eb="1">
      <t>スベ</t>
    </rPh>
    <phoneticPr fontId="1"/>
  </si>
  <si>
    <t>谷口</t>
    <rPh sb="0" eb="2">
      <t>タニグチ</t>
    </rPh>
    <phoneticPr fontId="1"/>
  </si>
  <si>
    <t>【13期1月対応】
フィードバック追加対応反映</t>
    <rPh sb="17" eb="19">
      <t>ツイカ</t>
    </rPh>
    <rPh sb="19" eb="21">
      <t>タイオウ</t>
    </rPh>
    <rPh sb="21" eb="23">
      <t>ハンエイ</t>
    </rPh>
    <phoneticPr fontId="1"/>
  </si>
  <si>
    <t>遷移なし</t>
    <rPh sb="0" eb="2">
      <t>センイ</t>
    </rPh>
    <phoneticPr fontId="1"/>
  </si>
  <si>
    <t>表示している評価内容を反映</t>
    <rPh sb="6" eb="8">
      <t>ヒョウカ</t>
    </rPh>
    <rPh sb="8" eb="10">
      <t>ナイヨウ</t>
    </rPh>
    <phoneticPr fontId="1"/>
  </si>
  <si>
    <t>updateScore</t>
    <phoneticPr fontId="1"/>
  </si>
  <si>
    <t>delete</t>
    <phoneticPr fontId="1"/>
  </si>
  <si>
    <t>記載済みの場合は背景色を変更する、未提出の場合は「未提出」と表示</t>
    <rPh sb="0" eb="2">
      <t>キサイ</t>
    </rPh>
    <rPh sb="2" eb="3">
      <t>ズ</t>
    </rPh>
    <rPh sb="5" eb="7">
      <t>バアイ</t>
    </rPh>
    <rPh sb="8" eb="11">
      <t>ハイケイショク</t>
    </rPh>
    <rPh sb="12" eb="14">
      <t>ヘンコウ</t>
    </rPh>
    <rPh sb="17" eb="20">
      <t>ミテイシュツ</t>
    </rPh>
    <rPh sb="21" eb="23">
      <t>バアイ</t>
    </rPh>
    <rPh sb="25" eb="28">
      <t>ミテイシュツ</t>
    </rPh>
    <rPh sb="30" eb="32">
      <t>ヒョウジ</t>
    </rPh>
    <phoneticPr fontId="1"/>
  </si>
  <si>
    <t>成果物がフィードバック無し設定されている場合「入力なし」と表示</t>
    <rPh sb="0" eb="2">
      <t>セイカ</t>
    </rPh>
    <rPh sb="2" eb="3">
      <t>ブツ</t>
    </rPh>
    <rPh sb="11" eb="12">
      <t>ナ</t>
    </rPh>
    <rPh sb="13" eb="15">
      <t>セッテイ</t>
    </rPh>
    <rPh sb="20" eb="22">
      <t>バアイ</t>
    </rPh>
    <rPh sb="23" eb="25">
      <t>ニュウリョク</t>
    </rPh>
    <rPh sb="29" eb="31">
      <t>ヒョウジ</t>
    </rPh>
    <phoneticPr fontId="1"/>
  </si>
  <si>
    <t>成果物が採点無し設定されている場合「入力なし」と表示</t>
    <rPh sb="0" eb="2">
      <t>セイカ</t>
    </rPh>
    <rPh sb="2" eb="3">
      <t>ブツ</t>
    </rPh>
    <rPh sb="4" eb="6">
      <t>サイテン</t>
    </rPh>
    <rPh sb="6" eb="7">
      <t>ナ</t>
    </rPh>
    <rPh sb="8" eb="10">
      <t>セッテイ</t>
    </rPh>
    <rPh sb="15" eb="17">
      <t>バアイ</t>
    </rPh>
    <rPh sb="18" eb="20">
      <t>ニュウリョク</t>
    </rPh>
    <rPh sb="24" eb="26">
      <t>ヒョウジ</t>
    </rPh>
    <phoneticPr fontId="1"/>
  </si>
  <si>
    <t>提出済の場合：「0～100」と「採点対象外」の値を持つプルダウンを表示、未提出の場合：「未提出」と表示</t>
    <rPh sb="0" eb="2">
      <t>テイシュツ</t>
    </rPh>
    <rPh sb="2" eb="3">
      <t>スミ</t>
    </rPh>
    <rPh sb="4" eb="6">
      <t>バアイ</t>
    </rPh>
    <rPh sb="16" eb="18">
      <t>サイテン</t>
    </rPh>
    <rPh sb="18" eb="21">
      <t>タイショウガイ</t>
    </rPh>
    <rPh sb="23" eb="24">
      <t>アタイ</t>
    </rPh>
    <rPh sb="25" eb="26">
      <t>モ</t>
    </rPh>
    <rPh sb="33" eb="35">
      <t>ヒョウジ</t>
    </rPh>
    <rPh sb="36" eb="39">
      <t>ミテイシュツ</t>
    </rPh>
    <rPh sb="40" eb="42">
      <t>バアイ</t>
    </rPh>
    <rPh sb="44" eb="47">
      <t>ミテイシュツ</t>
    </rPh>
    <rPh sb="49" eb="51">
      <t>ヒョウジ</t>
    </rPh>
    <phoneticPr fontId="1"/>
  </si>
  <si>
    <t>提出済の場合：「0～100」と「採点対象外」の値を持つプルダウンを表示、未提出の場合：「未提出」と表示</t>
  </si>
  <si>
    <t>成果物が採点無し設定されている場合「入力なし」と表示</t>
  </si>
  <si>
    <t>記載済みの場合は背景色を変更する、未提出の場合は「未提出」と表示</t>
  </si>
  <si>
    <t>成果物がフィードバック無し設定されている場合「入力なし」と表示</t>
  </si>
  <si>
    <t>download</t>
    <phoneticPr fontId="1"/>
  </si>
  <si>
    <t>全て</t>
    <rPh sb="0" eb="1">
      <t>スベ</t>
    </rPh>
    <phoneticPr fontId="1"/>
  </si>
  <si>
    <t>谷口</t>
    <rPh sb="0" eb="2">
      <t>タニグチ</t>
    </rPh>
    <phoneticPr fontId="1"/>
  </si>
  <si>
    <t>【13期1月対応】
○製造後修正
ボタン文言修正「表示している採点を反映」→「表示している評価内容を反映」
入力フラグがfalseの場合、表示なしではなく「入力なし」の文言を表示するよう修正</t>
    <rPh sb="11" eb="13">
      <t>セイゾウ</t>
    </rPh>
    <rPh sb="13" eb="14">
      <t>ゴ</t>
    </rPh>
    <rPh sb="14" eb="16">
      <t>シュウセイ</t>
    </rPh>
    <rPh sb="20" eb="22">
      <t>モンゴン</t>
    </rPh>
    <rPh sb="22" eb="24">
      <t>シュウセイ</t>
    </rPh>
    <rPh sb="25" eb="27">
      <t>ヒョウジ</t>
    </rPh>
    <rPh sb="31" eb="33">
      <t>サイテン</t>
    </rPh>
    <rPh sb="34" eb="36">
      <t>ハンエイ</t>
    </rPh>
    <rPh sb="39" eb="41">
      <t>ヒョウジ</t>
    </rPh>
    <rPh sb="45" eb="47">
      <t>ヒョウカ</t>
    </rPh>
    <rPh sb="47" eb="49">
      <t>ナイヨウ</t>
    </rPh>
    <rPh sb="50" eb="52">
      <t>ハンエイ</t>
    </rPh>
    <rPh sb="54" eb="56">
      <t>ニュウリョク</t>
    </rPh>
    <rPh sb="66" eb="68">
      <t>バアイ</t>
    </rPh>
    <rPh sb="69" eb="71">
      <t>ヒョウジ</t>
    </rPh>
    <rPh sb="78" eb="80">
      <t>ニュウリョク</t>
    </rPh>
    <rPh sb="84" eb="86">
      <t>モンゴン</t>
    </rPh>
    <rPh sb="87" eb="89">
      <t>ヒョウジ</t>
    </rPh>
    <rPh sb="93" eb="95">
      <t>シュウセイ</t>
    </rPh>
    <phoneticPr fontId="1"/>
  </si>
  <si>
    <t>フィードバックコメントの入力が可能なダイアログを表示する</t>
    <rPh sb="12" eb="14">
      <t>ニュウリョク</t>
    </rPh>
    <rPh sb="15" eb="17">
      <t>カノウ</t>
    </rPh>
    <rPh sb="24" eb="26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</si>
</sst>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name val="メイリオ"/>
      <family val="3"/>
      <charset val="128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1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91" applyNumberFormat="0" applyProtection="0">
      <alignment vertical="center"/>
    </xf>
    <xf numFmtId="0" fontId="19" fillId="8" borderId="93" applyNumberFormat="0" applyProtection="0">
      <alignment vertical="center"/>
    </xf>
    <xf numFmtId="0" fontId="18" fillId="0" borderId="95" applyNumberFormat="0" applyFill="0" applyProtection="0">
      <alignment vertical="center"/>
    </xf>
    <xf numFmtId="0" fontId="13" fillId="8" borderId="91" applyNumberFormat="0" applyProtection="0">
      <alignment vertical="center"/>
    </xf>
    <xf numFmtId="0" fontId="2" fillId="10" borderId="92" applyNumberFormat="0" applyProtection="0">
      <alignment vertical="center"/>
    </xf>
    <xf numFmtId="0" fontId="46" fillId="0" borderId="94" applyNumberFormat="0" applyFill="0" applyProtection="0">
      <alignment vertical="center"/>
    </xf>
    <xf numFmtId="0" fontId="44" fillId="20" borderId="93" applyNumberFormat="0" applyProtection="0">
      <alignment vertical="center"/>
    </xf>
    <xf numFmtId="0" fontId="2" fillId="10" borderId="92" applyNumberFormat="0" applyProtection="0">
      <alignment vertical="center"/>
    </xf>
    <xf numFmtId="0" fontId="41" fillId="7" borderId="91" applyNumberFormat="0" applyProtection="0">
      <alignment vertical="center"/>
    </xf>
    <xf numFmtId="0" fontId="33" fillId="20" borderId="85" applyNumberFormat="0" applyProtection="0">
      <alignment vertical="center"/>
    </xf>
    <xf numFmtId="0" fontId="33" fillId="20" borderId="91" applyNumberFormat="0" applyProtection="0">
      <alignment vertical="center"/>
    </xf>
    <xf numFmtId="0" fontId="41" fillId="7" borderId="85" applyNumberFormat="0" applyProtection="0">
      <alignment vertical="center"/>
    </xf>
    <xf numFmtId="0" fontId="2" fillId="10" borderId="86" applyNumberFormat="0" applyProtection="0">
      <alignment vertical="center"/>
    </xf>
    <xf numFmtId="0" fontId="44" fillId="20" borderId="87" applyNumberFormat="0" applyProtection="0">
      <alignment vertical="center"/>
    </xf>
    <xf numFmtId="0" fontId="46" fillId="0" borderId="88" applyNumberFormat="0" applyFill="0" applyProtection="0">
      <alignment vertical="center"/>
    </xf>
    <xf numFmtId="0" fontId="2" fillId="10" borderId="86" applyNumberFormat="0" applyProtection="0">
      <alignment vertical="center"/>
    </xf>
    <xf numFmtId="0" fontId="13" fillId="8" borderId="85" applyNumberFormat="0" applyProtection="0">
      <alignment vertical="center"/>
    </xf>
    <xf numFmtId="0" fontId="18" fillId="0" borderId="89" applyNumberFormat="0" applyFill="0" applyProtection="0">
      <alignment vertical="center"/>
    </xf>
    <xf numFmtId="0" fontId="19" fillId="8" borderId="87" applyNumberFormat="0" applyProtection="0">
      <alignment vertical="center"/>
    </xf>
    <xf numFmtId="0" fontId="48" fillId="3" borderId="85" applyNumberFormat="0" applyProtection="0">
      <alignment vertical="center"/>
    </xf>
    <xf numFmtId="0" fontId="2" fillId="0" borderId="0">
      <alignment vertical="center"/>
    </xf>
  </cellStyleXfs>
  <cellXfs count="414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3" fillId="0" borderId="78" xfId="0" applyFont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4" fillId="0" borderId="0" xfId="0" applyFont="1" applyBorder="1">
      <alignment vertical="center"/>
    </xf>
    <xf numFmtId="0" fontId="53" fillId="0" borderId="77" xfId="0" applyFont="1" applyBorder="1" applyAlignment="1">
      <alignment horizontal="left" vertical="top"/>
    </xf>
    <xf numFmtId="0" fontId="53" fillId="0" borderId="78" xfId="0" applyFont="1" applyBorder="1" applyAlignment="1">
      <alignment horizontal="left" vertical="top"/>
    </xf>
    <xf numFmtId="0" fontId="53" fillId="0" borderId="76" xfId="0" applyFont="1" applyBorder="1" applyAlignment="1">
      <alignment horizontal="left" vertical="top"/>
    </xf>
    <xf numFmtId="0" fontId="55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53" fillId="33" borderId="72" xfId="0" applyFont="1" applyFill="1" applyBorder="1" applyAlignment="1">
      <alignment vertical="center"/>
    </xf>
    <xf numFmtId="0" fontId="53" fillId="33" borderId="31" xfId="0" applyFont="1" applyFill="1" applyBorder="1" applyAlignment="1">
      <alignment vertical="center"/>
    </xf>
    <xf numFmtId="0" fontId="55" fillId="33" borderId="73" xfId="0" applyFont="1" applyFill="1" applyBorder="1">
      <alignment vertical="center"/>
    </xf>
    <xf numFmtId="0" fontId="55" fillId="0" borderId="73" xfId="0" applyFont="1" applyBorder="1">
      <alignment vertical="center"/>
    </xf>
    <xf numFmtId="0" fontId="53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horizontal="left" vertical="top"/>
    </xf>
    <xf numFmtId="0" fontId="55" fillId="0" borderId="0" xfId="0" applyFont="1">
      <alignment vertical="center"/>
    </xf>
    <xf numFmtId="0" fontId="55" fillId="30" borderId="0" xfId="0" applyFont="1" applyFill="1" applyBorder="1">
      <alignment vertical="center"/>
    </xf>
    <xf numFmtId="0" fontId="57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53" fillId="32" borderId="0" xfId="0" applyFont="1" applyFill="1" applyBorder="1" applyAlignment="1">
      <alignment vertical="center"/>
    </xf>
    <xf numFmtId="0" fontId="53" fillId="32" borderId="77" xfId="0" applyFont="1" applyFill="1" applyBorder="1" applyAlignment="1">
      <alignment vertical="top"/>
    </xf>
    <xf numFmtId="0" fontId="53" fillId="32" borderId="78" xfId="0" applyFont="1" applyFill="1" applyBorder="1" applyAlignment="1">
      <alignment vertical="top" wrapText="1"/>
    </xf>
    <xf numFmtId="0" fontId="53" fillId="32" borderId="76" xfId="0" applyFont="1" applyFill="1" applyBorder="1" applyAlignment="1">
      <alignment horizontal="left" vertical="top" wrapText="1"/>
    </xf>
    <xf numFmtId="0" fontId="53" fillId="32" borderId="0" xfId="0" applyFont="1" applyFill="1" applyBorder="1" applyAlignment="1">
      <alignment horizontal="left" vertical="top"/>
    </xf>
    <xf numFmtId="0" fontId="56" fillId="0" borderId="0" xfId="0" applyFont="1" applyBorder="1" applyAlignment="1">
      <alignment horizontal="left" vertical="center"/>
    </xf>
    <xf numFmtId="0" fontId="53" fillId="32" borderId="0" xfId="0" applyFont="1" applyFill="1" applyBorder="1" applyAlignment="1">
      <alignment horizontal="left" vertical="center"/>
    </xf>
    <xf numFmtId="0" fontId="53" fillId="32" borderId="75" xfId="0" applyFont="1" applyFill="1" applyBorder="1" applyAlignment="1">
      <alignment vertical="center"/>
    </xf>
    <xf numFmtId="0" fontId="53" fillId="0" borderId="99" xfId="0" applyFont="1" applyBorder="1" applyAlignment="1">
      <alignment vertical="center"/>
    </xf>
    <xf numFmtId="0" fontId="53" fillId="0" borderId="101" xfId="0" applyFont="1" applyBorder="1" applyAlignment="1">
      <alignment vertical="center"/>
    </xf>
    <xf numFmtId="0" fontId="55" fillId="0" borderId="100" xfId="0" applyFont="1" applyBorder="1">
      <alignment vertical="center"/>
    </xf>
    <xf numFmtId="0" fontId="53" fillId="32" borderId="81" xfId="0" applyFont="1" applyFill="1" applyBorder="1" applyAlignment="1">
      <alignment vertical="center"/>
    </xf>
    <xf numFmtId="0" fontId="53" fillId="0" borderId="79" xfId="0" applyFont="1" applyBorder="1" applyAlignment="1">
      <alignment vertical="center"/>
    </xf>
    <xf numFmtId="0" fontId="53" fillId="0" borderId="80" xfId="0" applyFont="1" applyBorder="1" applyAlignment="1">
      <alignment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0" borderId="82" xfId="0" applyFont="1" applyBorder="1" applyAlignment="1">
      <alignment vertical="center"/>
    </xf>
    <xf numFmtId="0" fontId="53" fillId="0" borderId="84" xfId="0" applyFont="1" applyBorder="1" applyAlignment="1">
      <alignment vertical="center"/>
    </xf>
    <xf numFmtId="0" fontId="53" fillId="0" borderId="83" xfId="0" applyFont="1" applyBorder="1" applyAlignment="1">
      <alignment vertical="center"/>
    </xf>
    <xf numFmtId="0" fontId="53" fillId="32" borderId="76" xfId="0" applyFont="1" applyFill="1" applyBorder="1" applyAlignment="1">
      <alignment vertical="center"/>
    </xf>
    <xf numFmtId="0" fontId="53" fillId="32" borderId="76" xfId="0" applyFont="1" applyFill="1" applyBorder="1" applyAlignment="1">
      <alignment horizontal="left" vertical="center"/>
    </xf>
    <xf numFmtId="0" fontId="57" fillId="32" borderId="0" xfId="0" applyFont="1" applyFill="1">
      <alignment vertical="center"/>
    </xf>
    <xf numFmtId="0" fontId="53" fillId="32" borderId="107" xfId="0" applyFont="1" applyFill="1" applyBorder="1" applyAlignment="1">
      <alignment horizontal="center" vertical="center"/>
    </xf>
    <xf numFmtId="0" fontId="53" fillId="32" borderId="107" xfId="0" applyFont="1" applyFill="1" applyBorder="1" applyAlignment="1">
      <alignment horizontal="left" vertical="center"/>
    </xf>
    <xf numFmtId="0" fontId="53" fillId="32" borderId="107" xfId="0" applyFont="1" applyFill="1" applyBorder="1">
      <alignment vertical="center"/>
    </xf>
    <xf numFmtId="0" fontId="53" fillId="32" borderId="0" xfId="0" applyFont="1" applyFill="1">
      <alignment vertical="center"/>
    </xf>
    <xf numFmtId="0" fontId="53" fillId="32" borderId="0" xfId="0" applyFont="1" applyFill="1" applyBorder="1">
      <alignment vertical="center"/>
    </xf>
    <xf numFmtId="0" fontId="57" fillId="0" borderId="0" xfId="0" applyFont="1" applyBorder="1">
      <alignment vertical="center"/>
    </xf>
    <xf numFmtId="0" fontId="57" fillId="32" borderId="0" xfId="0" applyFont="1" applyFill="1" applyBorder="1">
      <alignment vertical="center"/>
    </xf>
    <xf numFmtId="0" fontId="53" fillId="33" borderId="71" xfId="0" applyFont="1" applyFill="1" applyBorder="1" applyAlignment="1">
      <alignment vertical="center"/>
    </xf>
    <xf numFmtId="0" fontId="53" fillId="0" borderId="77" xfId="0" applyFont="1" applyBorder="1" applyAlignment="1">
      <alignment vertical="center"/>
    </xf>
    <xf numFmtId="0" fontId="58" fillId="32" borderId="0" xfId="0" applyFont="1" applyFill="1">
      <alignment vertical="center"/>
    </xf>
    <xf numFmtId="0" fontId="54" fillId="32" borderId="0" xfId="0" applyFont="1" applyFill="1">
      <alignment vertical="center"/>
    </xf>
    <xf numFmtId="0" fontId="60" fillId="32" borderId="0" xfId="0" applyFont="1" applyFill="1">
      <alignment vertical="center"/>
    </xf>
    <xf numFmtId="0" fontId="60" fillId="0" borderId="0" xfId="0" applyFont="1">
      <alignment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112" xfId="0" applyFont="1" applyBorder="1" applyAlignment="1">
      <alignment vertical="center"/>
    </xf>
    <xf numFmtId="0" fontId="53" fillId="0" borderId="113" xfId="0" applyFont="1" applyBorder="1" applyAlignment="1">
      <alignment vertical="center"/>
    </xf>
    <xf numFmtId="0" fontId="55" fillId="0" borderId="114" xfId="0" applyFont="1" applyBorder="1">
      <alignment vertical="center"/>
    </xf>
    <xf numFmtId="0" fontId="53" fillId="0" borderId="0" xfId="0" applyFont="1" applyFill="1" applyBorder="1" applyAlignment="1">
      <alignment horizontal="left" vertical="center"/>
    </xf>
    <xf numFmtId="0" fontId="53" fillId="0" borderId="0" xfId="0" applyFont="1" applyBorder="1" applyAlignment="1">
      <alignment horizontal="left" vertical="center"/>
    </xf>
    <xf numFmtId="0" fontId="53" fillId="32" borderId="76" xfId="0" applyFont="1" applyFill="1" applyBorder="1" applyAlignment="1">
      <alignment horizontal="left" vertical="center"/>
    </xf>
    <xf numFmtId="0" fontId="53" fillId="0" borderId="72" xfId="0" applyFont="1" applyBorder="1" applyAlignment="1">
      <alignment vertical="center"/>
    </xf>
    <xf numFmtId="0" fontId="53" fillId="32" borderId="0" xfId="0" applyFont="1" applyFill="1" applyBorder="1" applyAlignment="1">
      <alignment horizontal="left" vertical="center"/>
    </xf>
    <xf numFmtId="0" fontId="56" fillId="0" borderId="0" xfId="0" applyFont="1" applyBorder="1" applyAlignment="1">
      <alignment horizontal="left" vertical="center"/>
    </xf>
    <xf numFmtId="0" fontId="61" fillId="0" borderId="71" xfId="0" applyFont="1" applyBorder="1" applyAlignment="1">
      <alignment vertical="center"/>
    </xf>
    <xf numFmtId="0" fontId="61" fillId="0" borderId="99" xfId="0" applyFont="1" applyBorder="1" applyAlignment="1">
      <alignment vertical="center"/>
    </xf>
    <xf numFmtId="0" fontId="62" fillId="0" borderId="0" xfId="0" applyFont="1" applyBorder="1" applyAlignment="1">
      <alignment horizontal="left" vertical="center"/>
    </xf>
    <xf numFmtId="0" fontId="53" fillId="0" borderId="71" xfId="0" applyFont="1" applyBorder="1" applyAlignment="1">
      <alignment vertical="center"/>
    </xf>
    <xf numFmtId="0" fontId="61" fillId="0" borderId="121" xfId="0" applyFont="1" applyBorder="1" applyAlignment="1">
      <alignment vertical="center"/>
    </xf>
    <xf numFmtId="0" fontId="53" fillId="0" borderId="122" xfId="0" applyFont="1" applyBorder="1" applyAlignment="1">
      <alignment vertical="center"/>
    </xf>
    <xf numFmtId="0" fontId="55" fillId="0" borderId="123" xfId="0" applyFont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96" xfId="102" applyFont="1" applyFill="1" applyBorder="1" applyAlignment="1">
      <alignment horizontal="center" vertical="center"/>
    </xf>
    <xf numFmtId="0" fontId="2" fillId="28" borderId="90" xfId="102" applyFont="1" applyFill="1" applyBorder="1" applyAlignment="1">
      <alignment horizontal="center" vertical="center"/>
    </xf>
    <xf numFmtId="0" fontId="2" fillId="28" borderId="97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3" fillId="32" borderId="109" xfId="0" applyFont="1" applyFill="1" applyBorder="1">
      <alignment vertical="center"/>
    </xf>
    <xf numFmtId="0" fontId="53" fillId="32" borderId="110" xfId="0" applyFont="1" applyFill="1" applyBorder="1">
      <alignment vertical="center"/>
    </xf>
    <xf numFmtId="0" fontId="53" fillId="32" borderId="111" xfId="0" applyFont="1" applyFill="1" applyBorder="1">
      <alignment vertical="center"/>
    </xf>
    <xf numFmtId="0" fontId="53" fillId="32" borderId="105" xfId="0" applyFont="1" applyFill="1" applyBorder="1" applyAlignment="1">
      <alignment horizontal="center" vertical="center"/>
    </xf>
    <xf numFmtId="0" fontId="53" fillId="32" borderId="109" xfId="0" applyFont="1" applyFill="1" applyBorder="1" applyAlignment="1">
      <alignment horizontal="left" vertical="center"/>
    </xf>
    <xf numFmtId="0" fontId="53" fillId="32" borderId="110" xfId="0" applyFont="1" applyFill="1" applyBorder="1" applyAlignment="1">
      <alignment horizontal="left" vertical="center"/>
    </xf>
    <xf numFmtId="0" fontId="53" fillId="32" borderId="111" xfId="0" applyFont="1" applyFill="1" applyBorder="1" applyAlignment="1">
      <alignment horizontal="left" vertical="center"/>
    </xf>
    <xf numFmtId="0" fontId="53" fillId="32" borderId="109" xfId="0" applyFont="1" applyFill="1" applyBorder="1" applyAlignment="1">
      <alignment horizontal="center" vertical="center"/>
    </xf>
    <xf numFmtId="0" fontId="53" fillId="32" borderId="111" xfId="0" applyFont="1" applyFill="1" applyBorder="1" applyAlignment="1">
      <alignment horizontal="center" vertical="center"/>
    </xf>
    <xf numFmtId="0" fontId="53" fillId="32" borderId="110" xfId="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left" vertical="center"/>
    </xf>
    <xf numFmtId="0" fontId="53" fillId="32" borderId="72" xfId="0" applyFont="1" applyFill="1" applyBorder="1" applyAlignment="1">
      <alignment horizontal="left" vertical="center"/>
    </xf>
    <xf numFmtId="0" fontId="53" fillId="32" borderId="73" xfId="0" applyFont="1" applyFill="1" applyBorder="1" applyAlignment="1">
      <alignment horizontal="left" vertical="center"/>
    </xf>
    <xf numFmtId="0" fontId="53" fillId="32" borderId="71" xfId="0" applyFont="1" applyFill="1" applyBorder="1" applyAlignment="1">
      <alignment horizontal="center" vertical="center"/>
    </xf>
    <xf numFmtId="0" fontId="53" fillId="32" borderId="73" xfId="0" applyFont="1" applyFill="1" applyBorder="1" applyAlignment="1">
      <alignment horizontal="center" vertical="center"/>
    </xf>
    <xf numFmtId="0" fontId="52" fillId="31" borderId="70" xfId="98" applyFont="1" applyFill="1" applyBorder="1" applyAlignment="1">
      <alignment horizontal="center" vertical="center"/>
    </xf>
    <xf numFmtId="0" fontId="52" fillId="31" borderId="74" xfId="98" applyFont="1" applyFill="1" applyBorder="1" applyAlignment="1">
      <alignment horizontal="center" vertical="center"/>
    </xf>
    <xf numFmtId="0" fontId="52" fillId="31" borderId="67" xfId="98" applyFont="1" applyFill="1" applyBorder="1" applyAlignment="1">
      <alignment horizontal="center" vertical="center"/>
    </xf>
    <xf numFmtId="0" fontId="52" fillId="30" borderId="71" xfId="0" applyFont="1" applyFill="1" applyBorder="1" applyAlignment="1">
      <alignment horizontal="center" vertical="center"/>
    </xf>
    <xf numFmtId="0" fontId="52" fillId="30" borderId="72" xfId="0" applyFont="1" applyFill="1" applyBorder="1" applyAlignment="1">
      <alignment horizontal="center" vertical="center"/>
    </xf>
    <xf numFmtId="0" fontId="52" fillId="30" borderId="73" xfId="0" applyFont="1" applyFill="1" applyBorder="1" applyAlignment="1">
      <alignment horizontal="center" vertical="center"/>
    </xf>
    <xf numFmtId="0" fontId="53" fillId="32" borderId="72" xfId="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32" borderId="77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center" vertical="center"/>
    </xf>
    <xf numFmtId="0" fontId="52" fillId="31" borderId="71" xfId="98" applyFont="1" applyFill="1" applyBorder="1" applyAlignment="1">
      <alignment horizontal="center" vertical="center"/>
    </xf>
    <xf numFmtId="0" fontId="52" fillId="31" borderId="72" xfId="98" applyFont="1" applyFill="1" applyBorder="1" applyAlignment="1">
      <alignment horizontal="center" vertical="center"/>
    </xf>
    <xf numFmtId="0" fontId="52" fillId="31" borderId="73" xfId="98" applyFont="1" applyFill="1" applyBorder="1" applyAlignment="1">
      <alignment horizontal="center" vertical="center"/>
    </xf>
    <xf numFmtId="0" fontId="53" fillId="32" borderId="77" xfId="0" applyFont="1" applyFill="1" applyBorder="1" applyAlignment="1">
      <alignment vertical="center"/>
    </xf>
    <xf numFmtId="0" fontId="53" fillId="32" borderId="78" xfId="0" applyFont="1" applyFill="1" applyBorder="1" applyAlignment="1">
      <alignment vertical="center"/>
    </xf>
    <xf numFmtId="0" fontId="53" fillId="32" borderId="76" xfId="0" applyFont="1" applyFill="1" applyBorder="1" applyAlignment="1">
      <alignment vertical="center"/>
    </xf>
    <xf numFmtId="0" fontId="53" fillId="32" borderId="77" xfId="0" applyFont="1" applyFill="1" applyBorder="1" applyAlignment="1">
      <alignment horizontal="left" vertical="center"/>
    </xf>
    <xf numFmtId="0" fontId="53" fillId="32" borderId="78" xfId="0" applyFont="1" applyFill="1" applyBorder="1" applyAlignment="1">
      <alignment horizontal="left" vertical="center"/>
    </xf>
    <xf numFmtId="0" fontId="53" fillId="32" borderId="76" xfId="0" applyFont="1" applyFill="1" applyBorder="1" applyAlignment="1">
      <alignment horizontal="left" vertical="center"/>
    </xf>
    <xf numFmtId="0" fontId="52" fillId="30" borderId="70" xfId="0" applyFont="1" applyFill="1" applyBorder="1" applyAlignment="1">
      <alignment horizontal="center" vertical="center"/>
    </xf>
    <xf numFmtId="0" fontId="52" fillId="30" borderId="67" xfId="0" applyFont="1" applyFill="1" applyBorder="1" applyAlignment="1">
      <alignment horizontal="center" vertical="center"/>
    </xf>
    <xf numFmtId="0" fontId="53" fillId="32" borderId="78" xfId="0" applyFont="1" applyFill="1" applyBorder="1" applyAlignment="1">
      <alignment horizontal="center" vertical="center"/>
    </xf>
    <xf numFmtId="0" fontId="52" fillId="30" borderId="74" xfId="0" applyFont="1" applyFill="1" applyBorder="1" applyAlignment="1">
      <alignment horizontal="center" vertical="center"/>
    </xf>
    <xf numFmtId="0" fontId="52" fillId="30" borderId="68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2" fillId="30" borderId="75" xfId="0" applyFont="1" applyFill="1" applyBorder="1" applyAlignment="1">
      <alignment horizontal="center" vertical="center"/>
    </xf>
    <xf numFmtId="0" fontId="53" fillId="0" borderId="71" xfId="0" applyFont="1" applyFill="1" applyBorder="1" applyAlignment="1">
      <alignment horizontal="left" vertical="center"/>
    </xf>
    <xf numFmtId="0" fontId="53" fillId="0" borderId="72" xfId="0" applyFont="1" applyFill="1" applyBorder="1" applyAlignment="1">
      <alignment horizontal="left" vertical="center"/>
    </xf>
    <xf numFmtId="0" fontId="53" fillId="0" borderId="73" xfId="0" applyFont="1" applyFill="1" applyBorder="1" applyAlignment="1">
      <alignment horizontal="left" vertical="center"/>
    </xf>
    <xf numFmtId="0" fontId="53" fillId="0" borderId="77" xfId="0" applyFont="1" applyBorder="1" applyAlignment="1">
      <alignment horizontal="left" vertical="center"/>
    </xf>
    <xf numFmtId="0" fontId="53" fillId="0" borderId="78" xfId="0" applyFont="1" applyBorder="1" applyAlignment="1">
      <alignment horizontal="left" vertical="center"/>
    </xf>
    <xf numFmtId="0" fontId="53" fillId="0" borderId="76" xfId="0" applyFont="1" applyBorder="1" applyAlignment="1">
      <alignment horizontal="left" vertical="center"/>
    </xf>
    <xf numFmtId="0" fontId="56" fillId="0" borderId="0" xfId="0" applyFont="1" applyBorder="1" applyAlignment="1">
      <alignment horizontal="left" vertical="center"/>
    </xf>
    <xf numFmtId="0" fontId="59" fillId="32" borderId="0" xfId="0" applyFont="1" applyFill="1" applyAlignment="1">
      <alignment horizontal="left" vertical="center"/>
    </xf>
    <xf numFmtId="0" fontId="52" fillId="31" borderId="106" xfId="130" applyFont="1" applyFill="1" applyBorder="1" applyAlignment="1">
      <alignment horizontal="center" vertical="center"/>
    </xf>
    <xf numFmtId="0" fontId="52" fillId="31" borderId="107" xfId="130" applyFont="1" applyFill="1" applyBorder="1" applyAlignment="1">
      <alignment horizontal="center" vertical="center"/>
    </xf>
    <xf numFmtId="0" fontId="52" fillId="31" borderId="108" xfId="130" applyFont="1" applyFill="1" applyBorder="1" applyAlignment="1">
      <alignment horizontal="center"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52" fillId="31" borderId="68" xfId="98" applyFont="1" applyFill="1" applyBorder="1" applyAlignment="1">
      <alignment horizontal="center" vertical="center"/>
    </xf>
    <xf numFmtId="0" fontId="52" fillId="31" borderId="31" xfId="98" applyFont="1" applyFill="1" applyBorder="1" applyAlignment="1">
      <alignment horizontal="center" vertical="center"/>
    </xf>
    <xf numFmtId="0" fontId="52" fillId="31" borderId="75" xfId="98" applyFont="1" applyFill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5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3" fillId="32" borderId="79" xfId="0" applyFont="1" applyFill="1" applyBorder="1" applyAlignment="1">
      <alignment horizontal="center" vertical="center"/>
    </xf>
    <xf numFmtId="0" fontId="53" fillId="32" borderId="81" xfId="0" applyFont="1" applyFill="1" applyBorder="1" applyAlignment="1">
      <alignment horizontal="center" vertical="center"/>
    </xf>
    <xf numFmtId="0" fontId="53" fillId="32" borderId="79" xfId="0" applyFont="1" applyFill="1" applyBorder="1" applyAlignment="1">
      <alignment horizontal="left" vertical="center"/>
    </xf>
    <xf numFmtId="0" fontId="53" fillId="32" borderId="80" xfId="0" applyFont="1" applyFill="1" applyBorder="1" applyAlignment="1">
      <alignment horizontal="left" vertical="center"/>
    </xf>
    <xf numFmtId="0" fontId="53" fillId="32" borderId="81" xfId="0" applyFont="1" applyFill="1" applyBorder="1" applyAlignment="1">
      <alignment horizontal="left" vertical="center"/>
    </xf>
    <xf numFmtId="0" fontId="53" fillId="32" borderId="79" xfId="0" applyFont="1" applyFill="1" applyBorder="1" applyAlignment="1">
      <alignment vertical="center"/>
    </xf>
    <xf numFmtId="0" fontId="53" fillId="32" borderId="80" xfId="0" applyFont="1" applyFill="1" applyBorder="1" applyAlignment="1">
      <alignment vertical="center"/>
    </xf>
    <xf numFmtId="0" fontId="53" fillId="32" borderId="81" xfId="0" applyFont="1" applyFill="1" applyBorder="1" applyAlignment="1">
      <alignment vertical="center"/>
    </xf>
    <xf numFmtId="0" fontId="53" fillId="0" borderId="79" xfId="0" applyFont="1" applyBorder="1" applyAlignment="1">
      <alignment vertical="center"/>
    </xf>
    <xf numFmtId="0" fontId="53" fillId="0" borderId="80" xfId="0" applyFont="1" applyBorder="1" applyAlignment="1">
      <alignment vertical="center"/>
    </xf>
    <xf numFmtId="0" fontId="53" fillId="0" borderId="81" xfId="0" applyFont="1" applyBorder="1" applyAlignment="1">
      <alignment vertical="center"/>
    </xf>
    <xf numFmtId="0" fontId="53" fillId="32" borderId="102" xfId="0" applyFont="1" applyFill="1" applyBorder="1" applyAlignment="1">
      <alignment horizontal="center" vertical="center"/>
    </xf>
    <xf numFmtId="0" fontId="53" fillId="32" borderId="103" xfId="0" applyFont="1" applyFill="1" applyBorder="1" applyAlignment="1">
      <alignment horizontal="center" vertical="center"/>
    </xf>
    <xf numFmtId="0" fontId="53" fillId="32" borderId="25" xfId="0" applyFont="1" applyFill="1" applyBorder="1" applyAlignment="1">
      <alignment horizontal="center" vertical="center"/>
    </xf>
    <xf numFmtId="0" fontId="53" fillId="32" borderId="29" xfId="0" applyFont="1" applyFill="1" applyBorder="1" applyAlignment="1">
      <alignment horizontal="center" vertical="center"/>
    </xf>
    <xf numFmtId="0" fontId="53" fillId="32" borderId="68" xfId="0" applyFont="1" applyFill="1" applyBorder="1" applyAlignment="1">
      <alignment horizontal="center" vertical="center"/>
    </xf>
    <xf numFmtId="0" fontId="53" fillId="32" borderId="75" xfId="0" applyFont="1" applyFill="1" applyBorder="1" applyAlignment="1">
      <alignment horizontal="center" vertical="center"/>
    </xf>
    <xf numFmtId="0" fontId="53" fillId="32" borderId="102" xfId="0" applyFont="1" applyFill="1" applyBorder="1" applyAlignment="1">
      <alignment horizontal="left" vertical="center"/>
    </xf>
    <xf numFmtId="0" fontId="53" fillId="32" borderId="104" xfId="0" applyFont="1" applyFill="1" applyBorder="1" applyAlignment="1">
      <alignment horizontal="left" vertical="center"/>
    </xf>
    <xf numFmtId="0" fontId="53" fillId="32" borderId="103" xfId="0" applyFont="1" applyFill="1" applyBorder="1" applyAlignment="1">
      <alignment horizontal="left" vertical="center"/>
    </xf>
    <xf numFmtId="0" fontId="53" fillId="32" borderId="25" xfId="0" applyFont="1" applyFill="1" applyBorder="1" applyAlignment="1">
      <alignment horizontal="left" vertical="center"/>
    </xf>
    <xf numFmtId="0" fontId="53" fillId="32" borderId="0" xfId="0" applyFont="1" applyFill="1" applyBorder="1" applyAlignment="1">
      <alignment horizontal="left" vertical="center"/>
    </xf>
    <xf numFmtId="0" fontId="53" fillId="32" borderId="29" xfId="0" applyFont="1" applyFill="1" applyBorder="1" applyAlignment="1">
      <alignment horizontal="left" vertical="center"/>
    </xf>
    <xf numFmtId="0" fontId="53" fillId="32" borderId="68" xfId="0" applyFont="1" applyFill="1" applyBorder="1" applyAlignment="1">
      <alignment horizontal="left" vertical="center"/>
    </xf>
    <xf numFmtId="0" fontId="53" fillId="32" borderId="31" xfId="0" applyFont="1" applyFill="1" applyBorder="1" applyAlignment="1">
      <alignment horizontal="left" vertical="center"/>
    </xf>
    <xf numFmtId="0" fontId="53" fillId="32" borderId="75" xfId="0" applyFont="1" applyFill="1" applyBorder="1" applyAlignment="1">
      <alignment horizontal="left" vertical="center"/>
    </xf>
    <xf numFmtId="0" fontId="53" fillId="0" borderId="102" xfId="0" applyFont="1" applyFill="1" applyBorder="1" applyAlignment="1">
      <alignment horizontal="left" vertical="center"/>
    </xf>
    <xf numFmtId="0" fontId="53" fillId="0" borderId="104" xfId="0" applyFont="1" applyFill="1" applyBorder="1" applyAlignment="1">
      <alignment horizontal="left" vertical="center"/>
    </xf>
    <xf numFmtId="0" fontId="53" fillId="0" borderId="103" xfId="0" applyFont="1" applyFill="1" applyBorder="1" applyAlignment="1">
      <alignment horizontal="left" vertical="center"/>
    </xf>
    <xf numFmtId="0" fontId="53" fillId="0" borderId="25" xfId="0" applyFont="1" applyFill="1" applyBorder="1" applyAlignment="1">
      <alignment horizontal="left" vertical="center"/>
    </xf>
    <xf numFmtId="0" fontId="53" fillId="0" borderId="0" xfId="0" applyFont="1" applyFill="1" applyBorder="1" applyAlignment="1">
      <alignment horizontal="left" vertical="center"/>
    </xf>
    <xf numFmtId="0" fontId="53" fillId="0" borderId="29" xfId="0" applyFont="1" applyFill="1" applyBorder="1" applyAlignment="1">
      <alignment horizontal="left" vertical="center"/>
    </xf>
    <xf numFmtId="0" fontId="53" fillId="0" borderId="68" xfId="0" applyFont="1" applyFill="1" applyBorder="1" applyAlignment="1">
      <alignment horizontal="left" vertical="center"/>
    </xf>
    <xf numFmtId="0" fontId="53" fillId="0" borderId="31" xfId="0" applyFont="1" applyFill="1" applyBorder="1" applyAlignment="1">
      <alignment horizontal="left" vertical="center"/>
    </xf>
    <xf numFmtId="0" fontId="53" fillId="0" borderId="75" xfId="0" applyFont="1" applyFill="1" applyBorder="1" applyAlignment="1">
      <alignment horizontal="left" vertical="center"/>
    </xf>
    <xf numFmtId="0" fontId="53" fillId="0" borderId="102" xfId="0" applyFont="1" applyBorder="1" applyAlignment="1">
      <alignment horizontal="left" vertical="center"/>
    </xf>
    <xf numFmtId="0" fontId="53" fillId="0" borderId="104" xfId="0" applyFont="1" applyBorder="1" applyAlignment="1">
      <alignment horizontal="left" vertical="center"/>
    </xf>
    <xf numFmtId="0" fontId="53" fillId="0" borderId="103" xfId="0" applyFont="1" applyBorder="1" applyAlignment="1">
      <alignment horizontal="left" vertical="center"/>
    </xf>
    <xf numFmtId="0" fontId="53" fillId="0" borderId="25" xfId="0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/>
    </xf>
    <xf numFmtId="0" fontId="53" fillId="0" borderId="29" xfId="0" applyFont="1" applyBorder="1" applyAlignment="1">
      <alignment horizontal="left" vertical="center"/>
    </xf>
    <xf numFmtId="0" fontId="53" fillId="0" borderId="68" xfId="0" applyFont="1" applyBorder="1" applyAlignment="1">
      <alignment horizontal="left" vertical="center"/>
    </xf>
    <xf numFmtId="0" fontId="53" fillId="0" borderId="31" xfId="0" applyFont="1" applyBorder="1" applyAlignment="1">
      <alignment horizontal="left" vertical="center"/>
    </xf>
    <xf numFmtId="0" fontId="53" fillId="0" borderId="75" xfId="0" applyFont="1" applyBorder="1" applyAlignment="1">
      <alignment horizontal="left" vertical="center"/>
    </xf>
    <xf numFmtId="0" fontId="53" fillId="32" borderId="83" xfId="0" applyFont="1" applyFill="1" applyBorder="1" applyAlignment="1">
      <alignment horizontal="center" vertical="center"/>
    </xf>
    <xf numFmtId="0" fontId="53" fillId="32" borderId="82" xfId="0" applyFont="1" applyFill="1" applyBorder="1" applyAlignment="1">
      <alignment horizontal="left" vertical="center"/>
    </xf>
    <xf numFmtId="0" fontId="53" fillId="32" borderId="84" xfId="0" applyFont="1" applyFill="1" applyBorder="1" applyAlignment="1">
      <alignment horizontal="left" vertical="center"/>
    </xf>
    <xf numFmtId="0" fontId="53" fillId="32" borderId="83" xfId="0" applyFont="1" applyFill="1" applyBorder="1" applyAlignment="1">
      <alignment horizontal="left" vertical="center"/>
    </xf>
    <xf numFmtId="0" fontId="53" fillId="0" borderId="82" xfId="0" applyFont="1" applyFill="1" applyBorder="1" applyAlignment="1">
      <alignment vertical="center"/>
    </xf>
    <xf numFmtId="0" fontId="53" fillId="0" borderId="84" xfId="0" applyFont="1" applyFill="1" applyBorder="1" applyAlignment="1">
      <alignment vertical="center"/>
    </xf>
    <xf numFmtId="0" fontId="53" fillId="0" borderId="83" xfId="0" applyFont="1" applyFill="1" applyBorder="1" applyAlignment="1">
      <alignment vertical="center"/>
    </xf>
    <xf numFmtId="0" fontId="53" fillId="0" borderId="82" xfId="0" applyFont="1" applyBorder="1" applyAlignment="1">
      <alignment vertical="center"/>
    </xf>
    <xf numFmtId="0" fontId="53" fillId="0" borderId="84" xfId="0" applyFont="1" applyBorder="1" applyAlignment="1">
      <alignment vertical="center"/>
    </xf>
    <xf numFmtId="0" fontId="53" fillId="0" borderId="83" xfId="0" applyFont="1" applyBorder="1" applyAlignment="1">
      <alignment vertical="center"/>
    </xf>
    <xf numFmtId="0" fontId="53" fillId="32" borderId="115" xfId="0" applyFont="1" applyFill="1" applyBorder="1" applyAlignment="1">
      <alignment horizontal="center" vertical="center"/>
    </xf>
    <xf numFmtId="0" fontId="53" fillId="32" borderId="116" xfId="0" applyFont="1" applyFill="1" applyBorder="1" applyAlignment="1">
      <alignment horizontal="center" vertical="center"/>
    </xf>
    <xf numFmtId="0" fontId="53" fillId="32" borderId="115" xfId="0" applyFont="1" applyFill="1" applyBorder="1" applyAlignment="1">
      <alignment horizontal="left" vertical="center"/>
    </xf>
    <xf numFmtId="0" fontId="53" fillId="32" borderId="117" xfId="0" applyFont="1" applyFill="1" applyBorder="1" applyAlignment="1">
      <alignment horizontal="left" vertical="center"/>
    </xf>
    <xf numFmtId="0" fontId="53" fillId="32" borderId="116" xfId="0" applyFont="1" applyFill="1" applyBorder="1" applyAlignment="1">
      <alignment horizontal="left" vertical="center"/>
    </xf>
    <xf numFmtId="0" fontId="53" fillId="0" borderId="115" xfId="0" applyFont="1" applyFill="1" applyBorder="1" applyAlignment="1">
      <alignment horizontal="left" vertical="center"/>
    </xf>
    <xf numFmtId="0" fontId="53" fillId="0" borderId="117" xfId="0" applyFont="1" applyFill="1" applyBorder="1" applyAlignment="1">
      <alignment horizontal="left" vertical="center"/>
    </xf>
    <xf numFmtId="0" fontId="53" fillId="0" borderId="116" xfId="0" applyFont="1" applyFill="1" applyBorder="1" applyAlignment="1">
      <alignment horizontal="left" vertical="center"/>
    </xf>
    <xf numFmtId="0" fontId="53" fillId="0" borderId="115" xfId="0" applyFont="1" applyBorder="1" applyAlignment="1">
      <alignment horizontal="left" vertical="center"/>
    </xf>
    <xf numFmtId="0" fontId="53" fillId="0" borderId="117" xfId="0" applyFont="1" applyBorder="1" applyAlignment="1">
      <alignment horizontal="left" vertical="center"/>
    </xf>
    <xf numFmtId="0" fontId="53" fillId="0" borderId="116" xfId="0" applyFont="1" applyBorder="1" applyAlignment="1">
      <alignment horizontal="left" vertical="center"/>
    </xf>
    <xf numFmtId="0" fontId="53" fillId="0" borderId="77" xfId="0" applyFont="1" applyBorder="1" applyAlignment="1">
      <alignment horizontal="center" vertical="center"/>
    </xf>
    <xf numFmtId="0" fontId="53" fillId="0" borderId="76" xfId="0" applyFont="1" applyBorder="1" applyAlignment="1">
      <alignment horizontal="center" vertical="center"/>
    </xf>
    <xf numFmtId="0" fontId="53" fillId="32" borderId="98" xfId="0" applyFont="1" applyFill="1" applyBorder="1" applyAlignment="1">
      <alignment horizontal="left" vertical="center"/>
    </xf>
    <xf numFmtId="0" fontId="53" fillId="34" borderId="98" xfId="0" applyFont="1" applyFill="1" applyBorder="1" applyAlignment="1">
      <alignment horizontal="left" vertical="center"/>
    </xf>
    <xf numFmtId="0" fontId="52" fillId="30" borderId="118" xfId="0" applyFont="1" applyFill="1" applyBorder="1" applyAlignment="1">
      <alignment horizontal="center" vertical="center"/>
    </xf>
    <xf numFmtId="0" fontId="52" fillId="30" borderId="120" xfId="0" applyFont="1" applyFill="1" applyBorder="1" applyAlignment="1">
      <alignment horizontal="center" vertical="center"/>
    </xf>
    <xf numFmtId="0" fontId="52" fillId="30" borderId="119" xfId="0" applyFont="1" applyFill="1" applyBorder="1" applyAlignment="1">
      <alignment horizontal="center" vertical="center"/>
    </xf>
    <xf numFmtId="0" fontId="53" fillId="0" borderId="118" xfId="0" applyFont="1" applyBorder="1" applyAlignment="1">
      <alignment horizontal="left" vertical="center"/>
    </xf>
    <xf numFmtId="0" fontId="53" fillId="0" borderId="120" xfId="0" applyFont="1" applyBorder="1" applyAlignment="1">
      <alignment horizontal="left" vertical="center"/>
    </xf>
    <xf numFmtId="0" fontId="53" fillId="0" borderId="119" xfId="0" applyFont="1" applyBorder="1" applyAlignment="1">
      <alignment horizontal="left" vertical="center"/>
    </xf>
    <xf numFmtId="0" fontId="61" fillId="32" borderId="115" xfId="0" applyFont="1" applyFill="1" applyBorder="1" applyAlignment="1">
      <alignment horizontal="center" vertical="center"/>
    </xf>
    <xf numFmtId="0" fontId="61" fillId="32" borderId="116" xfId="0" applyFont="1" applyFill="1" applyBorder="1" applyAlignment="1">
      <alignment horizontal="center" vertical="center"/>
    </xf>
    <xf numFmtId="0" fontId="61" fillId="32" borderId="68" xfId="0" applyFont="1" applyFill="1" applyBorder="1" applyAlignment="1">
      <alignment horizontal="center" vertical="center"/>
    </xf>
    <xf numFmtId="0" fontId="61" fillId="32" borderId="75" xfId="0" applyFont="1" applyFill="1" applyBorder="1" applyAlignment="1">
      <alignment horizontal="center" vertical="center"/>
    </xf>
    <xf numFmtId="0" fontId="61" fillId="32" borderId="115" xfId="0" applyFont="1" applyFill="1" applyBorder="1" applyAlignment="1">
      <alignment horizontal="left" vertical="center"/>
    </xf>
    <xf numFmtId="0" fontId="61" fillId="32" borderId="117" xfId="0" applyFont="1" applyFill="1" applyBorder="1" applyAlignment="1">
      <alignment horizontal="left" vertical="center"/>
    </xf>
    <xf numFmtId="0" fontId="61" fillId="32" borderId="116" xfId="0" applyFont="1" applyFill="1" applyBorder="1" applyAlignment="1">
      <alignment horizontal="left" vertical="center"/>
    </xf>
    <xf numFmtId="0" fontId="61" fillId="32" borderId="68" xfId="0" applyFont="1" applyFill="1" applyBorder="1" applyAlignment="1">
      <alignment horizontal="left" vertical="center"/>
    </xf>
    <xf numFmtId="0" fontId="61" fillId="32" borderId="31" xfId="0" applyFont="1" applyFill="1" applyBorder="1" applyAlignment="1">
      <alignment horizontal="left" vertical="center"/>
    </xf>
    <xf numFmtId="0" fontId="61" fillId="32" borderId="75" xfId="0" applyFont="1" applyFill="1" applyBorder="1" applyAlignment="1">
      <alignment horizontal="left" vertical="center"/>
    </xf>
    <xf numFmtId="0" fontId="61" fillId="0" borderId="115" xfId="0" applyFont="1" applyFill="1" applyBorder="1" applyAlignment="1">
      <alignment horizontal="left" vertical="center"/>
    </xf>
    <xf numFmtId="0" fontId="61" fillId="0" borderId="117" xfId="0" applyFont="1" applyFill="1" applyBorder="1" applyAlignment="1">
      <alignment horizontal="left" vertical="center"/>
    </xf>
    <xf numFmtId="0" fontId="61" fillId="0" borderId="116" xfId="0" applyFont="1" applyFill="1" applyBorder="1" applyAlignment="1">
      <alignment horizontal="left" vertical="center"/>
    </xf>
    <xf numFmtId="0" fontId="61" fillId="0" borderId="68" xfId="0" applyFont="1" applyFill="1" applyBorder="1" applyAlignment="1">
      <alignment horizontal="left" vertical="center"/>
    </xf>
    <xf numFmtId="0" fontId="61" fillId="0" borderId="31" xfId="0" applyFont="1" applyFill="1" applyBorder="1" applyAlignment="1">
      <alignment horizontal="left" vertical="center"/>
    </xf>
    <xf numFmtId="0" fontId="61" fillId="0" borderId="75" xfId="0" applyFont="1" applyFill="1" applyBorder="1" applyAlignment="1">
      <alignment horizontal="left" vertical="center"/>
    </xf>
    <xf numFmtId="0" fontId="61" fillId="0" borderId="115" xfId="0" applyFont="1" applyBorder="1" applyAlignment="1">
      <alignment horizontal="left" vertical="center"/>
    </xf>
    <xf numFmtId="0" fontId="61" fillId="0" borderId="117" xfId="0" applyFont="1" applyBorder="1" applyAlignment="1">
      <alignment horizontal="left" vertical="center"/>
    </xf>
    <xf numFmtId="0" fontId="61" fillId="0" borderId="116" xfId="0" applyFont="1" applyBorder="1" applyAlignment="1">
      <alignment horizontal="left" vertical="center"/>
    </xf>
    <xf numFmtId="0" fontId="61" fillId="0" borderId="68" xfId="0" applyFont="1" applyBorder="1" applyAlignment="1">
      <alignment horizontal="left" vertical="center"/>
    </xf>
    <xf numFmtId="0" fontId="61" fillId="0" borderId="31" xfId="0" applyFont="1" applyBorder="1" applyAlignment="1">
      <alignment horizontal="left" vertical="center"/>
    </xf>
    <xf numFmtId="0" fontId="61" fillId="0" borderId="75" xfId="0" applyFont="1" applyBorder="1" applyAlignment="1">
      <alignment horizontal="left" vertical="center"/>
    </xf>
    <xf numFmtId="0" fontId="52" fillId="31" borderId="109" xfId="130" applyFont="1" applyFill="1" applyBorder="1" applyAlignment="1">
      <alignment horizontal="center" vertical="center"/>
    </xf>
    <xf numFmtId="0" fontId="52" fillId="31" borderId="110" xfId="130" applyFont="1" applyFill="1" applyBorder="1" applyAlignment="1">
      <alignment horizontal="center" vertical="center"/>
    </xf>
    <xf numFmtId="0" fontId="52" fillId="31" borderId="111" xfId="130" applyFont="1" applyFill="1" applyBorder="1" applyAlignment="1">
      <alignment horizontal="center" vertical="center"/>
    </xf>
    <xf numFmtId="0" fontId="52" fillId="30" borderId="105" xfId="0" applyFont="1" applyFill="1" applyBorder="1" applyAlignment="1">
      <alignment horizontal="center" vertical="center"/>
    </xf>
    <xf numFmtId="0" fontId="52" fillId="31" borderId="105" xfId="130" applyFont="1" applyFill="1" applyBorder="1" applyAlignment="1">
      <alignment horizontal="center" vertical="center"/>
    </xf>
  </cellXfs>
  <cellStyles count="131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 2 3" xfId="130" xr:uid="{D3385785-D33C-481A-8150-B99C593F3D09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62865</xdr:colOff>
      <xdr:row>5</xdr:row>
      <xdr:rowOff>160020</xdr:rowOff>
    </xdr:from>
    <xdr:to>
      <xdr:col>49</xdr:col>
      <xdr:colOff>32385</xdr:colOff>
      <xdr:row>39</xdr:row>
      <xdr:rowOff>41910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0C0DDEC-7049-4D99-8471-16D786D3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036320"/>
          <a:ext cx="9083040" cy="5840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64</xdr:col>
      <xdr:colOff>19050</xdr:colOff>
      <xdr:row>7</xdr:row>
      <xdr:rowOff>57150</xdr:rowOff>
    </xdr:from>
    <xdr:to>
      <xdr:col>78</xdr:col>
      <xdr:colOff>133350</xdr:colOff>
      <xdr:row>18</xdr:row>
      <xdr:rowOff>114300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80C121A-0F52-4836-84AE-B73F57DD511C}"/>
            </a:ext>
          </a:extLst>
        </xdr:cNvPr>
        <xdr:cNvSpPr/>
      </xdr:nvSpPr>
      <xdr:spPr>
        <a:xfrm>
          <a:off x="12211050" y="1257300"/>
          <a:ext cx="2914650" cy="1943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成果物一覧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name="dailyReport_dailyListActionForm" method="post" action="/lms/dailyReport/dailyList/" class="form-horizontal"&gt;&lt;div&gt;&lt;input type="hidden" name="org.apache.struts.taglib.html.TOKEN" value="3b8b33d1cd1ee4fc0badbf3e741d934b"&gt;&lt;/div&gt;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検索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for="date" class="col-lg-2 control-label"&gt;</a:t>
          </a:r>
          <a:r>
            <a:rPr kumimoji="1" lang="ja-JP" altLang="en-US" sz="1100"/>
            <a:t>成果物名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name="date" value="</a:t>
          </a:r>
          <a:r>
            <a:rPr kumimoji="1" lang="ja-JP" altLang="en-US" sz="1100"/>
            <a:t>テスト設計書</a:t>
          </a:r>
          <a:r>
            <a:rPr kumimoji="1" lang="en-US" altLang="ja-JP" sz="1100"/>
            <a:t>" class="form-control datepicker" id="date"&gt;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      &lt;div class="form-group"&gt;</a:t>
          </a:r>
        </a:p>
        <a:p>
          <a:pPr algn="l"/>
          <a:r>
            <a:rPr kumimoji="1" lang="en-US" altLang="ja-JP" sz="1100"/>
            <a:t>                  &lt;label for="placeId" class="col-lg-2 control-label"&gt;</a:t>
          </a:r>
          <a:r>
            <a:rPr kumimoji="1" lang="ja-JP" altLang="en-US" sz="1100"/>
            <a:t>会場名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  &lt;div class="col-lg-10"&gt;</a:t>
          </a:r>
        </a:p>
        <a:p>
          <a:pPr algn="l"/>
          <a:r>
            <a:rPr kumimoji="1" lang="en-US" altLang="ja-JP" sz="1100"/>
            <a:t>                      &lt;select name="placeId" id="placeId" class="form-control"&gt;&lt;option value=""&gt;&lt;/option&gt;</a:t>
          </a:r>
        </a:p>
        <a:p>
          <a:pPr algn="l"/>
          <a:r>
            <a:rPr kumimoji="1" lang="en-US" altLang="ja-JP" sz="1100"/>
            <a:t>&lt;option value=""&gt;</a:t>
          </a:r>
          <a:r>
            <a:rPr kumimoji="1" lang="ja-JP" altLang="en-US" sz="1100"/>
            <a:t>会場Ａ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&lt;/select&gt;</a:t>
          </a:r>
        </a:p>
        <a:p>
          <a:pPr algn="l"/>
          <a:r>
            <a:rPr kumimoji="1" lang="en-US" altLang="ja-JP" sz="1100"/>
            <a:t>                  &lt;/div&gt;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value="</a:t>
          </a:r>
          <a:r>
            <a:rPr kumimoji="1" lang="ja-JP" altLang="en-US" sz="1100"/>
            <a:t>検索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id="DataTables_Table_0_wrapper" class="dataTables_wrapper form-inline dt-bootstrap no-footer"&gt;&lt;div class="row"&gt;&lt;div class="col-sm-6"&gt;&lt;div class="dataTables_length" id="DataTables_Table_0_length"&gt;&lt;label&gt;1</a:t>
          </a:r>
          <a:r>
            <a:rPr kumimoji="1" lang="ja-JP" altLang="en-US" sz="1100"/>
            <a:t>ページあたりの表示件数</a:t>
          </a:r>
          <a:r>
            <a:rPr kumimoji="1" lang="en-US" altLang="ja-JP" sz="1100"/>
            <a:t>: &lt;select name="DataTables_Table_0_length" aria-controls="DataTables_Table_0" class="form-control input-sm"&gt;&lt;option value="10"&gt;10&lt;/option&gt;&lt;option value="20"&gt;20&lt;/option&gt;&lt;option value="30"&gt;30&lt;/option&gt;&lt;option value="40"&gt;40&lt;/option&gt;&lt;option value="50"&gt;50&lt;/option&gt;&lt;option value="-1"&gt;ALL&lt;/option&gt;&lt;/select&gt;&lt;/label&gt;&lt;/div&gt;&lt;/div&gt;&lt;div class="col-sm-6"&gt;&lt;/div&gt;&lt;/div&gt;&lt;div class="row"&gt;&lt;div class="col-sm-12"&gt;&lt;br&gt;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&lt;input type="submit" name="download" value="</a:t>
          </a:r>
          <a:r>
            <a:rPr kumimoji="1" lang="ja-JP" altLang="en-US" sz="1100"/>
            <a:t>チェックした成果物を一括ダウンロード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</a:t>
          </a:r>
          <a:r>
            <a:rPr kumimoji="1" lang="ja-JP" altLang="en-US" sz="1100"/>
            <a:t>　　　　　</a:t>
          </a:r>
          <a:r>
            <a:rPr kumimoji="1" lang="en-US" altLang="ja-JP" sz="1100"/>
            <a:t>&lt;input type="submit" name="download" value="</a:t>
          </a:r>
          <a:r>
            <a:rPr kumimoji="1" lang="ja-JP" altLang="en-US" sz="1100"/>
            <a:t>表示している採点を反映</a:t>
          </a:r>
          <a:r>
            <a:rPr kumimoji="1" lang="en-US" altLang="ja-JP" sz="1100"/>
            <a:t>" class="btn btn-default" style="</a:t>
          </a:r>
        </a:p>
        <a:p>
          <a:pPr algn="l"/>
          <a:r>
            <a:rPr kumimoji="1" lang="en-US" altLang="ja-JP" sz="1100"/>
            <a:t>    margin-right: 220px;</a:t>
          </a:r>
        </a:p>
        <a:p>
          <a:pPr algn="l"/>
          <a:r>
            <a:rPr kumimoji="1" lang="en-US" altLang="ja-JP" sz="1100"/>
            <a:t>"&gt;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</a:t>
          </a:r>
          <a:r>
            <a:rPr kumimoji="1" lang="ja-JP" altLang="en-US" sz="1100"/>
            <a:t>　　　　　</a:t>
          </a:r>
          <a:r>
            <a:rPr kumimoji="1" lang="en-US" altLang="ja-JP" sz="1100"/>
            <a:t>&lt;input type="submit" name="download" value="</a:t>
          </a:r>
          <a:r>
            <a:rPr kumimoji="1" lang="ja-JP" altLang="en-US" sz="1100"/>
            <a:t>チェックした成果物を削除</a:t>
          </a:r>
          <a:r>
            <a:rPr kumimoji="1" lang="en-US" altLang="ja-JP" sz="1100"/>
            <a:t>" class="btn btn-default" style="</a:t>
          </a:r>
        </a:p>
        <a:p>
          <a:pPr algn="l"/>
          <a:r>
            <a:rPr kumimoji="1" lang="en-US" altLang="ja-JP" sz="1100"/>
            <a:t>    margin-left: 120px;</a:t>
          </a:r>
        </a:p>
        <a:p>
          <a:pPr algn="l"/>
          <a:r>
            <a:rPr kumimoji="1" lang="en-US" altLang="ja-JP" sz="1100"/>
            <a:t>"&gt;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 ※</a:t>
          </a:r>
          <a:r>
            <a:rPr kumimoji="1" lang="ja-JP" altLang="en-US" sz="1100"/>
            <a:t>未提出、提出遅れは背景色を変更して表示しています。</a:t>
          </a:r>
        </a:p>
        <a:p>
          <a:pPr algn="l"/>
          <a:r>
            <a:rPr kumimoji="1" lang="ja-JP" altLang="en-US" sz="1100"/>
            <a:t>    </a:t>
          </a:r>
          <a:r>
            <a:rPr kumimoji="1" lang="en-US" altLang="ja-JP" sz="1100"/>
            <a:t>&lt;/div&gt;</a:t>
          </a:r>
        </a:p>
        <a:p>
          <a:pPr algn="l"/>
          <a:r>
            <a:rPr kumimoji="1" lang="en-US" altLang="ja-JP" sz="1100"/>
            <a:t>    &lt;label for="pastFlg" class="text-info"&gt;&lt;/label&gt;&lt;table class="table table-hover sortabletable dataTable no-footer" id="DataTables_Table_0" role="grid" aria-describedby="DataTables_Table_0_info"&gt;</a:t>
          </a:r>
        </a:p>
        <a:p>
          <a:pPr algn="l"/>
          <a:r>
            <a:rPr kumimoji="1" lang="en-US" altLang="ja-JP" sz="1100"/>
            <a:t>    &lt;thead&gt;</a:t>
          </a:r>
        </a:p>
        <a:p>
          <a:pPr algn="l"/>
          <a:r>
            <a:rPr kumimoji="1" lang="en-US" altLang="ja-JP" sz="1100"/>
            <a:t>      &lt;tr role="row"&gt;</a:t>
          </a:r>
        </a:p>
        <a:p>
          <a:pPr algn="l"/>
          <a:r>
            <a:rPr kumimoji="1" lang="en-US" altLang="ja-JP" sz="1100"/>
            <a:t>      &lt;th class="sorting_asc" tabindex="0" aria-controls="place-table" rowspan="1" colspan="1" aria-sort="ascending" aria-label=": activate to sort column descending"&gt;</a:t>
          </a:r>
        </a:p>
        <a:p>
          <a:pPr algn="l"/>
          <a:r>
            <a:rPr kumimoji="1" lang="en-US" altLang="ja-JP" sz="1100"/>
            <a:t>      &lt;input id="checkbox-all" class="icon-checkbox" type="checkbox"&gt;</a:t>
          </a:r>
        </a:p>
        <a:p>
          <a:pPr algn="l"/>
          <a:r>
            <a:rPr kumimoji="1" lang="en-US" altLang="ja-JP" sz="1100"/>
            <a:t>      &lt;label for="checkbox-all" class="text-info"&gt;</a:t>
          </a:r>
        </a:p>
        <a:p>
          <a:pPr algn="l"/>
          <a:r>
            <a:rPr kumimoji="1" lang="en-US" altLang="ja-JP" sz="1100"/>
            <a:t>      &lt;span class="glyphicon glyphicon-unchecked unchecked"&gt;&lt;/span&gt;</a:t>
          </a:r>
        </a:p>
        <a:p>
          <a:pPr algn="l"/>
          <a:r>
            <a:rPr kumimoji="1" lang="en-US" altLang="ja-JP" sz="1100"/>
            <a:t>      &lt;span class="glyphicon glyphicon-check checked"&gt;&lt;/span&gt;</a:t>
          </a:r>
        </a:p>
        <a:p>
          <a:pPr algn="l"/>
          <a:r>
            <a:rPr kumimoji="1" lang="en-US" altLang="ja-JP" sz="1100"/>
            <a:t>      &lt;/label&gt;</a:t>
          </a:r>
        </a:p>
        <a:p>
          <a:pPr algn="l"/>
          <a:r>
            <a:rPr kumimoji="1" lang="en-US" altLang="ja-JP" sz="1100"/>
            <a:t>      &lt;/th&gt;</a:t>
          </a:r>
        </a:p>
        <a:p>
          <a:pPr algn="l"/>
          <a:r>
            <a:rPr kumimoji="1" lang="en-US" altLang="ja-JP" sz="1100"/>
            <a:t>      &lt;th class="sorting_asc" tabindex="0" aria-controls="DataTables_Table_0" rowspan="1" colspan="1" aria-sort="ascending" aria-label="</a:t>
          </a:r>
          <a:r>
            <a:rPr kumimoji="1" lang="ja-JP" altLang="en-US" sz="1100"/>
            <a:t>ユーザー名</a:t>
          </a:r>
          <a:r>
            <a:rPr kumimoji="1" lang="en-US" altLang="ja-JP" sz="1100"/>
            <a:t>: activate to sort column descending"&gt;</a:t>
          </a:r>
          <a:r>
            <a:rPr kumimoji="1" lang="ja-JP" altLang="en-US" sz="1100"/>
            <a:t>ユーザー名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class="sorting" tabindex="0" aria-controls="DataTables_Table_0" rowspan="1" colspan="1" aria-label="</a:t>
          </a:r>
          <a:r>
            <a:rPr kumimoji="1" lang="ja-JP" altLang="en-US" sz="1100"/>
            <a:t>コース名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class="sorting" tabindex="0" aria-controls="DataTables_Table_0" rowspan="1" colspan="1" aria-label="</a:t>
          </a:r>
          <a:r>
            <a:rPr kumimoji="1" lang="ja-JP" altLang="en-US" sz="1100"/>
            <a:t>企業名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class="sorting" tabindex="0" aria-controls="DataTables_Table_0" rowspan="1" colspan="1" aria-label="</a:t>
          </a:r>
          <a:r>
            <a:rPr kumimoji="1" lang="ja-JP" altLang="en-US" sz="1100"/>
            <a:t>会場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会場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tabindex="0" aria-controls="DataTables_Table_0" rowspan="1" colspan="1" aria-label="</a:t>
          </a:r>
          <a:r>
            <a:rPr kumimoji="1" lang="ja-JP" altLang="en-US" sz="1100"/>
            <a:t>提出時間</a:t>
          </a:r>
          <a:r>
            <a:rPr kumimoji="1" lang="en-US" altLang="ja-JP" sz="1100"/>
            <a:t>: activate to sort column ascending" class="sorting"&gt;</a:t>
          </a:r>
          <a:r>
            <a:rPr kumimoji="1" lang="ja-JP" altLang="en-US" sz="1100"/>
            <a:t>提出時間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tabindex="0" aria-controls="DataTables_Table_0" rowspan="1" colspan="1" aria-label="</a:t>
          </a:r>
          <a:r>
            <a:rPr kumimoji="1" lang="ja-JP" altLang="en-US" sz="1100"/>
            <a:t>採点</a:t>
          </a:r>
          <a:r>
            <a:rPr kumimoji="1" lang="en-US" altLang="ja-JP" sz="1100"/>
            <a:t>: activate to sort column ascending" class="sorting"&gt;</a:t>
          </a:r>
          <a:r>
            <a:rPr kumimoji="1" lang="ja-JP" altLang="en-US" sz="1100"/>
            <a:t>採点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tabindex="0" aria-controls="DataTables_Table_0" rowspan="1" colspan="1"&gt;</a:t>
          </a:r>
          <a:r>
            <a:rPr kumimoji="1" lang="ja-JP" altLang="en-US" sz="1100"/>
            <a:t>フィードバック</a:t>
          </a:r>
          <a:r>
            <a:rPr kumimoji="1" lang="en-US" altLang="ja-JP" sz="1100"/>
            <a:t>&lt;/th&gt;&lt;/tr&gt;</a:t>
          </a:r>
        </a:p>
        <a:p>
          <a:pPr algn="l"/>
          <a:r>
            <a:rPr kumimoji="1" lang="en-US" altLang="ja-JP" sz="1100"/>
            <a:t>    &lt;/thead&gt;</a:t>
          </a:r>
        </a:p>
        <a:p>
          <a:pPr algn="l"/>
          <a:r>
            <a:rPr kumimoji="1" lang="en-US" altLang="ja-JP" sz="1100"/>
            <a:t>    &lt;tbody&gt;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&lt;td&gt;17:40&lt;/td&gt;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&lt;select name="courseId" id="courseId" class="form-control"&gt;</a:t>
          </a:r>
        </a:p>
        <a:p>
          <a:pPr algn="l"/>
          <a:r>
            <a:rPr kumimoji="1" lang="en-US" altLang="ja-JP" sz="1100"/>
            <a:t>                    &lt;option value=""&gt;&lt;/option&gt;</a:t>
          </a:r>
        </a:p>
        <a:p>
          <a:pPr algn="l"/>
          <a:r>
            <a:rPr kumimoji="1" lang="en-US" altLang="ja-JP" sz="1100"/>
            <a:t>                    &lt;option value="0"&gt;0&lt;/option&gt;</a:t>
          </a:r>
        </a:p>
        <a:p>
          <a:pPr algn="l"/>
          <a:r>
            <a:rPr kumimoji="1" lang="en-US" altLang="ja-JP" sz="1100"/>
            <a:t>                    &lt;option value="1"&gt;1&lt;/option&gt;</a:t>
          </a:r>
        </a:p>
        <a:p>
          <a:pPr algn="l"/>
          <a:r>
            <a:rPr kumimoji="1" lang="en-US" altLang="ja-JP" sz="1100"/>
            <a:t>                    &lt;option value="100"&gt;100&lt;/option&gt;</a:t>
          </a:r>
        </a:p>
        <a:p>
          <a:pPr algn="l"/>
          <a:r>
            <a:rPr kumimoji="1" lang="en-US" altLang="ja-JP" sz="1100"/>
            <a:t>                    &lt;option value="</a:t>
          </a:r>
          <a:r>
            <a:rPr kumimoji="1" lang="ja-JP" altLang="en-US" sz="1100"/>
            <a:t>対象外</a:t>
          </a:r>
          <a:r>
            <a:rPr kumimoji="1" lang="en-US" altLang="ja-JP" sz="1100"/>
            <a:t>"&gt;</a:t>
          </a:r>
          <a:r>
            <a:rPr kumimoji="1" lang="ja-JP" altLang="en-US" sz="1100"/>
            <a:t>対象外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&lt;td class="sorting_1"&gt;</a:t>
          </a:r>
        </a:p>
        <a:p>
          <a:pPr algn="l"/>
          <a:r>
            <a:rPr kumimoji="1" lang="en-US" altLang="ja-JP" sz="1100"/>
            <a:t>            &lt;a href="/lms/estimate/update?courseId=5&amp;amp;companyId=1" class="btn btn-sm btn-default" style="background: "&gt;</a:t>
          </a:r>
          <a:r>
            <a:rPr kumimoji="1" lang="ja-JP" altLang="en-US" sz="1100"/>
            <a:t>入力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&lt;/td&gt;&lt;/tr&gt;</a:t>
          </a:r>
        </a:p>
        <a:p>
          <a:pPr algn="l"/>
          <a:r>
            <a:rPr kumimoji="1" lang="en-US" altLang="ja-JP" sz="1100"/>
            <a:t>     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 bgcolor="#ffff00"&gt;&lt;/td&gt;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</a:t>
          </a:r>
          <a:r>
            <a:rPr kumimoji="1" lang="ja-JP" altLang="en-US" sz="1100"/>
            <a:t>未提出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&lt;td&gt;</a:t>
          </a:r>
        </a:p>
        <a:p>
          <a:pPr algn="l"/>
          <a:r>
            <a:rPr kumimoji="1" lang="en-US" altLang="ja-JP" sz="1100"/>
            <a:t>              </a:t>
          </a:r>
          <a:r>
            <a:rPr kumimoji="1" lang="ja-JP" altLang="en-US" sz="1100"/>
            <a:t>未提出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&lt;/td&gt;&lt;/tr&gt;</a:t>
          </a:r>
        </a:p>
        <a:p>
          <a:pPr algn="l"/>
          <a:r>
            <a:rPr kumimoji="1" lang="en-US" altLang="ja-JP" sz="1100"/>
            <a:t>     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 bgcolor="#ffff00"&gt;18:01&lt;/td&gt;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&lt;select name="courseId" id="courseId" class="form-control"&gt;</a:t>
          </a:r>
        </a:p>
        <a:p>
          <a:pPr algn="l"/>
          <a:r>
            <a:rPr kumimoji="1" lang="en-US" altLang="ja-JP" sz="1100"/>
            <a:t>                    &lt;option value=""&gt;&lt;/option&gt;</a:t>
          </a:r>
        </a:p>
        <a:p>
          <a:pPr algn="l"/>
          <a:r>
            <a:rPr kumimoji="1" lang="en-US" altLang="ja-JP" sz="1100"/>
            <a:t>                    &lt;option value="0"&gt;0&lt;/option&gt;</a:t>
          </a:r>
        </a:p>
        <a:p>
          <a:pPr algn="l"/>
          <a:r>
            <a:rPr kumimoji="1" lang="en-US" altLang="ja-JP" sz="1100"/>
            <a:t>                    &lt;option value="1"&gt;1&lt;/option&gt;</a:t>
          </a:r>
        </a:p>
        <a:p>
          <a:pPr algn="l"/>
          <a:r>
            <a:rPr kumimoji="1" lang="en-US" altLang="ja-JP" sz="1100"/>
            <a:t>                    &lt;option value="100"&gt;100&lt;/option&gt;</a:t>
          </a:r>
        </a:p>
        <a:p>
          <a:pPr algn="l"/>
          <a:r>
            <a:rPr kumimoji="1" lang="en-US" altLang="ja-JP" sz="1100"/>
            <a:t>                    &lt;option value="</a:t>
          </a:r>
          <a:r>
            <a:rPr kumimoji="1" lang="ja-JP" altLang="en-US" sz="1100"/>
            <a:t>対象外</a:t>
          </a:r>
          <a:r>
            <a:rPr kumimoji="1" lang="en-US" altLang="ja-JP" sz="1100"/>
            <a:t>"&gt;</a:t>
          </a:r>
          <a:r>
            <a:rPr kumimoji="1" lang="ja-JP" altLang="en-US" sz="1100"/>
            <a:t>対象外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&lt;td class="sorting_1" style="background: #dff0D8"&gt;</a:t>
          </a:r>
        </a:p>
        <a:p>
          <a:pPr algn="l"/>
          <a:r>
            <a:rPr kumimoji="1" lang="en-US" altLang="ja-JP" sz="1100"/>
            <a:t>            &lt;a href="/lms/estimate/update?courseId=5&amp;amp;companyId=1" class="btn btn-sm btn-default"&gt;</a:t>
          </a:r>
          <a:r>
            <a:rPr kumimoji="1" lang="ja-JP" altLang="en-US" sz="1100"/>
            <a:t>入力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&lt;/td&gt;&lt;/tr&gt;</a:t>
          </a:r>
        </a:p>
        <a:p>
          <a:pPr algn="l"/>
          <a:r>
            <a:rPr kumimoji="1" lang="en-US" altLang="ja-JP" sz="1100"/>
            <a:t>          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受講生四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&lt;td&gt;17:59&lt;/td&gt;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&lt;select name="courseId" id="courseId" class="form-control"&gt;</a:t>
          </a:r>
        </a:p>
        <a:p>
          <a:pPr algn="l"/>
          <a:r>
            <a:rPr kumimoji="1" lang="en-US" altLang="ja-JP" sz="1100"/>
            <a:t>                    &lt;option value=""&gt;&lt;/option&gt;</a:t>
          </a:r>
        </a:p>
        <a:p>
          <a:pPr algn="l"/>
          <a:r>
            <a:rPr kumimoji="1" lang="en-US" altLang="ja-JP" sz="1100"/>
            <a:t>                    &lt;option value="0"&gt;0&lt;/option&gt;</a:t>
          </a:r>
        </a:p>
        <a:p>
          <a:pPr algn="l"/>
          <a:r>
            <a:rPr kumimoji="1" lang="en-US" altLang="ja-JP" sz="1100"/>
            <a:t>                    &lt;option value="1"&gt;1&lt;/option&gt;</a:t>
          </a:r>
        </a:p>
        <a:p>
          <a:pPr algn="l"/>
          <a:r>
            <a:rPr kumimoji="1" lang="en-US" altLang="ja-JP" sz="1100"/>
            <a:t>                    &lt;option value="100"&gt;100&lt;/option&gt;</a:t>
          </a:r>
        </a:p>
        <a:p>
          <a:pPr algn="l"/>
          <a:r>
            <a:rPr kumimoji="1" lang="en-US" altLang="ja-JP" sz="1100"/>
            <a:t>                    &lt;option value="</a:t>
          </a:r>
          <a:r>
            <a:rPr kumimoji="1" lang="ja-JP" altLang="en-US" sz="1100"/>
            <a:t>対象外</a:t>
          </a:r>
          <a:r>
            <a:rPr kumimoji="1" lang="en-US" altLang="ja-JP" sz="1100"/>
            <a:t>"&gt;</a:t>
          </a:r>
          <a:r>
            <a:rPr kumimoji="1" lang="ja-JP" altLang="en-US" sz="1100"/>
            <a:t>対象外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&lt;td class="sorting_1" style="background: #dff0D8"&gt;</a:t>
          </a:r>
        </a:p>
        <a:p>
          <a:pPr algn="l"/>
          <a:r>
            <a:rPr kumimoji="1" lang="en-US" altLang="ja-JP" sz="1100"/>
            <a:t>            &lt;a href="/lms/estimate/update?courseId=5&amp;amp;companyId=1" class="btn btn-sm btn-default"&gt;</a:t>
          </a:r>
          <a:r>
            <a:rPr kumimoji="1" lang="ja-JP" altLang="en-US" sz="1100"/>
            <a:t>入力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&lt;/td&gt;&lt;/tr&gt;</a:t>
          </a:r>
        </a:p>
        <a:p>
          <a:pPr algn="l"/>
          <a:r>
            <a:rPr kumimoji="1" lang="en-US" altLang="ja-JP" sz="1100"/>
            <a:t>     &lt;/tbody&gt;</a:t>
          </a:r>
        </a:p>
        <a:p>
          <a:pPr algn="l"/>
          <a:r>
            <a:rPr kumimoji="1" lang="en-US" altLang="ja-JP" sz="1100"/>
            <a:t>    &lt;/table&gt;&lt;/div&gt;&lt;/div&gt;&lt;div class="row"&gt;&lt;div class="col-sm-5"&gt;&lt;div class="dataTables_info" id="DataTables_Table_0_info" role="status" aria-live="polite"&gt;1 </a:t>
          </a:r>
          <a:r>
            <a:rPr kumimoji="1" lang="ja-JP" altLang="en-US" sz="1100"/>
            <a:t>件中 </a:t>
          </a:r>
          <a:r>
            <a:rPr kumimoji="1" lang="en-US" altLang="ja-JP" sz="1100"/>
            <a:t>1 </a:t>
          </a:r>
          <a:r>
            <a:rPr kumimoji="1" lang="ja-JP" altLang="en-US" sz="1100"/>
            <a:t>件から </a:t>
          </a:r>
          <a:r>
            <a:rPr kumimoji="1" lang="en-US" altLang="ja-JP" sz="1100"/>
            <a:t>1 </a:t>
          </a:r>
          <a:r>
            <a:rPr kumimoji="1" lang="ja-JP" altLang="en-US" sz="1100"/>
            <a:t>件までを表示</a:t>
          </a:r>
          <a:r>
            <a:rPr kumimoji="1" lang="en-US" altLang="ja-JP" sz="1100"/>
            <a:t>&lt;/div&gt;&lt;/div&gt;&lt;div class="col-sm-7"&gt;&lt;div class="dataTables_paginate paging_simple_numbers" id="DataTables_Table_0_paginate"&gt;&lt;ul class="pagination"&gt;&lt;li class="paginate_button previous disabled" id="DataTables_Table_0_previous"&gt;&lt;a href="#" aria-controls="DataTables_Table_0" data-dt-idx="0" tabindex="0"&gt;</a:t>
          </a:r>
          <a:r>
            <a:rPr kumimoji="1" lang="ja-JP" altLang="en-US" sz="1100"/>
            <a:t>前へ</a:t>
          </a:r>
          <a:r>
            <a:rPr kumimoji="1" lang="en-US" altLang="ja-JP" sz="1100"/>
            <a:t>&lt;/a&gt;&lt;/li&gt;&lt;li class="paginate_button active"&gt;&lt;a href="#" aria-controls="DataTables_Table_0" data-dt-idx="1" tabindex="0"&gt;1&lt;/a&gt;&lt;/li&gt;&lt;li class="paginate_button next disabled" id="DataTables_Table_0_next"&gt;&lt;a href="#" aria-controls="DataTables_Table_0" data-dt-idx="2" tabindex="0"&gt;</a:t>
          </a:r>
          <a:r>
            <a:rPr kumimoji="1" lang="ja-JP" altLang="en-US" sz="1100"/>
            <a:t>次へ</a:t>
          </a:r>
          <a:r>
            <a:rPr kumimoji="1" lang="en-US" altLang="ja-JP" sz="1100"/>
            <a:t>&lt;/a&gt;&lt;/li&gt;&lt;/ul&gt;&lt;/div&gt;&lt;/div&gt;&lt;/div&gt;&lt;/div&gt;</a:t>
          </a:r>
        </a:p>
        <a:p>
          <a:pPr algn="l"/>
          <a:r>
            <a:rPr kumimoji="1" lang="en-US" altLang="ja-JP" sz="1100"/>
            <a:t>        &lt;/div&gt;</a:t>
          </a:r>
        </a:p>
      </xdr:txBody>
    </xdr:sp>
    <xdr:clientData/>
  </xdr:twoCellAnchor>
  <xdr:twoCellAnchor>
    <xdr:from>
      <xdr:col>40</xdr:col>
      <xdr:colOff>72390</xdr:colOff>
      <xdr:row>34</xdr:row>
      <xdr:rowOff>53343</xdr:rowOff>
    </xdr:from>
    <xdr:to>
      <xdr:col>46</xdr:col>
      <xdr:colOff>99060</xdr:colOff>
      <xdr:row>43</xdr:row>
      <xdr:rowOff>118111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94AE40E8-6A01-4DC1-9628-D13BFA9A3663}"/>
            </a:ext>
          </a:extLst>
        </xdr:cNvPr>
        <xdr:cNvCxnSpPr/>
      </xdr:nvCxnSpPr>
      <xdr:spPr>
        <a:xfrm rot="5400000">
          <a:off x="7783831" y="6225542"/>
          <a:ext cx="1642108" cy="1215390"/>
        </a:xfrm>
        <a:prstGeom prst="bentConnector3">
          <a:avLst>
            <a:gd name="adj1" fmla="val 5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139066</xdr:colOff>
      <xdr:row>39</xdr:row>
      <xdr:rowOff>148590</xdr:rowOff>
    </xdr:from>
    <xdr:to>
      <xdr:col>41</xdr:col>
      <xdr:colOff>171451</xdr:colOff>
      <xdr:row>42</xdr:row>
      <xdr:rowOff>9525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640F11E-051A-4F90-8517-812A19744C5E}"/>
            </a:ext>
          </a:extLst>
        </xdr:cNvPr>
        <xdr:cNvSpPr/>
      </xdr:nvSpPr>
      <xdr:spPr>
        <a:xfrm>
          <a:off x="6292216" y="6835140"/>
          <a:ext cx="1299210" cy="3752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クリック時表示</a:t>
          </a:r>
        </a:p>
      </xdr:txBody>
    </xdr:sp>
    <xdr:clientData/>
  </xdr:twoCellAnchor>
  <xdr:twoCellAnchor>
    <xdr:from>
      <xdr:col>64</xdr:col>
      <xdr:colOff>57150</xdr:colOff>
      <xdr:row>58</xdr:row>
      <xdr:rowOff>163830</xdr:rowOff>
    </xdr:from>
    <xdr:to>
      <xdr:col>78</xdr:col>
      <xdr:colOff>5715</xdr:colOff>
      <xdr:row>63</xdr:row>
      <xdr:rowOff>114300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87CB106-D931-417E-BA31-02BE8EE93133}"/>
            </a:ext>
          </a:extLst>
        </xdr:cNvPr>
        <xdr:cNvSpPr/>
      </xdr:nvSpPr>
      <xdr:spPr>
        <a:xfrm>
          <a:off x="11087100" y="10107930"/>
          <a:ext cx="2482215" cy="8077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class="modal fade in" id="div-modal" aria-hidden="false" style="display: block; padding-right: 19px;"&gt;&lt;div class="modal-backdrop fade in" style="height: 803px;"&gt;&lt;/div&gt;</a:t>
          </a:r>
        </a:p>
        <a:p>
          <a:pPr algn="l"/>
          <a:r>
            <a:rPr kumimoji="1" lang="en-US" altLang="ja-JP" sz="1100"/>
            <a:t>        &lt;div class="modal-dialog modal-dialog-center"&gt;</a:t>
          </a:r>
        </a:p>
        <a:p>
          <a:pPr algn="l"/>
          <a:r>
            <a:rPr kumimoji="1" lang="en-US" altLang="ja-JP" sz="1100"/>
            <a:t>          &lt;div class="modal-content"&gt;</a:t>
          </a:r>
        </a:p>
        <a:p>
          <a:pPr algn="l"/>
          <a:r>
            <a:rPr kumimoji="1" lang="en-US" altLang="ja-JP" sz="1100"/>
            <a:t>            &lt;div class="modal-header"&gt;</a:t>
          </a:r>
        </a:p>
        <a:p>
          <a:pPr algn="l"/>
          <a:r>
            <a:rPr kumimoji="1" lang="en-US" altLang="ja-JP" sz="1100"/>
            <a:t>              &lt;button type="button" class="close" data-dismiss="modal"&gt;</a:t>
          </a:r>
        </a:p>
        <a:p>
          <a:pPr algn="l"/>
          <a:r>
            <a:rPr kumimoji="1" lang="en-US" altLang="ja-JP" sz="1100"/>
            <a:t>                &lt;span aria-hidden="true"&gt;×&lt;/span&gt;</a:t>
          </a:r>
        </a:p>
        <a:p>
          <a:pPr algn="l"/>
          <a:r>
            <a:rPr kumimoji="1" lang="en-US" altLang="ja-JP" sz="1100"/>
            <a:t>              &lt;/button&gt;</a:t>
          </a:r>
        </a:p>
        <a:p>
          <a:pPr algn="l"/>
          <a:r>
            <a:rPr kumimoji="1" lang="en-US" altLang="ja-JP" sz="1100"/>
            <a:t>              &lt;h4 class="modal-title" id="modal-label"&gt;</a:t>
          </a:r>
          <a:r>
            <a:rPr kumimoji="1" lang="ja-JP" altLang="en-US" sz="1100"/>
            <a:t>フィードバックコメント</a:t>
          </a:r>
          <a:r>
            <a:rPr kumimoji="1" lang="en-US" altLang="ja-JP" sz="1100"/>
            <a:t>&lt;/h4&gt;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class="modal-body"&gt;</a:t>
          </a:r>
        </a:p>
        <a:p>
          <a:pPr algn="l"/>
          <a:r>
            <a:rPr kumimoji="1" lang="en-US" altLang="ja-JP" sz="1100"/>
            <a:t>    &lt;span&gt;</a:t>
          </a:r>
          <a:r>
            <a:rPr kumimoji="1" lang="ja-JP" altLang="en-US" sz="1100"/>
            <a:t>フィードバックコメントを入力してください</a:t>
          </a:r>
          <a:r>
            <a:rPr kumimoji="1" lang="en-US" altLang="ja-JP" sz="1100"/>
            <a:t>&lt;/span&gt;</a:t>
          </a:r>
        </a:p>
        <a:p>
          <a:pPr algn="l"/>
          <a:r>
            <a:rPr kumimoji="1" lang="en-US" altLang="ja-JP" sz="1100"/>
            <a:t>&lt;textarea name="holiday" id="holiday" class="form-control" style="margin: 0px; width: 558px; height: 300px;"&gt;&lt;/textarea&gt;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class="modal-footer"&gt;</a:t>
          </a:r>
        </a:p>
        <a:p>
          <a:pPr algn="l"/>
          <a:r>
            <a:rPr kumimoji="1" lang="en-US" altLang="ja-JP" sz="1100"/>
            <a:t>              &lt;button type="button" class="btn btn-primary" id="upd-btn"&gt;</a:t>
          </a:r>
          <a:r>
            <a:rPr kumimoji="1" lang="ja-JP" altLang="en-US" sz="1100"/>
            <a:t>登録</a:t>
          </a:r>
          <a:r>
            <a:rPr kumimoji="1" lang="en-US" altLang="ja-JP" sz="1100"/>
            <a:t>&lt;/button&gt;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r>
            <a:rPr kumimoji="1" lang="en-US" altLang="ja-JP" sz="1100"/>
            <a:t>      &lt;/div&gt;</a:t>
          </a:r>
          <a:endParaRPr kumimoji="1" lang="ja-JP" altLang="en-US" sz="1100"/>
        </a:p>
      </xdr:txBody>
    </xdr:sp>
    <xdr:clientData/>
  </xdr:twoCellAnchor>
  <xdr:twoCellAnchor>
    <xdr:from>
      <xdr:col>42</xdr:col>
      <xdr:colOff>104775</xdr:colOff>
      <xdr:row>31</xdr:row>
      <xdr:rowOff>80010</xdr:rowOff>
    </xdr:from>
    <xdr:to>
      <xdr:col>48</xdr:col>
      <xdr:colOff>22860</xdr:colOff>
      <xdr:row>34</xdr:row>
      <xdr:rowOff>43815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B48F832-32FC-4848-907E-4B0251DEFD89}"/>
            </a:ext>
          </a:extLst>
        </xdr:cNvPr>
        <xdr:cNvSpPr/>
      </xdr:nvSpPr>
      <xdr:spPr>
        <a:xfrm>
          <a:off x="8425815" y="5513070"/>
          <a:ext cx="1106805" cy="489585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184787</xdr:colOff>
      <xdr:row>31</xdr:row>
      <xdr:rowOff>114301</xdr:rowOff>
    </xdr:from>
    <xdr:to>
      <xdr:col>37</xdr:col>
      <xdr:colOff>182881</xdr:colOff>
      <xdr:row>34</xdr:row>
      <xdr:rowOff>68581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A93D34C-39C9-4042-B345-7AC3B6A62F52}"/>
            </a:ext>
          </a:extLst>
        </xdr:cNvPr>
        <xdr:cNvSpPr/>
      </xdr:nvSpPr>
      <xdr:spPr>
        <a:xfrm>
          <a:off x="6722747" y="5547361"/>
          <a:ext cx="790574" cy="48006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182880</xdr:colOff>
      <xdr:row>35</xdr:row>
      <xdr:rowOff>80010</xdr:rowOff>
    </xdr:from>
    <xdr:to>
      <xdr:col>53</xdr:col>
      <xdr:colOff>179070</xdr:colOff>
      <xdr:row>39</xdr:row>
      <xdr:rowOff>3810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0F7EA75A-99EE-43C8-A913-7D7F36F43119}"/>
            </a:ext>
          </a:extLst>
        </xdr:cNvPr>
        <xdr:cNvSpPr/>
      </xdr:nvSpPr>
      <xdr:spPr>
        <a:xfrm>
          <a:off x="9296400" y="6214110"/>
          <a:ext cx="1383030" cy="624840"/>
        </a:xfrm>
        <a:prstGeom prst="wedgeRectCallout">
          <a:avLst>
            <a:gd name="adj1" fmla="val -33574"/>
            <a:gd name="adj2" fmla="val -727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入力済みの場合は</a:t>
          </a:r>
          <a:endParaRPr kumimoji="1" lang="en-US" altLang="ja-JP" sz="1100"/>
        </a:p>
        <a:p>
          <a:pPr algn="l"/>
          <a:r>
            <a:rPr kumimoji="1" lang="ja-JP" altLang="en-US" sz="1100"/>
            <a:t>背景色を緑に</a:t>
          </a:r>
        </a:p>
      </xdr:txBody>
    </xdr:sp>
    <xdr:clientData/>
  </xdr:twoCellAnchor>
  <xdr:twoCellAnchor>
    <xdr:from>
      <xdr:col>33</xdr:col>
      <xdr:colOff>0</xdr:colOff>
      <xdr:row>26</xdr:row>
      <xdr:rowOff>28575</xdr:rowOff>
    </xdr:from>
    <xdr:to>
      <xdr:col>40</xdr:col>
      <xdr:colOff>133350</xdr:colOff>
      <xdr:row>29</xdr:row>
      <xdr:rowOff>121920</xdr:rowOff>
    </xdr:to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25A95B64-D009-494F-85CF-2D30CB79A413}"/>
            </a:ext>
          </a:extLst>
        </xdr:cNvPr>
        <xdr:cNvSpPr/>
      </xdr:nvSpPr>
      <xdr:spPr>
        <a:xfrm>
          <a:off x="6537960" y="4585335"/>
          <a:ext cx="1520190" cy="619125"/>
        </a:xfrm>
        <a:prstGeom prst="wedgeRectCallout">
          <a:avLst>
            <a:gd name="adj1" fmla="val 1137"/>
            <a:gd name="adj2" fmla="val 1005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提出期限切れの場合は背景色を黄色に</a:t>
          </a:r>
        </a:p>
      </xdr:txBody>
    </xdr:sp>
    <xdr:clientData/>
  </xdr:twoCellAnchor>
  <xdr:twoCellAnchor editAs="oneCell">
    <xdr:from>
      <xdr:col>8</xdr:col>
      <xdr:colOff>55245</xdr:colOff>
      <xdr:row>44</xdr:row>
      <xdr:rowOff>3810</xdr:rowOff>
    </xdr:from>
    <xdr:to>
      <xdr:col>45</xdr:col>
      <xdr:colOff>194310</xdr:colOff>
      <xdr:row>72</xdr:row>
      <xdr:rowOff>110490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88293D7-D1FA-48BA-AD0B-522FFA755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0205" y="7715250"/>
          <a:ext cx="7469505" cy="50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163830</xdr:colOff>
      <xdr:row>6</xdr:row>
      <xdr:rowOff>3810</xdr:rowOff>
    </xdr:from>
    <xdr:to>
      <xdr:col>49</xdr:col>
      <xdr:colOff>43815</xdr:colOff>
      <xdr:row>37</xdr:row>
      <xdr:rowOff>114300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E050764-F53A-4DFB-B65D-5A052A24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" y="1055370"/>
          <a:ext cx="8997315" cy="554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62</xdr:col>
      <xdr:colOff>76200</xdr:colOff>
      <xdr:row>6</xdr:row>
      <xdr:rowOff>0</xdr:rowOff>
    </xdr:from>
    <xdr:to>
      <xdr:col>80</xdr:col>
      <xdr:colOff>114300</xdr:colOff>
      <xdr:row>15</xdr:row>
      <xdr:rowOff>133350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7EF1885-0F2E-4F48-9154-2754F89CB82A}"/>
            </a:ext>
          </a:extLst>
        </xdr:cNvPr>
        <xdr:cNvSpPr/>
      </xdr:nvSpPr>
      <xdr:spPr>
        <a:xfrm>
          <a:off x="11868150" y="1028700"/>
          <a:ext cx="3638550" cy="1676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id="main" class="main2clm"&gt;</a:t>
          </a:r>
        </a:p>
        <a:p>
          <a:pPr algn="l"/>
          <a:r>
            <a:rPr kumimoji="1" lang="en-US" altLang="ja-JP" sz="1100"/>
            <a:t>    &lt;h2&gt;</a:t>
          </a:r>
          <a:r>
            <a:rPr kumimoji="1" lang="ja-JP" altLang="en-US" sz="1100"/>
            <a:t>成果物一覧</a:t>
          </a:r>
          <a:r>
            <a:rPr kumimoji="1" lang="en-US" altLang="ja-JP" sz="1100"/>
            <a:t>&lt;/h2&gt;</a:t>
          </a:r>
        </a:p>
        <a:p>
          <a:pPr algn="l"/>
          <a:r>
            <a:rPr kumimoji="1" lang="en-US" altLang="ja-JP" sz="1100"/>
            <a:t>    &lt;div class="well bs-component"&gt;</a:t>
          </a:r>
        </a:p>
        <a:p>
          <a:pPr algn="l"/>
          <a:r>
            <a:rPr kumimoji="1" lang="en-US" altLang="ja-JP" sz="1100"/>
            <a:t>      &lt;form name="dailyReport_dailyListActionForm" method="post" action="/lms/dailyReport/dailyList/" class="form-horizontal"&gt;&lt;div&gt;&lt;input type="hidden" name="org.apache.struts.taglib.html.TOKEN" value="3b8b33d1cd1ee4fc0badbf3e741d934b"&gt;&lt;/div&gt;</a:t>
          </a:r>
        </a:p>
        <a:p>
          <a:pPr algn="l"/>
          <a:r>
            <a:rPr kumimoji="1" lang="en-US" altLang="ja-JP" sz="1100"/>
            <a:t>        &lt;fieldset&gt;</a:t>
          </a:r>
        </a:p>
        <a:p>
          <a:pPr algn="l"/>
          <a:r>
            <a:rPr kumimoji="1" lang="en-US" altLang="ja-JP" sz="1100"/>
            <a:t>          &lt;legend&gt;</a:t>
          </a:r>
          <a:r>
            <a:rPr kumimoji="1" lang="ja-JP" altLang="en-US" sz="1100"/>
            <a:t>検索</a:t>
          </a:r>
          <a:r>
            <a:rPr kumimoji="1" lang="en-US" altLang="ja-JP" sz="1100"/>
            <a:t>&lt;/legend&gt;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&lt;label for="date" class="col-lg-2 control-label"&gt;</a:t>
          </a:r>
          <a:r>
            <a:rPr kumimoji="1" lang="ja-JP" altLang="en-US" sz="1100"/>
            <a:t>成果物名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&lt;div class="col-lg-10"&gt;</a:t>
          </a:r>
        </a:p>
        <a:p>
          <a:pPr algn="l"/>
          <a:r>
            <a:rPr kumimoji="1" lang="en-US" altLang="ja-JP" sz="1100"/>
            <a:t>              &lt;input type="text" name="date" value="</a:t>
          </a:r>
          <a:r>
            <a:rPr kumimoji="1" lang="ja-JP" altLang="en-US" sz="1100"/>
            <a:t>テスト設計書</a:t>
          </a:r>
          <a:r>
            <a:rPr kumimoji="1" lang="en-US" altLang="ja-JP" sz="1100"/>
            <a:t>" class="form-control datepicker" id="date"&gt;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        &lt;div class="form-group"&gt;</a:t>
          </a:r>
        </a:p>
        <a:p>
          <a:pPr algn="l"/>
          <a:r>
            <a:rPr kumimoji="1" lang="en-US" altLang="ja-JP" sz="1100"/>
            <a:t>                  &lt;label for="placeId" class="col-lg-2 control-label"&gt;</a:t>
          </a:r>
          <a:r>
            <a:rPr kumimoji="1" lang="ja-JP" altLang="en-US" sz="1100"/>
            <a:t>会場名</a:t>
          </a:r>
          <a:r>
            <a:rPr kumimoji="1" lang="en-US" altLang="ja-JP" sz="1100"/>
            <a:t>&lt;/label&gt;</a:t>
          </a:r>
        </a:p>
        <a:p>
          <a:pPr algn="l"/>
          <a:r>
            <a:rPr kumimoji="1" lang="en-US" altLang="ja-JP" sz="1100"/>
            <a:t>                  &lt;div class="col-lg-10"&gt;</a:t>
          </a:r>
        </a:p>
        <a:p>
          <a:pPr algn="l"/>
          <a:r>
            <a:rPr kumimoji="1" lang="en-US" altLang="ja-JP" sz="1100"/>
            <a:t>                                            &lt;input type="text" name="" value="</a:t>
          </a:r>
          <a:r>
            <a:rPr kumimoji="1" lang="ja-JP" altLang="en-US" sz="1100"/>
            <a:t>Ａ会場</a:t>
          </a:r>
          <a:r>
            <a:rPr kumimoji="1" lang="en-US" altLang="ja-JP" sz="1100"/>
            <a:t>(A</a:t>
          </a:r>
          <a:r>
            <a:rPr kumimoji="1" lang="ja-JP" altLang="en-US" sz="1100"/>
            <a:t>会場</a:t>
          </a:r>
          <a:r>
            <a:rPr kumimoji="1" lang="en-US" altLang="ja-JP" sz="1100"/>
            <a:t>$</a:t>
          </a:r>
          <a:r>
            <a:rPr kumimoji="1" lang="ja-JP" altLang="en-US" sz="1100"/>
            <a:t>教室</a:t>
          </a:r>
          <a:r>
            <a:rPr kumimoji="1" lang="en-US" altLang="ja-JP" sz="1100"/>
            <a:t>A$50</a:t>
          </a:r>
          <a:r>
            <a:rPr kumimoji="1" lang="ja-JP" altLang="en-US" sz="1100"/>
            <a:t>人</a:t>
          </a:r>
          <a:r>
            <a:rPr kumimoji="1" lang="en-US" altLang="ja-JP" sz="1100"/>
            <a:t>)" readonly="readonly" id="placeId" class="form-control"&gt;</a:t>
          </a:r>
        </a:p>
        <a:p>
          <a:pPr algn="l"/>
          <a:r>
            <a:rPr kumimoji="1" lang="en-US" altLang="ja-JP" sz="1100"/>
            <a:t>                  &lt;/div&gt;</a:t>
          </a:r>
        </a:p>
        <a:p>
          <a:pPr algn="l"/>
          <a:r>
            <a:rPr kumimoji="1" lang="en-US" altLang="ja-JP" sz="1100"/>
            <a:t>                &lt;/div&gt;</a:t>
          </a:r>
        </a:p>
        <a:p>
          <a:pPr algn="l"/>
          <a:r>
            <a:rPr kumimoji="1" lang="en-US" altLang="ja-JP" sz="1100"/>
            <a:t>          &lt;div class="form-group"&gt;</a:t>
          </a:r>
        </a:p>
        <a:p>
          <a:pPr algn="l"/>
          <a:r>
            <a:rPr kumimoji="1" lang="en-US" altLang="ja-JP" sz="1100"/>
            <a:t>            &lt;div class="col-lg-10 col-lg-offset-2"&gt;</a:t>
          </a:r>
        </a:p>
        <a:p>
          <a:pPr algn="l"/>
          <a:r>
            <a:rPr kumimoji="1" lang="en-US" altLang="ja-JP" sz="1100"/>
            <a:t>              &lt;input type="submit" value="</a:t>
          </a:r>
          <a:r>
            <a:rPr kumimoji="1" lang="ja-JP" altLang="en-US" sz="1100"/>
            <a:t>検索</a:t>
          </a:r>
          <a:r>
            <a:rPr kumimoji="1" lang="en-US" altLang="ja-JP" sz="1100"/>
            <a:t>" class="btn btn-primary"&gt;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&lt;/fieldset&gt;</a:t>
          </a:r>
        </a:p>
        <a:p>
          <a:pPr algn="l"/>
          <a:r>
            <a:rPr kumimoji="1" lang="en-US" altLang="ja-JP" sz="1100"/>
            <a:t>      &lt;/form&gt;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id="DataTables_Table_0_wrapper" class="dataTables_wrapper form-inline dt-bootstrap no-footer"&gt;&lt;div class="row"&gt;&lt;div class="col-sm-6"&gt;&lt;div class="dataTables_length" id="DataTables_Table_0_length"&gt;&lt;label&gt;1</a:t>
          </a:r>
          <a:r>
            <a:rPr kumimoji="1" lang="ja-JP" altLang="en-US" sz="1100"/>
            <a:t>ページあたりの表示件数</a:t>
          </a:r>
          <a:r>
            <a:rPr kumimoji="1" lang="en-US" altLang="ja-JP" sz="1100"/>
            <a:t>: &lt;select name="DataTables_Table_0_length" aria-controls="DataTables_Table_0" class="form-control input-sm"&gt;&lt;option value="10"&gt;10&lt;/option&gt;&lt;option value="20"&gt;20&lt;/option&gt;&lt;option value="30"&gt;30&lt;/option&gt;&lt;option value="40"&gt;40&lt;/option&gt;&lt;option value="50"&gt;50&lt;/option&gt;&lt;option value="-1"&gt;ALL&lt;/option&gt;&lt;/select&gt;&lt;/label&gt;&lt;/div&gt;&lt;/div&gt;&lt;div class="col-sm-6"&gt;&lt;/div&gt;&lt;/div&gt;&lt;div class="row"&gt;&lt;div class="col-sm-12"&gt;&lt;br&gt;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&lt;input type="submit" name="download" value="</a:t>
          </a:r>
          <a:r>
            <a:rPr kumimoji="1" lang="ja-JP" altLang="en-US" sz="1100"/>
            <a:t>チェックした成果物を一括ダウンロード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</a:t>
          </a:r>
          <a:r>
            <a:rPr kumimoji="1" lang="ja-JP" altLang="en-US" sz="1100"/>
            <a:t>　　　　　</a:t>
          </a:r>
          <a:r>
            <a:rPr kumimoji="1" lang="en-US" altLang="ja-JP" sz="1100"/>
            <a:t>&lt;input type="submit" name="download" value="</a:t>
          </a:r>
          <a:r>
            <a:rPr kumimoji="1" lang="ja-JP" altLang="en-US" sz="1100"/>
            <a:t>表示している採点を反映</a:t>
          </a:r>
          <a:r>
            <a:rPr kumimoji="1" lang="en-US" altLang="ja-JP" sz="1100"/>
            <a:t>" class="btn btn-default" style="</a:t>
          </a:r>
        </a:p>
        <a:p>
          <a:pPr algn="l"/>
          <a:r>
            <a:rPr kumimoji="1" lang="en-US" altLang="ja-JP" sz="1100"/>
            <a:t>    margin-right: 300px;</a:t>
          </a:r>
        </a:p>
        <a:p>
          <a:pPr algn="l"/>
          <a:r>
            <a:rPr kumimoji="1" lang="en-US" altLang="ja-JP" sz="1100"/>
            <a:t>"&gt;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</a:t>
          </a:r>
          <a:r>
            <a:rPr kumimoji="1" lang="ja-JP" altLang="en-US" sz="1100"/>
            <a:t>　　　　　</a:t>
          </a:r>
          <a:r>
            <a:rPr kumimoji="1" lang="en-US" altLang="ja-JP" sz="1100"/>
            <a:t>&lt;input type="submit" name="download" value="</a:t>
          </a:r>
          <a:r>
            <a:rPr kumimoji="1" lang="ja-JP" altLang="en-US" sz="1100"/>
            <a:t>チェックしている成果物を削除</a:t>
          </a:r>
          <a:r>
            <a:rPr kumimoji="1" lang="en-US" altLang="ja-JP" sz="1100"/>
            <a:t>" class="btn btn-default"&gt;</a:t>
          </a:r>
        </a:p>
        <a:p>
          <a:pPr algn="l"/>
          <a:r>
            <a:rPr kumimoji="1" lang="en-US" altLang="ja-JP" sz="1100"/>
            <a:t>    &lt;/div&gt;</a:t>
          </a:r>
        </a:p>
        <a:p>
          <a:pPr algn="l"/>
          <a:r>
            <a:rPr kumimoji="1" lang="en-US" altLang="ja-JP" sz="1100"/>
            <a:t>    &lt;div class="form-group"&gt;</a:t>
          </a:r>
        </a:p>
        <a:p>
          <a:pPr algn="l"/>
          <a:r>
            <a:rPr kumimoji="1" lang="en-US" altLang="ja-JP" sz="1100"/>
            <a:t>       ※</a:t>
          </a:r>
          <a:r>
            <a:rPr kumimoji="1" lang="ja-JP" altLang="en-US" sz="1100"/>
            <a:t>未提出、提出遅れは背景色を変更して表示しています。</a:t>
          </a:r>
        </a:p>
        <a:p>
          <a:pPr algn="l"/>
          <a:r>
            <a:rPr kumimoji="1" lang="ja-JP" altLang="en-US" sz="1100"/>
            <a:t>    </a:t>
          </a:r>
          <a:r>
            <a:rPr kumimoji="1" lang="en-US" altLang="ja-JP" sz="1100"/>
            <a:t>&lt;/div&gt;</a:t>
          </a:r>
        </a:p>
        <a:p>
          <a:pPr algn="l"/>
          <a:r>
            <a:rPr kumimoji="1" lang="en-US" altLang="ja-JP" sz="1100"/>
            <a:t>    &lt;label for="pastFlg" class="text-info"&gt;&lt;/label&gt;&lt;table class="table table-hover sortabletable dataTable no-footer" id="DataTables_Table_0" role="grid" aria-describedby="DataTables_Table_0_info"&gt;</a:t>
          </a:r>
        </a:p>
        <a:p>
          <a:pPr algn="l"/>
          <a:r>
            <a:rPr kumimoji="1" lang="en-US" altLang="ja-JP" sz="1100"/>
            <a:t>    &lt;thead&gt;</a:t>
          </a:r>
        </a:p>
        <a:p>
          <a:pPr algn="l"/>
          <a:r>
            <a:rPr kumimoji="1" lang="en-US" altLang="ja-JP" sz="1100"/>
            <a:t>      &lt;tr role="row"&gt;</a:t>
          </a:r>
        </a:p>
        <a:p>
          <a:pPr algn="l"/>
          <a:r>
            <a:rPr kumimoji="1" lang="en-US" altLang="ja-JP" sz="1100"/>
            <a:t>      &lt;th class="sorting_asc" tabindex="0" aria-controls="place-table" rowspan="1" colspan="1" aria-sort="ascending" aria-label=": activate to sort column descending"&gt;</a:t>
          </a:r>
        </a:p>
        <a:p>
          <a:pPr algn="l"/>
          <a:r>
            <a:rPr kumimoji="1" lang="en-US" altLang="ja-JP" sz="1100"/>
            <a:t>      &lt;input id="checkbox-all" class="icon-checkbox" type="checkbox"&gt;</a:t>
          </a:r>
        </a:p>
        <a:p>
          <a:pPr algn="l"/>
          <a:r>
            <a:rPr kumimoji="1" lang="en-US" altLang="ja-JP" sz="1100"/>
            <a:t>      &lt;label for="checkbox-all" class="text-info"&gt;</a:t>
          </a:r>
        </a:p>
        <a:p>
          <a:pPr algn="l"/>
          <a:r>
            <a:rPr kumimoji="1" lang="en-US" altLang="ja-JP" sz="1100"/>
            <a:t>      &lt;span class="glyphicon glyphicon-unchecked unchecked"&gt;&lt;/span&gt;</a:t>
          </a:r>
        </a:p>
        <a:p>
          <a:pPr algn="l"/>
          <a:r>
            <a:rPr kumimoji="1" lang="en-US" altLang="ja-JP" sz="1100"/>
            <a:t>      &lt;span class="glyphicon glyphicon-check checked"&gt;&lt;/span&gt;</a:t>
          </a:r>
        </a:p>
        <a:p>
          <a:pPr algn="l"/>
          <a:r>
            <a:rPr kumimoji="1" lang="en-US" altLang="ja-JP" sz="1100"/>
            <a:t>      &lt;/label&gt;</a:t>
          </a:r>
        </a:p>
        <a:p>
          <a:pPr algn="l"/>
          <a:r>
            <a:rPr kumimoji="1" lang="en-US" altLang="ja-JP" sz="1100"/>
            <a:t>      &lt;/th&gt;</a:t>
          </a:r>
        </a:p>
        <a:p>
          <a:pPr algn="l"/>
          <a:r>
            <a:rPr kumimoji="1" lang="en-US" altLang="ja-JP" sz="1100"/>
            <a:t>      &lt;th class="sorting_asc" tabindex="0" aria-controls="DataTables_Table_0" rowspan="1" colspan="1" aria-sort="ascending" aria-label="</a:t>
          </a:r>
          <a:r>
            <a:rPr kumimoji="1" lang="ja-JP" altLang="en-US" sz="1100"/>
            <a:t>ユーザー名</a:t>
          </a:r>
          <a:r>
            <a:rPr kumimoji="1" lang="en-US" altLang="ja-JP" sz="1100"/>
            <a:t>: activate to sort column descending"&gt;</a:t>
          </a:r>
          <a:r>
            <a:rPr kumimoji="1" lang="ja-JP" altLang="en-US" sz="1100"/>
            <a:t>ユーザー名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class="sorting" tabindex="0" aria-controls="DataTables_Table_0" rowspan="1" colspan="1" aria-label="</a:t>
          </a:r>
          <a:r>
            <a:rPr kumimoji="1" lang="ja-JP" altLang="en-US" sz="1100"/>
            <a:t>コース名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コース名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class="sorting" tabindex="0" aria-controls="DataTables_Table_0" rowspan="1" colspan="1" aria-label="</a:t>
          </a:r>
          <a:r>
            <a:rPr kumimoji="1" lang="ja-JP" altLang="en-US" sz="1100"/>
            <a:t>企業名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企業名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class="sorting" tabindex="0" aria-controls="DataTables_Table_0" rowspan="1" colspan="1" aria-label="</a:t>
          </a:r>
          <a:r>
            <a:rPr kumimoji="1" lang="ja-JP" altLang="en-US" sz="1100"/>
            <a:t>会場</a:t>
          </a:r>
          <a:r>
            <a:rPr kumimoji="1" lang="en-US" altLang="ja-JP" sz="1100"/>
            <a:t>: activate to sort column ascending"&gt;</a:t>
          </a:r>
          <a:r>
            <a:rPr kumimoji="1" lang="ja-JP" altLang="en-US" sz="1100"/>
            <a:t>会場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tabindex="0" aria-controls="DataTables_Table_0" rowspan="1" colspan="1" aria-label="</a:t>
          </a:r>
          <a:r>
            <a:rPr kumimoji="1" lang="ja-JP" altLang="en-US" sz="1100"/>
            <a:t>提出時間</a:t>
          </a:r>
          <a:r>
            <a:rPr kumimoji="1" lang="en-US" altLang="ja-JP" sz="1100"/>
            <a:t>: activate to sort column ascending" class="sorting"&gt;</a:t>
          </a:r>
          <a:r>
            <a:rPr kumimoji="1" lang="ja-JP" altLang="en-US" sz="1100"/>
            <a:t>提出時間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tabindex="0" aria-controls="DataTables_Table_0" rowspan="1" colspan="1" aria-label="</a:t>
          </a:r>
          <a:r>
            <a:rPr kumimoji="1" lang="ja-JP" altLang="en-US" sz="1100"/>
            <a:t>採点</a:t>
          </a:r>
          <a:r>
            <a:rPr kumimoji="1" lang="en-US" altLang="ja-JP" sz="1100"/>
            <a:t>: activate to sort column ascending" class="sorting"&gt;</a:t>
          </a:r>
          <a:r>
            <a:rPr kumimoji="1" lang="ja-JP" altLang="en-US" sz="1100"/>
            <a:t>採点</a:t>
          </a:r>
          <a:r>
            <a:rPr kumimoji="1" lang="en-US" altLang="ja-JP" sz="1100"/>
            <a:t>&lt;/th&gt;</a:t>
          </a:r>
        </a:p>
        <a:p>
          <a:pPr algn="l"/>
          <a:r>
            <a:rPr kumimoji="1" lang="en-US" altLang="ja-JP" sz="1100"/>
            <a:t>      &lt;th tabindex="0" aria-controls="DataTables_Table_0" rowspan="1" colspan="1"&gt;</a:t>
          </a:r>
          <a:r>
            <a:rPr kumimoji="1" lang="ja-JP" altLang="en-US" sz="1100"/>
            <a:t>フィードバック</a:t>
          </a:r>
          <a:r>
            <a:rPr kumimoji="1" lang="en-US" altLang="ja-JP" sz="1100"/>
            <a:t>&lt;/th&gt;&lt;/tr&gt;</a:t>
          </a:r>
        </a:p>
        <a:p>
          <a:pPr algn="l"/>
          <a:r>
            <a:rPr kumimoji="1" lang="en-US" altLang="ja-JP" sz="1100"/>
            <a:t>    &lt;/thead&gt;</a:t>
          </a:r>
        </a:p>
        <a:p>
          <a:pPr algn="l"/>
          <a:r>
            <a:rPr kumimoji="1" lang="en-US" altLang="ja-JP" sz="1100"/>
            <a:t>    &lt;tbody&gt;</a:t>
          </a:r>
        </a:p>
        <a:p>
          <a:pPr algn="l"/>
          <a:r>
            <a:rPr kumimoji="1" lang="en-US" altLang="ja-JP" sz="1100"/>
            <a:t>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受講生一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&lt;td&gt;17:40&lt;/td&gt;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&lt;select name="courseId" id="courseId" class="form-control"&gt;</a:t>
          </a:r>
        </a:p>
        <a:p>
          <a:pPr algn="l"/>
          <a:r>
            <a:rPr kumimoji="1" lang="en-US" altLang="ja-JP" sz="1100"/>
            <a:t>                    &lt;option value=""&gt;&lt;/option&gt;</a:t>
          </a:r>
        </a:p>
        <a:p>
          <a:pPr algn="l"/>
          <a:r>
            <a:rPr kumimoji="1" lang="en-US" altLang="ja-JP" sz="1100"/>
            <a:t>                    &lt;option value="0"&gt;0&lt;/option&gt;</a:t>
          </a:r>
        </a:p>
        <a:p>
          <a:pPr algn="l"/>
          <a:r>
            <a:rPr kumimoji="1" lang="en-US" altLang="ja-JP" sz="1100"/>
            <a:t>                    &lt;option value="1"&gt;1&lt;/option&gt;</a:t>
          </a:r>
        </a:p>
        <a:p>
          <a:pPr algn="l"/>
          <a:r>
            <a:rPr kumimoji="1" lang="en-US" altLang="ja-JP" sz="1100"/>
            <a:t>                    &lt;option value="100"&gt;100&lt;/option&gt;</a:t>
          </a:r>
        </a:p>
        <a:p>
          <a:pPr algn="l"/>
          <a:r>
            <a:rPr kumimoji="1" lang="en-US" altLang="ja-JP" sz="1100"/>
            <a:t>                    &lt;option value="</a:t>
          </a:r>
          <a:r>
            <a:rPr kumimoji="1" lang="ja-JP" altLang="en-US" sz="1100"/>
            <a:t>対象外</a:t>
          </a:r>
          <a:r>
            <a:rPr kumimoji="1" lang="en-US" altLang="ja-JP" sz="1100"/>
            <a:t>"&gt;</a:t>
          </a:r>
          <a:r>
            <a:rPr kumimoji="1" lang="ja-JP" altLang="en-US" sz="1100"/>
            <a:t>対象外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&lt;td class="sorting_1"&gt;</a:t>
          </a:r>
        </a:p>
        <a:p>
          <a:pPr algn="l"/>
          <a:r>
            <a:rPr kumimoji="1" lang="en-US" altLang="ja-JP" sz="1100"/>
            <a:t>            &lt;a href="/lms/estimate/update?courseId=5&amp;amp;companyId=1" class="btn btn-sm btn-default" style="background: "&gt;</a:t>
          </a:r>
          <a:r>
            <a:rPr kumimoji="1" lang="ja-JP" altLang="en-US" sz="1100"/>
            <a:t>未入力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&lt;/td&gt;&lt;/tr&gt;</a:t>
          </a:r>
        </a:p>
        <a:p>
          <a:pPr algn="l"/>
          <a:r>
            <a:rPr kumimoji="1" lang="en-US" altLang="ja-JP" sz="1100"/>
            <a:t>     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受講生二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 bgcolor="#ffff00"&gt;&lt;/td&gt;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</a:t>
          </a:r>
          <a:r>
            <a:rPr kumimoji="1" lang="ja-JP" altLang="en-US" sz="1100"/>
            <a:t>未提出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&lt;td&gt;</a:t>
          </a:r>
        </a:p>
        <a:p>
          <a:pPr algn="l"/>
          <a:r>
            <a:rPr kumimoji="1" lang="en-US" altLang="ja-JP" sz="1100"/>
            <a:t>              </a:t>
          </a:r>
          <a:r>
            <a:rPr kumimoji="1" lang="ja-JP" altLang="en-US" sz="1100"/>
            <a:t>未提出</a:t>
          </a:r>
        </a:p>
        <a:p>
          <a:pPr algn="l"/>
          <a:r>
            <a:rPr kumimoji="1" lang="ja-JP" altLang="en-US" sz="1100"/>
            <a:t>          </a:t>
          </a:r>
          <a:r>
            <a:rPr kumimoji="1" lang="en-US" altLang="ja-JP" sz="1100"/>
            <a:t>&lt;/td&gt;&lt;/tr&gt;</a:t>
          </a:r>
        </a:p>
        <a:p>
          <a:pPr algn="l"/>
          <a:r>
            <a:rPr kumimoji="1" lang="en-US" altLang="ja-JP" sz="1100"/>
            <a:t>     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受講生三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 bgcolor="#ffff00"&gt;18:01&lt;/td&gt;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&lt;select name="courseId" id="courseId" class="form-control"&gt;</a:t>
          </a:r>
        </a:p>
        <a:p>
          <a:pPr algn="l"/>
          <a:r>
            <a:rPr kumimoji="1" lang="en-US" altLang="ja-JP" sz="1100"/>
            <a:t>                    &lt;option value=""&gt;&lt;/option&gt;</a:t>
          </a:r>
        </a:p>
        <a:p>
          <a:pPr algn="l"/>
          <a:r>
            <a:rPr kumimoji="1" lang="en-US" altLang="ja-JP" sz="1100"/>
            <a:t>                    &lt;option value="0"&gt;0&lt;/option&gt;</a:t>
          </a:r>
        </a:p>
        <a:p>
          <a:pPr algn="l"/>
          <a:r>
            <a:rPr kumimoji="1" lang="en-US" altLang="ja-JP" sz="1100"/>
            <a:t>                    &lt;option value="1"&gt;1&lt;/option&gt;</a:t>
          </a:r>
        </a:p>
        <a:p>
          <a:pPr algn="l"/>
          <a:r>
            <a:rPr kumimoji="1" lang="en-US" altLang="ja-JP" sz="1100"/>
            <a:t>                    &lt;option value="100"&gt;100&lt;/option&gt;</a:t>
          </a:r>
        </a:p>
        <a:p>
          <a:pPr algn="l"/>
          <a:r>
            <a:rPr kumimoji="1" lang="en-US" altLang="ja-JP" sz="1100"/>
            <a:t>                    &lt;option value="</a:t>
          </a:r>
          <a:r>
            <a:rPr kumimoji="1" lang="ja-JP" altLang="en-US" sz="1100"/>
            <a:t>対象外</a:t>
          </a:r>
          <a:r>
            <a:rPr kumimoji="1" lang="en-US" altLang="ja-JP" sz="1100"/>
            <a:t>"&gt;</a:t>
          </a:r>
          <a:r>
            <a:rPr kumimoji="1" lang="ja-JP" altLang="en-US" sz="1100"/>
            <a:t>対象外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&lt;td class="sorting_1" style="background: #dff0D8"&gt;</a:t>
          </a:r>
        </a:p>
        <a:p>
          <a:pPr algn="l"/>
          <a:r>
            <a:rPr kumimoji="1" lang="en-US" altLang="ja-JP" sz="1100"/>
            <a:t>            &lt;a href="/lms/estimate/update?courseId=5&amp;amp;companyId=1" class="btn btn-sm btn-default"&gt;</a:t>
          </a:r>
          <a:r>
            <a:rPr kumimoji="1" lang="ja-JP" altLang="en-US" sz="1100"/>
            <a:t>入力済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&lt;/td&gt;&lt;/tr&gt;</a:t>
          </a:r>
        </a:p>
        <a:p>
          <a:pPr algn="l"/>
          <a:r>
            <a:rPr kumimoji="1" lang="en-US" altLang="ja-JP" sz="1100"/>
            <a:t>              &lt;tr role="row" class="odd"&gt;</a:t>
          </a:r>
        </a:p>
        <a:p>
          <a:pPr algn="l"/>
          <a:r>
            <a:rPr kumimoji="1" lang="en-US" altLang="ja-JP" sz="1100"/>
            <a:t>          &lt;td class="sorting_1"&gt;</a:t>
          </a:r>
        </a:p>
        <a:p>
          <a:pPr algn="l"/>
          <a:r>
            <a:rPr kumimoji="1" lang="en-US" altLang="ja-JP" sz="1100"/>
            <a:t>            &lt;input type="checkbox" name="placeIdArr[180]" value="252" id="placeIdArr[180]" class="icon-checkbox"&gt;</a:t>
          </a:r>
        </a:p>
        <a:p>
          <a:pPr algn="l"/>
          <a:r>
            <a:rPr kumimoji="1" lang="en-US" altLang="ja-JP" sz="1100"/>
            <a:t>            &lt;label for="placeIdArr[180]" class="text-info"&gt;</a:t>
          </a:r>
        </a:p>
        <a:p>
          <a:pPr algn="l"/>
          <a:r>
            <a:rPr kumimoji="1" lang="en-US" altLang="ja-JP" sz="1100"/>
            <a:t>              &lt;span class="glyphicon glyphicon-unchecked unchecked"&gt;&lt;/span&gt;</a:t>
          </a:r>
        </a:p>
        <a:p>
          <a:pPr algn="l"/>
          <a:r>
            <a:rPr kumimoji="1" lang="en-US" altLang="ja-JP" sz="1100"/>
            <a:t>              &lt;span class="glyphicon glyphicon-check checked"&gt;&lt;/span&gt;</a:t>
          </a:r>
        </a:p>
        <a:p>
          <a:pPr algn="l"/>
          <a:r>
            <a:rPr kumimoji="1" lang="en-US" altLang="ja-JP" sz="1100"/>
            <a:t>            &lt;/label&gt;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  &lt;td class="sorting_1"&gt;</a:t>
          </a:r>
          <a:r>
            <a:rPr kumimoji="1" lang="ja-JP" altLang="en-US" sz="1100"/>
            <a:t>受講生四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&lt;td&gt;【HT】10</a:t>
          </a:r>
          <a:r>
            <a:rPr kumimoji="1" lang="ja-JP" altLang="en-US" sz="1100"/>
            <a:t>月</a:t>
          </a:r>
          <a:r>
            <a:rPr kumimoji="1" lang="en-US" altLang="ja-JP" sz="1100"/>
            <a:t>SE</a:t>
          </a:r>
          <a:r>
            <a:rPr kumimoji="1" lang="ja-JP" altLang="en-US" sz="1100"/>
            <a:t>育成コース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株式会社システムＡ</a:t>
          </a:r>
          <a:r>
            <a:rPr kumimoji="1" lang="en-US" altLang="ja-JP" sz="1100"/>
            <a:t>&lt;/td&gt;</a:t>
          </a:r>
        </a:p>
        <a:p>
          <a:pPr algn="l"/>
          <a:r>
            <a:rPr kumimoji="1" lang="en-US" altLang="ja-JP" sz="1100"/>
            <a:t>          &lt;td&gt;</a:t>
          </a:r>
          <a:r>
            <a:rPr kumimoji="1" lang="ja-JP" altLang="en-US" sz="1100"/>
            <a:t>Ａ会場</a:t>
          </a:r>
          <a:r>
            <a:rPr kumimoji="1" lang="en-US" altLang="ja-JP" sz="1100"/>
            <a:t>&lt;small&gt;</a:t>
          </a:r>
          <a:r>
            <a:rPr kumimoji="1" lang="ja-JP" altLang="en-US" sz="1100"/>
            <a:t>（Ａ会場</a:t>
          </a:r>
          <a:r>
            <a:rPr kumimoji="1" lang="en-US" altLang="ja-JP" sz="1100"/>
            <a:t>$</a:t>
          </a:r>
          <a:r>
            <a:rPr kumimoji="1" lang="ja-JP" altLang="en-US" sz="1100"/>
            <a:t>教室Ａ</a:t>
          </a:r>
          <a:r>
            <a:rPr kumimoji="1" lang="en-US" altLang="ja-JP" sz="1100"/>
            <a:t>$50</a:t>
          </a:r>
          <a:r>
            <a:rPr kumimoji="1" lang="ja-JP" altLang="en-US" sz="1100"/>
            <a:t>人）</a:t>
          </a:r>
          <a:r>
            <a:rPr kumimoji="1" lang="en-US" altLang="ja-JP" sz="1100"/>
            <a:t>&lt;/small&gt;&lt;/td&gt;</a:t>
          </a:r>
        </a:p>
        <a:p>
          <a:pPr algn="l"/>
          <a:r>
            <a:rPr kumimoji="1" lang="en-US" altLang="ja-JP" sz="1100"/>
            <a:t>          &lt;td&gt;17:59&lt;/td&gt;</a:t>
          </a:r>
        </a:p>
        <a:p>
          <a:pPr algn="l"/>
          <a:r>
            <a:rPr kumimoji="1" lang="en-US" altLang="ja-JP" sz="1100"/>
            <a:t>          &lt;td&gt;</a:t>
          </a:r>
        </a:p>
        <a:p>
          <a:pPr algn="l"/>
          <a:r>
            <a:rPr kumimoji="1" lang="en-US" altLang="ja-JP" sz="1100"/>
            <a:t>              &lt;select name="courseId" id="courseId" class="form-control"&gt;</a:t>
          </a:r>
        </a:p>
        <a:p>
          <a:pPr algn="l"/>
          <a:r>
            <a:rPr kumimoji="1" lang="en-US" altLang="ja-JP" sz="1100"/>
            <a:t>                    &lt;option value=""&gt;&lt;/option&gt;</a:t>
          </a:r>
        </a:p>
        <a:p>
          <a:pPr algn="l"/>
          <a:r>
            <a:rPr kumimoji="1" lang="en-US" altLang="ja-JP" sz="1100"/>
            <a:t>                    &lt;option value="0"&gt;0&lt;/option&gt;</a:t>
          </a:r>
        </a:p>
        <a:p>
          <a:pPr algn="l"/>
          <a:r>
            <a:rPr kumimoji="1" lang="en-US" altLang="ja-JP" sz="1100"/>
            <a:t>                    &lt;option value="1"&gt;1&lt;/option&gt;</a:t>
          </a:r>
        </a:p>
        <a:p>
          <a:pPr algn="l"/>
          <a:r>
            <a:rPr kumimoji="1" lang="en-US" altLang="ja-JP" sz="1100"/>
            <a:t>                    &lt;option value="100"&gt;100&lt;/option&gt;</a:t>
          </a:r>
        </a:p>
        <a:p>
          <a:pPr algn="l"/>
          <a:r>
            <a:rPr kumimoji="1" lang="en-US" altLang="ja-JP" sz="1100"/>
            <a:t>                    &lt;option value="</a:t>
          </a:r>
          <a:r>
            <a:rPr kumimoji="1" lang="ja-JP" altLang="en-US" sz="1100"/>
            <a:t>対象外</a:t>
          </a:r>
          <a:r>
            <a:rPr kumimoji="1" lang="en-US" altLang="ja-JP" sz="1100"/>
            <a:t>"&gt;</a:t>
          </a:r>
          <a:r>
            <a:rPr kumimoji="1" lang="ja-JP" altLang="en-US" sz="1100"/>
            <a:t>対象外</a:t>
          </a:r>
          <a:r>
            <a:rPr kumimoji="1" lang="en-US" altLang="ja-JP" sz="1100"/>
            <a:t>&lt;/option&gt;</a:t>
          </a:r>
        </a:p>
        <a:p>
          <a:pPr algn="l"/>
          <a:r>
            <a:rPr kumimoji="1" lang="en-US" altLang="ja-JP" sz="1100"/>
            <a:t>                    &lt;/select&gt;</a:t>
          </a:r>
        </a:p>
        <a:p>
          <a:pPr algn="l"/>
          <a:r>
            <a:rPr kumimoji="1" lang="en-US" altLang="ja-JP" sz="1100"/>
            <a:t>          &lt;/td&gt;</a:t>
          </a:r>
        </a:p>
        <a:p>
          <a:pPr algn="l"/>
          <a:r>
            <a:rPr kumimoji="1" lang="en-US" altLang="ja-JP" sz="1100"/>
            <a:t>        &lt;td class="sorting_1" style="background: #dff0D8"&gt;</a:t>
          </a:r>
        </a:p>
        <a:p>
          <a:pPr algn="l"/>
          <a:r>
            <a:rPr kumimoji="1" lang="en-US" altLang="ja-JP" sz="1100"/>
            <a:t>            &lt;a href="/lms/estimate/update?courseId=5&amp;amp;companyId=1" class="btn btn-sm btn-default"&gt;</a:t>
          </a:r>
          <a:r>
            <a:rPr kumimoji="1" lang="ja-JP" altLang="en-US" sz="1100"/>
            <a:t>入力済</a:t>
          </a:r>
          <a:r>
            <a:rPr kumimoji="1" lang="en-US" altLang="ja-JP" sz="1100"/>
            <a:t>&lt;/a&gt;</a:t>
          </a:r>
        </a:p>
        <a:p>
          <a:pPr algn="l"/>
          <a:r>
            <a:rPr kumimoji="1" lang="en-US" altLang="ja-JP" sz="1100"/>
            <a:t>        &lt;/td&gt;&lt;/tr&gt;</a:t>
          </a:r>
        </a:p>
        <a:p>
          <a:pPr algn="l"/>
          <a:r>
            <a:rPr kumimoji="1" lang="en-US" altLang="ja-JP" sz="1100"/>
            <a:t>     &lt;/tbody&gt;</a:t>
          </a:r>
        </a:p>
        <a:p>
          <a:pPr algn="l"/>
          <a:r>
            <a:rPr kumimoji="1" lang="en-US" altLang="ja-JP" sz="1100"/>
            <a:t>    &lt;/table&gt;&lt;/div&gt;&lt;/div&gt;&lt;div class="row"&gt;&lt;div class="col-sm-5"&gt;&lt;div class="dataTables_info" id="DataTables_Table_0_info" role="status" aria-live="polite"&gt;1 </a:t>
          </a:r>
          <a:r>
            <a:rPr kumimoji="1" lang="ja-JP" altLang="en-US" sz="1100"/>
            <a:t>件中 </a:t>
          </a:r>
          <a:r>
            <a:rPr kumimoji="1" lang="en-US" altLang="ja-JP" sz="1100"/>
            <a:t>1 </a:t>
          </a:r>
          <a:r>
            <a:rPr kumimoji="1" lang="ja-JP" altLang="en-US" sz="1100"/>
            <a:t>件から </a:t>
          </a:r>
          <a:r>
            <a:rPr kumimoji="1" lang="en-US" altLang="ja-JP" sz="1100"/>
            <a:t>1 </a:t>
          </a:r>
          <a:r>
            <a:rPr kumimoji="1" lang="ja-JP" altLang="en-US" sz="1100"/>
            <a:t>件までを表示</a:t>
          </a:r>
          <a:r>
            <a:rPr kumimoji="1" lang="en-US" altLang="ja-JP" sz="1100"/>
            <a:t>&lt;/div&gt;&lt;/div&gt;&lt;div class="col-sm-7"&gt;&lt;div class="dataTables_paginate paging_simple_numbers" id="DataTables_Table_0_paginate"&gt;&lt;ul class="pagination"&gt;&lt;li class="paginate_button previous disabled" id="DataTables_Table_0_previous"&gt;&lt;a href="#" aria-controls="DataTables_Table_0" data-dt-idx="0" tabindex="0"&gt;</a:t>
          </a:r>
          <a:r>
            <a:rPr kumimoji="1" lang="ja-JP" altLang="en-US" sz="1100"/>
            <a:t>前へ</a:t>
          </a:r>
          <a:r>
            <a:rPr kumimoji="1" lang="en-US" altLang="ja-JP" sz="1100"/>
            <a:t>&lt;/a&gt;&lt;/li&gt;&lt;li class="paginate_button active"&gt;&lt;a href="#" aria-controls="DataTables_Table_0" data-dt-idx="1" tabindex="0"&gt;1&lt;/a&gt;&lt;/li&gt;&lt;li class="paginate_button next disabled" id="DataTables_Table_0_next"&gt;&lt;a href="#" aria-controls="DataTables_Table_0" data-dt-idx="2" tabindex="0"&gt;</a:t>
          </a:r>
          <a:r>
            <a:rPr kumimoji="1" lang="ja-JP" altLang="en-US" sz="1100"/>
            <a:t>次へ</a:t>
          </a:r>
          <a:r>
            <a:rPr kumimoji="1" lang="en-US" altLang="ja-JP" sz="1100"/>
            <a:t>&lt;/a&gt;&lt;/li&gt;&lt;/ul&gt;&lt;/div&gt;&lt;/div&gt;&lt;/div&gt;&lt;/div&gt;</a:t>
          </a:r>
        </a:p>
        <a:p>
          <a:pPr algn="l"/>
          <a:r>
            <a:rPr kumimoji="1" lang="en-US" altLang="ja-JP" sz="1100"/>
            <a:t>        &lt;/div&gt;</a:t>
          </a:r>
        </a:p>
      </xdr:txBody>
    </xdr:sp>
    <xdr:clientData/>
  </xdr:twoCellAnchor>
  <xdr:twoCellAnchor>
    <xdr:from>
      <xdr:col>63</xdr:col>
      <xdr:colOff>9525</xdr:colOff>
      <xdr:row>23</xdr:row>
      <xdr:rowOff>0</xdr:rowOff>
    </xdr:from>
    <xdr:to>
      <xdr:col>76</xdr:col>
      <xdr:colOff>139065</xdr:colOff>
      <xdr:row>27</xdr:row>
      <xdr:rowOff>114300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2DF2333-6F7D-45C1-A83D-FCB6DF38EAEF}"/>
            </a:ext>
          </a:extLst>
        </xdr:cNvPr>
        <xdr:cNvSpPr/>
      </xdr:nvSpPr>
      <xdr:spPr>
        <a:xfrm>
          <a:off x="10858500" y="3943350"/>
          <a:ext cx="2482215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&lt;div class="modal fade in" id="div-modal" aria-hidden="false" style="display: block; padding-right: 19px;"&gt;&lt;div class="modal-backdrop fade in" style="height: 803px;"&gt;&lt;/div&gt;</a:t>
          </a:r>
        </a:p>
        <a:p>
          <a:pPr algn="l"/>
          <a:r>
            <a:rPr kumimoji="1" lang="en-US" altLang="ja-JP" sz="1100"/>
            <a:t>        &lt;div class="modal-dialog modal-dialog-center"&gt;</a:t>
          </a:r>
        </a:p>
        <a:p>
          <a:pPr algn="l"/>
          <a:r>
            <a:rPr kumimoji="1" lang="en-US" altLang="ja-JP" sz="1100"/>
            <a:t>          &lt;div class="modal-content"&gt;</a:t>
          </a:r>
        </a:p>
        <a:p>
          <a:pPr algn="l"/>
          <a:r>
            <a:rPr kumimoji="1" lang="en-US" altLang="ja-JP" sz="1100"/>
            <a:t>            &lt;div class="modal-header"&gt;</a:t>
          </a:r>
        </a:p>
        <a:p>
          <a:pPr algn="l"/>
          <a:r>
            <a:rPr kumimoji="1" lang="en-US" altLang="ja-JP" sz="1100"/>
            <a:t>              &lt;button type="button" class="close" data-dismiss="modal"&gt;</a:t>
          </a:r>
        </a:p>
        <a:p>
          <a:pPr algn="l"/>
          <a:r>
            <a:rPr kumimoji="1" lang="en-US" altLang="ja-JP" sz="1100"/>
            <a:t>                &lt;span aria-hidden="true"&gt;×&lt;/span&gt;</a:t>
          </a:r>
        </a:p>
        <a:p>
          <a:pPr algn="l"/>
          <a:r>
            <a:rPr kumimoji="1" lang="en-US" altLang="ja-JP" sz="1100"/>
            <a:t>              &lt;/button&gt;</a:t>
          </a:r>
        </a:p>
        <a:p>
          <a:pPr algn="l"/>
          <a:r>
            <a:rPr kumimoji="1" lang="en-US" altLang="ja-JP" sz="1100"/>
            <a:t>              &lt;h4 class="modal-title" id="modal-label"&gt;</a:t>
          </a:r>
          <a:r>
            <a:rPr kumimoji="1" lang="ja-JP" altLang="en-US" sz="1100"/>
            <a:t>フィードバックコメント</a:t>
          </a:r>
          <a:r>
            <a:rPr kumimoji="1" lang="en-US" altLang="ja-JP" sz="1100"/>
            <a:t>&lt;/h4&gt;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class="modal-body"&gt;</a:t>
          </a:r>
        </a:p>
        <a:p>
          <a:pPr algn="l"/>
          <a:r>
            <a:rPr kumimoji="1" lang="en-US" altLang="ja-JP" sz="1100"/>
            <a:t>    &lt;span&gt;</a:t>
          </a:r>
          <a:r>
            <a:rPr kumimoji="1" lang="ja-JP" altLang="en-US" sz="1100"/>
            <a:t>フィードバックコメントを入力してください</a:t>
          </a:r>
          <a:r>
            <a:rPr kumimoji="1" lang="en-US" altLang="ja-JP" sz="1100"/>
            <a:t>&lt;/span&gt;</a:t>
          </a:r>
        </a:p>
        <a:p>
          <a:pPr algn="l"/>
          <a:r>
            <a:rPr kumimoji="1" lang="en-US" altLang="ja-JP" sz="1100"/>
            <a:t>&lt;textarea name="holiday" id="holiday" class="form-control" style="margin: 0px; width: 558px; height: 300px;"&gt;&lt;/textarea&gt;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  &lt;div class="modal-footer"&gt;</a:t>
          </a:r>
        </a:p>
        <a:p>
          <a:pPr algn="l"/>
          <a:r>
            <a:rPr kumimoji="1" lang="en-US" altLang="ja-JP" sz="1100"/>
            <a:t>              &lt;button type="button" class="btn btn-primary" id="upd-btn"&gt;</a:t>
          </a:r>
          <a:r>
            <a:rPr kumimoji="1" lang="ja-JP" altLang="en-US" sz="1100"/>
            <a:t>登録</a:t>
          </a:r>
          <a:r>
            <a:rPr kumimoji="1" lang="en-US" altLang="ja-JP" sz="1100"/>
            <a:t>&lt;/button&gt;</a:t>
          </a:r>
        </a:p>
        <a:p>
          <a:pPr algn="l"/>
          <a:r>
            <a:rPr kumimoji="1" lang="en-US" altLang="ja-JP" sz="1100"/>
            <a:t>            &lt;/div&gt;</a:t>
          </a:r>
        </a:p>
        <a:p>
          <a:pPr algn="l"/>
          <a:r>
            <a:rPr kumimoji="1" lang="en-US" altLang="ja-JP" sz="1100"/>
            <a:t>          &lt;/div&gt;</a:t>
          </a:r>
        </a:p>
        <a:p>
          <a:pPr algn="l"/>
          <a:r>
            <a:rPr kumimoji="1" lang="en-US" altLang="ja-JP" sz="1100"/>
            <a:t>        &lt;/div&gt;</a:t>
          </a:r>
        </a:p>
        <a:p>
          <a:pPr algn="l"/>
          <a:r>
            <a:rPr kumimoji="1" lang="en-US" altLang="ja-JP" sz="1100"/>
            <a:t>      &lt;/div&gt;</a:t>
          </a:r>
          <a:endParaRPr kumimoji="1" lang="ja-JP" altLang="en-US" sz="1100"/>
        </a:p>
      </xdr:txBody>
    </xdr:sp>
    <xdr:clientData/>
  </xdr:twoCellAnchor>
  <xdr:twoCellAnchor>
    <xdr:from>
      <xdr:col>39</xdr:col>
      <xdr:colOff>194310</xdr:colOff>
      <xdr:row>35</xdr:row>
      <xdr:rowOff>169546</xdr:rowOff>
    </xdr:from>
    <xdr:to>
      <xdr:col>43</xdr:col>
      <xdr:colOff>192406</xdr:colOff>
      <xdr:row>41</xdr:row>
      <xdr:rowOff>169543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0D141CE0-26B3-4E91-AE27-2B3D6749029B}"/>
            </a:ext>
          </a:extLst>
        </xdr:cNvPr>
        <xdr:cNvCxnSpPr/>
      </xdr:nvCxnSpPr>
      <xdr:spPr>
        <a:xfrm rot="5400000">
          <a:off x="7790499" y="6434137"/>
          <a:ext cx="1051557" cy="790576"/>
        </a:xfrm>
        <a:prstGeom prst="bentConnector3">
          <a:avLst>
            <a:gd name="adj1" fmla="val 50000"/>
          </a:avLst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179071</xdr:colOff>
      <xdr:row>38</xdr:row>
      <xdr:rowOff>17142</xdr:rowOff>
    </xdr:from>
    <xdr:to>
      <xdr:col>42</xdr:col>
      <xdr:colOff>40006</xdr:colOff>
      <xdr:row>40</xdr:row>
      <xdr:rowOff>68577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DCDA740-52A3-400F-9800-B33B5C13F343}"/>
            </a:ext>
          </a:extLst>
        </xdr:cNvPr>
        <xdr:cNvSpPr/>
      </xdr:nvSpPr>
      <xdr:spPr>
        <a:xfrm>
          <a:off x="6915151" y="6677022"/>
          <a:ext cx="1445895" cy="4019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クリック時表示</a:t>
          </a:r>
        </a:p>
      </xdr:txBody>
    </xdr:sp>
    <xdr:clientData/>
  </xdr:twoCellAnchor>
  <xdr:twoCellAnchor>
    <xdr:from>
      <xdr:col>42</xdr:col>
      <xdr:colOff>76200</xdr:colOff>
      <xdr:row>33</xdr:row>
      <xdr:rowOff>137160</xdr:rowOff>
    </xdr:from>
    <xdr:to>
      <xdr:col>45</xdr:col>
      <xdr:colOff>139065</xdr:colOff>
      <xdr:row>35</xdr:row>
      <xdr:rowOff>146685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9447BB6-622B-4211-BCE2-A80E19F69BB9}"/>
            </a:ext>
          </a:extLst>
        </xdr:cNvPr>
        <xdr:cNvSpPr/>
      </xdr:nvSpPr>
      <xdr:spPr>
        <a:xfrm>
          <a:off x="8397240" y="5920740"/>
          <a:ext cx="657225" cy="360045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30480</xdr:colOff>
      <xdr:row>42</xdr:row>
      <xdr:rowOff>5715</xdr:rowOff>
    </xdr:from>
    <xdr:to>
      <xdr:col>45</xdr:col>
      <xdr:colOff>110490</xdr:colOff>
      <xdr:row>72</xdr:row>
      <xdr:rowOff>110490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45F705A-665F-4C51-8267-C8C2E64EA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" y="7366635"/>
          <a:ext cx="7604760" cy="536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07" t="s">
        <v>41</v>
      </c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07" t="s">
        <v>110</v>
      </c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08" t="s">
        <v>19</v>
      </c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09"/>
      <c r="AB15" s="109"/>
      <c r="AC15" s="109"/>
      <c r="AD15" s="109"/>
      <c r="AE15" s="109"/>
      <c r="AF15" s="10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第1.4版</v>
      </c>
      <c r="Y17" s="26"/>
      <c r="Z17" s="26"/>
      <c r="AA17" s="110">
        <f>MAX(更新履歴!J8:Q31)</f>
        <v>43844</v>
      </c>
      <c r="AB17" s="110"/>
      <c r="AC17" s="110"/>
      <c r="AD17" s="110"/>
      <c r="AE17" s="110"/>
      <c r="AF17" s="110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10"/>
      <c r="AB19" s="110"/>
      <c r="AC19" s="110"/>
      <c r="AD19" s="110"/>
      <c r="AE19" s="110"/>
      <c r="AF19" s="110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1" t="s">
        <v>6</v>
      </c>
      <c r="V20" s="112"/>
      <c r="W20" s="112"/>
      <c r="X20" s="112"/>
      <c r="Y20" s="113"/>
      <c r="Z20" s="114" t="s">
        <v>7</v>
      </c>
      <c r="AA20" s="115"/>
      <c r="AB20" s="115"/>
      <c r="AC20" s="115"/>
      <c r="AD20" s="116"/>
      <c r="AE20" s="111" t="s">
        <v>8</v>
      </c>
      <c r="AF20" s="112"/>
      <c r="AG20" s="112"/>
      <c r="AH20" s="112"/>
      <c r="AI20" s="11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17" t="s">
        <v>48</v>
      </c>
      <c r="V21" s="118"/>
      <c r="W21" s="118"/>
      <c r="X21" s="118"/>
      <c r="Y21" s="119"/>
      <c r="Z21" s="117"/>
      <c r="AA21" s="118"/>
      <c r="AB21" s="118"/>
      <c r="AC21" s="118"/>
      <c r="AD21" s="119"/>
      <c r="AE21" s="117"/>
      <c r="AF21" s="118"/>
      <c r="AG21" s="118"/>
      <c r="AH21" s="118"/>
      <c r="AI21" s="1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20"/>
      <c r="V22" s="121"/>
      <c r="W22" s="121"/>
      <c r="X22" s="121"/>
      <c r="Y22" s="122"/>
      <c r="Z22" s="120"/>
      <c r="AA22" s="121"/>
      <c r="AB22" s="121"/>
      <c r="AC22" s="121"/>
      <c r="AD22" s="122"/>
      <c r="AE22" s="120"/>
      <c r="AF22" s="121"/>
      <c r="AG22" s="121"/>
      <c r="AH22" s="121"/>
      <c r="AI22" s="12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20"/>
      <c r="V23" s="121"/>
      <c r="W23" s="121"/>
      <c r="X23" s="121"/>
      <c r="Y23" s="122"/>
      <c r="Z23" s="120"/>
      <c r="AA23" s="121"/>
      <c r="AB23" s="121"/>
      <c r="AC23" s="121"/>
      <c r="AD23" s="122"/>
      <c r="AE23" s="120"/>
      <c r="AF23" s="121"/>
      <c r="AG23" s="121"/>
      <c r="AH23" s="121"/>
      <c r="AI23" s="12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3"/>
      <c r="V24" s="124"/>
      <c r="W24" s="124"/>
      <c r="X24" s="124"/>
      <c r="Y24" s="125"/>
      <c r="Z24" s="123"/>
      <c r="AA24" s="124"/>
      <c r="AB24" s="124"/>
      <c r="AC24" s="124"/>
      <c r="AD24" s="125"/>
      <c r="AE24" s="123"/>
      <c r="AF24" s="124"/>
      <c r="AG24" s="124"/>
      <c r="AH24" s="124"/>
      <c r="AI24" s="125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39" t="s">
        <v>0</v>
      </c>
      <c r="B1" s="208"/>
      <c r="C1" s="208"/>
      <c r="D1" s="208"/>
      <c r="E1" s="208"/>
      <c r="F1" s="209"/>
      <c r="G1" s="209"/>
      <c r="H1" s="209"/>
      <c r="I1" s="240"/>
      <c r="J1" s="241" t="s">
        <v>1</v>
      </c>
      <c r="K1" s="208"/>
      <c r="L1" s="208"/>
      <c r="M1" s="208"/>
      <c r="N1" s="208"/>
      <c r="O1" s="209"/>
      <c r="P1" s="209"/>
      <c r="Q1" s="209"/>
      <c r="R1" s="242" t="str">
        <f>表紙!S12</f>
        <v>画面レイアウト設計書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4"/>
      <c r="AJ1" s="245" t="s">
        <v>2</v>
      </c>
      <c r="AK1" s="246"/>
      <c r="AL1" s="246"/>
      <c r="AM1" s="246"/>
      <c r="AN1" s="246"/>
      <c r="AO1" s="247" t="s">
        <v>3</v>
      </c>
      <c r="AP1" s="246"/>
      <c r="AQ1" s="246"/>
      <c r="AR1" s="246"/>
      <c r="AS1" s="246"/>
      <c r="AT1" s="247" t="s">
        <v>4</v>
      </c>
      <c r="AU1" s="246"/>
      <c r="AV1" s="246"/>
      <c r="AW1" s="246"/>
      <c r="AX1" s="246"/>
      <c r="AY1" s="208" t="s">
        <v>5</v>
      </c>
      <c r="AZ1" s="209"/>
      <c r="BA1" s="209"/>
      <c r="BB1" s="209"/>
      <c r="BC1" s="210"/>
    </row>
    <row r="2" spans="1:55" s="17" customFormat="1" ht="13.5" customHeight="1">
      <c r="A2" s="211" t="str">
        <f>表紙!O10</f>
        <v>13期12月対応</v>
      </c>
      <c r="B2" s="212"/>
      <c r="C2" s="212"/>
      <c r="D2" s="212"/>
      <c r="E2" s="212"/>
      <c r="F2" s="213"/>
      <c r="G2" s="213"/>
      <c r="H2" s="213"/>
      <c r="I2" s="214"/>
      <c r="J2" s="219" t="str">
        <f>表紙!O9</f>
        <v>LMS学習管理システム</v>
      </c>
      <c r="K2" s="212"/>
      <c r="L2" s="212"/>
      <c r="M2" s="212"/>
      <c r="N2" s="212"/>
      <c r="O2" s="213"/>
      <c r="P2" s="213"/>
      <c r="Q2" s="220"/>
      <c r="R2" s="223" t="s">
        <v>9</v>
      </c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5"/>
      <c r="AJ2" s="229" t="s">
        <v>49</v>
      </c>
      <c r="AK2" s="230"/>
      <c r="AL2" s="230"/>
      <c r="AM2" s="230"/>
      <c r="AN2" s="230"/>
      <c r="AO2" s="233">
        <v>43766</v>
      </c>
      <c r="AP2" s="230"/>
      <c r="AQ2" s="230"/>
      <c r="AR2" s="230"/>
      <c r="AS2" s="230"/>
      <c r="AT2" s="229" t="s">
        <v>113</v>
      </c>
      <c r="AU2" s="230"/>
      <c r="AV2" s="230"/>
      <c r="AW2" s="230"/>
      <c r="AX2" s="230"/>
      <c r="AY2" s="234">
        <v>43805</v>
      </c>
      <c r="AZ2" s="235"/>
      <c r="BA2" s="235"/>
      <c r="BB2" s="235"/>
      <c r="BC2" s="236"/>
    </row>
    <row r="3" spans="1:55" s="17" customFormat="1" ht="13.5" customHeight="1" thickBot="1">
      <c r="A3" s="215"/>
      <c r="B3" s="216"/>
      <c r="C3" s="216"/>
      <c r="D3" s="216"/>
      <c r="E3" s="216"/>
      <c r="F3" s="217"/>
      <c r="G3" s="217"/>
      <c r="H3" s="217"/>
      <c r="I3" s="218"/>
      <c r="J3" s="221"/>
      <c r="K3" s="216"/>
      <c r="L3" s="216"/>
      <c r="M3" s="216"/>
      <c r="N3" s="216"/>
      <c r="O3" s="217"/>
      <c r="P3" s="217"/>
      <c r="Q3" s="222"/>
      <c r="R3" s="226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8"/>
      <c r="AJ3" s="231"/>
      <c r="AK3" s="232"/>
      <c r="AL3" s="232"/>
      <c r="AM3" s="232"/>
      <c r="AN3" s="232"/>
      <c r="AO3" s="232"/>
      <c r="AP3" s="232"/>
      <c r="AQ3" s="232"/>
      <c r="AR3" s="232"/>
      <c r="AS3" s="232"/>
      <c r="AT3" s="231"/>
      <c r="AU3" s="232"/>
      <c r="AV3" s="232"/>
      <c r="AW3" s="232"/>
      <c r="AX3" s="232"/>
      <c r="AY3" s="237"/>
      <c r="AZ3" s="237"/>
      <c r="BA3" s="237"/>
      <c r="BB3" s="237"/>
      <c r="BC3" s="238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91" t="s">
        <v>10</v>
      </c>
      <c r="B5" s="192"/>
      <c r="C5" s="192"/>
      <c r="D5" s="192"/>
      <c r="E5" s="192"/>
      <c r="F5" s="192"/>
      <c r="G5" s="192"/>
      <c r="H5" s="192"/>
      <c r="I5" s="193"/>
      <c r="J5" s="200" t="s">
        <v>11</v>
      </c>
      <c r="K5" s="192"/>
      <c r="L5" s="192"/>
      <c r="M5" s="192"/>
      <c r="N5" s="192"/>
      <c r="O5" s="192"/>
      <c r="P5" s="192"/>
      <c r="Q5" s="193"/>
      <c r="R5" s="200" t="s">
        <v>12</v>
      </c>
      <c r="S5" s="192"/>
      <c r="T5" s="192"/>
      <c r="U5" s="193"/>
      <c r="V5" s="200" t="s">
        <v>13</v>
      </c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3"/>
      <c r="AT5" s="200" t="s">
        <v>14</v>
      </c>
      <c r="AU5" s="192"/>
      <c r="AV5" s="192"/>
      <c r="AW5" s="192"/>
      <c r="AX5" s="192"/>
      <c r="AY5" s="192"/>
      <c r="AZ5" s="192"/>
      <c r="BA5" s="192"/>
      <c r="BB5" s="192"/>
      <c r="BC5" s="203"/>
    </row>
    <row r="6" spans="1:55" s="25" customFormat="1" ht="13.5" customHeight="1">
      <c r="A6" s="194"/>
      <c r="B6" s="195"/>
      <c r="C6" s="195"/>
      <c r="D6" s="195"/>
      <c r="E6" s="195"/>
      <c r="F6" s="195"/>
      <c r="G6" s="195"/>
      <c r="H6" s="195"/>
      <c r="I6" s="196"/>
      <c r="J6" s="201"/>
      <c r="K6" s="195"/>
      <c r="L6" s="195"/>
      <c r="M6" s="195"/>
      <c r="N6" s="195"/>
      <c r="O6" s="195"/>
      <c r="P6" s="195"/>
      <c r="Q6" s="196"/>
      <c r="R6" s="201"/>
      <c r="S6" s="195"/>
      <c r="T6" s="195"/>
      <c r="U6" s="196"/>
      <c r="V6" s="201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6"/>
      <c r="AT6" s="201"/>
      <c r="AU6" s="195"/>
      <c r="AV6" s="195"/>
      <c r="AW6" s="195"/>
      <c r="AX6" s="195"/>
      <c r="AY6" s="195"/>
      <c r="AZ6" s="195"/>
      <c r="BA6" s="195"/>
      <c r="BB6" s="195"/>
      <c r="BC6" s="204"/>
    </row>
    <row r="7" spans="1:55" s="25" customFormat="1" ht="13.5" customHeight="1" thickBot="1">
      <c r="A7" s="197"/>
      <c r="B7" s="198"/>
      <c r="C7" s="198"/>
      <c r="D7" s="198"/>
      <c r="E7" s="198"/>
      <c r="F7" s="198"/>
      <c r="G7" s="198"/>
      <c r="H7" s="198"/>
      <c r="I7" s="199"/>
      <c r="J7" s="202"/>
      <c r="K7" s="198"/>
      <c r="L7" s="198"/>
      <c r="M7" s="198"/>
      <c r="N7" s="198"/>
      <c r="O7" s="198"/>
      <c r="P7" s="198"/>
      <c r="Q7" s="199"/>
      <c r="R7" s="202"/>
      <c r="S7" s="198"/>
      <c r="T7" s="198"/>
      <c r="U7" s="199"/>
      <c r="V7" s="202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9"/>
      <c r="AT7" s="202"/>
      <c r="AU7" s="198"/>
      <c r="AV7" s="198"/>
      <c r="AW7" s="198"/>
      <c r="AX7" s="198"/>
      <c r="AY7" s="198"/>
      <c r="AZ7" s="198"/>
      <c r="BA7" s="198"/>
      <c r="BB7" s="198"/>
      <c r="BC7" s="205"/>
    </row>
    <row r="8" spans="1:55" s="25" customFormat="1" ht="13.5" customHeight="1" thickTop="1">
      <c r="A8" s="206">
        <v>1</v>
      </c>
      <c r="B8" s="127"/>
      <c r="C8" s="127"/>
      <c r="D8" s="127"/>
      <c r="E8" s="127"/>
      <c r="F8" s="127"/>
      <c r="G8" s="127"/>
      <c r="H8" s="127"/>
      <c r="I8" s="138"/>
      <c r="J8" s="207">
        <v>43766</v>
      </c>
      <c r="K8" s="129"/>
      <c r="L8" s="129"/>
      <c r="M8" s="129"/>
      <c r="N8" s="129"/>
      <c r="O8" s="129"/>
      <c r="P8" s="129"/>
      <c r="Q8" s="146"/>
      <c r="R8" s="190" t="s">
        <v>15</v>
      </c>
      <c r="S8" s="131"/>
      <c r="T8" s="131"/>
      <c r="U8" s="154"/>
      <c r="V8" s="161" t="s">
        <v>16</v>
      </c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81"/>
      <c r="AT8" s="190" t="s">
        <v>49</v>
      </c>
      <c r="AU8" s="131"/>
      <c r="AV8" s="131"/>
      <c r="AW8" s="131"/>
      <c r="AX8" s="131"/>
      <c r="AY8" s="131"/>
      <c r="AZ8" s="131"/>
      <c r="BA8" s="131"/>
      <c r="BB8" s="131"/>
      <c r="BC8" s="167"/>
    </row>
    <row r="9" spans="1:55" s="25" customFormat="1" ht="13.5" customHeight="1">
      <c r="A9" s="137"/>
      <c r="B9" s="127"/>
      <c r="C9" s="127"/>
      <c r="D9" s="127"/>
      <c r="E9" s="127"/>
      <c r="F9" s="127"/>
      <c r="G9" s="127"/>
      <c r="H9" s="127"/>
      <c r="I9" s="138"/>
      <c r="J9" s="145"/>
      <c r="K9" s="129"/>
      <c r="L9" s="129"/>
      <c r="M9" s="129"/>
      <c r="N9" s="129"/>
      <c r="O9" s="129"/>
      <c r="P9" s="129"/>
      <c r="Q9" s="146"/>
      <c r="R9" s="153"/>
      <c r="S9" s="131"/>
      <c r="T9" s="131"/>
      <c r="U9" s="154"/>
      <c r="V9" s="180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81"/>
      <c r="AT9" s="153"/>
      <c r="AU9" s="131"/>
      <c r="AV9" s="131"/>
      <c r="AW9" s="131"/>
      <c r="AX9" s="131"/>
      <c r="AY9" s="131"/>
      <c r="AZ9" s="131"/>
      <c r="BA9" s="131"/>
      <c r="BB9" s="131"/>
      <c r="BC9" s="167"/>
    </row>
    <row r="10" spans="1:55" s="25" customFormat="1" ht="13.5" customHeight="1">
      <c r="A10" s="139"/>
      <c r="B10" s="140"/>
      <c r="C10" s="140"/>
      <c r="D10" s="140"/>
      <c r="E10" s="140"/>
      <c r="F10" s="140"/>
      <c r="G10" s="140"/>
      <c r="H10" s="140"/>
      <c r="I10" s="141"/>
      <c r="J10" s="147"/>
      <c r="K10" s="148"/>
      <c r="L10" s="148"/>
      <c r="M10" s="148"/>
      <c r="N10" s="148"/>
      <c r="O10" s="148"/>
      <c r="P10" s="148"/>
      <c r="Q10" s="149"/>
      <c r="R10" s="155"/>
      <c r="S10" s="156"/>
      <c r="T10" s="156"/>
      <c r="U10" s="157"/>
      <c r="V10" s="187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9"/>
      <c r="AT10" s="155"/>
      <c r="AU10" s="156"/>
      <c r="AV10" s="156"/>
      <c r="AW10" s="156"/>
      <c r="AX10" s="156"/>
      <c r="AY10" s="156"/>
      <c r="AZ10" s="156"/>
      <c r="BA10" s="156"/>
      <c r="BB10" s="156"/>
      <c r="BC10" s="168"/>
    </row>
    <row r="11" spans="1:55" s="25" customFormat="1" ht="13.5" customHeight="1">
      <c r="A11" s="134">
        <v>1.1000000000000001</v>
      </c>
      <c r="B11" s="135"/>
      <c r="C11" s="135"/>
      <c r="D11" s="135"/>
      <c r="E11" s="135"/>
      <c r="F11" s="135"/>
      <c r="G11" s="135"/>
      <c r="H11" s="135"/>
      <c r="I11" s="136"/>
      <c r="J11" s="142">
        <v>43774</v>
      </c>
      <c r="K11" s="143"/>
      <c r="L11" s="143"/>
      <c r="M11" s="143"/>
      <c r="N11" s="143"/>
      <c r="O11" s="143"/>
      <c r="P11" s="143"/>
      <c r="Q11" s="144"/>
      <c r="R11" s="190" t="s">
        <v>15</v>
      </c>
      <c r="S11" s="131"/>
      <c r="T11" s="131"/>
      <c r="U11" s="154"/>
      <c r="V11" s="158" t="s">
        <v>111</v>
      </c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9"/>
      <c r="AT11" s="190" t="s">
        <v>49</v>
      </c>
      <c r="AU11" s="131"/>
      <c r="AV11" s="131"/>
      <c r="AW11" s="131"/>
      <c r="AX11" s="131"/>
      <c r="AY11" s="131"/>
      <c r="AZ11" s="131"/>
      <c r="BA11" s="131"/>
      <c r="BB11" s="131"/>
      <c r="BC11" s="167"/>
    </row>
    <row r="12" spans="1:55" s="25" customFormat="1" ht="13.5" customHeight="1">
      <c r="A12" s="137"/>
      <c r="B12" s="127"/>
      <c r="C12" s="127"/>
      <c r="D12" s="127"/>
      <c r="E12" s="127"/>
      <c r="F12" s="127"/>
      <c r="G12" s="127"/>
      <c r="H12" s="127"/>
      <c r="I12" s="138"/>
      <c r="J12" s="145"/>
      <c r="K12" s="129"/>
      <c r="L12" s="129"/>
      <c r="M12" s="129"/>
      <c r="N12" s="129"/>
      <c r="O12" s="129"/>
      <c r="P12" s="129"/>
      <c r="Q12" s="146"/>
      <c r="R12" s="153"/>
      <c r="S12" s="131"/>
      <c r="T12" s="131"/>
      <c r="U12" s="154"/>
      <c r="V12" s="180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81"/>
      <c r="AT12" s="153"/>
      <c r="AU12" s="131"/>
      <c r="AV12" s="131"/>
      <c r="AW12" s="131"/>
      <c r="AX12" s="131"/>
      <c r="AY12" s="131"/>
      <c r="AZ12" s="131"/>
      <c r="BA12" s="131"/>
      <c r="BB12" s="131"/>
      <c r="BC12" s="167"/>
    </row>
    <row r="13" spans="1:55" s="25" customFormat="1" ht="13.5" customHeight="1">
      <c r="A13" s="139"/>
      <c r="B13" s="140"/>
      <c r="C13" s="140"/>
      <c r="D13" s="140"/>
      <c r="E13" s="140"/>
      <c r="F13" s="140"/>
      <c r="G13" s="140"/>
      <c r="H13" s="140"/>
      <c r="I13" s="141"/>
      <c r="J13" s="147"/>
      <c r="K13" s="148"/>
      <c r="L13" s="148"/>
      <c r="M13" s="148"/>
      <c r="N13" s="148"/>
      <c r="O13" s="148"/>
      <c r="P13" s="148"/>
      <c r="Q13" s="149"/>
      <c r="R13" s="155"/>
      <c r="S13" s="156"/>
      <c r="T13" s="156"/>
      <c r="U13" s="157"/>
      <c r="V13" s="187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9"/>
      <c r="AT13" s="155"/>
      <c r="AU13" s="156"/>
      <c r="AV13" s="156"/>
      <c r="AW13" s="156"/>
      <c r="AX13" s="156"/>
      <c r="AY13" s="156"/>
      <c r="AZ13" s="156"/>
      <c r="BA13" s="156"/>
      <c r="BB13" s="156"/>
      <c r="BC13" s="168"/>
    </row>
    <row r="14" spans="1:55" s="25" customFormat="1" ht="13.5" customHeight="1">
      <c r="A14" s="134">
        <v>1.2</v>
      </c>
      <c r="B14" s="135"/>
      <c r="C14" s="135"/>
      <c r="D14" s="135"/>
      <c r="E14" s="135"/>
      <c r="F14" s="135"/>
      <c r="G14" s="135"/>
      <c r="H14" s="135"/>
      <c r="I14" s="136"/>
      <c r="J14" s="142">
        <v>43798</v>
      </c>
      <c r="K14" s="143"/>
      <c r="L14" s="143"/>
      <c r="M14" s="143"/>
      <c r="N14" s="143"/>
      <c r="O14" s="143"/>
      <c r="P14" s="143"/>
      <c r="Q14" s="144"/>
      <c r="R14" s="190" t="s">
        <v>15</v>
      </c>
      <c r="S14" s="131"/>
      <c r="T14" s="131"/>
      <c r="U14" s="154"/>
      <c r="V14" s="158" t="s">
        <v>112</v>
      </c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9"/>
      <c r="AT14" s="150" t="s">
        <v>49</v>
      </c>
      <c r="AU14" s="151"/>
      <c r="AV14" s="151"/>
      <c r="AW14" s="151"/>
      <c r="AX14" s="151"/>
      <c r="AY14" s="151"/>
      <c r="AZ14" s="151"/>
      <c r="BA14" s="151"/>
      <c r="BB14" s="151"/>
      <c r="BC14" s="166"/>
    </row>
    <row r="15" spans="1:55" s="25" customFormat="1" ht="13.5" customHeight="1">
      <c r="A15" s="137"/>
      <c r="B15" s="127"/>
      <c r="C15" s="127"/>
      <c r="D15" s="127"/>
      <c r="E15" s="127"/>
      <c r="F15" s="127"/>
      <c r="G15" s="127"/>
      <c r="H15" s="127"/>
      <c r="I15" s="138"/>
      <c r="J15" s="145"/>
      <c r="K15" s="129"/>
      <c r="L15" s="129"/>
      <c r="M15" s="129"/>
      <c r="N15" s="129"/>
      <c r="O15" s="129"/>
      <c r="P15" s="129"/>
      <c r="Q15" s="146"/>
      <c r="R15" s="153"/>
      <c r="S15" s="131"/>
      <c r="T15" s="131"/>
      <c r="U15" s="154"/>
      <c r="V15" s="180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81"/>
      <c r="AT15" s="153"/>
      <c r="AU15" s="131"/>
      <c r="AV15" s="131"/>
      <c r="AW15" s="131"/>
      <c r="AX15" s="131"/>
      <c r="AY15" s="131"/>
      <c r="AZ15" s="131"/>
      <c r="BA15" s="131"/>
      <c r="BB15" s="131"/>
      <c r="BC15" s="167"/>
    </row>
    <row r="16" spans="1:55" s="25" customFormat="1" ht="13.5" customHeight="1">
      <c r="A16" s="139"/>
      <c r="B16" s="140"/>
      <c r="C16" s="140"/>
      <c r="D16" s="140"/>
      <c r="E16" s="140"/>
      <c r="F16" s="140"/>
      <c r="G16" s="140"/>
      <c r="H16" s="140"/>
      <c r="I16" s="141"/>
      <c r="J16" s="147"/>
      <c r="K16" s="148"/>
      <c r="L16" s="148"/>
      <c r="M16" s="148"/>
      <c r="N16" s="148"/>
      <c r="O16" s="148"/>
      <c r="P16" s="148"/>
      <c r="Q16" s="149"/>
      <c r="R16" s="155"/>
      <c r="S16" s="156"/>
      <c r="T16" s="156"/>
      <c r="U16" s="157"/>
      <c r="V16" s="187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9"/>
      <c r="AT16" s="155"/>
      <c r="AU16" s="156"/>
      <c r="AV16" s="156"/>
      <c r="AW16" s="156"/>
      <c r="AX16" s="156"/>
      <c r="AY16" s="156"/>
      <c r="AZ16" s="156"/>
      <c r="BA16" s="156"/>
      <c r="BB16" s="156"/>
      <c r="BC16" s="168"/>
    </row>
    <row r="17" spans="1:55" s="25" customFormat="1" ht="13.5" customHeight="1">
      <c r="A17" s="134">
        <v>1.3</v>
      </c>
      <c r="B17" s="135"/>
      <c r="C17" s="135"/>
      <c r="D17" s="135"/>
      <c r="E17" s="135"/>
      <c r="F17" s="135"/>
      <c r="G17" s="135"/>
      <c r="H17" s="135"/>
      <c r="I17" s="136"/>
      <c r="J17" s="142">
        <v>43805</v>
      </c>
      <c r="K17" s="143"/>
      <c r="L17" s="143"/>
      <c r="M17" s="143"/>
      <c r="N17" s="143"/>
      <c r="O17" s="143"/>
      <c r="P17" s="143"/>
      <c r="Q17" s="144"/>
      <c r="R17" s="186" t="s">
        <v>117</v>
      </c>
      <c r="S17" s="151"/>
      <c r="T17" s="151"/>
      <c r="U17" s="152"/>
      <c r="V17" s="158" t="s">
        <v>119</v>
      </c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9"/>
      <c r="AT17" s="150" t="s">
        <v>118</v>
      </c>
      <c r="AU17" s="151"/>
      <c r="AV17" s="151"/>
      <c r="AW17" s="151"/>
      <c r="AX17" s="151"/>
      <c r="AY17" s="151"/>
      <c r="AZ17" s="151"/>
      <c r="BA17" s="151"/>
      <c r="BB17" s="151"/>
      <c r="BC17" s="166"/>
    </row>
    <row r="18" spans="1:55" s="25" customFormat="1" ht="13.5" customHeight="1">
      <c r="A18" s="137"/>
      <c r="B18" s="127"/>
      <c r="C18" s="127"/>
      <c r="D18" s="127"/>
      <c r="E18" s="127"/>
      <c r="F18" s="127"/>
      <c r="G18" s="127"/>
      <c r="H18" s="127"/>
      <c r="I18" s="138"/>
      <c r="J18" s="145"/>
      <c r="K18" s="129"/>
      <c r="L18" s="129"/>
      <c r="M18" s="129"/>
      <c r="N18" s="129"/>
      <c r="O18" s="129"/>
      <c r="P18" s="129"/>
      <c r="Q18" s="146"/>
      <c r="R18" s="153"/>
      <c r="S18" s="131"/>
      <c r="T18" s="131"/>
      <c r="U18" s="154"/>
      <c r="V18" s="180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81"/>
      <c r="AT18" s="153"/>
      <c r="AU18" s="131"/>
      <c r="AV18" s="131"/>
      <c r="AW18" s="131"/>
      <c r="AX18" s="131"/>
      <c r="AY18" s="131"/>
      <c r="AZ18" s="131"/>
      <c r="BA18" s="131"/>
      <c r="BB18" s="131"/>
      <c r="BC18" s="167"/>
    </row>
    <row r="19" spans="1:55" s="25" customFormat="1" ht="13.5" customHeight="1">
      <c r="A19" s="139"/>
      <c r="B19" s="140"/>
      <c r="C19" s="140"/>
      <c r="D19" s="140"/>
      <c r="E19" s="140"/>
      <c r="F19" s="140"/>
      <c r="G19" s="140"/>
      <c r="H19" s="140"/>
      <c r="I19" s="141"/>
      <c r="J19" s="147"/>
      <c r="K19" s="148"/>
      <c r="L19" s="148"/>
      <c r="M19" s="148"/>
      <c r="N19" s="148"/>
      <c r="O19" s="148"/>
      <c r="P19" s="148"/>
      <c r="Q19" s="149"/>
      <c r="R19" s="155"/>
      <c r="S19" s="156"/>
      <c r="T19" s="156"/>
      <c r="U19" s="157"/>
      <c r="V19" s="187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9"/>
      <c r="AT19" s="155"/>
      <c r="AU19" s="156"/>
      <c r="AV19" s="156"/>
      <c r="AW19" s="156"/>
      <c r="AX19" s="156"/>
      <c r="AY19" s="156"/>
      <c r="AZ19" s="156"/>
      <c r="BA19" s="156"/>
      <c r="BB19" s="156"/>
      <c r="BC19" s="168"/>
    </row>
    <row r="20" spans="1:55" s="25" customFormat="1" ht="13.5" customHeight="1">
      <c r="A20" s="134">
        <v>1.4</v>
      </c>
      <c r="B20" s="135"/>
      <c r="C20" s="135"/>
      <c r="D20" s="135"/>
      <c r="E20" s="135"/>
      <c r="F20" s="135"/>
      <c r="G20" s="135"/>
      <c r="H20" s="135"/>
      <c r="I20" s="136"/>
      <c r="J20" s="142">
        <v>43844</v>
      </c>
      <c r="K20" s="143"/>
      <c r="L20" s="143"/>
      <c r="M20" s="143"/>
      <c r="N20" s="143"/>
      <c r="O20" s="143"/>
      <c r="P20" s="143"/>
      <c r="Q20" s="144"/>
      <c r="R20" s="186" t="s">
        <v>133</v>
      </c>
      <c r="S20" s="151"/>
      <c r="T20" s="151"/>
      <c r="U20" s="152"/>
      <c r="V20" s="158" t="s">
        <v>135</v>
      </c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9"/>
      <c r="AT20" s="150" t="s">
        <v>134</v>
      </c>
      <c r="AU20" s="151"/>
      <c r="AV20" s="151"/>
      <c r="AW20" s="151"/>
      <c r="AX20" s="151"/>
      <c r="AY20" s="151"/>
      <c r="AZ20" s="151"/>
      <c r="BA20" s="151"/>
      <c r="BB20" s="151"/>
      <c r="BC20" s="166"/>
    </row>
    <row r="21" spans="1:55" s="25" customFormat="1" ht="13.5" customHeight="1">
      <c r="A21" s="137"/>
      <c r="B21" s="127"/>
      <c r="C21" s="127"/>
      <c r="D21" s="127"/>
      <c r="E21" s="127"/>
      <c r="F21" s="127"/>
      <c r="G21" s="127"/>
      <c r="H21" s="127"/>
      <c r="I21" s="138"/>
      <c r="J21" s="145"/>
      <c r="K21" s="129"/>
      <c r="L21" s="129"/>
      <c r="M21" s="129"/>
      <c r="N21" s="129"/>
      <c r="O21" s="129"/>
      <c r="P21" s="129"/>
      <c r="Q21" s="146"/>
      <c r="R21" s="153"/>
      <c r="S21" s="131"/>
      <c r="T21" s="131"/>
      <c r="U21" s="154"/>
      <c r="V21" s="180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81"/>
      <c r="AT21" s="153"/>
      <c r="AU21" s="131"/>
      <c r="AV21" s="131"/>
      <c r="AW21" s="131"/>
      <c r="AX21" s="131"/>
      <c r="AY21" s="131"/>
      <c r="AZ21" s="131"/>
      <c r="BA21" s="131"/>
      <c r="BB21" s="131"/>
      <c r="BC21" s="167"/>
    </row>
    <row r="22" spans="1:55" s="25" customFormat="1" ht="65.25" customHeight="1">
      <c r="A22" s="139"/>
      <c r="B22" s="140"/>
      <c r="C22" s="140"/>
      <c r="D22" s="140"/>
      <c r="E22" s="140"/>
      <c r="F22" s="140"/>
      <c r="G22" s="140"/>
      <c r="H22" s="140"/>
      <c r="I22" s="141"/>
      <c r="J22" s="147"/>
      <c r="K22" s="148"/>
      <c r="L22" s="148"/>
      <c r="M22" s="148"/>
      <c r="N22" s="148"/>
      <c r="O22" s="148"/>
      <c r="P22" s="148"/>
      <c r="Q22" s="149"/>
      <c r="R22" s="155"/>
      <c r="S22" s="156"/>
      <c r="T22" s="156"/>
      <c r="U22" s="157"/>
      <c r="V22" s="187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9"/>
      <c r="AT22" s="155"/>
      <c r="AU22" s="156"/>
      <c r="AV22" s="156"/>
      <c r="AW22" s="156"/>
      <c r="AX22" s="156"/>
      <c r="AY22" s="156"/>
      <c r="AZ22" s="156"/>
      <c r="BA22" s="156"/>
      <c r="BB22" s="156"/>
      <c r="BC22" s="168"/>
    </row>
    <row r="23" spans="1:55" s="25" customFormat="1" ht="13.5" customHeight="1">
      <c r="A23" s="134"/>
      <c r="B23" s="135"/>
      <c r="C23" s="135"/>
      <c r="D23" s="135"/>
      <c r="E23" s="135"/>
      <c r="F23" s="135"/>
      <c r="G23" s="135"/>
      <c r="H23" s="135"/>
      <c r="I23" s="136"/>
      <c r="J23" s="142"/>
      <c r="K23" s="143"/>
      <c r="L23" s="143"/>
      <c r="M23" s="143"/>
      <c r="N23" s="143"/>
      <c r="O23" s="143"/>
      <c r="P23" s="143"/>
      <c r="Q23" s="144"/>
      <c r="R23" s="186"/>
      <c r="S23" s="151"/>
      <c r="T23" s="151"/>
      <c r="U23" s="152"/>
      <c r="V23" s="15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9"/>
      <c r="AT23" s="150"/>
      <c r="AU23" s="151"/>
      <c r="AV23" s="151"/>
      <c r="AW23" s="151"/>
      <c r="AX23" s="151"/>
      <c r="AY23" s="151"/>
      <c r="AZ23" s="151"/>
      <c r="BA23" s="151"/>
      <c r="BB23" s="151"/>
      <c r="BC23" s="166"/>
    </row>
    <row r="24" spans="1:55" s="25" customFormat="1" ht="13.5" customHeight="1">
      <c r="A24" s="137"/>
      <c r="B24" s="127"/>
      <c r="C24" s="127"/>
      <c r="D24" s="127"/>
      <c r="E24" s="127"/>
      <c r="F24" s="127"/>
      <c r="G24" s="127"/>
      <c r="H24" s="127"/>
      <c r="I24" s="138"/>
      <c r="J24" s="145"/>
      <c r="K24" s="129"/>
      <c r="L24" s="129"/>
      <c r="M24" s="129"/>
      <c r="N24" s="129"/>
      <c r="O24" s="129"/>
      <c r="P24" s="129"/>
      <c r="Q24" s="146"/>
      <c r="R24" s="153"/>
      <c r="S24" s="131"/>
      <c r="T24" s="131"/>
      <c r="U24" s="154"/>
      <c r="V24" s="180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81"/>
      <c r="AT24" s="153"/>
      <c r="AU24" s="131"/>
      <c r="AV24" s="131"/>
      <c r="AW24" s="131"/>
      <c r="AX24" s="131"/>
      <c r="AY24" s="131"/>
      <c r="AZ24" s="131"/>
      <c r="BA24" s="131"/>
      <c r="BB24" s="131"/>
      <c r="BC24" s="167"/>
    </row>
    <row r="25" spans="1:55" s="25" customFormat="1" ht="13.5" customHeight="1">
      <c r="A25" s="139"/>
      <c r="B25" s="140"/>
      <c r="C25" s="140"/>
      <c r="D25" s="140"/>
      <c r="E25" s="140"/>
      <c r="F25" s="140"/>
      <c r="G25" s="140"/>
      <c r="H25" s="140"/>
      <c r="I25" s="141"/>
      <c r="J25" s="147"/>
      <c r="K25" s="148"/>
      <c r="L25" s="148"/>
      <c r="M25" s="148"/>
      <c r="N25" s="148"/>
      <c r="O25" s="148"/>
      <c r="P25" s="148"/>
      <c r="Q25" s="149"/>
      <c r="R25" s="155"/>
      <c r="S25" s="156"/>
      <c r="T25" s="156"/>
      <c r="U25" s="157"/>
      <c r="V25" s="187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9"/>
      <c r="AT25" s="155"/>
      <c r="AU25" s="156"/>
      <c r="AV25" s="156"/>
      <c r="AW25" s="156"/>
      <c r="AX25" s="156"/>
      <c r="AY25" s="156"/>
      <c r="AZ25" s="156"/>
      <c r="BA25" s="156"/>
      <c r="BB25" s="156"/>
      <c r="BC25" s="168"/>
    </row>
    <row r="26" spans="1:55" s="25" customFormat="1" ht="13.5" customHeight="1">
      <c r="A26" s="134"/>
      <c r="B26" s="135"/>
      <c r="C26" s="135"/>
      <c r="D26" s="135"/>
      <c r="E26" s="135"/>
      <c r="F26" s="135"/>
      <c r="G26" s="135"/>
      <c r="H26" s="135"/>
      <c r="I26" s="136"/>
      <c r="J26" s="142"/>
      <c r="K26" s="143"/>
      <c r="L26" s="143"/>
      <c r="M26" s="143"/>
      <c r="N26" s="143"/>
      <c r="O26" s="143"/>
      <c r="P26" s="143"/>
      <c r="Q26" s="144"/>
      <c r="R26" s="150"/>
      <c r="S26" s="151"/>
      <c r="T26" s="151"/>
      <c r="U26" s="152"/>
      <c r="V26" s="158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60"/>
      <c r="AT26" s="150"/>
      <c r="AU26" s="151"/>
      <c r="AV26" s="151"/>
      <c r="AW26" s="151"/>
      <c r="AX26" s="151"/>
      <c r="AY26" s="151"/>
      <c r="AZ26" s="151"/>
      <c r="BA26" s="151"/>
      <c r="BB26" s="151"/>
      <c r="BC26" s="166"/>
    </row>
    <row r="27" spans="1:55" s="25" customFormat="1" ht="13.5" customHeight="1">
      <c r="A27" s="137"/>
      <c r="B27" s="127"/>
      <c r="C27" s="127"/>
      <c r="D27" s="127"/>
      <c r="E27" s="127"/>
      <c r="F27" s="127"/>
      <c r="G27" s="127"/>
      <c r="H27" s="127"/>
      <c r="I27" s="138"/>
      <c r="J27" s="145"/>
      <c r="K27" s="129"/>
      <c r="L27" s="129"/>
      <c r="M27" s="129"/>
      <c r="N27" s="129"/>
      <c r="O27" s="129"/>
      <c r="P27" s="129"/>
      <c r="Q27" s="146"/>
      <c r="R27" s="153"/>
      <c r="S27" s="131"/>
      <c r="T27" s="131"/>
      <c r="U27" s="154"/>
      <c r="V27" s="161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62"/>
      <c r="AT27" s="153"/>
      <c r="AU27" s="131"/>
      <c r="AV27" s="131"/>
      <c r="AW27" s="131"/>
      <c r="AX27" s="131"/>
      <c r="AY27" s="131"/>
      <c r="AZ27" s="131"/>
      <c r="BA27" s="131"/>
      <c r="BB27" s="131"/>
      <c r="BC27" s="167"/>
    </row>
    <row r="28" spans="1:55" s="25" customFormat="1" ht="13.5" customHeight="1">
      <c r="A28" s="139"/>
      <c r="B28" s="140"/>
      <c r="C28" s="140"/>
      <c r="D28" s="140"/>
      <c r="E28" s="140"/>
      <c r="F28" s="140"/>
      <c r="G28" s="140"/>
      <c r="H28" s="140"/>
      <c r="I28" s="141"/>
      <c r="J28" s="147"/>
      <c r="K28" s="148"/>
      <c r="L28" s="148"/>
      <c r="M28" s="148"/>
      <c r="N28" s="148"/>
      <c r="O28" s="148"/>
      <c r="P28" s="148"/>
      <c r="Q28" s="149"/>
      <c r="R28" s="155"/>
      <c r="S28" s="156"/>
      <c r="T28" s="156"/>
      <c r="U28" s="157"/>
      <c r="V28" s="163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5"/>
      <c r="AT28" s="155"/>
      <c r="AU28" s="156"/>
      <c r="AV28" s="156"/>
      <c r="AW28" s="156"/>
      <c r="AX28" s="156"/>
      <c r="AY28" s="156"/>
      <c r="AZ28" s="156"/>
      <c r="BA28" s="156"/>
      <c r="BB28" s="156"/>
      <c r="BC28" s="168"/>
    </row>
    <row r="29" spans="1:55" s="25" customFormat="1" ht="13.5" customHeight="1">
      <c r="A29" s="134"/>
      <c r="B29" s="135"/>
      <c r="C29" s="135"/>
      <c r="D29" s="135"/>
      <c r="E29" s="135"/>
      <c r="F29" s="135"/>
      <c r="G29" s="135"/>
      <c r="H29" s="135"/>
      <c r="I29" s="136"/>
      <c r="J29" s="142"/>
      <c r="K29" s="143"/>
      <c r="L29" s="143"/>
      <c r="M29" s="143"/>
      <c r="N29" s="143"/>
      <c r="O29" s="143"/>
      <c r="P29" s="143"/>
      <c r="Q29" s="144"/>
      <c r="R29" s="150"/>
      <c r="S29" s="151"/>
      <c r="T29" s="151"/>
      <c r="U29" s="152"/>
      <c r="V29" s="15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9"/>
      <c r="AT29" s="150"/>
      <c r="AU29" s="151"/>
      <c r="AV29" s="151"/>
      <c r="AW29" s="151"/>
      <c r="AX29" s="151"/>
      <c r="AY29" s="151"/>
      <c r="AZ29" s="151"/>
      <c r="BA29" s="151"/>
      <c r="BB29" s="151"/>
      <c r="BC29" s="166"/>
    </row>
    <row r="30" spans="1:55" s="25" customFormat="1" ht="13.5" customHeight="1">
      <c r="A30" s="137"/>
      <c r="B30" s="127"/>
      <c r="C30" s="127"/>
      <c r="D30" s="127"/>
      <c r="E30" s="127"/>
      <c r="F30" s="127"/>
      <c r="G30" s="127"/>
      <c r="H30" s="127"/>
      <c r="I30" s="138"/>
      <c r="J30" s="145"/>
      <c r="K30" s="129"/>
      <c r="L30" s="129"/>
      <c r="M30" s="129"/>
      <c r="N30" s="129"/>
      <c r="O30" s="129"/>
      <c r="P30" s="129"/>
      <c r="Q30" s="146"/>
      <c r="R30" s="153"/>
      <c r="S30" s="131"/>
      <c r="T30" s="131"/>
      <c r="U30" s="154"/>
      <c r="V30" s="180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81"/>
      <c r="AT30" s="153"/>
      <c r="AU30" s="131"/>
      <c r="AV30" s="131"/>
      <c r="AW30" s="131"/>
      <c r="AX30" s="131"/>
      <c r="AY30" s="131"/>
      <c r="AZ30" s="131"/>
      <c r="BA30" s="131"/>
      <c r="BB30" s="131"/>
      <c r="BC30" s="167"/>
    </row>
    <row r="31" spans="1:55" s="25" customFormat="1" ht="13.5" customHeight="1" thickBot="1">
      <c r="A31" s="169"/>
      <c r="B31" s="170"/>
      <c r="C31" s="170"/>
      <c r="D31" s="170"/>
      <c r="E31" s="170"/>
      <c r="F31" s="170"/>
      <c r="G31" s="170"/>
      <c r="H31" s="170"/>
      <c r="I31" s="171"/>
      <c r="J31" s="172"/>
      <c r="K31" s="173"/>
      <c r="L31" s="173"/>
      <c r="M31" s="173"/>
      <c r="N31" s="173"/>
      <c r="O31" s="173"/>
      <c r="P31" s="173"/>
      <c r="Q31" s="174"/>
      <c r="R31" s="175"/>
      <c r="S31" s="176"/>
      <c r="T31" s="176"/>
      <c r="U31" s="177"/>
      <c r="V31" s="182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4"/>
      <c r="AT31" s="175"/>
      <c r="AU31" s="176"/>
      <c r="AV31" s="176"/>
      <c r="AW31" s="176"/>
      <c r="AX31" s="176"/>
      <c r="AY31" s="176"/>
      <c r="AZ31" s="176"/>
      <c r="BA31" s="176"/>
      <c r="BB31" s="176"/>
      <c r="BC31" s="185"/>
    </row>
    <row r="32" spans="1:55" s="25" customFormat="1" ht="13.5" customHeight="1">
      <c r="A32" s="126"/>
      <c r="B32" s="127"/>
      <c r="C32" s="127"/>
      <c r="D32" s="127"/>
      <c r="E32" s="127"/>
      <c r="F32" s="127"/>
      <c r="G32" s="127"/>
      <c r="H32" s="127"/>
      <c r="I32" s="127"/>
      <c r="J32" s="128"/>
      <c r="K32" s="129"/>
      <c r="L32" s="129"/>
      <c r="M32" s="129"/>
      <c r="N32" s="129"/>
      <c r="O32" s="129"/>
      <c r="P32" s="129"/>
      <c r="Q32" s="129"/>
      <c r="R32" s="130"/>
      <c r="S32" s="131"/>
      <c r="T32" s="131"/>
      <c r="U32" s="131"/>
      <c r="V32" s="132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0"/>
      <c r="AU32" s="131"/>
      <c r="AV32" s="131"/>
      <c r="AW32" s="131"/>
      <c r="AX32" s="131"/>
      <c r="AY32" s="131"/>
      <c r="AZ32" s="131"/>
      <c r="BA32" s="131"/>
      <c r="BB32" s="131"/>
      <c r="BC32" s="131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32:I32"/>
    <mergeCell ref="J32:Q32"/>
    <mergeCell ref="R32:U32"/>
    <mergeCell ref="V32:AS32"/>
    <mergeCell ref="AT32:BC32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F149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41" customWidth="1"/>
    <col min="2" max="27" width="2.625" style="41"/>
    <col min="28" max="28" width="2.625" style="41" customWidth="1"/>
    <col min="29" max="41" width="2.625" style="41"/>
    <col min="42" max="43" width="2.625" style="41" customWidth="1"/>
    <col min="44" max="51" width="2.625" style="41"/>
    <col min="52" max="53" width="2.625" style="41" customWidth="1"/>
    <col min="54" max="54" width="2.75" style="41" customWidth="1"/>
    <col min="55" max="55" width="2.375" style="41" customWidth="1"/>
    <col min="56" max="56" width="3.125" style="41" hidden="1" customWidth="1"/>
    <col min="57" max="58" width="2.625" style="41" hidden="1" customWidth="1"/>
    <col min="59" max="16384" width="2.625" style="41"/>
  </cols>
  <sheetData>
    <row r="1" spans="1:55" ht="13.5" customHeight="1">
      <c r="A1" s="239" t="s">
        <v>0</v>
      </c>
      <c r="B1" s="208"/>
      <c r="C1" s="208"/>
      <c r="D1" s="208"/>
      <c r="E1" s="208"/>
      <c r="F1" s="209"/>
      <c r="G1" s="209"/>
      <c r="H1" s="209"/>
      <c r="I1" s="240"/>
      <c r="J1" s="241" t="s">
        <v>1</v>
      </c>
      <c r="K1" s="208"/>
      <c r="L1" s="208"/>
      <c r="M1" s="208"/>
      <c r="N1" s="208"/>
      <c r="O1" s="209"/>
      <c r="P1" s="209"/>
      <c r="Q1" s="209"/>
      <c r="R1" s="242" t="str">
        <f>表紙!S12</f>
        <v>画面レイアウト設計書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4"/>
      <c r="AJ1" s="245" t="s">
        <v>2</v>
      </c>
      <c r="AK1" s="246"/>
      <c r="AL1" s="246"/>
      <c r="AM1" s="246"/>
      <c r="AN1" s="246"/>
      <c r="AO1" s="247" t="s">
        <v>3</v>
      </c>
      <c r="AP1" s="246"/>
      <c r="AQ1" s="246"/>
      <c r="AR1" s="246"/>
      <c r="AS1" s="246"/>
      <c r="AT1" s="247" t="s">
        <v>4</v>
      </c>
      <c r="AU1" s="246"/>
      <c r="AV1" s="246"/>
      <c r="AW1" s="246"/>
      <c r="AX1" s="246"/>
      <c r="AY1" s="208" t="s">
        <v>5</v>
      </c>
      <c r="AZ1" s="209"/>
      <c r="BA1" s="209"/>
      <c r="BB1" s="209"/>
      <c r="BC1" s="210"/>
    </row>
    <row r="2" spans="1:55" ht="13.5" customHeight="1">
      <c r="A2" s="308" t="str">
        <f>表紙!O10</f>
        <v>13期12月対応</v>
      </c>
      <c r="B2" s="212"/>
      <c r="C2" s="212"/>
      <c r="D2" s="212"/>
      <c r="E2" s="212"/>
      <c r="F2" s="213"/>
      <c r="G2" s="213"/>
      <c r="H2" s="213"/>
      <c r="I2" s="214"/>
      <c r="J2" s="219" t="str">
        <f>表紙!O9</f>
        <v>LMS学習管理システム</v>
      </c>
      <c r="K2" s="212"/>
      <c r="L2" s="212"/>
      <c r="M2" s="212"/>
      <c r="N2" s="212"/>
      <c r="O2" s="213"/>
      <c r="P2" s="213"/>
      <c r="Q2" s="220"/>
      <c r="R2" s="223" t="str">
        <f ca="1">RIGHT(CELL("filename",A1),LEN(CELL("filename",A1))-FIND("]",CELL("filename",A1)))</f>
        <v>成果物一覧画面（管理者権限）</v>
      </c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5"/>
      <c r="AJ2" s="309" t="s">
        <v>49</v>
      </c>
      <c r="AK2" s="230"/>
      <c r="AL2" s="230"/>
      <c r="AM2" s="230"/>
      <c r="AN2" s="230"/>
      <c r="AO2" s="233">
        <v>43766</v>
      </c>
      <c r="AP2" s="230"/>
      <c r="AQ2" s="310"/>
      <c r="AR2" s="230"/>
      <c r="AS2" s="230"/>
      <c r="AT2" s="309" t="s">
        <v>113</v>
      </c>
      <c r="AU2" s="230"/>
      <c r="AV2" s="310"/>
      <c r="AW2" s="230"/>
      <c r="AX2" s="230"/>
      <c r="AY2" s="234">
        <v>43804</v>
      </c>
      <c r="AZ2" s="235"/>
      <c r="BA2" s="235"/>
      <c r="BB2" s="311"/>
      <c r="BC2" s="236"/>
    </row>
    <row r="3" spans="1:55" ht="13.5" customHeight="1" thickBot="1">
      <c r="A3" s="215"/>
      <c r="B3" s="216"/>
      <c r="C3" s="216"/>
      <c r="D3" s="216"/>
      <c r="E3" s="216"/>
      <c r="F3" s="217"/>
      <c r="G3" s="217"/>
      <c r="H3" s="217"/>
      <c r="I3" s="218"/>
      <c r="J3" s="221"/>
      <c r="K3" s="216"/>
      <c r="L3" s="216"/>
      <c r="M3" s="216"/>
      <c r="N3" s="216"/>
      <c r="O3" s="217"/>
      <c r="P3" s="217"/>
      <c r="Q3" s="222"/>
      <c r="R3" s="226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8"/>
      <c r="AJ3" s="231"/>
      <c r="AK3" s="232"/>
      <c r="AL3" s="232"/>
      <c r="AM3" s="232"/>
      <c r="AN3" s="232"/>
      <c r="AO3" s="232"/>
      <c r="AP3" s="232"/>
      <c r="AQ3" s="232"/>
      <c r="AR3" s="232"/>
      <c r="AS3" s="232"/>
      <c r="AT3" s="231"/>
      <c r="AU3" s="232"/>
      <c r="AV3" s="232"/>
      <c r="AW3" s="232"/>
      <c r="AX3" s="232"/>
      <c r="AY3" s="237"/>
      <c r="AZ3" s="237"/>
      <c r="BA3" s="237"/>
      <c r="BB3" s="237"/>
      <c r="BC3" s="238"/>
    </row>
    <row r="4" spans="1:55" ht="13.5" customHeight="1"/>
    <row r="5" spans="1:55" ht="13.5" customHeight="1">
      <c r="A5" s="33"/>
      <c r="B5" s="29" t="s">
        <v>20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13.5" customHeight="1">
      <c r="A6" s="33"/>
      <c r="B6" s="42"/>
      <c r="C6" s="43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4"/>
      <c r="AA6" s="42"/>
      <c r="AB6" s="42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33"/>
    </row>
    <row r="7" spans="1:55" ht="13.5" customHeight="1">
      <c r="A7" s="33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33"/>
    </row>
    <row r="8" spans="1:55" ht="13.5" customHeight="1">
      <c r="A8" s="33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33"/>
    </row>
    <row r="9" spans="1:55" ht="13.5" customHeight="1">
      <c r="A9" s="33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33"/>
    </row>
    <row r="10" spans="1:55" ht="13.5" customHeight="1">
      <c r="A10" s="33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33"/>
    </row>
    <row r="11" spans="1:55" ht="13.5" customHeight="1">
      <c r="A11" s="33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33"/>
    </row>
    <row r="12" spans="1:55" ht="13.5" customHeight="1">
      <c r="A12" s="33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33"/>
    </row>
    <row r="13" spans="1:55" ht="13.5" customHeight="1">
      <c r="A13" s="33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33"/>
    </row>
    <row r="14" spans="1:55" ht="13.5" customHeight="1">
      <c r="A14" s="33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33"/>
    </row>
    <row r="15" spans="1:55" ht="13.5" customHeight="1">
      <c r="A15" s="33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33"/>
    </row>
    <row r="16" spans="1:55" ht="13.5" customHeight="1">
      <c r="A16" s="33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33"/>
    </row>
    <row r="17" spans="1:55" ht="13.5" customHeight="1">
      <c r="A17" s="33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33"/>
    </row>
    <row r="18" spans="1:55" ht="13.5" customHeight="1">
      <c r="A18" s="33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33"/>
    </row>
    <row r="19" spans="1:55" ht="13.5" customHeight="1">
      <c r="A19" s="33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33"/>
    </row>
    <row r="20" spans="1:55" ht="13.5" customHeight="1">
      <c r="A20" s="3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33"/>
    </row>
    <row r="21" spans="1:55" ht="13.5" customHeight="1">
      <c r="A21" s="33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33"/>
    </row>
    <row r="22" spans="1:55" ht="13.5" customHeight="1">
      <c r="A22" s="33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33"/>
    </row>
    <row r="23" spans="1:55" ht="13.5" customHeight="1">
      <c r="A23" s="33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33"/>
    </row>
    <row r="24" spans="1:55" ht="13.5" customHeight="1">
      <c r="A24" s="33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33"/>
    </row>
    <row r="25" spans="1:55" ht="13.5" customHeight="1">
      <c r="A25" s="33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33"/>
    </row>
    <row r="26" spans="1:55" ht="13.5" customHeight="1">
      <c r="A26" s="33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33"/>
    </row>
    <row r="27" spans="1:55" ht="13.5" customHeight="1">
      <c r="A27" s="33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33"/>
    </row>
    <row r="28" spans="1:55" ht="13.5" customHeight="1">
      <c r="A28" s="33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33"/>
    </row>
    <row r="29" spans="1:55" ht="13.5" customHeight="1">
      <c r="A29" s="33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33"/>
    </row>
    <row r="30" spans="1:55" ht="13.5" customHeight="1">
      <c r="A30" s="3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33"/>
    </row>
    <row r="31" spans="1:55" ht="13.5" customHeight="1">
      <c r="A31" s="3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33"/>
    </row>
    <row r="32" spans="1:55" ht="13.5" customHeight="1">
      <c r="A32" s="33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</row>
    <row r="33" spans="1:55" ht="13.5" customHeight="1">
      <c r="A33" s="33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33"/>
    </row>
    <row r="34" spans="1:55" ht="13.5" customHeight="1">
      <c r="A34" s="33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33"/>
    </row>
    <row r="35" spans="1:55" ht="13.5" customHeight="1">
      <c r="A35" s="33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33"/>
    </row>
    <row r="36" spans="1:55" ht="13.5" customHeight="1">
      <c r="A36" s="33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33"/>
    </row>
    <row r="37" spans="1:55" ht="13.5" customHeight="1">
      <c r="A37" s="3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</row>
    <row r="38" spans="1:55" ht="13.5" customHeight="1">
      <c r="A38" s="33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33"/>
    </row>
    <row r="39" spans="1:55" ht="13.5" customHeight="1">
      <c r="A39" s="33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33"/>
    </row>
    <row r="40" spans="1:55" ht="13.5" customHeight="1">
      <c r="A40" s="33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33"/>
    </row>
    <row r="41" spans="1:55">
      <c r="A41" s="33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33"/>
    </row>
    <row r="42" spans="1:55">
      <c r="A42" s="33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33"/>
    </row>
    <row r="43" spans="1:55">
      <c r="A43" s="33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33"/>
    </row>
    <row r="44" spans="1:55">
      <c r="A44" s="33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33"/>
    </row>
    <row r="45" spans="1:55">
      <c r="A45" s="33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33"/>
    </row>
    <row r="46" spans="1:55">
      <c r="A46" s="33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33"/>
    </row>
    <row r="47" spans="1:55">
      <c r="A47" s="33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33"/>
    </row>
    <row r="48" spans="1:55">
      <c r="A48" s="33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33"/>
    </row>
    <row r="49" spans="1:55">
      <c r="A49" s="33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33"/>
    </row>
    <row r="50" spans="1:55">
      <c r="A50" s="33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33"/>
    </row>
    <row r="51" spans="1:55">
      <c r="A51" s="33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33"/>
    </row>
    <row r="52" spans="1:55">
      <c r="A52" s="33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33"/>
    </row>
    <row r="53" spans="1:55">
      <c r="A53" s="33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33"/>
    </row>
    <row r="54" spans="1:55">
      <c r="A54" s="33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33"/>
    </row>
    <row r="55" spans="1:55">
      <c r="A55" s="33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33"/>
    </row>
    <row r="56" spans="1:55">
      <c r="A56" s="33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33"/>
    </row>
    <row r="57" spans="1:55">
      <c r="A57" s="33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33"/>
    </row>
    <row r="58" spans="1:55">
      <c r="A58" s="33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33"/>
    </row>
    <row r="59" spans="1:55">
      <c r="A59" s="33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33"/>
    </row>
    <row r="60" spans="1:55">
      <c r="A60" s="33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33"/>
    </row>
    <row r="61" spans="1:55">
      <c r="A61" s="33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33"/>
    </row>
    <row r="62" spans="1:55">
      <c r="A62" s="33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33"/>
    </row>
    <row r="63" spans="1:55">
      <c r="A63" s="33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33"/>
    </row>
    <row r="64" spans="1:55">
      <c r="A64" s="33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33"/>
    </row>
    <row r="65" spans="1:55">
      <c r="A65" s="33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33"/>
    </row>
    <row r="66" spans="1:55">
      <c r="A66" s="33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33"/>
    </row>
    <row r="67" spans="1:55">
      <c r="A67" s="33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33"/>
    </row>
    <row r="68" spans="1:55">
      <c r="A68" s="33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33"/>
    </row>
    <row r="69" spans="1:55">
      <c r="A69" s="33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33"/>
    </row>
    <row r="70" spans="1:55">
      <c r="A70" s="33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33"/>
    </row>
    <row r="71" spans="1:55">
      <c r="A71" s="33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33"/>
    </row>
    <row r="72" spans="1:55">
      <c r="A72" s="33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33"/>
    </row>
    <row r="73" spans="1:55">
      <c r="A73" s="33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33"/>
    </row>
    <row r="74" spans="1:55">
      <c r="A74" s="33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33"/>
    </row>
    <row r="75" spans="1:5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spans="1:5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spans="1:55">
      <c r="A77" s="33"/>
      <c r="B77" s="29" t="s">
        <v>35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7"/>
      <c r="BC77" s="33"/>
    </row>
    <row r="78" spans="1:55">
      <c r="A78" s="33"/>
      <c r="B78" s="284" t="s">
        <v>17</v>
      </c>
      <c r="C78" s="285"/>
      <c r="D78" s="263" t="s">
        <v>28</v>
      </c>
      <c r="E78" s="264"/>
      <c r="F78" s="264"/>
      <c r="G78" s="264"/>
      <c r="H78" s="264"/>
      <c r="I78" s="264"/>
      <c r="J78" s="264"/>
      <c r="K78" s="264"/>
      <c r="L78" s="265"/>
      <c r="M78" s="275" t="s">
        <v>21</v>
      </c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7"/>
      <c r="AF78" s="284" t="s">
        <v>18</v>
      </c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5"/>
      <c r="BC78" s="33"/>
    </row>
    <row r="79" spans="1:55">
      <c r="A79" s="33"/>
      <c r="B79" s="288"/>
      <c r="C79" s="290"/>
      <c r="D79" s="305"/>
      <c r="E79" s="306"/>
      <c r="F79" s="306"/>
      <c r="G79" s="306"/>
      <c r="H79" s="306"/>
      <c r="I79" s="306"/>
      <c r="J79" s="306"/>
      <c r="K79" s="306"/>
      <c r="L79" s="307"/>
      <c r="M79" s="275" t="s">
        <v>34</v>
      </c>
      <c r="N79" s="276"/>
      <c r="O79" s="276"/>
      <c r="P79" s="276"/>
      <c r="Q79" s="276"/>
      <c r="R79" s="276"/>
      <c r="S79" s="276"/>
      <c r="T79" s="276"/>
      <c r="U79" s="276"/>
      <c r="V79" s="277"/>
      <c r="W79" s="275" t="s">
        <v>30</v>
      </c>
      <c r="X79" s="276"/>
      <c r="Y79" s="276"/>
      <c r="Z79" s="276"/>
      <c r="AA79" s="276"/>
      <c r="AB79" s="276"/>
      <c r="AC79" s="276"/>
      <c r="AD79" s="276"/>
      <c r="AE79" s="277"/>
      <c r="AF79" s="288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89"/>
      <c r="AX79" s="289"/>
      <c r="AY79" s="289"/>
      <c r="AZ79" s="289"/>
      <c r="BA79" s="289"/>
      <c r="BB79" s="290"/>
      <c r="BC79" s="33"/>
    </row>
    <row r="80" spans="1:55">
      <c r="A80" s="33"/>
      <c r="B80" s="78" t="s">
        <v>51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7"/>
      <c r="BC80" s="33"/>
    </row>
    <row r="81" spans="1:55">
      <c r="A81" s="33"/>
      <c r="B81" s="273">
        <v>1</v>
      </c>
      <c r="C81" s="274"/>
      <c r="D81" s="258" t="s">
        <v>50</v>
      </c>
      <c r="E81" s="259"/>
      <c r="F81" s="259"/>
      <c r="G81" s="259"/>
      <c r="H81" s="259"/>
      <c r="I81" s="259"/>
      <c r="J81" s="259"/>
      <c r="K81" s="259"/>
      <c r="L81" s="260"/>
      <c r="M81" s="270" t="s">
        <v>102</v>
      </c>
      <c r="N81" s="271"/>
      <c r="O81" s="271"/>
      <c r="P81" s="271"/>
      <c r="Q81" s="271"/>
      <c r="R81" s="271"/>
      <c r="S81" s="271"/>
      <c r="T81" s="271"/>
      <c r="U81" s="271"/>
      <c r="V81" s="272"/>
      <c r="W81" s="302" t="s">
        <v>101</v>
      </c>
      <c r="X81" s="303"/>
      <c r="Y81" s="303"/>
      <c r="Z81" s="303"/>
      <c r="AA81" s="303"/>
      <c r="AB81" s="303"/>
      <c r="AC81" s="303"/>
      <c r="AD81" s="303"/>
      <c r="AE81" s="304"/>
      <c r="AF81" s="60" t="s">
        <v>53</v>
      </c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8"/>
      <c r="BC81" s="33"/>
    </row>
    <row r="82" spans="1:55">
      <c r="A82" s="33"/>
      <c r="B82" s="273">
        <v>2</v>
      </c>
      <c r="C82" s="274"/>
      <c r="D82" s="291" t="s">
        <v>52</v>
      </c>
      <c r="E82" s="292"/>
      <c r="F82" s="292"/>
      <c r="G82" s="292"/>
      <c r="H82" s="292"/>
      <c r="I82" s="292"/>
      <c r="J82" s="292"/>
      <c r="K82" s="292"/>
      <c r="L82" s="293"/>
      <c r="M82" s="270" t="s">
        <v>96</v>
      </c>
      <c r="N82" s="271"/>
      <c r="O82" s="271"/>
      <c r="P82" s="271"/>
      <c r="Q82" s="271"/>
      <c r="R82" s="271"/>
      <c r="S82" s="271"/>
      <c r="T82" s="271"/>
      <c r="U82" s="271"/>
      <c r="V82" s="272"/>
      <c r="W82" s="294" t="s">
        <v>97</v>
      </c>
      <c r="X82" s="295"/>
      <c r="Y82" s="295"/>
      <c r="Z82" s="295"/>
      <c r="AA82" s="295"/>
      <c r="AB82" s="295"/>
      <c r="AC82" s="295"/>
      <c r="AD82" s="295"/>
      <c r="AE82" s="296"/>
      <c r="AF82" s="60" t="s">
        <v>53</v>
      </c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53"/>
      <c r="BC82" s="33"/>
    </row>
    <row r="83" spans="1:55">
      <c r="A83" s="33"/>
      <c r="B83" s="78" t="s">
        <v>54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7"/>
      <c r="BC83" s="33"/>
    </row>
    <row r="84" spans="1:55">
      <c r="A84" s="33"/>
      <c r="B84" s="273">
        <v>3</v>
      </c>
      <c r="C84" s="274"/>
      <c r="D84" s="258" t="s">
        <v>55</v>
      </c>
      <c r="E84" s="259"/>
      <c r="F84" s="259"/>
      <c r="G84" s="259"/>
      <c r="H84" s="259"/>
      <c r="I84" s="259"/>
      <c r="J84" s="259"/>
      <c r="K84" s="259"/>
      <c r="L84" s="260"/>
      <c r="M84" s="270" t="s">
        <v>31</v>
      </c>
      <c r="N84" s="271"/>
      <c r="O84" s="271"/>
      <c r="P84" s="271"/>
      <c r="Q84" s="271"/>
      <c r="R84" s="271"/>
      <c r="S84" s="271"/>
      <c r="T84" s="271"/>
      <c r="U84" s="271"/>
      <c r="V84" s="272"/>
      <c r="W84" s="302" t="s">
        <v>31</v>
      </c>
      <c r="X84" s="303"/>
      <c r="Y84" s="303"/>
      <c r="Z84" s="303"/>
      <c r="AA84" s="303"/>
      <c r="AB84" s="303"/>
      <c r="AC84" s="303"/>
      <c r="AD84" s="303"/>
      <c r="AE84" s="304"/>
      <c r="AF84" s="79" t="s">
        <v>56</v>
      </c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68"/>
      <c r="BC84" s="33"/>
    </row>
    <row r="85" spans="1:55">
      <c r="A85" s="33"/>
      <c r="B85" s="312">
        <v>4</v>
      </c>
      <c r="C85" s="313"/>
      <c r="D85" s="314" t="s">
        <v>57</v>
      </c>
      <c r="E85" s="315"/>
      <c r="F85" s="315"/>
      <c r="G85" s="315"/>
      <c r="H85" s="315"/>
      <c r="I85" s="315"/>
      <c r="J85" s="315"/>
      <c r="K85" s="315"/>
      <c r="L85" s="316"/>
      <c r="M85" s="317" t="s">
        <v>91</v>
      </c>
      <c r="N85" s="318"/>
      <c r="O85" s="318"/>
      <c r="P85" s="318"/>
      <c r="Q85" s="318"/>
      <c r="R85" s="318"/>
      <c r="S85" s="318"/>
      <c r="T85" s="318"/>
      <c r="U85" s="318"/>
      <c r="V85" s="319"/>
      <c r="W85" s="320" t="s">
        <v>91</v>
      </c>
      <c r="X85" s="321"/>
      <c r="Y85" s="321"/>
      <c r="Z85" s="321"/>
      <c r="AA85" s="321"/>
      <c r="AB85" s="321"/>
      <c r="AC85" s="321"/>
      <c r="AD85" s="321"/>
      <c r="AE85" s="322"/>
      <c r="AF85" s="58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7"/>
      <c r="BC85" s="33"/>
    </row>
    <row r="86" spans="1:55">
      <c r="A86" s="33"/>
      <c r="B86" s="261">
        <v>5</v>
      </c>
      <c r="C86" s="262"/>
      <c r="D86" s="258" t="s">
        <v>58</v>
      </c>
      <c r="E86" s="259"/>
      <c r="F86" s="259"/>
      <c r="G86" s="259"/>
      <c r="H86" s="259"/>
      <c r="I86" s="259"/>
      <c r="J86" s="259"/>
      <c r="K86" s="259"/>
      <c r="L86" s="260"/>
      <c r="M86" s="270" t="s">
        <v>93</v>
      </c>
      <c r="N86" s="271"/>
      <c r="O86" s="271"/>
      <c r="P86" s="271"/>
      <c r="Q86" s="271"/>
      <c r="R86" s="271"/>
      <c r="S86" s="271"/>
      <c r="T86" s="271"/>
      <c r="U86" s="271"/>
      <c r="V86" s="272"/>
      <c r="W86" s="302" t="s">
        <v>92</v>
      </c>
      <c r="X86" s="303"/>
      <c r="Y86" s="303"/>
      <c r="Z86" s="303"/>
      <c r="AA86" s="303"/>
      <c r="AB86" s="303"/>
      <c r="AC86" s="303"/>
      <c r="AD86" s="303"/>
      <c r="AE86" s="304"/>
      <c r="AF86" s="60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38"/>
      <c r="BC86" s="33"/>
    </row>
    <row r="87" spans="1:55">
      <c r="A87" s="33"/>
      <c r="B87" s="261">
        <v>6</v>
      </c>
      <c r="C87" s="356"/>
      <c r="D87" s="357" t="s">
        <v>59</v>
      </c>
      <c r="E87" s="358"/>
      <c r="F87" s="358"/>
      <c r="G87" s="358"/>
      <c r="H87" s="358"/>
      <c r="I87" s="358"/>
      <c r="J87" s="358"/>
      <c r="K87" s="358"/>
      <c r="L87" s="359"/>
      <c r="M87" s="360" t="s">
        <v>94</v>
      </c>
      <c r="N87" s="361"/>
      <c r="O87" s="361"/>
      <c r="P87" s="361"/>
      <c r="Q87" s="361"/>
      <c r="R87" s="361"/>
      <c r="S87" s="361"/>
      <c r="T87" s="361"/>
      <c r="U87" s="361"/>
      <c r="V87" s="362"/>
      <c r="W87" s="363" t="s">
        <v>95</v>
      </c>
      <c r="X87" s="364"/>
      <c r="Y87" s="364"/>
      <c r="Z87" s="364"/>
      <c r="AA87" s="364"/>
      <c r="AB87" s="364"/>
      <c r="AC87" s="364"/>
      <c r="AD87" s="364"/>
      <c r="AE87" s="365"/>
      <c r="AF87" s="60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38"/>
      <c r="BC87" s="33"/>
    </row>
    <row r="88" spans="1:55">
      <c r="A88" s="33"/>
      <c r="B88" s="261">
        <v>7</v>
      </c>
      <c r="C88" s="262"/>
      <c r="D88" s="258" t="s">
        <v>60</v>
      </c>
      <c r="E88" s="259"/>
      <c r="F88" s="259"/>
      <c r="G88" s="259"/>
      <c r="H88" s="259"/>
      <c r="I88" s="259"/>
      <c r="J88" s="259"/>
      <c r="K88" s="259"/>
      <c r="L88" s="260"/>
      <c r="M88" s="270" t="s">
        <v>96</v>
      </c>
      <c r="N88" s="271"/>
      <c r="O88" s="271"/>
      <c r="P88" s="271"/>
      <c r="Q88" s="271"/>
      <c r="R88" s="271"/>
      <c r="S88" s="271"/>
      <c r="T88" s="271"/>
      <c r="U88" s="271"/>
      <c r="V88" s="272"/>
      <c r="W88" s="294" t="s">
        <v>97</v>
      </c>
      <c r="X88" s="295"/>
      <c r="Y88" s="295"/>
      <c r="Z88" s="295"/>
      <c r="AA88" s="295"/>
      <c r="AB88" s="295"/>
      <c r="AC88" s="295"/>
      <c r="AD88" s="295"/>
      <c r="AE88" s="296"/>
      <c r="AF88" s="60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38"/>
      <c r="BC88" s="33"/>
    </row>
    <row r="89" spans="1:55">
      <c r="A89" s="33"/>
      <c r="B89" s="323">
        <v>8</v>
      </c>
      <c r="C89" s="324"/>
      <c r="D89" s="329" t="s">
        <v>61</v>
      </c>
      <c r="E89" s="330"/>
      <c r="F89" s="330"/>
      <c r="G89" s="330"/>
      <c r="H89" s="330"/>
      <c r="I89" s="330"/>
      <c r="J89" s="330"/>
      <c r="K89" s="330"/>
      <c r="L89" s="331"/>
      <c r="M89" s="338" t="s">
        <v>99</v>
      </c>
      <c r="N89" s="339"/>
      <c r="O89" s="339"/>
      <c r="P89" s="339"/>
      <c r="Q89" s="339"/>
      <c r="R89" s="339"/>
      <c r="S89" s="339"/>
      <c r="T89" s="339"/>
      <c r="U89" s="339"/>
      <c r="V89" s="340"/>
      <c r="W89" s="347" t="s">
        <v>98</v>
      </c>
      <c r="X89" s="348"/>
      <c r="Y89" s="348"/>
      <c r="Z89" s="348"/>
      <c r="AA89" s="348"/>
      <c r="AB89" s="348"/>
      <c r="AC89" s="348"/>
      <c r="AD89" s="348"/>
      <c r="AE89" s="349"/>
      <c r="AF89" s="60" t="s">
        <v>65</v>
      </c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38"/>
      <c r="BC89" s="33"/>
    </row>
    <row r="90" spans="1:55">
      <c r="A90" s="33"/>
      <c r="B90" s="325"/>
      <c r="C90" s="326"/>
      <c r="D90" s="332"/>
      <c r="E90" s="333"/>
      <c r="F90" s="333"/>
      <c r="G90" s="333"/>
      <c r="H90" s="333"/>
      <c r="I90" s="333"/>
      <c r="J90" s="333"/>
      <c r="K90" s="333"/>
      <c r="L90" s="334"/>
      <c r="M90" s="341"/>
      <c r="N90" s="342"/>
      <c r="O90" s="342"/>
      <c r="P90" s="342"/>
      <c r="Q90" s="342"/>
      <c r="R90" s="342"/>
      <c r="S90" s="342"/>
      <c r="T90" s="342"/>
      <c r="U90" s="342"/>
      <c r="V90" s="343"/>
      <c r="W90" s="350"/>
      <c r="X90" s="351"/>
      <c r="Y90" s="351"/>
      <c r="Z90" s="351"/>
      <c r="AA90" s="351"/>
      <c r="AB90" s="351"/>
      <c r="AC90" s="351"/>
      <c r="AD90" s="351"/>
      <c r="AE90" s="352"/>
      <c r="AF90" s="89" t="s">
        <v>103</v>
      </c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1"/>
      <c r="BC90" s="33"/>
    </row>
    <row r="91" spans="1:55">
      <c r="A91" s="33"/>
      <c r="B91" s="327"/>
      <c r="C91" s="328"/>
      <c r="D91" s="335"/>
      <c r="E91" s="336"/>
      <c r="F91" s="336"/>
      <c r="G91" s="336"/>
      <c r="H91" s="336"/>
      <c r="I91" s="336"/>
      <c r="J91" s="336"/>
      <c r="K91" s="336"/>
      <c r="L91" s="337"/>
      <c r="M91" s="344"/>
      <c r="N91" s="345"/>
      <c r="O91" s="345"/>
      <c r="P91" s="345"/>
      <c r="Q91" s="345"/>
      <c r="R91" s="345"/>
      <c r="S91" s="345"/>
      <c r="T91" s="345"/>
      <c r="U91" s="345"/>
      <c r="V91" s="346"/>
      <c r="W91" s="353"/>
      <c r="X91" s="354"/>
      <c r="Y91" s="354"/>
      <c r="Z91" s="354"/>
      <c r="AA91" s="354"/>
      <c r="AB91" s="354"/>
      <c r="AC91" s="354"/>
      <c r="AD91" s="354"/>
      <c r="AE91" s="355"/>
      <c r="AF91" s="54" t="s">
        <v>104</v>
      </c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6"/>
      <c r="BC91" s="33"/>
    </row>
    <row r="92" spans="1:55">
      <c r="A92" s="33"/>
      <c r="B92" s="366">
        <v>9</v>
      </c>
      <c r="C92" s="367"/>
      <c r="D92" s="368" t="s">
        <v>62</v>
      </c>
      <c r="E92" s="369"/>
      <c r="F92" s="369"/>
      <c r="G92" s="369"/>
      <c r="H92" s="369"/>
      <c r="I92" s="369"/>
      <c r="J92" s="369"/>
      <c r="K92" s="369"/>
      <c r="L92" s="370"/>
      <c r="M92" s="371" t="s">
        <v>99</v>
      </c>
      <c r="N92" s="372"/>
      <c r="O92" s="372"/>
      <c r="P92" s="372"/>
      <c r="Q92" s="372"/>
      <c r="R92" s="372"/>
      <c r="S92" s="372"/>
      <c r="T92" s="372"/>
      <c r="U92" s="372"/>
      <c r="V92" s="373"/>
      <c r="W92" s="374" t="s">
        <v>100</v>
      </c>
      <c r="X92" s="375"/>
      <c r="Y92" s="375"/>
      <c r="Z92" s="375"/>
      <c r="AA92" s="375"/>
      <c r="AB92" s="375"/>
      <c r="AC92" s="375"/>
      <c r="AD92" s="375"/>
      <c r="AE92" s="376"/>
      <c r="AF92" s="60" t="s">
        <v>127</v>
      </c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38"/>
    </row>
    <row r="93" spans="1:55">
      <c r="A93" s="33"/>
      <c r="B93" s="327"/>
      <c r="C93" s="328"/>
      <c r="D93" s="335"/>
      <c r="E93" s="336"/>
      <c r="F93" s="336"/>
      <c r="G93" s="336"/>
      <c r="H93" s="336"/>
      <c r="I93" s="336"/>
      <c r="J93" s="336"/>
      <c r="K93" s="336"/>
      <c r="L93" s="337"/>
      <c r="M93" s="344"/>
      <c r="N93" s="345"/>
      <c r="O93" s="345"/>
      <c r="P93" s="345"/>
      <c r="Q93" s="345"/>
      <c r="R93" s="345"/>
      <c r="S93" s="345"/>
      <c r="T93" s="345"/>
      <c r="U93" s="345"/>
      <c r="V93" s="346"/>
      <c r="W93" s="353"/>
      <c r="X93" s="354"/>
      <c r="Y93" s="354"/>
      <c r="Z93" s="354"/>
      <c r="AA93" s="354"/>
      <c r="AB93" s="354"/>
      <c r="AC93" s="354"/>
      <c r="AD93" s="354"/>
      <c r="AE93" s="355"/>
      <c r="AF93" s="54" t="s">
        <v>126</v>
      </c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38"/>
    </row>
    <row r="94" spans="1:55">
      <c r="A94" s="33"/>
      <c r="B94" s="387">
        <v>10</v>
      </c>
      <c r="C94" s="388"/>
      <c r="D94" s="391" t="s">
        <v>114</v>
      </c>
      <c r="E94" s="392"/>
      <c r="F94" s="392"/>
      <c r="G94" s="392"/>
      <c r="H94" s="392"/>
      <c r="I94" s="392"/>
      <c r="J94" s="392"/>
      <c r="K94" s="392"/>
      <c r="L94" s="393"/>
      <c r="M94" s="397" t="s">
        <v>99</v>
      </c>
      <c r="N94" s="398"/>
      <c r="O94" s="398"/>
      <c r="P94" s="398"/>
      <c r="Q94" s="398"/>
      <c r="R94" s="398"/>
      <c r="S94" s="398"/>
      <c r="T94" s="398"/>
      <c r="U94" s="398"/>
      <c r="V94" s="399"/>
      <c r="W94" s="403" t="s">
        <v>115</v>
      </c>
      <c r="X94" s="404"/>
      <c r="Y94" s="404"/>
      <c r="Z94" s="404"/>
      <c r="AA94" s="404"/>
      <c r="AB94" s="404"/>
      <c r="AC94" s="404"/>
      <c r="AD94" s="404"/>
      <c r="AE94" s="405"/>
      <c r="AF94" s="102" t="s">
        <v>124</v>
      </c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4"/>
    </row>
    <row r="95" spans="1:55">
      <c r="A95" s="33"/>
      <c r="B95" s="389"/>
      <c r="C95" s="390"/>
      <c r="D95" s="394"/>
      <c r="E95" s="395"/>
      <c r="F95" s="395"/>
      <c r="G95" s="395"/>
      <c r="H95" s="395"/>
      <c r="I95" s="395"/>
      <c r="J95" s="395"/>
      <c r="K95" s="395"/>
      <c r="L95" s="396"/>
      <c r="M95" s="400"/>
      <c r="N95" s="401"/>
      <c r="O95" s="401"/>
      <c r="P95" s="401"/>
      <c r="Q95" s="401"/>
      <c r="R95" s="401"/>
      <c r="S95" s="401"/>
      <c r="T95" s="401"/>
      <c r="U95" s="401"/>
      <c r="V95" s="402"/>
      <c r="W95" s="406"/>
      <c r="X95" s="407"/>
      <c r="Y95" s="407"/>
      <c r="Z95" s="407"/>
      <c r="AA95" s="407"/>
      <c r="AB95" s="407"/>
      <c r="AC95" s="407"/>
      <c r="AD95" s="407"/>
      <c r="AE95" s="408"/>
      <c r="AF95" s="99" t="s">
        <v>125</v>
      </c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38"/>
    </row>
    <row r="96" spans="1:55">
      <c r="A96" s="33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spans="1:55" s="80" customFormat="1" ht="13.5" customHeight="1">
      <c r="B97" s="298" t="s">
        <v>71</v>
      </c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  <c r="AH97" s="298"/>
      <c r="AI97" s="298"/>
      <c r="AJ97" s="298"/>
      <c r="AK97" s="298"/>
      <c r="AL97" s="298"/>
      <c r="AM97" s="298"/>
      <c r="AN97" s="298"/>
      <c r="AO97" s="298"/>
      <c r="AP97" s="298"/>
      <c r="AQ97" s="298"/>
      <c r="AR97" s="298"/>
      <c r="AS97" s="298"/>
      <c r="AT97" s="298"/>
      <c r="AU97" s="298"/>
      <c r="AV97" s="298"/>
      <c r="AW97" s="298"/>
      <c r="AX97" s="298"/>
      <c r="AY97" s="298"/>
      <c r="AZ97" s="298"/>
      <c r="BA97" s="298"/>
      <c r="BB97" s="298"/>
    </row>
    <row r="98" spans="1:55" s="80" customFormat="1" ht="13.5" customHeight="1"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  <c r="AH98" s="298"/>
      <c r="AI98" s="298"/>
      <c r="AJ98" s="298"/>
      <c r="AK98" s="298"/>
      <c r="AL98" s="298"/>
      <c r="AM98" s="298"/>
      <c r="AN98" s="298"/>
      <c r="AO98" s="298"/>
      <c r="AP98" s="298"/>
      <c r="AQ98" s="298"/>
      <c r="AR98" s="298"/>
      <c r="AS98" s="298"/>
      <c r="AT98" s="298"/>
      <c r="AU98" s="298"/>
      <c r="AV98" s="298"/>
      <c r="AW98" s="298"/>
      <c r="AX98" s="298"/>
      <c r="AY98" s="298"/>
      <c r="AZ98" s="298"/>
      <c r="BA98" s="298"/>
      <c r="BB98" s="298"/>
    </row>
    <row r="99" spans="1:55" s="80" customFormat="1" ht="13.5" customHeight="1">
      <c r="B99" s="81" t="s">
        <v>29</v>
      </c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</row>
    <row r="100" spans="1:55" s="83" customFormat="1">
      <c r="A100" s="82"/>
      <c r="B100" s="412" t="s">
        <v>17</v>
      </c>
      <c r="C100" s="412"/>
      <c r="D100" s="413" t="s">
        <v>28</v>
      </c>
      <c r="E100" s="413"/>
      <c r="F100" s="413"/>
      <c r="G100" s="413"/>
      <c r="H100" s="413"/>
      <c r="I100" s="413"/>
      <c r="J100" s="299" t="s">
        <v>27</v>
      </c>
      <c r="K100" s="300"/>
      <c r="L100" s="300"/>
      <c r="M100" s="300"/>
      <c r="N100" s="300"/>
      <c r="O100" s="301"/>
      <c r="P100" s="299" t="s">
        <v>32</v>
      </c>
      <c r="Q100" s="300"/>
      <c r="R100" s="300"/>
      <c r="S100" s="300"/>
      <c r="T100" s="300"/>
      <c r="U100" s="301"/>
      <c r="V100" s="299" t="s">
        <v>26</v>
      </c>
      <c r="W100" s="301"/>
      <c r="X100" s="299" t="s">
        <v>25</v>
      </c>
      <c r="Y100" s="300"/>
      <c r="Z100" s="301"/>
      <c r="AA100" s="299" t="s">
        <v>72</v>
      </c>
      <c r="AB100" s="300"/>
      <c r="AC100" s="301"/>
      <c r="AD100" s="299" t="s">
        <v>73</v>
      </c>
      <c r="AE100" s="300"/>
      <c r="AF100" s="301"/>
      <c r="AG100" s="409" t="s">
        <v>22</v>
      </c>
      <c r="AH100" s="410"/>
      <c r="AI100" s="410"/>
      <c r="AJ100" s="410"/>
      <c r="AK100" s="410"/>
      <c r="AL100" s="410"/>
      <c r="AM100" s="410"/>
      <c r="AN100" s="410"/>
      <c r="AO100" s="410"/>
      <c r="AP100" s="411"/>
      <c r="AQ100" s="299" t="s">
        <v>18</v>
      </c>
      <c r="AR100" s="300"/>
      <c r="AS100" s="300"/>
      <c r="AT100" s="300"/>
      <c r="AU100" s="300"/>
      <c r="AV100" s="300"/>
      <c r="AW100" s="300"/>
      <c r="AX100" s="300"/>
      <c r="AY100" s="300"/>
      <c r="AZ100" s="300"/>
      <c r="BA100" s="300"/>
      <c r="BB100" s="301"/>
      <c r="BC100" s="82"/>
    </row>
    <row r="101" spans="1:55" s="83" customFormat="1">
      <c r="A101" s="82"/>
      <c r="B101" s="251">
        <v>1</v>
      </c>
      <c r="C101" s="251"/>
      <c r="D101" s="252" t="s">
        <v>50</v>
      </c>
      <c r="E101" s="253"/>
      <c r="F101" s="253"/>
      <c r="G101" s="253"/>
      <c r="H101" s="253"/>
      <c r="I101" s="254"/>
      <c r="J101" s="252" t="s">
        <v>78</v>
      </c>
      <c r="K101" s="253"/>
      <c r="L101" s="253"/>
      <c r="M101" s="253"/>
      <c r="N101" s="253"/>
      <c r="O101" s="254"/>
      <c r="P101" s="252" t="s">
        <v>46</v>
      </c>
      <c r="Q101" s="253"/>
      <c r="R101" s="253"/>
      <c r="S101" s="253"/>
      <c r="T101" s="253"/>
      <c r="U101" s="254"/>
      <c r="V101" s="255" t="s">
        <v>37</v>
      </c>
      <c r="W101" s="256"/>
      <c r="X101" s="255" t="s">
        <v>76</v>
      </c>
      <c r="Y101" s="257"/>
      <c r="Z101" s="256"/>
      <c r="AA101" s="255" t="s">
        <v>76</v>
      </c>
      <c r="AB101" s="257"/>
      <c r="AC101" s="256"/>
      <c r="AD101" s="255" t="s">
        <v>76</v>
      </c>
      <c r="AE101" s="257"/>
      <c r="AF101" s="256"/>
      <c r="AG101" s="252"/>
      <c r="AH101" s="253"/>
      <c r="AI101" s="253"/>
      <c r="AJ101" s="253"/>
      <c r="AK101" s="253"/>
      <c r="AL101" s="253"/>
      <c r="AM101" s="253"/>
      <c r="AN101" s="253"/>
      <c r="AO101" s="253"/>
      <c r="AP101" s="254"/>
      <c r="AQ101" s="248"/>
      <c r="AR101" s="249"/>
      <c r="AS101" s="249"/>
      <c r="AT101" s="249"/>
      <c r="AU101" s="249"/>
      <c r="AV101" s="249"/>
      <c r="AW101" s="249"/>
      <c r="AX101" s="249"/>
      <c r="AY101" s="249"/>
      <c r="AZ101" s="249"/>
      <c r="BA101" s="249"/>
      <c r="BB101" s="250"/>
      <c r="BC101" s="82"/>
    </row>
    <row r="102" spans="1:55" s="83" customFormat="1">
      <c r="A102" s="82"/>
      <c r="B102" s="251">
        <v>2</v>
      </c>
      <c r="C102" s="251"/>
      <c r="D102" s="252" t="s">
        <v>52</v>
      </c>
      <c r="E102" s="253"/>
      <c r="F102" s="253"/>
      <c r="G102" s="253"/>
      <c r="H102" s="253"/>
      <c r="I102" s="254"/>
      <c r="J102" s="252" t="s">
        <v>79</v>
      </c>
      <c r="K102" s="253"/>
      <c r="L102" s="253"/>
      <c r="M102" s="253"/>
      <c r="N102" s="253"/>
      <c r="O102" s="254"/>
      <c r="P102" s="252" t="s">
        <v>46</v>
      </c>
      <c r="Q102" s="253"/>
      <c r="R102" s="253"/>
      <c r="S102" s="253"/>
      <c r="T102" s="253"/>
      <c r="U102" s="254"/>
      <c r="V102" s="255" t="s">
        <v>37</v>
      </c>
      <c r="W102" s="256"/>
      <c r="X102" s="255" t="s">
        <v>76</v>
      </c>
      <c r="Y102" s="257"/>
      <c r="Z102" s="256"/>
      <c r="AA102" s="255" t="s">
        <v>76</v>
      </c>
      <c r="AB102" s="257"/>
      <c r="AC102" s="256"/>
      <c r="AD102" s="255" t="s">
        <v>76</v>
      </c>
      <c r="AE102" s="257"/>
      <c r="AF102" s="256"/>
      <c r="AG102" s="252"/>
      <c r="AH102" s="253"/>
      <c r="AI102" s="253"/>
      <c r="AJ102" s="253"/>
      <c r="AK102" s="253"/>
      <c r="AL102" s="253"/>
      <c r="AM102" s="253"/>
      <c r="AN102" s="253"/>
      <c r="AO102" s="253"/>
      <c r="AP102" s="254"/>
      <c r="AQ102" s="248"/>
      <c r="AR102" s="249"/>
      <c r="AS102" s="249"/>
      <c r="AT102" s="249"/>
      <c r="AU102" s="249"/>
      <c r="AV102" s="249"/>
      <c r="AW102" s="249"/>
      <c r="AX102" s="249"/>
      <c r="AY102" s="249"/>
      <c r="AZ102" s="249"/>
      <c r="BA102" s="249"/>
      <c r="BB102" s="250"/>
      <c r="BC102" s="82"/>
    </row>
    <row r="103" spans="1:55" s="83" customFormat="1">
      <c r="A103" s="82"/>
      <c r="B103" s="251">
        <v>3</v>
      </c>
      <c r="C103" s="251"/>
      <c r="D103" s="252" t="s">
        <v>74</v>
      </c>
      <c r="E103" s="253"/>
      <c r="F103" s="253"/>
      <c r="G103" s="253"/>
      <c r="H103" s="253"/>
      <c r="I103" s="254"/>
      <c r="J103" s="252" t="s">
        <v>31</v>
      </c>
      <c r="K103" s="253"/>
      <c r="L103" s="253"/>
      <c r="M103" s="253"/>
      <c r="N103" s="253"/>
      <c r="O103" s="254"/>
      <c r="P103" s="252" t="s">
        <v>75</v>
      </c>
      <c r="Q103" s="253"/>
      <c r="R103" s="253"/>
      <c r="S103" s="253"/>
      <c r="T103" s="253"/>
      <c r="U103" s="254"/>
      <c r="V103" s="255" t="s">
        <v>31</v>
      </c>
      <c r="W103" s="256"/>
      <c r="X103" s="255" t="s">
        <v>76</v>
      </c>
      <c r="Y103" s="257"/>
      <c r="Z103" s="256"/>
      <c r="AA103" s="255" t="s">
        <v>76</v>
      </c>
      <c r="AB103" s="257"/>
      <c r="AC103" s="256"/>
      <c r="AD103" s="255" t="s">
        <v>76</v>
      </c>
      <c r="AE103" s="257"/>
      <c r="AF103" s="256"/>
      <c r="AG103" s="252" t="s">
        <v>77</v>
      </c>
      <c r="AH103" s="253"/>
      <c r="AI103" s="253"/>
      <c r="AJ103" s="253"/>
      <c r="AK103" s="253"/>
      <c r="AL103" s="253"/>
      <c r="AM103" s="253"/>
      <c r="AN103" s="253"/>
      <c r="AO103" s="253"/>
      <c r="AP103" s="254"/>
      <c r="AQ103" s="248"/>
      <c r="AR103" s="249"/>
      <c r="AS103" s="249"/>
      <c r="AT103" s="249"/>
      <c r="AU103" s="249"/>
      <c r="AV103" s="249"/>
      <c r="AW103" s="249"/>
      <c r="AX103" s="249"/>
      <c r="AY103" s="249"/>
      <c r="AZ103" s="249"/>
      <c r="BA103" s="249"/>
      <c r="BB103" s="250"/>
      <c r="BC103" s="82"/>
    </row>
    <row r="104" spans="1:55" s="83" customFormat="1">
      <c r="A104" s="82"/>
      <c r="B104" s="71"/>
      <c r="C104" s="71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3"/>
      <c r="AR104" s="73"/>
      <c r="AS104" s="73"/>
      <c r="AT104" s="73"/>
      <c r="AU104" s="73"/>
      <c r="AV104" s="73"/>
      <c r="AW104" s="73"/>
      <c r="AX104" s="74"/>
      <c r="AY104" s="74"/>
      <c r="AZ104" s="74"/>
      <c r="BA104" s="74"/>
      <c r="BB104" s="74"/>
      <c r="BC104" s="82"/>
    </row>
    <row r="105" spans="1:55">
      <c r="B105" s="45"/>
      <c r="C105" s="45"/>
      <c r="D105" s="96"/>
      <c r="E105" s="96"/>
      <c r="F105" s="96"/>
      <c r="G105" s="96"/>
      <c r="H105" s="96"/>
      <c r="I105" s="96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96"/>
    </row>
    <row r="106" spans="1:55" ht="13.5" customHeight="1">
      <c r="B106" s="100" t="s">
        <v>116</v>
      </c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</row>
    <row r="107" spans="1:55" ht="13.5" customHeight="1"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</row>
    <row r="108" spans="1:55">
      <c r="B108" s="29" t="s">
        <v>29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</row>
    <row r="109" spans="1:55">
      <c r="B109" s="284" t="s">
        <v>40</v>
      </c>
      <c r="C109" s="285"/>
      <c r="D109" s="263" t="s">
        <v>28</v>
      </c>
      <c r="E109" s="264"/>
      <c r="F109" s="264"/>
      <c r="G109" s="264"/>
      <c r="H109" s="264"/>
      <c r="I109" s="265"/>
      <c r="J109" s="381" t="s">
        <v>43</v>
      </c>
      <c r="K109" s="382"/>
      <c r="L109" s="382"/>
      <c r="M109" s="382"/>
      <c r="N109" s="382"/>
      <c r="O109" s="382"/>
      <c r="P109" s="382"/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  <c r="AA109" s="382"/>
      <c r="AB109" s="382"/>
      <c r="AC109" s="382"/>
      <c r="AD109" s="382"/>
      <c r="AE109" s="382"/>
      <c r="AF109" s="382"/>
      <c r="AG109" s="382"/>
      <c r="AH109" s="382"/>
      <c r="AI109" s="383"/>
      <c r="AJ109" s="266" t="s">
        <v>18</v>
      </c>
      <c r="AK109" s="267"/>
      <c r="AL109" s="267"/>
      <c r="AM109" s="267"/>
      <c r="AN109" s="267"/>
      <c r="AO109" s="267"/>
      <c r="AP109" s="267"/>
      <c r="AQ109" s="267"/>
      <c r="AR109" s="267"/>
      <c r="AS109" s="267"/>
      <c r="AT109" s="267"/>
      <c r="AU109" s="267"/>
      <c r="AV109" s="267"/>
      <c r="AW109" s="267"/>
      <c r="AX109" s="267"/>
      <c r="AY109" s="267"/>
      <c r="AZ109" s="267"/>
      <c r="BA109" s="267"/>
      <c r="BB109" s="268"/>
    </row>
    <row r="110" spans="1:55">
      <c r="B110" s="377">
        <v>1</v>
      </c>
      <c r="C110" s="378"/>
      <c r="D110" s="380"/>
      <c r="E110" s="380"/>
      <c r="F110" s="380"/>
      <c r="G110" s="380"/>
      <c r="H110" s="380"/>
      <c r="I110" s="380"/>
      <c r="J110" s="384" t="s">
        <v>136</v>
      </c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  <c r="AC110" s="385"/>
      <c r="AD110" s="385"/>
      <c r="AE110" s="385"/>
      <c r="AF110" s="385"/>
      <c r="AG110" s="385"/>
      <c r="AH110" s="385"/>
      <c r="AI110" s="386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94"/>
    </row>
    <row r="112" spans="1:55" s="83" customFormat="1">
      <c r="A112" s="82"/>
      <c r="B112" s="45"/>
      <c r="C112" s="45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75"/>
      <c r="AR112" s="75"/>
      <c r="AS112" s="75"/>
      <c r="AT112" s="75"/>
      <c r="AU112" s="75"/>
      <c r="AV112" s="75"/>
      <c r="AW112" s="75"/>
      <c r="AX112" s="74"/>
      <c r="AY112" s="74"/>
      <c r="AZ112" s="74"/>
      <c r="BA112" s="74"/>
      <c r="BB112" s="74"/>
      <c r="BC112" s="82"/>
    </row>
    <row r="113" spans="1:55">
      <c r="A113" s="33"/>
      <c r="B113" s="297" t="s">
        <v>63</v>
      </c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  <c r="AP113" s="297"/>
      <c r="AQ113" s="297"/>
      <c r="AR113" s="297"/>
      <c r="AS113" s="297"/>
      <c r="AT113" s="297"/>
      <c r="AU113" s="297"/>
      <c r="AV113" s="297"/>
      <c r="AW113" s="297"/>
      <c r="AX113" s="297"/>
      <c r="AY113" s="297"/>
      <c r="AZ113" s="297"/>
      <c r="BA113" s="297"/>
      <c r="BB113" s="297"/>
      <c r="BC113" s="33"/>
    </row>
    <row r="114" spans="1:55">
      <c r="A114" s="33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297"/>
      <c r="BB114" s="297"/>
      <c r="BC114" s="33"/>
    </row>
    <row r="115" spans="1:55">
      <c r="A115" s="33"/>
      <c r="B115" s="29" t="s">
        <v>29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spans="1:55">
      <c r="A116" s="33"/>
      <c r="B116" s="284" t="s">
        <v>17</v>
      </c>
      <c r="C116" s="285"/>
      <c r="D116" s="263" t="s">
        <v>28</v>
      </c>
      <c r="E116" s="264"/>
      <c r="F116" s="264"/>
      <c r="G116" s="264"/>
      <c r="H116" s="264"/>
      <c r="I116" s="265"/>
      <c r="J116" s="263" t="s">
        <v>27</v>
      </c>
      <c r="K116" s="264"/>
      <c r="L116" s="264"/>
      <c r="M116" s="264"/>
      <c r="N116" s="264"/>
      <c r="O116" s="265"/>
      <c r="P116" s="263" t="s">
        <v>32</v>
      </c>
      <c r="Q116" s="264"/>
      <c r="R116" s="264"/>
      <c r="S116" s="264"/>
      <c r="T116" s="264"/>
      <c r="U116" s="265"/>
      <c r="V116" s="263" t="s">
        <v>26</v>
      </c>
      <c r="W116" s="265"/>
      <c r="X116" s="263" t="s">
        <v>25</v>
      </c>
      <c r="Y116" s="264"/>
      <c r="Z116" s="265"/>
      <c r="AA116" s="263" t="s">
        <v>24</v>
      </c>
      <c r="AB116" s="264"/>
      <c r="AC116" s="265"/>
      <c r="AD116" s="263" t="s">
        <v>23</v>
      </c>
      <c r="AE116" s="264"/>
      <c r="AF116" s="265"/>
      <c r="AG116" s="263" t="s">
        <v>33</v>
      </c>
      <c r="AH116" s="265"/>
      <c r="AI116" s="263" t="s">
        <v>22</v>
      </c>
      <c r="AJ116" s="264"/>
      <c r="AK116" s="264"/>
      <c r="AL116" s="264"/>
      <c r="AM116" s="264"/>
      <c r="AN116" s="264"/>
      <c r="AO116" s="264"/>
      <c r="AP116" s="265"/>
      <c r="AQ116" s="275" t="s">
        <v>18</v>
      </c>
      <c r="AR116" s="276"/>
      <c r="AS116" s="276"/>
      <c r="AT116" s="276"/>
      <c r="AU116" s="276"/>
      <c r="AV116" s="276"/>
      <c r="AW116" s="276"/>
      <c r="AX116" s="276"/>
      <c r="AY116" s="276"/>
      <c r="AZ116" s="276"/>
      <c r="BA116" s="276"/>
      <c r="BB116" s="277"/>
      <c r="BC116" s="33"/>
    </row>
    <row r="117" spans="1:55">
      <c r="A117" s="33"/>
      <c r="B117" s="273">
        <v>1</v>
      </c>
      <c r="C117" s="274"/>
      <c r="D117" s="258" t="s">
        <v>80</v>
      </c>
      <c r="E117" s="259"/>
      <c r="F117" s="259"/>
      <c r="G117" s="259"/>
      <c r="H117" s="259"/>
      <c r="I117" s="260"/>
      <c r="J117" s="258" t="s">
        <v>82</v>
      </c>
      <c r="K117" s="259"/>
      <c r="L117" s="259"/>
      <c r="M117" s="259"/>
      <c r="N117" s="259"/>
      <c r="O117" s="260"/>
      <c r="P117" s="258" t="s">
        <v>36</v>
      </c>
      <c r="Q117" s="259"/>
      <c r="R117" s="259"/>
      <c r="S117" s="259"/>
      <c r="T117" s="259"/>
      <c r="U117" s="260"/>
      <c r="V117" s="261" t="s">
        <v>37</v>
      </c>
      <c r="W117" s="262"/>
      <c r="X117" s="261" t="s">
        <v>31</v>
      </c>
      <c r="Y117" s="269"/>
      <c r="Z117" s="262"/>
      <c r="AA117" s="261" t="s">
        <v>31</v>
      </c>
      <c r="AB117" s="269"/>
      <c r="AC117" s="262"/>
      <c r="AD117" s="261" t="s">
        <v>31</v>
      </c>
      <c r="AE117" s="269"/>
      <c r="AF117" s="262"/>
      <c r="AG117" s="261" t="s">
        <v>31</v>
      </c>
      <c r="AH117" s="262"/>
      <c r="AI117" s="270" t="s">
        <v>38</v>
      </c>
      <c r="AJ117" s="271"/>
      <c r="AK117" s="271"/>
      <c r="AL117" s="271"/>
      <c r="AM117" s="271"/>
      <c r="AN117" s="271"/>
      <c r="AO117" s="271"/>
      <c r="AP117" s="272"/>
      <c r="AQ117" s="62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4"/>
      <c r="BC117" s="33"/>
    </row>
    <row r="118" spans="1:55">
      <c r="A118" s="33"/>
      <c r="B118" s="261">
        <v>2</v>
      </c>
      <c r="C118" s="262"/>
      <c r="D118" s="258" t="s">
        <v>45</v>
      </c>
      <c r="E118" s="259"/>
      <c r="F118" s="259"/>
      <c r="G118" s="259"/>
      <c r="H118" s="259"/>
      <c r="I118" s="260"/>
      <c r="J118" s="258" t="s">
        <v>107</v>
      </c>
      <c r="K118" s="259"/>
      <c r="L118" s="259"/>
      <c r="M118" s="259"/>
      <c r="N118" s="259"/>
      <c r="O118" s="260"/>
      <c r="P118" s="258" t="s">
        <v>36</v>
      </c>
      <c r="Q118" s="259"/>
      <c r="R118" s="259"/>
      <c r="S118" s="259"/>
      <c r="T118" s="259"/>
      <c r="U118" s="260"/>
      <c r="V118" s="261" t="s">
        <v>37</v>
      </c>
      <c r="W118" s="262"/>
      <c r="X118" s="261" t="s">
        <v>31</v>
      </c>
      <c r="Y118" s="269"/>
      <c r="Z118" s="262"/>
      <c r="AA118" s="261" t="s">
        <v>31</v>
      </c>
      <c r="AB118" s="269"/>
      <c r="AC118" s="262"/>
      <c r="AD118" s="261" t="s">
        <v>31</v>
      </c>
      <c r="AE118" s="269"/>
      <c r="AF118" s="262"/>
      <c r="AG118" s="261" t="s">
        <v>31</v>
      </c>
      <c r="AH118" s="262"/>
      <c r="AI118" s="270" t="s">
        <v>38</v>
      </c>
      <c r="AJ118" s="271"/>
      <c r="AK118" s="271"/>
      <c r="AL118" s="271"/>
      <c r="AM118" s="271"/>
      <c r="AN118" s="271"/>
      <c r="AO118" s="271"/>
      <c r="AP118" s="272"/>
      <c r="AQ118" s="62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4"/>
      <c r="BC118" s="33"/>
    </row>
    <row r="119" spans="1:55">
      <c r="A119" s="33"/>
      <c r="B119" s="261">
        <v>3</v>
      </c>
      <c r="C119" s="262"/>
      <c r="D119" s="258" t="s">
        <v>105</v>
      </c>
      <c r="E119" s="259"/>
      <c r="F119" s="259"/>
      <c r="G119" s="259"/>
      <c r="H119" s="259"/>
      <c r="I119" s="260"/>
      <c r="J119" s="258" t="s">
        <v>106</v>
      </c>
      <c r="K119" s="259"/>
      <c r="L119" s="259"/>
      <c r="M119" s="259"/>
      <c r="N119" s="259"/>
      <c r="O119" s="260"/>
      <c r="P119" s="258" t="s">
        <v>36</v>
      </c>
      <c r="Q119" s="259"/>
      <c r="R119" s="259"/>
      <c r="S119" s="259"/>
      <c r="T119" s="259"/>
      <c r="U119" s="260"/>
      <c r="V119" s="261" t="s">
        <v>37</v>
      </c>
      <c r="W119" s="262"/>
      <c r="X119" s="261" t="s">
        <v>31</v>
      </c>
      <c r="Y119" s="269"/>
      <c r="Z119" s="262"/>
      <c r="AA119" s="261" t="s">
        <v>31</v>
      </c>
      <c r="AB119" s="269"/>
      <c r="AC119" s="262"/>
      <c r="AD119" s="261" t="s">
        <v>31</v>
      </c>
      <c r="AE119" s="269"/>
      <c r="AF119" s="262"/>
      <c r="AG119" s="261" t="s">
        <v>31</v>
      </c>
      <c r="AH119" s="262"/>
      <c r="AI119" s="270" t="s">
        <v>38</v>
      </c>
      <c r="AJ119" s="271"/>
      <c r="AK119" s="271"/>
      <c r="AL119" s="271"/>
      <c r="AM119" s="271"/>
      <c r="AN119" s="271"/>
      <c r="AO119" s="271"/>
      <c r="AP119" s="272"/>
      <c r="AQ119" s="62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4"/>
      <c r="BC119" s="33"/>
    </row>
    <row r="120" spans="1:55">
      <c r="A120" s="33"/>
      <c r="B120" s="261">
        <v>4</v>
      </c>
      <c r="C120" s="262"/>
      <c r="D120" s="258" t="s">
        <v>87</v>
      </c>
      <c r="E120" s="259"/>
      <c r="F120" s="259"/>
      <c r="G120" s="259"/>
      <c r="H120" s="259"/>
      <c r="I120" s="260"/>
      <c r="J120" s="258" t="s">
        <v>88</v>
      </c>
      <c r="K120" s="259"/>
      <c r="L120" s="259"/>
      <c r="M120" s="259"/>
      <c r="N120" s="259"/>
      <c r="O120" s="260"/>
      <c r="P120" s="258" t="s">
        <v>36</v>
      </c>
      <c r="Q120" s="259"/>
      <c r="R120" s="259"/>
      <c r="S120" s="259"/>
      <c r="T120" s="259"/>
      <c r="U120" s="260"/>
      <c r="V120" s="261" t="s">
        <v>37</v>
      </c>
      <c r="W120" s="262"/>
      <c r="X120" s="261" t="s">
        <v>31</v>
      </c>
      <c r="Y120" s="269"/>
      <c r="Z120" s="262"/>
      <c r="AA120" s="261" t="s">
        <v>31</v>
      </c>
      <c r="AB120" s="269"/>
      <c r="AC120" s="262"/>
      <c r="AD120" s="261" t="s">
        <v>31</v>
      </c>
      <c r="AE120" s="269"/>
      <c r="AF120" s="262"/>
      <c r="AG120" s="261" t="s">
        <v>31</v>
      </c>
      <c r="AH120" s="262"/>
      <c r="AI120" s="270" t="s">
        <v>38</v>
      </c>
      <c r="AJ120" s="271"/>
      <c r="AK120" s="271"/>
      <c r="AL120" s="271"/>
      <c r="AM120" s="271"/>
      <c r="AN120" s="271"/>
      <c r="AO120" s="271"/>
      <c r="AP120" s="272"/>
      <c r="AQ120" s="62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33"/>
    </row>
    <row r="121" spans="1:55">
      <c r="A121" s="33"/>
      <c r="B121" s="261">
        <v>5</v>
      </c>
      <c r="C121" s="262"/>
      <c r="D121" s="281" t="s">
        <v>66</v>
      </c>
      <c r="E121" s="282"/>
      <c r="F121" s="282"/>
      <c r="G121" s="282"/>
      <c r="H121" s="282"/>
      <c r="I121" s="283"/>
      <c r="J121" s="281" t="s">
        <v>31</v>
      </c>
      <c r="K121" s="282"/>
      <c r="L121" s="282"/>
      <c r="M121" s="282"/>
      <c r="N121" s="282"/>
      <c r="O121" s="283"/>
      <c r="P121" s="281" t="s">
        <v>47</v>
      </c>
      <c r="Q121" s="282"/>
      <c r="R121" s="282"/>
      <c r="S121" s="282"/>
      <c r="T121" s="282"/>
      <c r="U121" s="283"/>
      <c r="V121" s="273" t="s">
        <v>31</v>
      </c>
      <c r="W121" s="274"/>
      <c r="X121" s="273" t="s">
        <v>31</v>
      </c>
      <c r="Y121" s="286"/>
      <c r="Z121" s="274"/>
      <c r="AA121" s="273" t="s">
        <v>31</v>
      </c>
      <c r="AB121" s="286"/>
      <c r="AC121" s="274"/>
      <c r="AD121" s="273" t="s">
        <v>31</v>
      </c>
      <c r="AE121" s="286"/>
      <c r="AF121" s="274"/>
      <c r="AG121" s="273" t="s">
        <v>31</v>
      </c>
      <c r="AH121" s="274"/>
      <c r="AI121" s="278" t="s">
        <v>120</v>
      </c>
      <c r="AJ121" s="279"/>
      <c r="AK121" s="279"/>
      <c r="AL121" s="279"/>
      <c r="AM121" s="279"/>
      <c r="AN121" s="279"/>
      <c r="AO121" s="279"/>
      <c r="AP121" s="280"/>
      <c r="AQ121" s="47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9"/>
      <c r="BC121" s="33"/>
    </row>
    <row r="122" spans="1:5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spans="1:5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spans="1:55">
      <c r="B124" s="29" t="s">
        <v>39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</row>
    <row r="125" spans="1:55">
      <c r="B125" s="284" t="s">
        <v>40</v>
      </c>
      <c r="C125" s="285"/>
      <c r="D125" s="263" t="s">
        <v>28</v>
      </c>
      <c r="E125" s="264"/>
      <c r="F125" s="264"/>
      <c r="G125" s="264"/>
      <c r="H125" s="264"/>
      <c r="I125" s="265"/>
      <c r="J125" s="266" t="s">
        <v>42</v>
      </c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8"/>
      <c r="W125" s="266" t="s">
        <v>43</v>
      </c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8"/>
      <c r="AJ125" s="266" t="s">
        <v>44</v>
      </c>
      <c r="AK125" s="267"/>
      <c r="AL125" s="267"/>
      <c r="AM125" s="267"/>
      <c r="AN125" s="267"/>
      <c r="AO125" s="267"/>
      <c r="AP125" s="267"/>
      <c r="AQ125" s="267"/>
      <c r="AR125" s="267"/>
      <c r="AS125" s="267"/>
      <c r="AT125" s="267"/>
      <c r="AU125" s="267"/>
      <c r="AV125" s="267"/>
      <c r="AW125" s="267"/>
      <c r="AX125" s="267"/>
      <c r="AY125" s="267"/>
      <c r="AZ125" s="267"/>
      <c r="BA125" s="267"/>
      <c r="BB125" s="268"/>
    </row>
    <row r="126" spans="1:55">
      <c r="B126" s="377">
        <v>1</v>
      </c>
      <c r="C126" s="378"/>
      <c r="D126" s="379" t="s">
        <v>83</v>
      </c>
      <c r="E126" s="379"/>
      <c r="F126" s="379"/>
      <c r="G126" s="379"/>
      <c r="H126" s="379"/>
      <c r="I126" s="379"/>
      <c r="J126" s="30" t="s">
        <v>84</v>
      </c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2"/>
      <c r="W126" s="65" t="s">
        <v>85</v>
      </c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7"/>
      <c r="AJ126" s="27" t="s">
        <v>86</v>
      </c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69"/>
    </row>
    <row r="127" spans="1:55">
      <c r="B127" s="39"/>
      <c r="C127" s="39"/>
      <c r="D127" s="52"/>
      <c r="E127" s="52"/>
      <c r="F127" s="52"/>
      <c r="G127" s="52"/>
      <c r="H127" s="52"/>
      <c r="I127" s="52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52"/>
    </row>
    <row r="128" spans="1:55">
      <c r="B128" s="39"/>
      <c r="C128" s="39"/>
      <c r="D128" s="52"/>
      <c r="E128" s="52"/>
      <c r="F128" s="52"/>
      <c r="G128" s="52"/>
      <c r="H128" s="52"/>
      <c r="I128" s="5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52"/>
    </row>
    <row r="129" spans="1:55" ht="13.5" customHeight="1">
      <c r="A129" s="33"/>
      <c r="B129" s="51" t="s">
        <v>64</v>
      </c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33"/>
    </row>
    <row r="130" spans="1:55" ht="13.5" customHeight="1">
      <c r="A130" s="33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33"/>
    </row>
    <row r="131" spans="1:55">
      <c r="A131" s="33"/>
      <c r="B131" s="29" t="s">
        <v>29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spans="1:55">
      <c r="A132" s="33"/>
      <c r="B132" s="284" t="s">
        <v>17</v>
      </c>
      <c r="C132" s="285"/>
      <c r="D132" s="263" t="s">
        <v>28</v>
      </c>
      <c r="E132" s="264"/>
      <c r="F132" s="264"/>
      <c r="G132" s="264"/>
      <c r="H132" s="264"/>
      <c r="I132" s="265"/>
      <c r="J132" s="263" t="s">
        <v>27</v>
      </c>
      <c r="K132" s="264"/>
      <c r="L132" s="264"/>
      <c r="M132" s="264"/>
      <c r="N132" s="264"/>
      <c r="O132" s="265"/>
      <c r="P132" s="263" t="s">
        <v>32</v>
      </c>
      <c r="Q132" s="264"/>
      <c r="R132" s="264"/>
      <c r="S132" s="264"/>
      <c r="T132" s="264"/>
      <c r="U132" s="265"/>
      <c r="V132" s="263" t="s">
        <v>26</v>
      </c>
      <c r="W132" s="265"/>
      <c r="X132" s="263" t="s">
        <v>25</v>
      </c>
      <c r="Y132" s="264"/>
      <c r="Z132" s="265"/>
      <c r="AA132" s="263" t="s">
        <v>24</v>
      </c>
      <c r="AB132" s="264"/>
      <c r="AC132" s="265"/>
      <c r="AD132" s="263" t="s">
        <v>23</v>
      </c>
      <c r="AE132" s="264"/>
      <c r="AF132" s="265"/>
      <c r="AG132" s="263" t="s">
        <v>33</v>
      </c>
      <c r="AH132" s="265"/>
      <c r="AI132" s="263" t="s">
        <v>22</v>
      </c>
      <c r="AJ132" s="264"/>
      <c r="AK132" s="264"/>
      <c r="AL132" s="264"/>
      <c r="AM132" s="264"/>
      <c r="AN132" s="264"/>
      <c r="AO132" s="264"/>
      <c r="AP132" s="265"/>
      <c r="AQ132" s="275" t="s">
        <v>18</v>
      </c>
      <c r="AR132" s="276"/>
      <c r="AS132" s="276"/>
      <c r="AT132" s="276"/>
      <c r="AU132" s="276"/>
      <c r="AV132" s="276"/>
      <c r="AW132" s="276"/>
      <c r="AX132" s="276"/>
      <c r="AY132" s="276"/>
      <c r="AZ132" s="276"/>
      <c r="BA132" s="276"/>
      <c r="BB132" s="277"/>
      <c r="BC132" s="33"/>
    </row>
    <row r="133" spans="1:55">
      <c r="A133" s="33"/>
      <c r="B133" s="273">
        <v>1</v>
      </c>
      <c r="C133" s="274"/>
      <c r="D133" s="258" t="s">
        <v>80</v>
      </c>
      <c r="E133" s="259"/>
      <c r="F133" s="259"/>
      <c r="G133" s="259"/>
      <c r="H133" s="259"/>
      <c r="I133" s="260"/>
      <c r="J133" s="258" t="s">
        <v>82</v>
      </c>
      <c r="K133" s="259"/>
      <c r="L133" s="259"/>
      <c r="M133" s="259"/>
      <c r="N133" s="259"/>
      <c r="O133" s="260"/>
      <c r="P133" s="258" t="s">
        <v>36</v>
      </c>
      <c r="Q133" s="259"/>
      <c r="R133" s="259"/>
      <c r="S133" s="259"/>
      <c r="T133" s="259"/>
      <c r="U133" s="260"/>
      <c r="V133" s="261" t="s">
        <v>37</v>
      </c>
      <c r="W133" s="262"/>
      <c r="X133" s="261" t="s">
        <v>31</v>
      </c>
      <c r="Y133" s="269"/>
      <c r="Z133" s="262"/>
      <c r="AA133" s="261" t="s">
        <v>31</v>
      </c>
      <c r="AB133" s="269"/>
      <c r="AC133" s="262"/>
      <c r="AD133" s="261" t="s">
        <v>31</v>
      </c>
      <c r="AE133" s="269"/>
      <c r="AF133" s="262"/>
      <c r="AG133" s="261" t="s">
        <v>31</v>
      </c>
      <c r="AH133" s="262"/>
      <c r="AI133" s="270" t="s">
        <v>38</v>
      </c>
      <c r="AJ133" s="271"/>
      <c r="AK133" s="271"/>
      <c r="AL133" s="271"/>
      <c r="AM133" s="271"/>
      <c r="AN133" s="271"/>
      <c r="AO133" s="271"/>
      <c r="AP133" s="272"/>
      <c r="AQ133" s="62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4"/>
      <c r="BC133" s="33"/>
    </row>
    <row r="134" spans="1:55">
      <c r="A134" s="33"/>
      <c r="B134" s="261">
        <v>2</v>
      </c>
      <c r="C134" s="262"/>
      <c r="D134" s="258" t="s">
        <v>45</v>
      </c>
      <c r="E134" s="259"/>
      <c r="F134" s="259"/>
      <c r="G134" s="259"/>
      <c r="H134" s="259"/>
      <c r="I134" s="260"/>
      <c r="J134" s="258" t="s">
        <v>81</v>
      </c>
      <c r="K134" s="259"/>
      <c r="L134" s="259"/>
      <c r="M134" s="259"/>
      <c r="N134" s="259"/>
      <c r="O134" s="260"/>
      <c r="P134" s="258" t="s">
        <v>36</v>
      </c>
      <c r="Q134" s="259"/>
      <c r="R134" s="259"/>
      <c r="S134" s="259"/>
      <c r="T134" s="259"/>
      <c r="U134" s="260"/>
      <c r="V134" s="261" t="s">
        <v>37</v>
      </c>
      <c r="W134" s="262"/>
      <c r="X134" s="261" t="s">
        <v>31</v>
      </c>
      <c r="Y134" s="269"/>
      <c r="Z134" s="262"/>
      <c r="AA134" s="261" t="s">
        <v>31</v>
      </c>
      <c r="AB134" s="269"/>
      <c r="AC134" s="262"/>
      <c r="AD134" s="261" t="s">
        <v>31</v>
      </c>
      <c r="AE134" s="269"/>
      <c r="AF134" s="262"/>
      <c r="AG134" s="261" t="s">
        <v>31</v>
      </c>
      <c r="AH134" s="262"/>
      <c r="AI134" s="270" t="s">
        <v>38</v>
      </c>
      <c r="AJ134" s="271"/>
      <c r="AK134" s="271"/>
      <c r="AL134" s="271"/>
      <c r="AM134" s="271"/>
      <c r="AN134" s="271"/>
      <c r="AO134" s="271"/>
      <c r="AP134" s="272"/>
      <c r="AQ134" s="62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4"/>
      <c r="BC134" s="33"/>
    </row>
    <row r="135" spans="1:55">
      <c r="A135" s="33"/>
      <c r="B135" s="261">
        <v>3</v>
      </c>
      <c r="C135" s="262"/>
      <c r="D135" s="258" t="s">
        <v>89</v>
      </c>
      <c r="E135" s="259"/>
      <c r="F135" s="259"/>
      <c r="G135" s="259"/>
      <c r="H135" s="259"/>
      <c r="I135" s="260"/>
      <c r="J135" s="258" t="s">
        <v>90</v>
      </c>
      <c r="K135" s="259"/>
      <c r="L135" s="259"/>
      <c r="M135" s="259"/>
      <c r="N135" s="259"/>
      <c r="O135" s="260"/>
      <c r="P135" s="258" t="s">
        <v>36</v>
      </c>
      <c r="Q135" s="259"/>
      <c r="R135" s="259"/>
      <c r="S135" s="259"/>
      <c r="T135" s="259"/>
      <c r="U135" s="260"/>
      <c r="V135" s="261" t="s">
        <v>37</v>
      </c>
      <c r="W135" s="262"/>
      <c r="X135" s="261" t="s">
        <v>31</v>
      </c>
      <c r="Y135" s="269"/>
      <c r="Z135" s="262"/>
      <c r="AA135" s="261" t="s">
        <v>31</v>
      </c>
      <c r="AB135" s="269"/>
      <c r="AC135" s="262"/>
      <c r="AD135" s="261" t="s">
        <v>31</v>
      </c>
      <c r="AE135" s="269"/>
      <c r="AF135" s="262"/>
      <c r="AG135" s="261" t="s">
        <v>31</v>
      </c>
      <c r="AH135" s="262"/>
      <c r="AI135" s="270" t="s">
        <v>38</v>
      </c>
      <c r="AJ135" s="271"/>
      <c r="AK135" s="271"/>
      <c r="AL135" s="271"/>
      <c r="AM135" s="271"/>
      <c r="AN135" s="271"/>
      <c r="AO135" s="271"/>
      <c r="AP135" s="272"/>
      <c r="AQ135" s="62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4"/>
    </row>
    <row r="136" spans="1:55">
      <c r="A136" s="33"/>
      <c r="B136" s="261">
        <v>4</v>
      </c>
      <c r="C136" s="262"/>
      <c r="D136" s="258" t="s">
        <v>87</v>
      </c>
      <c r="E136" s="259"/>
      <c r="F136" s="259"/>
      <c r="G136" s="259"/>
      <c r="H136" s="259"/>
      <c r="I136" s="260"/>
      <c r="J136" s="258" t="s">
        <v>88</v>
      </c>
      <c r="K136" s="259"/>
      <c r="L136" s="259"/>
      <c r="M136" s="259"/>
      <c r="N136" s="259"/>
      <c r="O136" s="260"/>
      <c r="P136" s="258" t="s">
        <v>36</v>
      </c>
      <c r="Q136" s="259"/>
      <c r="R136" s="259"/>
      <c r="S136" s="259"/>
      <c r="T136" s="259"/>
      <c r="U136" s="260"/>
      <c r="V136" s="261" t="s">
        <v>37</v>
      </c>
      <c r="W136" s="262"/>
      <c r="X136" s="261" t="s">
        <v>31</v>
      </c>
      <c r="Y136" s="269"/>
      <c r="Z136" s="262"/>
      <c r="AA136" s="261" t="s">
        <v>31</v>
      </c>
      <c r="AB136" s="269"/>
      <c r="AC136" s="262"/>
      <c r="AD136" s="261" t="s">
        <v>31</v>
      </c>
      <c r="AE136" s="269"/>
      <c r="AF136" s="262"/>
      <c r="AG136" s="261" t="s">
        <v>31</v>
      </c>
      <c r="AH136" s="262"/>
      <c r="AI136" s="270" t="s">
        <v>38</v>
      </c>
      <c r="AJ136" s="271"/>
      <c r="AK136" s="271"/>
      <c r="AL136" s="271"/>
      <c r="AM136" s="271"/>
      <c r="AN136" s="271"/>
      <c r="AO136" s="271"/>
      <c r="AP136" s="272"/>
      <c r="AQ136" s="62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4"/>
      <c r="BC136" s="33"/>
    </row>
    <row r="137" spans="1:55">
      <c r="A137" s="33"/>
      <c r="B137" s="261">
        <v>5</v>
      </c>
      <c r="C137" s="262"/>
      <c r="D137" s="281" t="s">
        <v>109</v>
      </c>
      <c r="E137" s="282"/>
      <c r="F137" s="282"/>
      <c r="G137" s="282"/>
      <c r="H137" s="282"/>
      <c r="I137" s="283"/>
      <c r="J137" s="281" t="s">
        <v>100</v>
      </c>
      <c r="K137" s="282"/>
      <c r="L137" s="282"/>
      <c r="M137" s="282"/>
      <c r="N137" s="282"/>
      <c r="O137" s="283"/>
      <c r="P137" s="281" t="s">
        <v>46</v>
      </c>
      <c r="Q137" s="282"/>
      <c r="R137" s="282"/>
      <c r="S137" s="282"/>
      <c r="T137" s="282"/>
      <c r="U137" s="283"/>
      <c r="V137" s="261" t="s">
        <v>31</v>
      </c>
      <c r="W137" s="262"/>
      <c r="X137" s="273" t="s">
        <v>31</v>
      </c>
      <c r="Y137" s="286"/>
      <c r="Z137" s="274"/>
      <c r="AA137" s="273" t="s">
        <v>31</v>
      </c>
      <c r="AB137" s="286"/>
      <c r="AC137" s="274"/>
      <c r="AD137" s="273" t="s">
        <v>31</v>
      </c>
      <c r="AE137" s="286"/>
      <c r="AF137" s="274"/>
      <c r="AG137" s="273" t="s">
        <v>31</v>
      </c>
      <c r="AH137" s="274"/>
      <c r="AI137" s="278" t="s">
        <v>108</v>
      </c>
      <c r="AJ137" s="279"/>
      <c r="AK137" s="279"/>
      <c r="AL137" s="279"/>
      <c r="AM137" s="279"/>
      <c r="AN137" s="279"/>
      <c r="AO137" s="279"/>
      <c r="AP137" s="280"/>
      <c r="AQ137" s="47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9"/>
      <c r="BC137" s="33"/>
    </row>
    <row r="138" spans="1:55">
      <c r="A138" s="33"/>
      <c r="B138" s="261">
        <v>6</v>
      </c>
      <c r="C138" s="262"/>
      <c r="D138" s="281" t="s">
        <v>121</v>
      </c>
      <c r="E138" s="282"/>
      <c r="F138" s="282"/>
      <c r="G138" s="282"/>
      <c r="H138" s="282"/>
      <c r="I138" s="283"/>
      <c r="J138" s="281" t="s">
        <v>31</v>
      </c>
      <c r="K138" s="282"/>
      <c r="L138" s="282"/>
      <c r="M138" s="282"/>
      <c r="N138" s="282"/>
      <c r="O138" s="283"/>
      <c r="P138" s="281" t="s">
        <v>47</v>
      </c>
      <c r="Q138" s="282"/>
      <c r="R138" s="282"/>
      <c r="S138" s="282"/>
      <c r="T138" s="282"/>
      <c r="U138" s="283"/>
      <c r="V138" s="273" t="s">
        <v>31</v>
      </c>
      <c r="W138" s="274"/>
      <c r="X138" s="273" t="s">
        <v>31</v>
      </c>
      <c r="Y138" s="286"/>
      <c r="Z138" s="274"/>
      <c r="AA138" s="273" t="s">
        <v>31</v>
      </c>
      <c r="AB138" s="286"/>
      <c r="AC138" s="274"/>
      <c r="AD138" s="273" t="s">
        <v>31</v>
      </c>
      <c r="AE138" s="286"/>
      <c r="AF138" s="274"/>
      <c r="AG138" s="273" t="s">
        <v>31</v>
      </c>
      <c r="AH138" s="274"/>
      <c r="AI138" s="278" t="s">
        <v>122</v>
      </c>
      <c r="AJ138" s="279"/>
      <c r="AK138" s="279"/>
      <c r="AL138" s="279"/>
      <c r="AM138" s="279"/>
      <c r="AN138" s="279"/>
      <c r="AO138" s="279"/>
      <c r="AP138" s="280"/>
      <c r="AQ138" s="47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9"/>
    </row>
    <row r="140" spans="1:55">
      <c r="B140" s="45"/>
      <c r="C140" s="45"/>
      <c r="D140" s="52"/>
      <c r="E140" s="52"/>
      <c r="F140" s="52"/>
      <c r="G140" s="52"/>
      <c r="H140" s="52"/>
      <c r="I140" s="52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52"/>
    </row>
    <row r="141" spans="1:55" ht="13.5" customHeight="1">
      <c r="B141" s="51" t="s">
        <v>68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</row>
    <row r="142" spans="1:55" ht="13.5" customHeight="1"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</row>
    <row r="143" spans="1:55">
      <c r="B143" s="29" t="s">
        <v>29</v>
      </c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</row>
    <row r="144" spans="1:55">
      <c r="B144" s="284" t="s">
        <v>17</v>
      </c>
      <c r="C144" s="285"/>
      <c r="D144" s="263" t="s">
        <v>28</v>
      </c>
      <c r="E144" s="264"/>
      <c r="F144" s="264"/>
      <c r="G144" s="264"/>
      <c r="H144" s="264"/>
      <c r="I144" s="265"/>
      <c r="J144" s="263" t="s">
        <v>27</v>
      </c>
      <c r="K144" s="264"/>
      <c r="L144" s="264"/>
      <c r="M144" s="264"/>
      <c r="N144" s="264"/>
      <c r="O144" s="265"/>
      <c r="P144" s="263" t="s">
        <v>32</v>
      </c>
      <c r="Q144" s="264"/>
      <c r="R144" s="264"/>
      <c r="S144" s="264"/>
      <c r="T144" s="264"/>
      <c r="U144" s="265"/>
      <c r="V144" s="263" t="s">
        <v>26</v>
      </c>
      <c r="W144" s="265"/>
      <c r="X144" s="263" t="s">
        <v>25</v>
      </c>
      <c r="Y144" s="264"/>
      <c r="Z144" s="265"/>
      <c r="AA144" s="263" t="s">
        <v>24</v>
      </c>
      <c r="AB144" s="264"/>
      <c r="AC144" s="265"/>
      <c r="AD144" s="263" t="s">
        <v>23</v>
      </c>
      <c r="AE144" s="264"/>
      <c r="AF144" s="265"/>
      <c r="AG144" s="263" t="s">
        <v>33</v>
      </c>
      <c r="AH144" s="265"/>
      <c r="AI144" s="263" t="s">
        <v>22</v>
      </c>
      <c r="AJ144" s="264"/>
      <c r="AK144" s="264"/>
      <c r="AL144" s="264"/>
      <c r="AM144" s="264"/>
      <c r="AN144" s="264"/>
      <c r="AO144" s="264"/>
      <c r="AP144" s="265"/>
      <c r="AQ144" s="275" t="s">
        <v>18</v>
      </c>
      <c r="AR144" s="276"/>
      <c r="AS144" s="276"/>
      <c r="AT144" s="276"/>
      <c r="AU144" s="276"/>
      <c r="AV144" s="276"/>
      <c r="AW144" s="276"/>
      <c r="AX144" s="276"/>
      <c r="AY144" s="276"/>
      <c r="AZ144" s="276"/>
      <c r="BA144" s="276"/>
      <c r="BB144" s="277"/>
    </row>
    <row r="145" spans="1:55">
      <c r="A145" s="33"/>
      <c r="B145" s="273">
        <v>1</v>
      </c>
      <c r="C145" s="274"/>
      <c r="D145" s="258" t="s">
        <v>80</v>
      </c>
      <c r="E145" s="259"/>
      <c r="F145" s="259"/>
      <c r="G145" s="259"/>
      <c r="H145" s="259"/>
      <c r="I145" s="260"/>
      <c r="J145" s="258" t="s">
        <v>82</v>
      </c>
      <c r="K145" s="259"/>
      <c r="L145" s="259"/>
      <c r="M145" s="259"/>
      <c r="N145" s="259"/>
      <c r="O145" s="260"/>
      <c r="P145" s="258" t="s">
        <v>36</v>
      </c>
      <c r="Q145" s="259"/>
      <c r="R145" s="259"/>
      <c r="S145" s="259"/>
      <c r="T145" s="259"/>
      <c r="U145" s="260"/>
      <c r="V145" s="261" t="s">
        <v>37</v>
      </c>
      <c r="W145" s="262"/>
      <c r="X145" s="261" t="s">
        <v>31</v>
      </c>
      <c r="Y145" s="269"/>
      <c r="Z145" s="262"/>
      <c r="AA145" s="261" t="s">
        <v>31</v>
      </c>
      <c r="AB145" s="269"/>
      <c r="AC145" s="262"/>
      <c r="AD145" s="261" t="s">
        <v>31</v>
      </c>
      <c r="AE145" s="269"/>
      <c r="AF145" s="262"/>
      <c r="AG145" s="261" t="s">
        <v>31</v>
      </c>
      <c r="AH145" s="262"/>
      <c r="AI145" s="270" t="s">
        <v>38</v>
      </c>
      <c r="AJ145" s="271"/>
      <c r="AK145" s="271"/>
      <c r="AL145" s="271"/>
      <c r="AM145" s="271"/>
      <c r="AN145" s="271"/>
      <c r="AO145" s="271"/>
      <c r="AP145" s="272"/>
      <c r="AQ145" s="62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4"/>
      <c r="BC145" s="33"/>
    </row>
    <row r="146" spans="1:55">
      <c r="A146" s="33"/>
      <c r="B146" s="261">
        <v>2</v>
      </c>
      <c r="C146" s="262"/>
      <c r="D146" s="258" t="s">
        <v>45</v>
      </c>
      <c r="E146" s="259"/>
      <c r="F146" s="259"/>
      <c r="G146" s="259"/>
      <c r="H146" s="259"/>
      <c r="I146" s="260"/>
      <c r="J146" s="258" t="s">
        <v>81</v>
      </c>
      <c r="K146" s="259"/>
      <c r="L146" s="259"/>
      <c r="M146" s="259"/>
      <c r="N146" s="259"/>
      <c r="O146" s="260"/>
      <c r="P146" s="258" t="s">
        <v>36</v>
      </c>
      <c r="Q146" s="259"/>
      <c r="R146" s="259"/>
      <c r="S146" s="259"/>
      <c r="T146" s="259"/>
      <c r="U146" s="260"/>
      <c r="V146" s="261" t="s">
        <v>37</v>
      </c>
      <c r="W146" s="262"/>
      <c r="X146" s="261" t="s">
        <v>31</v>
      </c>
      <c r="Y146" s="269"/>
      <c r="Z146" s="262"/>
      <c r="AA146" s="261" t="s">
        <v>31</v>
      </c>
      <c r="AB146" s="269"/>
      <c r="AC146" s="262"/>
      <c r="AD146" s="261" t="s">
        <v>31</v>
      </c>
      <c r="AE146" s="269"/>
      <c r="AF146" s="262"/>
      <c r="AG146" s="261" t="s">
        <v>31</v>
      </c>
      <c r="AH146" s="262"/>
      <c r="AI146" s="270" t="s">
        <v>38</v>
      </c>
      <c r="AJ146" s="271"/>
      <c r="AK146" s="271"/>
      <c r="AL146" s="271"/>
      <c r="AM146" s="271"/>
      <c r="AN146" s="271"/>
      <c r="AO146" s="271"/>
      <c r="AP146" s="272"/>
      <c r="AQ146" s="62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4"/>
      <c r="BC146" s="33"/>
    </row>
    <row r="147" spans="1:55">
      <c r="A147" s="33"/>
      <c r="B147" s="261">
        <v>3</v>
      </c>
      <c r="C147" s="262"/>
      <c r="D147" s="258" t="s">
        <v>89</v>
      </c>
      <c r="E147" s="259"/>
      <c r="F147" s="259"/>
      <c r="G147" s="259"/>
      <c r="H147" s="259"/>
      <c r="I147" s="260"/>
      <c r="J147" s="258" t="s">
        <v>90</v>
      </c>
      <c r="K147" s="259"/>
      <c r="L147" s="259"/>
      <c r="M147" s="259"/>
      <c r="N147" s="259"/>
      <c r="O147" s="260"/>
      <c r="P147" s="258" t="s">
        <v>36</v>
      </c>
      <c r="Q147" s="259"/>
      <c r="R147" s="259"/>
      <c r="S147" s="259"/>
      <c r="T147" s="259"/>
      <c r="U147" s="260"/>
      <c r="V147" s="261" t="s">
        <v>37</v>
      </c>
      <c r="W147" s="262"/>
      <c r="X147" s="261" t="s">
        <v>31</v>
      </c>
      <c r="Y147" s="269"/>
      <c r="Z147" s="262"/>
      <c r="AA147" s="261" t="s">
        <v>31</v>
      </c>
      <c r="AB147" s="269"/>
      <c r="AC147" s="262"/>
      <c r="AD147" s="261" t="s">
        <v>31</v>
      </c>
      <c r="AE147" s="269"/>
      <c r="AF147" s="262"/>
      <c r="AG147" s="261" t="s">
        <v>31</v>
      </c>
      <c r="AH147" s="262"/>
      <c r="AI147" s="270" t="s">
        <v>38</v>
      </c>
      <c r="AJ147" s="271"/>
      <c r="AK147" s="271"/>
      <c r="AL147" s="271"/>
      <c r="AM147" s="271"/>
      <c r="AN147" s="271"/>
      <c r="AO147" s="271"/>
      <c r="AP147" s="272"/>
      <c r="AQ147" s="62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4"/>
    </row>
    <row r="148" spans="1:55">
      <c r="A148" s="33"/>
      <c r="B148" s="261">
        <v>4</v>
      </c>
      <c r="C148" s="262"/>
      <c r="D148" s="258" t="s">
        <v>87</v>
      </c>
      <c r="E148" s="259"/>
      <c r="F148" s="259"/>
      <c r="G148" s="259"/>
      <c r="H148" s="259"/>
      <c r="I148" s="260"/>
      <c r="J148" s="258" t="s">
        <v>88</v>
      </c>
      <c r="K148" s="259"/>
      <c r="L148" s="259"/>
      <c r="M148" s="259"/>
      <c r="N148" s="259"/>
      <c r="O148" s="260"/>
      <c r="P148" s="258" t="s">
        <v>36</v>
      </c>
      <c r="Q148" s="259"/>
      <c r="R148" s="259"/>
      <c r="S148" s="259"/>
      <c r="T148" s="259"/>
      <c r="U148" s="260"/>
      <c r="V148" s="261" t="s">
        <v>37</v>
      </c>
      <c r="W148" s="262"/>
      <c r="X148" s="261" t="s">
        <v>31</v>
      </c>
      <c r="Y148" s="269"/>
      <c r="Z148" s="262"/>
      <c r="AA148" s="261" t="s">
        <v>31</v>
      </c>
      <c r="AB148" s="269"/>
      <c r="AC148" s="262"/>
      <c r="AD148" s="261" t="s">
        <v>31</v>
      </c>
      <c r="AE148" s="269"/>
      <c r="AF148" s="262"/>
      <c r="AG148" s="261" t="s">
        <v>31</v>
      </c>
      <c r="AH148" s="262"/>
      <c r="AI148" s="270" t="s">
        <v>38</v>
      </c>
      <c r="AJ148" s="271"/>
      <c r="AK148" s="271"/>
      <c r="AL148" s="271"/>
      <c r="AM148" s="271"/>
      <c r="AN148" s="271"/>
      <c r="AO148" s="271"/>
      <c r="AP148" s="272"/>
      <c r="AQ148" s="62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4"/>
      <c r="BC148" s="33"/>
    </row>
    <row r="149" spans="1:55">
      <c r="B149" s="273">
        <v>5</v>
      </c>
      <c r="C149" s="274"/>
      <c r="D149" s="258" t="s">
        <v>69</v>
      </c>
      <c r="E149" s="259"/>
      <c r="F149" s="259"/>
      <c r="G149" s="259"/>
      <c r="H149" s="259"/>
      <c r="I149" s="260"/>
      <c r="J149" s="281" t="s">
        <v>31</v>
      </c>
      <c r="K149" s="282"/>
      <c r="L149" s="282"/>
      <c r="M149" s="282"/>
      <c r="N149" s="282"/>
      <c r="O149" s="283"/>
      <c r="P149" s="281" t="s">
        <v>47</v>
      </c>
      <c r="Q149" s="282"/>
      <c r="R149" s="282"/>
      <c r="S149" s="282"/>
      <c r="T149" s="282"/>
      <c r="U149" s="283"/>
      <c r="V149" s="273" t="s">
        <v>31</v>
      </c>
      <c r="W149" s="274"/>
      <c r="X149" s="261" t="s">
        <v>31</v>
      </c>
      <c r="Y149" s="269"/>
      <c r="Z149" s="262"/>
      <c r="AA149" s="261" t="s">
        <v>31</v>
      </c>
      <c r="AB149" s="269"/>
      <c r="AC149" s="262"/>
      <c r="AD149" s="261" t="s">
        <v>31</v>
      </c>
      <c r="AE149" s="269"/>
      <c r="AF149" s="262"/>
      <c r="AG149" s="261" t="s">
        <v>31</v>
      </c>
      <c r="AH149" s="262"/>
      <c r="AI149" s="278" t="s">
        <v>123</v>
      </c>
      <c r="AJ149" s="279"/>
      <c r="AK149" s="279"/>
      <c r="AL149" s="279"/>
      <c r="AM149" s="279"/>
      <c r="AN149" s="279"/>
      <c r="AO149" s="279"/>
      <c r="AP149" s="280"/>
      <c r="AQ149" s="62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4"/>
    </row>
  </sheetData>
  <mergeCells count="309">
    <mergeCell ref="B109:C109"/>
    <mergeCell ref="D109:I109"/>
    <mergeCell ref="AJ109:BB109"/>
    <mergeCell ref="B110:C110"/>
    <mergeCell ref="D110:I110"/>
    <mergeCell ref="J109:AI109"/>
    <mergeCell ref="J110:AI110"/>
    <mergeCell ref="B94:C95"/>
    <mergeCell ref="D94:L95"/>
    <mergeCell ref="M94:V95"/>
    <mergeCell ref="W94:AE95"/>
    <mergeCell ref="AD100:AF100"/>
    <mergeCell ref="AG100:AP100"/>
    <mergeCell ref="B101:C101"/>
    <mergeCell ref="D101:I101"/>
    <mergeCell ref="AG101:AP101"/>
    <mergeCell ref="AQ101:BB101"/>
    <mergeCell ref="B100:C100"/>
    <mergeCell ref="D100:I100"/>
    <mergeCell ref="J100:O100"/>
    <mergeCell ref="P100:U100"/>
    <mergeCell ref="V100:W100"/>
    <mergeCell ref="X100:Z100"/>
    <mergeCell ref="AA100:AC100"/>
    <mergeCell ref="X117:Z117"/>
    <mergeCell ref="AA117:AC117"/>
    <mergeCell ref="AD117:AF117"/>
    <mergeCell ref="AD132:AF132"/>
    <mergeCell ref="B117:C117"/>
    <mergeCell ref="D121:I121"/>
    <mergeCell ref="J121:O121"/>
    <mergeCell ref="B125:C125"/>
    <mergeCell ref="X148:Z148"/>
    <mergeCell ref="AA148:AC148"/>
    <mergeCell ref="AD148:AF148"/>
    <mergeCell ref="B134:C134"/>
    <mergeCell ref="D134:I134"/>
    <mergeCell ref="B120:C120"/>
    <mergeCell ref="D120:I120"/>
    <mergeCell ref="B148:C148"/>
    <mergeCell ref="D148:I148"/>
    <mergeCell ref="B126:C126"/>
    <mergeCell ref="D126:I126"/>
    <mergeCell ref="B145:C145"/>
    <mergeCell ref="D145:I145"/>
    <mergeCell ref="J145:O145"/>
    <mergeCell ref="P145:U145"/>
    <mergeCell ref="V145:W145"/>
    <mergeCell ref="AG148:AH148"/>
    <mergeCell ref="AI148:AP148"/>
    <mergeCell ref="J147:O147"/>
    <mergeCell ref="P147:U147"/>
    <mergeCell ref="V147:W147"/>
    <mergeCell ref="B92:C93"/>
    <mergeCell ref="D92:L93"/>
    <mergeCell ref="M92:V93"/>
    <mergeCell ref="W92:AE93"/>
    <mergeCell ref="B137:C137"/>
    <mergeCell ref="D137:I137"/>
    <mergeCell ref="J137:O137"/>
    <mergeCell ref="P137:U137"/>
    <mergeCell ref="V137:W137"/>
    <mergeCell ref="X137:Z137"/>
    <mergeCell ref="AA137:AC137"/>
    <mergeCell ref="AD137:AF137"/>
    <mergeCell ref="D117:I117"/>
    <mergeCell ref="J117:O117"/>
    <mergeCell ref="P117:U117"/>
    <mergeCell ref="V117:W117"/>
    <mergeCell ref="X146:Z146"/>
    <mergeCell ref="AA146:AC146"/>
    <mergeCell ref="AD146:AF146"/>
    <mergeCell ref="AG146:AH146"/>
    <mergeCell ref="AI146:AP146"/>
    <mergeCell ref="X147:Z147"/>
    <mergeCell ref="AA147:AC147"/>
    <mergeCell ref="AD147:AF147"/>
    <mergeCell ref="AG147:AH147"/>
    <mergeCell ref="AI147:AP147"/>
    <mergeCell ref="J120:O120"/>
    <mergeCell ref="P120:U120"/>
    <mergeCell ref="V120:W120"/>
    <mergeCell ref="X120:Z120"/>
    <mergeCell ref="AA120:AC120"/>
    <mergeCell ref="AD120:AF120"/>
    <mergeCell ref="AG120:AH120"/>
    <mergeCell ref="AI120:AP120"/>
    <mergeCell ref="J134:O134"/>
    <mergeCell ref="P134:U134"/>
    <mergeCell ref="V134:W134"/>
    <mergeCell ref="X134:Z134"/>
    <mergeCell ref="AA134:AC134"/>
    <mergeCell ref="AD134:AF134"/>
    <mergeCell ref="AG134:AH134"/>
    <mergeCell ref="AA121:AC121"/>
    <mergeCell ref="AD121:AF121"/>
    <mergeCell ref="AG121:AH121"/>
    <mergeCell ref="AA132:AC132"/>
    <mergeCell ref="AI119:AP119"/>
    <mergeCell ref="B133:C133"/>
    <mergeCell ref="D133:I133"/>
    <mergeCell ref="J133:O133"/>
    <mergeCell ref="P133:U133"/>
    <mergeCell ref="V133:W133"/>
    <mergeCell ref="X133:Z133"/>
    <mergeCell ref="AA133:AC133"/>
    <mergeCell ref="AD133:AF133"/>
    <mergeCell ref="AG133:AH133"/>
    <mergeCell ref="AI133:AP133"/>
    <mergeCell ref="AJ125:BB125"/>
    <mergeCell ref="B119:C119"/>
    <mergeCell ref="D119:I119"/>
    <mergeCell ref="J119:O119"/>
    <mergeCell ref="P119:U119"/>
    <mergeCell ref="V119:W119"/>
    <mergeCell ref="X119:Z119"/>
    <mergeCell ref="AA119:AC119"/>
    <mergeCell ref="P121:U121"/>
    <mergeCell ref="V121:W121"/>
    <mergeCell ref="X121:Z121"/>
    <mergeCell ref="B85:C85"/>
    <mergeCell ref="D85:L85"/>
    <mergeCell ref="M85:V85"/>
    <mergeCell ref="W85:AE85"/>
    <mergeCell ref="B86:C86"/>
    <mergeCell ref="D86:L86"/>
    <mergeCell ref="W86:AE86"/>
    <mergeCell ref="M86:V86"/>
    <mergeCell ref="B89:C91"/>
    <mergeCell ref="D89:L91"/>
    <mergeCell ref="M89:V91"/>
    <mergeCell ref="W89:AE91"/>
    <mergeCell ref="B88:C88"/>
    <mergeCell ref="D88:L88"/>
    <mergeCell ref="M88:V88"/>
    <mergeCell ref="W88:AE88"/>
    <mergeCell ref="B87:C87"/>
    <mergeCell ref="D87:L87"/>
    <mergeCell ref="M87:V87"/>
    <mergeCell ref="W87:AE87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78:C79"/>
    <mergeCell ref="B84:C84"/>
    <mergeCell ref="D84:L84"/>
    <mergeCell ref="M84:V84"/>
    <mergeCell ref="W84:AE84"/>
    <mergeCell ref="B82:C82"/>
    <mergeCell ref="B81:C81"/>
    <mergeCell ref="D81:L81"/>
    <mergeCell ref="M81:V81"/>
    <mergeCell ref="W81:AE81"/>
    <mergeCell ref="D78:L79"/>
    <mergeCell ref="M78:AE78"/>
    <mergeCell ref="M79:V79"/>
    <mergeCell ref="W79:AE79"/>
    <mergeCell ref="AF78:BB79"/>
    <mergeCell ref="D82:L82"/>
    <mergeCell ref="M82:V82"/>
    <mergeCell ref="W82:AE82"/>
    <mergeCell ref="B113:BB114"/>
    <mergeCell ref="B116:C116"/>
    <mergeCell ref="D116:I116"/>
    <mergeCell ref="J116:O116"/>
    <mergeCell ref="P116:U116"/>
    <mergeCell ref="V116:W116"/>
    <mergeCell ref="X116:Z116"/>
    <mergeCell ref="AA116:AC116"/>
    <mergeCell ref="AD116:AF116"/>
    <mergeCell ref="AG116:AH116"/>
    <mergeCell ref="AI116:AP116"/>
    <mergeCell ref="AQ116:BB116"/>
    <mergeCell ref="B97:BB98"/>
    <mergeCell ref="AQ100:BB100"/>
    <mergeCell ref="J101:O101"/>
    <mergeCell ref="P101:U101"/>
    <mergeCell ref="V101:W101"/>
    <mergeCell ref="X101:Z101"/>
    <mergeCell ref="AA101:AC101"/>
    <mergeCell ref="AD101:AF101"/>
    <mergeCell ref="AG117:AH117"/>
    <mergeCell ref="AD119:AF119"/>
    <mergeCell ref="AG119:AH119"/>
    <mergeCell ref="AI117:AP117"/>
    <mergeCell ref="AI132:AP132"/>
    <mergeCell ref="AQ132:BB132"/>
    <mergeCell ref="AI118:AP118"/>
    <mergeCell ref="B121:C121"/>
    <mergeCell ref="D118:I118"/>
    <mergeCell ref="J118:O118"/>
    <mergeCell ref="P118:U118"/>
    <mergeCell ref="V118:W118"/>
    <mergeCell ref="X118:Z118"/>
    <mergeCell ref="AA118:AC118"/>
    <mergeCell ref="AD118:AF118"/>
    <mergeCell ref="AG118:AH118"/>
    <mergeCell ref="AI121:AP121"/>
    <mergeCell ref="B118:C118"/>
    <mergeCell ref="B132:C132"/>
    <mergeCell ref="D132:I132"/>
    <mergeCell ref="J132:O132"/>
    <mergeCell ref="P132:U132"/>
    <mergeCell ref="V132:W132"/>
    <mergeCell ref="X132:Z132"/>
    <mergeCell ref="AG132:AH132"/>
    <mergeCell ref="AD136:AF136"/>
    <mergeCell ref="AG136:AH136"/>
    <mergeCell ref="AI136:AP136"/>
    <mergeCell ref="D138:I138"/>
    <mergeCell ref="J138:O138"/>
    <mergeCell ref="P138:U138"/>
    <mergeCell ref="V138:W138"/>
    <mergeCell ref="X138:Z138"/>
    <mergeCell ref="AA138:AC138"/>
    <mergeCell ref="AD138:AF138"/>
    <mergeCell ref="AG138:AH138"/>
    <mergeCell ref="AI138:AP138"/>
    <mergeCell ref="AG137:AH137"/>
    <mergeCell ref="AI137:AP137"/>
    <mergeCell ref="AI134:AP134"/>
    <mergeCell ref="B149:C149"/>
    <mergeCell ref="AQ144:BB144"/>
    <mergeCell ref="AI149:AP149"/>
    <mergeCell ref="AI144:AP144"/>
    <mergeCell ref="D149:I149"/>
    <mergeCell ref="J149:O149"/>
    <mergeCell ref="P149:U149"/>
    <mergeCell ref="V149:W149"/>
    <mergeCell ref="X149:Z149"/>
    <mergeCell ref="AA149:AC149"/>
    <mergeCell ref="AD149:AF149"/>
    <mergeCell ref="AG149:AH149"/>
    <mergeCell ref="B144:C144"/>
    <mergeCell ref="D144:I144"/>
    <mergeCell ref="J144:O144"/>
    <mergeCell ref="P144:U144"/>
    <mergeCell ref="V144:W144"/>
    <mergeCell ref="X144:Z144"/>
    <mergeCell ref="AA144:AC144"/>
    <mergeCell ref="AD144:AF144"/>
    <mergeCell ref="AG144:AH144"/>
    <mergeCell ref="AI145:AP145"/>
    <mergeCell ref="J146:O146"/>
    <mergeCell ref="P146:U146"/>
    <mergeCell ref="B147:C147"/>
    <mergeCell ref="D147:I147"/>
    <mergeCell ref="J135:O135"/>
    <mergeCell ref="P135:U135"/>
    <mergeCell ref="V135:W135"/>
    <mergeCell ref="J136:O136"/>
    <mergeCell ref="P136:U136"/>
    <mergeCell ref="V136:W136"/>
    <mergeCell ref="V146:W146"/>
    <mergeCell ref="J148:O148"/>
    <mergeCell ref="P148:U148"/>
    <mergeCell ref="V148:W148"/>
    <mergeCell ref="D125:I125"/>
    <mergeCell ref="J125:V125"/>
    <mergeCell ref="W125:AI125"/>
    <mergeCell ref="B146:C146"/>
    <mergeCell ref="D146:I146"/>
    <mergeCell ref="B138:C138"/>
    <mergeCell ref="D135:I135"/>
    <mergeCell ref="B136:C136"/>
    <mergeCell ref="D136:I136"/>
    <mergeCell ref="X145:Z145"/>
    <mergeCell ref="AA145:AC145"/>
    <mergeCell ref="AD145:AF145"/>
    <mergeCell ref="AG145:AH145"/>
    <mergeCell ref="X135:Z135"/>
    <mergeCell ref="AA135:AC135"/>
    <mergeCell ref="AD135:AF135"/>
    <mergeCell ref="AG135:AH135"/>
    <mergeCell ref="AI135:AP135"/>
    <mergeCell ref="X136:Z136"/>
    <mergeCell ref="AA136:AC136"/>
    <mergeCell ref="B135:C135"/>
    <mergeCell ref="AQ103:BB103"/>
    <mergeCell ref="B102:C102"/>
    <mergeCell ref="D102:I102"/>
    <mergeCell ref="J102:O102"/>
    <mergeCell ref="P102:U102"/>
    <mergeCell ref="V102:W102"/>
    <mergeCell ref="X102:Z102"/>
    <mergeCell ref="AA102:AC102"/>
    <mergeCell ref="AD102:AF102"/>
    <mergeCell ref="AG102:AP102"/>
    <mergeCell ref="AQ102:BB102"/>
    <mergeCell ref="B103:C103"/>
    <mergeCell ref="D103:I103"/>
    <mergeCell ref="J103:O103"/>
    <mergeCell ref="P103:U103"/>
    <mergeCell ref="V103:W103"/>
    <mergeCell ref="X103:Z103"/>
    <mergeCell ref="AA103:AC103"/>
    <mergeCell ref="AD103:AF103"/>
    <mergeCell ref="AG103:AP103"/>
  </mergeCells>
  <phoneticPr fontId="1"/>
  <pageMargins left="0.23622047244094491" right="0.23622047244094491" top="0.55118110236220474" bottom="0.74803149606299213" header="0.31496062992125984" footer="0.31496062992125984"/>
  <pageSetup paperSize="9" scale="69" fitToHeight="0" orientation="portrait" r:id="rId1"/>
  <headerFooter>
    <oddFooter>&amp;C&amp;8&amp;P / &amp;N ページ</oddFooter>
  </headerFooter>
  <rowBreaks count="2" manualBreakCount="2">
    <brk id="76" max="55" man="1"/>
    <brk id="112" max="5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310F-08F2-4BAA-8BEE-4DD11AD17EBC}">
  <sheetPr>
    <pageSetUpPr fitToPage="1"/>
  </sheetPr>
  <dimension ref="A1:BF150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41" customWidth="1"/>
    <col min="2" max="27" width="2.625" style="41"/>
    <col min="28" max="28" width="2.625" style="41" customWidth="1"/>
    <col min="29" max="41" width="2.625" style="41"/>
    <col min="42" max="43" width="2.625" style="41" customWidth="1"/>
    <col min="44" max="51" width="2.625" style="41"/>
    <col min="52" max="53" width="2.625" style="41" customWidth="1"/>
    <col min="54" max="54" width="2.75" style="41" customWidth="1"/>
    <col min="55" max="55" width="2.375" style="41" customWidth="1"/>
    <col min="56" max="56" width="3.125" style="41" hidden="1" customWidth="1"/>
    <col min="57" max="58" width="2.625" style="41" hidden="1" customWidth="1"/>
    <col min="59" max="16384" width="2.625" style="41"/>
  </cols>
  <sheetData>
    <row r="1" spans="1:55" ht="13.5" customHeight="1">
      <c r="A1" s="239" t="s">
        <v>0</v>
      </c>
      <c r="B1" s="208"/>
      <c r="C1" s="208"/>
      <c r="D1" s="208"/>
      <c r="E1" s="208"/>
      <c r="F1" s="209"/>
      <c r="G1" s="209"/>
      <c r="H1" s="209"/>
      <c r="I1" s="240"/>
      <c r="J1" s="241" t="s">
        <v>1</v>
      </c>
      <c r="K1" s="208"/>
      <c r="L1" s="208"/>
      <c r="M1" s="208"/>
      <c r="N1" s="208"/>
      <c r="O1" s="209"/>
      <c r="P1" s="209"/>
      <c r="Q1" s="209"/>
      <c r="R1" s="242" t="str">
        <f>表紙!S12</f>
        <v>画面レイアウト設計書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4"/>
      <c r="AJ1" s="245" t="s">
        <v>2</v>
      </c>
      <c r="AK1" s="246"/>
      <c r="AL1" s="246"/>
      <c r="AM1" s="246"/>
      <c r="AN1" s="246"/>
      <c r="AO1" s="247" t="s">
        <v>3</v>
      </c>
      <c r="AP1" s="246"/>
      <c r="AQ1" s="246"/>
      <c r="AR1" s="246"/>
      <c r="AS1" s="246"/>
      <c r="AT1" s="247" t="s">
        <v>4</v>
      </c>
      <c r="AU1" s="246"/>
      <c r="AV1" s="246"/>
      <c r="AW1" s="246"/>
      <c r="AX1" s="246"/>
      <c r="AY1" s="208" t="s">
        <v>5</v>
      </c>
      <c r="AZ1" s="209"/>
      <c r="BA1" s="209"/>
      <c r="BB1" s="209"/>
      <c r="BC1" s="210"/>
    </row>
    <row r="2" spans="1:55" ht="13.5" customHeight="1">
      <c r="A2" s="308" t="str">
        <f>表紙!O10</f>
        <v>13期12月対応</v>
      </c>
      <c r="B2" s="212"/>
      <c r="C2" s="212"/>
      <c r="D2" s="212"/>
      <c r="E2" s="212"/>
      <c r="F2" s="213"/>
      <c r="G2" s="213"/>
      <c r="H2" s="213"/>
      <c r="I2" s="214"/>
      <c r="J2" s="219" t="str">
        <f>表紙!O9</f>
        <v>LMS学習管理システム</v>
      </c>
      <c r="K2" s="212"/>
      <c r="L2" s="212"/>
      <c r="M2" s="212"/>
      <c r="N2" s="212"/>
      <c r="O2" s="213"/>
      <c r="P2" s="213"/>
      <c r="Q2" s="220"/>
      <c r="R2" s="223" t="str">
        <f ca="1">RIGHT(CELL("filename",A1),LEN(CELL("filename",A1))-FIND("]",CELL("filename",A1)))</f>
        <v>成果物一覧画面（講師権限）</v>
      </c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5"/>
      <c r="AJ2" s="309" t="s">
        <v>49</v>
      </c>
      <c r="AK2" s="230"/>
      <c r="AL2" s="230"/>
      <c r="AM2" s="230"/>
      <c r="AN2" s="230"/>
      <c r="AO2" s="233">
        <v>43766</v>
      </c>
      <c r="AP2" s="230"/>
      <c r="AQ2" s="310"/>
      <c r="AR2" s="230"/>
      <c r="AS2" s="230"/>
      <c r="AT2" s="309" t="s">
        <v>113</v>
      </c>
      <c r="AU2" s="230"/>
      <c r="AV2" s="310"/>
      <c r="AW2" s="230"/>
      <c r="AX2" s="230"/>
      <c r="AY2" s="234">
        <v>43804</v>
      </c>
      <c r="AZ2" s="235"/>
      <c r="BA2" s="235"/>
      <c r="BB2" s="311"/>
      <c r="BC2" s="236"/>
    </row>
    <row r="3" spans="1:55" ht="13.5" customHeight="1" thickBot="1">
      <c r="A3" s="215"/>
      <c r="B3" s="216"/>
      <c r="C3" s="216"/>
      <c r="D3" s="216"/>
      <c r="E3" s="216"/>
      <c r="F3" s="217"/>
      <c r="G3" s="217"/>
      <c r="H3" s="217"/>
      <c r="I3" s="218"/>
      <c r="J3" s="221"/>
      <c r="K3" s="216"/>
      <c r="L3" s="216"/>
      <c r="M3" s="216"/>
      <c r="N3" s="216"/>
      <c r="O3" s="217"/>
      <c r="P3" s="217"/>
      <c r="Q3" s="222"/>
      <c r="R3" s="226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8"/>
      <c r="AJ3" s="231"/>
      <c r="AK3" s="232"/>
      <c r="AL3" s="232"/>
      <c r="AM3" s="232"/>
      <c r="AN3" s="232"/>
      <c r="AO3" s="232"/>
      <c r="AP3" s="232"/>
      <c r="AQ3" s="232"/>
      <c r="AR3" s="232"/>
      <c r="AS3" s="232"/>
      <c r="AT3" s="231"/>
      <c r="AU3" s="232"/>
      <c r="AV3" s="232"/>
      <c r="AW3" s="232"/>
      <c r="AX3" s="232"/>
      <c r="AY3" s="237"/>
      <c r="AZ3" s="237"/>
      <c r="BA3" s="237"/>
      <c r="BB3" s="237"/>
      <c r="BC3" s="238"/>
    </row>
    <row r="4" spans="1:55" ht="13.5" customHeight="1"/>
    <row r="5" spans="1:55" ht="13.5" customHeight="1">
      <c r="A5" s="33"/>
      <c r="B5" s="29" t="s">
        <v>20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13.5" customHeight="1">
      <c r="A6" s="33"/>
      <c r="B6" s="42"/>
      <c r="C6" s="43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4"/>
      <c r="AA6" s="42"/>
      <c r="AB6" s="42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33"/>
    </row>
    <row r="7" spans="1:55" ht="13.5" customHeight="1">
      <c r="A7" s="33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33"/>
    </row>
    <row r="8" spans="1:55" ht="13.5" customHeight="1">
      <c r="A8" s="33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33"/>
    </row>
    <row r="9" spans="1:55" ht="13.5" customHeight="1">
      <c r="A9" s="33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33"/>
    </row>
    <row r="10" spans="1:55" ht="13.5" customHeight="1">
      <c r="A10" s="33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33"/>
    </row>
    <row r="11" spans="1:55" ht="13.5" customHeight="1">
      <c r="A11" s="33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33"/>
    </row>
    <row r="12" spans="1:55" ht="13.5" customHeight="1">
      <c r="A12" s="33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33"/>
    </row>
    <row r="13" spans="1:55" ht="13.5" customHeight="1">
      <c r="A13" s="33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33"/>
    </row>
    <row r="14" spans="1:55" ht="13.5" customHeight="1">
      <c r="A14" s="33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33"/>
    </row>
    <row r="15" spans="1:55" ht="13.5" customHeight="1">
      <c r="A15" s="33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33"/>
    </row>
    <row r="16" spans="1:55" ht="13.5" customHeight="1">
      <c r="A16" s="33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33"/>
    </row>
    <row r="17" spans="1:55" ht="13.5" customHeight="1">
      <c r="A17" s="33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33"/>
    </row>
    <row r="18" spans="1:55" ht="13.5" customHeight="1">
      <c r="A18" s="33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33"/>
    </row>
    <row r="19" spans="1:55" ht="13.5" customHeight="1">
      <c r="A19" s="33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33"/>
    </row>
    <row r="20" spans="1:55" ht="13.5" customHeight="1">
      <c r="A20" s="3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33"/>
    </row>
    <row r="21" spans="1:55" ht="13.5" customHeight="1">
      <c r="A21" s="33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33"/>
    </row>
    <row r="22" spans="1:55" ht="13.5" customHeight="1">
      <c r="A22" s="33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33"/>
    </row>
    <row r="23" spans="1:55" ht="13.5" customHeight="1">
      <c r="A23" s="33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33"/>
    </row>
    <row r="24" spans="1:55" ht="13.5" customHeight="1">
      <c r="A24" s="33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33"/>
    </row>
    <row r="25" spans="1:55" ht="13.5" customHeight="1">
      <c r="A25" s="33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33"/>
    </row>
    <row r="26" spans="1:55" ht="13.5" customHeight="1">
      <c r="A26" s="33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33"/>
    </row>
    <row r="27" spans="1:55" ht="13.5" customHeight="1">
      <c r="A27" s="33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33"/>
    </row>
    <row r="28" spans="1:55" ht="13.5" customHeight="1">
      <c r="A28" s="33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33"/>
    </row>
    <row r="29" spans="1:55" ht="13.5" customHeight="1">
      <c r="A29" s="33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33"/>
    </row>
    <row r="30" spans="1:55" ht="13.5" customHeight="1">
      <c r="A30" s="3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33"/>
    </row>
    <row r="31" spans="1:55" ht="13.5" customHeight="1">
      <c r="A31" s="3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33"/>
    </row>
    <row r="32" spans="1:55" ht="13.5" customHeight="1">
      <c r="A32" s="33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</row>
    <row r="33" spans="1:55" ht="13.5" customHeight="1">
      <c r="A33" s="33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33"/>
    </row>
    <row r="34" spans="1:55" ht="13.5" customHeight="1">
      <c r="A34" s="33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33"/>
    </row>
    <row r="35" spans="1:55" ht="13.5" customHeight="1">
      <c r="A35" s="33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33"/>
    </row>
    <row r="36" spans="1:55" ht="13.5" customHeight="1">
      <c r="A36" s="33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33"/>
    </row>
    <row r="37" spans="1:55" ht="13.5" customHeight="1">
      <c r="A37" s="3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</row>
    <row r="38" spans="1:55" ht="13.5" customHeight="1">
      <c r="A38" s="33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33"/>
    </row>
    <row r="39" spans="1:55" ht="13.5" customHeight="1">
      <c r="A39" s="33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33"/>
    </row>
    <row r="40" spans="1:55" ht="13.5" customHeight="1">
      <c r="A40" s="33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33"/>
    </row>
    <row r="41" spans="1:55">
      <c r="A41" s="33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33"/>
    </row>
    <row r="42" spans="1:55">
      <c r="A42" s="33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33"/>
    </row>
    <row r="43" spans="1:55">
      <c r="A43" s="33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33"/>
    </row>
    <row r="44" spans="1:55">
      <c r="A44" s="33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33"/>
    </row>
    <row r="45" spans="1:55">
      <c r="A45" s="33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33"/>
    </row>
    <row r="46" spans="1:55">
      <c r="A46" s="33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33"/>
    </row>
    <row r="47" spans="1:55">
      <c r="A47" s="33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33"/>
    </row>
    <row r="48" spans="1:55">
      <c r="A48" s="33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33"/>
    </row>
    <row r="49" spans="1:55">
      <c r="A49" s="33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33"/>
    </row>
    <row r="50" spans="1:55">
      <c r="A50" s="33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33"/>
    </row>
    <row r="51" spans="1:55">
      <c r="A51" s="33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33"/>
    </row>
    <row r="52" spans="1:55">
      <c r="A52" s="33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33"/>
    </row>
    <row r="53" spans="1:55">
      <c r="A53" s="33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33"/>
    </row>
    <row r="54" spans="1:55">
      <c r="A54" s="33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33"/>
    </row>
    <row r="55" spans="1:55">
      <c r="A55" s="33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33"/>
    </row>
    <row r="56" spans="1:55">
      <c r="A56" s="33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33"/>
    </row>
    <row r="57" spans="1:55">
      <c r="A57" s="33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33"/>
    </row>
    <row r="58" spans="1:55">
      <c r="A58" s="33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33"/>
    </row>
    <row r="59" spans="1:55">
      <c r="A59" s="33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33"/>
    </row>
    <row r="60" spans="1:55">
      <c r="A60" s="33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33"/>
    </row>
    <row r="61" spans="1:55">
      <c r="A61" s="33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33"/>
    </row>
    <row r="62" spans="1:55">
      <c r="A62" s="33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33"/>
    </row>
    <row r="63" spans="1:55">
      <c r="A63" s="33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33"/>
    </row>
    <row r="64" spans="1:55">
      <c r="A64" s="33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33"/>
    </row>
    <row r="65" spans="1:55">
      <c r="A65" s="33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33"/>
    </row>
    <row r="66" spans="1:55">
      <c r="A66" s="33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33"/>
    </row>
    <row r="67" spans="1:55">
      <c r="A67" s="33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33"/>
    </row>
    <row r="68" spans="1:55">
      <c r="A68" s="33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33"/>
    </row>
    <row r="69" spans="1:55">
      <c r="A69" s="33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33"/>
    </row>
    <row r="70" spans="1:55">
      <c r="A70" s="33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33"/>
    </row>
    <row r="71" spans="1:55">
      <c r="A71" s="33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33"/>
    </row>
    <row r="72" spans="1:55">
      <c r="A72" s="33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33"/>
    </row>
    <row r="73" spans="1:55">
      <c r="A73" s="33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33"/>
    </row>
    <row r="74" spans="1:55">
      <c r="A74" s="33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33"/>
    </row>
    <row r="75" spans="1:5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7" spans="1:55">
      <c r="A77" s="33"/>
      <c r="B77" s="29" t="s">
        <v>35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7"/>
      <c r="BC77" s="33"/>
    </row>
    <row r="78" spans="1:55">
      <c r="A78" s="33"/>
      <c r="B78" s="284" t="s">
        <v>17</v>
      </c>
      <c r="C78" s="285"/>
      <c r="D78" s="263" t="s">
        <v>28</v>
      </c>
      <c r="E78" s="264"/>
      <c r="F78" s="264"/>
      <c r="G78" s="264"/>
      <c r="H78" s="264"/>
      <c r="I78" s="264"/>
      <c r="J78" s="264"/>
      <c r="K78" s="264"/>
      <c r="L78" s="265"/>
      <c r="M78" s="275" t="s">
        <v>21</v>
      </c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7"/>
      <c r="AF78" s="284" t="s">
        <v>18</v>
      </c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5"/>
      <c r="BC78" s="33"/>
    </row>
    <row r="79" spans="1:55">
      <c r="A79" s="33"/>
      <c r="B79" s="288"/>
      <c r="C79" s="290"/>
      <c r="D79" s="305"/>
      <c r="E79" s="306"/>
      <c r="F79" s="306"/>
      <c r="G79" s="306"/>
      <c r="H79" s="306"/>
      <c r="I79" s="306"/>
      <c r="J79" s="306"/>
      <c r="K79" s="306"/>
      <c r="L79" s="307"/>
      <c r="M79" s="275" t="s">
        <v>34</v>
      </c>
      <c r="N79" s="276"/>
      <c r="O79" s="276"/>
      <c r="P79" s="276"/>
      <c r="Q79" s="276"/>
      <c r="R79" s="276"/>
      <c r="S79" s="276"/>
      <c r="T79" s="276"/>
      <c r="U79" s="276"/>
      <c r="V79" s="277"/>
      <c r="W79" s="275" t="s">
        <v>30</v>
      </c>
      <c r="X79" s="276"/>
      <c r="Y79" s="276"/>
      <c r="Z79" s="276"/>
      <c r="AA79" s="276"/>
      <c r="AB79" s="276"/>
      <c r="AC79" s="276"/>
      <c r="AD79" s="276"/>
      <c r="AE79" s="277"/>
      <c r="AF79" s="288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89"/>
      <c r="AX79" s="289"/>
      <c r="AY79" s="289"/>
      <c r="AZ79" s="289"/>
      <c r="BA79" s="289"/>
      <c r="BB79" s="290"/>
      <c r="BC79" s="33"/>
    </row>
    <row r="80" spans="1:55">
      <c r="A80" s="33"/>
      <c r="B80" s="78" t="s">
        <v>51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7"/>
      <c r="BC80" s="33"/>
    </row>
    <row r="81" spans="1:55">
      <c r="A81" s="33"/>
      <c r="B81" s="273">
        <v>1</v>
      </c>
      <c r="C81" s="274"/>
      <c r="D81" s="258" t="s">
        <v>50</v>
      </c>
      <c r="E81" s="259"/>
      <c r="F81" s="259"/>
      <c r="G81" s="259"/>
      <c r="H81" s="259"/>
      <c r="I81" s="259"/>
      <c r="J81" s="259"/>
      <c r="K81" s="259"/>
      <c r="L81" s="260"/>
      <c r="M81" s="270" t="s">
        <v>102</v>
      </c>
      <c r="N81" s="271"/>
      <c r="O81" s="271"/>
      <c r="P81" s="271"/>
      <c r="Q81" s="271"/>
      <c r="R81" s="271"/>
      <c r="S81" s="271"/>
      <c r="T81" s="271"/>
      <c r="U81" s="271"/>
      <c r="V81" s="272"/>
      <c r="W81" s="302" t="s">
        <v>101</v>
      </c>
      <c r="X81" s="303"/>
      <c r="Y81" s="303"/>
      <c r="Z81" s="303"/>
      <c r="AA81" s="303"/>
      <c r="AB81" s="303"/>
      <c r="AC81" s="303"/>
      <c r="AD81" s="303"/>
      <c r="AE81" s="304"/>
      <c r="AF81" s="60" t="s">
        <v>53</v>
      </c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8"/>
      <c r="BC81" s="33"/>
    </row>
    <row r="82" spans="1:55">
      <c r="A82" s="33"/>
      <c r="B82" s="273">
        <v>2</v>
      </c>
      <c r="C82" s="274"/>
      <c r="D82" s="291" t="s">
        <v>52</v>
      </c>
      <c r="E82" s="292"/>
      <c r="F82" s="292"/>
      <c r="G82" s="292"/>
      <c r="H82" s="292"/>
      <c r="I82" s="292"/>
      <c r="J82" s="292"/>
      <c r="K82" s="292"/>
      <c r="L82" s="293"/>
      <c r="M82" s="270" t="s">
        <v>96</v>
      </c>
      <c r="N82" s="271"/>
      <c r="O82" s="271"/>
      <c r="P82" s="271"/>
      <c r="Q82" s="271"/>
      <c r="R82" s="271"/>
      <c r="S82" s="271"/>
      <c r="T82" s="271"/>
      <c r="U82" s="271"/>
      <c r="V82" s="272"/>
      <c r="W82" s="294" t="s">
        <v>97</v>
      </c>
      <c r="X82" s="295"/>
      <c r="Y82" s="295"/>
      <c r="Z82" s="295"/>
      <c r="AA82" s="295"/>
      <c r="AB82" s="295"/>
      <c r="AC82" s="295"/>
      <c r="AD82" s="295"/>
      <c r="AE82" s="296"/>
      <c r="AF82" s="60" t="s">
        <v>70</v>
      </c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53"/>
      <c r="BC82" s="33"/>
    </row>
    <row r="83" spans="1:55">
      <c r="A83" s="33"/>
      <c r="B83" s="78" t="s">
        <v>54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7"/>
      <c r="BC83" s="33"/>
    </row>
    <row r="84" spans="1:55">
      <c r="A84" s="33"/>
      <c r="B84" s="273">
        <v>3</v>
      </c>
      <c r="C84" s="274"/>
      <c r="D84" s="258" t="s">
        <v>55</v>
      </c>
      <c r="E84" s="259"/>
      <c r="F84" s="259"/>
      <c r="G84" s="259"/>
      <c r="H84" s="259"/>
      <c r="I84" s="259"/>
      <c r="J84" s="259"/>
      <c r="K84" s="259"/>
      <c r="L84" s="260"/>
      <c r="M84" s="270" t="s">
        <v>31</v>
      </c>
      <c r="N84" s="271"/>
      <c r="O84" s="271"/>
      <c r="P84" s="271"/>
      <c r="Q84" s="271"/>
      <c r="R84" s="271"/>
      <c r="S84" s="271"/>
      <c r="T84" s="271"/>
      <c r="U84" s="271"/>
      <c r="V84" s="272"/>
      <c r="W84" s="302" t="s">
        <v>31</v>
      </c>
      <c r="X84" s="303"/>
      <c r="Y84" s="303"/>
      <c r="Z84" s="303"/>
      <c r="AA84" s="303"/>
      <c r="AB84" s="303"/>
      <c r="AC84" s="303"/>
      <c r="AD84" s="303"/>
      <c r="AE84" s="304"/>
      <c r="AF84" s="79" t="s">
        <v>56</v>
      </c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68"/>
      <c r="BC84" s="33"/>
    </row>
    <row r="85" spans="1:55">
      <c r="A85" s="33"/>
      <c r="B85" s="312">
        <v>4</v>
      </c>
      <c r="C85" s="313"/>
      <c r="D85" s="314" t="s">
        <v>57</v>
      </c>
      <c r="E85" s="315"/>
      <c r="F85" s="315"/>
      <c r="G85" s="315"/>
      <c r="H85" s="315"/>
      <c r="I85" s="315"/>
      <c r="J85" s="315"/>
      <c r="K85" s="315"/>
      <c r="L85" s="316"/>
      <c r="M85" s="317" t="s">
        <v>91</v>
      </c>
      <c r="N85" s="318"/>
      <c r="O85" s="318"/>
      <c r="P85" s="318"/>
      <c r="Q85" s="318"/>
      <c r="R85" s="318"/>
      <c r="S85" s="318"/>
      <c r="T85" s="318"/>
      <c r="U85" s="318"/>
      <c r="V85" s="319"/>
      <c r="W85" s="320" t="s">
        <v>91</v>
      </c>
      <c r="X85" s="321"/>
      <c r="Y85" s="321"/>
      <c r="Z85" s="321"/>
      <c r="AA85" s="321"/>
      <c r="AB85" s="321"/>
      <c r="AC85" s="321"/>
      <c r="AD85" s="321"/>
      <c r="AE85" s="322"/>
      <c r="AF85" s="58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7"/>
      <c r="BC85" s="33"/>
    </row>
    <row r="86" spans="1:55">
      <c r="A86" s="33"/>
      <c r="B86" s="261">
        <v>5</v>
      </c>
      <c r="C86" s="262"/>
      <c r="D86" s="258" t="s">
        <v>58</v>
      </c>
      <c r="E86" s="259"/>
      <c r="F86" s="259"/>
      <c r="G86" s="259"/>
      <c r="H86" s="259"/>
      <c r="I86" s="259"/>
      <c r="J86" s="259"/>
      <c r="K86" s="259"/>
      <c r="L86" s="260"/>
      <c r="M86" s="270" t="s">
        <v>93</v>
      </c>
      <c r="N86" s="271"/>
      <c r="O86" s="271"/>
      <c r="P86" s="271"/>
      <c r="Q86" s="271"/>
      <c r="R86" s="271"/>
      <c r="S86" s="271"/>
      <c r="T86" s="271"/>
      <c r="U86" s="271"/>
      <c r="V86" s="272"/>
      <c r="W86" s="302" t="s">
        <v>92</v>
      </c>
      <c r="X86" s="303"/>
      <c r="Y86" s="303"/>
      <c r="Z86" s="303"/>
      <c r="AA86" s="303"/>
      <c r="AB86" s="303"/>
      <c r="AC86" s="303"/>
      <c r="AD86" s="303"/>
      <c r="AE86" s="304"/>
      <c r="AF86" s="60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38"/>
      <c r="BC86" s="33"/>
    </row>
    <row r="87" spans="1:55">
      <c r="A87" s="33"/>
      <c r="B87" s="261">
        <v>6</v>
      </c>
      <c r="C87" s="356"/>
      <c r="D87" s="357" t="s">
        <v>59</v>
      </c>
      <c r="E87" s="358"/>
      <c r="F87" s="358"/>
      <c r="G87" s="358"/>
      <c r="H87" s="358"/>
      <c r="I87" s="358"/>
      <c r="J87" s="358"/>
      <c r="K87" s="358"/>
      <c r="L87" s="359"/>
      <c r="M87" s="360" t="s">
        <v>94</v>
      </c>
      <c r="N87" s="361"/>
      <c r="O87" s="361"/>
      <c r="P87" s="361"/>
      <c r="Q87" s="361"/>
      <c r="R87" s="361"/>
      <c r="S87" s="361"/>
      <c r="T87" s="361"/>
      <c r="U87" s="361"/>
      <c r="V87" s="362"/>
      <c r="W87" s="363" t="s">
        <v>95</v>
      </c>
      <c r="X87" s="364"/>
      <c r="Y87" s="364"/>
      <c r="Z87" s="364"/>
      <c r="AA87" s="364"/>
      <c r="AB87" s="364"/>
      <c r="AC87" s="364"/>
      <c r="AD87" s="364"/>
      <c r="AE87" s="365"/>
      <c r="AF87" s="60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38"/>
      <c r="BC87" s="33"/>
    </row>
    <row r="88" spans="1:55">
      <c r="A88" s="33"/>
      <c r="B88" s="261">
        <v>7</v>
      </c>
      <c r="C88" s="262"/>
      <c r="D88" s="258" t="s">
        <v>60</v>
      </c>
      <c r="E88" s="259"/>
      <c r="F88" s="259"/>
      <c r="G88" s="259"/>
      <c r="H88" s="259"/>
      <c r="I88" s="259"/>
      <c r="J88" s="259"/>
      <c r="K88" s="259"/>
      <c r="L88" s="260"/>
      <c r="M88" s="270" t="s">
        <v>96</v>
      </c>
      <c r="N88" s="271"/>
      <c r="O88" s="271"/>
      <c r="P88" s="271"/>
      <c r="Q88" s="271"/>
      <c r="R88" s="271"/>
      <c r="S88" s="271"/>
      <c r="T88" s="271"/>
      <c r="U88" s="271"/>
      <c r="V88" s="272"/>
      <c r="W88" s="294" t="s">
        <v>97</v>
      </c>
      <c r="X88" s="295"/>
      <c r="Y88" s="295"/>
      <c r="Z88" s="295"/>
      <c r="AA88" s="295"/>
      <c r="AB88" s="295"/>
      <c r="AC88" s="295"/>
      <c r="AD88" s="295"/>
      <c r="AE88" s="296"/>
      <c r="AF88" s="60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38"/>
      <c r="BC88" s="33"/>
    </row>
    <row r="89" spans="1:55">
      <c r="A89" s="33"/>
      <c r="B89" s="366">
        <v>8</v>
      </c>
      <c r="C89" s="367"/>
      <c r="D89" s="368" t="s">
        <v>61</v>
      </c>
      <c r="E89" s="369"/>
      <c r="F89" s="369"/>
      <c r="G89" s="369"/>
      <c r="H89" s="369"/>
      <c r="I89" s="369"/>
      <c r="J89" s="369"/>
      <c r="K89" s="369"/>
      <c r="L89" s="370"/>
      <c r="M89" s="371" t="s">
        <v>99</v>
      </c>
      <c r="N89" s="372"/>
      <c r="O89" s="372"/>
      <c r="P89" s="372"/>
      <c r="Q89" s="372"/>
      <c r="R89" s="372"/>
      <c r="S89" s="372"/>
      <c r="T89" s="372"/>
      <c r="U89" s="372"/>
      <c r="V89" s="373"/>
      <c r="W89" s="374" t="s">
        <v>98</v>
      </c>
      <c r="X89" s="375"/>
      <c r="Y89" s="375"/>
      <c r="Z89" s="375"/>
      <c r="AA89" s="375"/>
      <c r="AB89" s="375"/>
      <c r="AC89" s="375"/>
      <c r="AD89" s="375"/>
      <c r="AE89" s="376"/>
      <c r="AF89" s="87" t="s">
        <v>65</v>
      </c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38"/>
      <c r="BC89" s="33"/>
    </row>
    <row r="90" spans="1:55">
      <c r="A90" s="33"/>
      <c r="B90" s="325"/>
      <c r="C90" s="326"/>
      <c r="D90" s="332"/>
      <c r="E90" s="333"/>
      <c r="F90" s="333"/>
      <c r="G90" s="333"/>
      <c r="H90" s="333"/>
      <c r="I90" s="333"/>
      <c r="J90" s="333"/>
      <c r="K90" s="333"/>
      <c r="L90" s="334"/>
      <c r="M90" s="341"/>
      <c r="N90" s="342"/>
      <c r="O90" s="342"/>
      <c r="P90" s="342"/>
      <c r="Q90" s="342"/>
      <c r="R90" s="342"/>
      <c r="S90" s="342"/>
      <c r="T90" s="342"/>
      <c r="U90" s="342"/>
      <c r="V90" s="343"/>
      <c r="W90" s="350"/>
      <c r="X90" s="351"/>
      <c r="Y90" s="351"/>
      <c r="Z90" s="351"/>
      <c r="AA90" s="351"/>
      <c r="AB90" s="351"/>
      <c r="AC90" s="351"/>
      <c r="AD90" s="351"/>
      <c r="AE90" s="352"/>
      <c r="AF90" s="89" t="s">
        <v>103</v>
      </c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1"/>
      <c r="BC90" s="33"/>
    </row>
    <row r="91" spans="1:55">
      <c r="A91" s="33"/>
      <c r="B91" s="327"/>
      <c r="C91" s="328"/>
      <c r="D91" s="335"/>
      <c r="E91" s="336"/>
      <c r="F91" s="336"/>
      <c r="G91" s="336"/>
      <c r="H91" s="336"/>
      <c r="I91" s="336"/>
      <c r="J91" s="336"/>
      <c r="K91" s="336"/>
      <c r="L91" s="337"/>
      <c r="M91" s="344"/>
      <c r="N91" s="345"/>
      <c r="O91" s="345"/>
      <c r="P91" s="345"/>
      <c r="Q91" s="345"/>
      <c r="R91" s="345"/>
      <c r="S91" s="345"/>
      <c r="T91" s="345"/>
      <c r="U91" s="345"/>
      <c r="V91" s="346"/>
      <c r="W91" s="353"/>
      <c r="X91" s="354"/>
      <c r="Y91" s="354"/>
      <c r="Z91" s="354"/>
      <c r="AA91" s="354"/>
      <c r="AB91" s="354"/>
      <c r="AC91" s="354"/>
      <c r="AD91" s="354"/>
      <c r="AE91" s="355"/>
      <c r="AF91" s="54" t="s">
        <v>104</v>
      </c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6"/>
      <c r="BC91" s="33"/>
    </row>
    <row r="92" spans="1:55">
      <c r="A92" s="33"/>
      <c r="B92" s="366">
        <v>9</v>
      </c>
      <c r="C92" s="367"/>
      <c r="D92" s="368" t="s">
        <v>62</v>
      </c>
      <c r="E92" s="369"/>
      <c r="F92" s="369"/>
      <c r="G92" s="369"/>
      <c r="H92" s="369"/>
      <c r="I92" s="369"/>
      <c r="J92" s="369"/>
      <c r="K92" s="369"/>
      <c r="L92" s="370"/>
      <c r="M92" s="371" t="s">
        <v>99</v>
      </c>
      <c r="N92" s="372"/>
      <c r="O92" s="372"/>
      <c r="P92" s="372"/>
      <c r="Q92" s="372"/>
      <c r="R92" s="372"/>
      <c r="S92" s="372"/>
      <c r="T92" s="372"/>
      <c r="U92" s="372"/>
      <c r="V92" s="373"/>
      <c r="W92" s="374" t="s">
        <v>100</v>
      </c>
      <c r="X92" s="375"/>
      <c r="Y92" s="375"/>
      <c r="Z92" s="375"/>
      <c r="AA92" s="375"/>
      <c r="AB92" s="375"/>
      <c r="AC92" s="375"/>
      <c r="AD92" s="375"/>
      <c r="AE92" s="376"/>
      <c r="AF92" s="101" t="s">
        <v>128</v>
      </c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38"/>
    </row>
    <row r="93" spans="1:55">
      <c r="A93" s="33"/>
      <c r="B93" s="327"/>
      <c r="C93" s="328"/>
      <c r="D93" s="335"/>
      <c r="E93" s="336"/>
      <c r="F93" s="336"/>
      <c r="G93" s="336"/>
      <c r="H93" s="336"/>
      <c r="I93" s="336"/>
      <c r="J93" s="336"/>
      <c r="K93" s="336"/>
      <c r="L93" s="337"/>
      <c r="M93" s="344"/>
      <c r="N93" s="345"/>
      <c r="O93" s="345"/>
      <c r="P93" s="345"/>
      <c r="Q93" s="345"/>
      <c r="R93" s="345"/>
      <c r="S93" s="345"/>
      <c r="T93" s="345"/>
      <c r="U93" s="345"/>
      <c r="V93" s="346"/>
      <c r="W93" s="353"/>
      <c r="X93" s="354"/>
      <c r="Y93" s="354"/>
      <c r="Z93" s="354"/>
      <c r="AA93" s="354"/>
      <c r="AB93" s="354"/>
      <c r="AC93" s="354"/>
      <c r="AD93" s="354"/>
      <c r="AE93" s="355"/>
      <c r="AF93" s="54" t="s">
        <v>129</v>
      </c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38"/>
    </row>
    <row r="94" spans="1:55">
      <c r="A94" s="33"/>
      <c r="B94" s="387">
        <v>10</v>
      </c>
      <c r="C94" s="388"/>
      <c r="D94" s="391" t="s">
        <v>114</v>
      </c>
      <c r="E94" s="392"/>
      <c r="F94" s="392"/>
      <c r="G94" s="392"/>
      <c r="H94" s="392"/>
      <c r="I94" s="392"/>
      <c r="J94" s="392"/>
      <c r="K94" s="392"/>
      <c r="L94" s="393"/>
      <c r="M94" s="397" t="s">
        <v>99</v>
      </c>
      <c r="N94" s="398"/>
      <c r="O94" s="398"/>
      <c r="P94" s="398"/>
      <c r="Q94" s="398"/>
      <c r="R94" s="398"/>
      <c r="S94" s="398"/>
      <c r="T94" s="398"/>
      <c r="U94" s="398"/>
      <c r="V94" s="399"/>
      <c r="W94" s="403" t="s">
        <v>115</v>
      </c>
      <c r="X94" s="404"/>
      <c r="Y94" s="404"/>
      <c r="Z94" s="404"/>
      <c r="AA94" s="404"/>
      <c r="AB94" s="404"/>
      <c r="AC94" s="404"/>
      <c r="AD94" s="404"/>
      <c r="AE94" s="405"/>
      <c r="AF94" s="98" t="s">
        <v>130</v>
      </c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38"/>
    </row>
    <row r="95" spans="1:55">
      <c r="A95" s="33"/>
      <c r="B95" s="389"/>
      <c r="C95" s="390"/>
      <c r="D95" s="394"/>
      <c r="E95" s="395"/>
      <c r="F95" s="395"/>
      <c r="G95" s="395"/>
      <c r="H95" s="395"/>
      <c r="I95" s="395"/>
      <c r="J95" s="395"/>
      <c r="K95" s="395"/>
      <c r="L95" s="396"/>
      <c r="M95" s="400"/>
      <c r="N95" s="401"/>
      <c r="O95" s="401"/>
      <c r="P95" s="401"/>
      <c r="Q95" s="401"/>
      <c r="R95" s="401"/>
      <c r="S95" s="401"/>
      <c r="T95" s="401"/>
      <c r="U95" s="401"/>
      <c r="V95" s="402"/>
      <c r="W95" s="406"/>
      <c r="X95" s="407"/>
      <c r="Y95" s="407"/>
      <c r="Z95" s="407"/>
      <c r="AA95" s="407"/>
      <c r="AB95" s="407"/>
      <c r="AC95" s="407"/>
      <c r="AD95" s="407"/>
      <c r="AE95" s="408"/>
      <c r="AF95" s="99" t="s">
        <v>131</v>
      </c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38"/>
    </row>
    <row r="96" spans="1:55">
      <c r="A96" s="33"/>
      <c r="B96" s="45"/>
      <c r="C96" s="45"/>
      <c r="D96" s="52"/>
      <c r="E96" s="52"/>
      <c r="F96" s="52"/>
      <c r="G96" s="52"/>
      <c r="H96" s="52"/>
      <c r="I96" s="52"/>
      <c r="J96" s="52"/>
      <c r="K96" s="52"/>
      <c r="L96" s="5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3"/>
      <c r="X96" s="93"/>
      <c r="Y96" s="93"/>
      <c r="Z96" s="93"/>
      <c r="AA96" s="93"/>
      <c r="AB96" s="93"/>
      <c r="AC96" s="93"/>
      <c r="AD96" s="93"/>
      <c r="AE96" s="93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33"/>
    </row>
    <row r="97" spans="1:55">
      <c r="A97" s="33"/>
      <c r="B97" s="45"/>
      <c r="C97" s="45"/>
      <c r="D97" s="52"/>
      <c r="E97" s="52"/>
      <c r="F97" s="52"/>
      <c r="G97" s="52"/>
      <c r="H97" s="52"/>
      <c r="I97" s="52"/>
      <c r="J97" s="52"/>
      <c r="K97" s="52"/>
      <c r="L97" s="5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3"/>
      <c r="X97" s="93"/>
      <c r="Y97" s="93"/>
      <c r="Z97" s="93"/>
      <c r="AA97" s="93"/>
      <c r="AB97" s="93"/>
      <c r="AC97" s="93"/>
      <c r="AD97" s="93"/>
      <c r="AE97" s="93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33"/>
    </row>
    <row r="98" spans="1:55" s="80" customFormat="1" ht="13.5" customHeight="1">
      <c r="B98" s="298" t="s">
        <v>71</v>
      </c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  <c r="AH98" s="298"/>
      <c r="AI98" s="298"/>
      <c r="AJ98" s="298"/>
      <c r="AK98" s="298"/>
      <c r="AL98" s="298"/>
      <c r="AM98" s="298"/>
      <c r="AN98" s="298"/>
      <c r="AO98" s="298"/>
      <c r="AP98" s="298"/>
      <c r="AQ98" s="298"/>
      <c r="AR98" s="298"/>
      <c r="AS98" s="298"/>
      <c r="AT98" s="298"/>
      <c r="AU98" s="298"/>
      <c r="AV98" s="298"/>
      <c r="AW98" s="298"/>
      <c r="AX98" s="298"/>
      <c r="AY98" s="298"/>
      <c r="AZ98" s="298"/>
      <c r="BA98" s="298"/>
      <c r="BB98" s="298"/>
    </row>
    <row r="99" spans="1:55" s="80" customFormat="1" ht="13.5" customHeight="1"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  <c r="AH99" s="298"/>
      <c r="AI99" s="298"/>
      <c r="AJ99" s="298"/>
      <c r="AK99" s="298"/>
      <c r="AL99" s="298"/>
      <c r="AM99" s="298"/>
      <c r="AN99" s="298"/>
      <c r="AO99" s="298"/>
      <c r="AP99" s="298"/>
      <c r="AQ99" s="298"/>
      <c r="AR99" s="298"/>
      <c r="AS99" s="298"/>
      <c r="AT99" s="298"/>
      <c r="AU99" s="298"/>
      <c r="AV99" s="298"/>
      <c r="AW99" s="298"/>
      <c r="AX99" s="298"/>
      <c r="AY99" s="298"/>
      <c r="AZ99" s="298"/>
      <c r="BA99" s="298"/>
      <c r="BB99" s="298"/>
    </row>
    <row r="100" spans="1:55" s="80" customFormat="1" ht="13.5" customHeight="1">
      <c r="B100" s="81" t="s">
        <v>29</v>
      </c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</row>
    <row r="101" spans="1:55" s="83" customFormat="1">
      <c r="A101" s="82"/>
      <c r="B101" s="412" t="s">
        <v>17</v>
      </c>
      <c r="C101" s="412"/>
      <c r="D101" s="413" t="s">
        <v>28</v>
      </c>
      <c r="E101" s="413"/>
      <c r="F101" s="413"/>
      <c r="G101" s="413"/>
      <c r="H101" s="413"/>
      <c r="I101" s="413"/>
      <c r="J101" s="299" t="s">
        <v>27</v>
      </c>
      <c r="K101" s="300"/>
      <c r="L101" s="300"/>
      <c r="M101" s="300"/>
      <c r="N101" s="300"/>
      <c r="O101" s="301"/>
      <c r="P101" s="299" t="s">
        <v>32</v>
      </c>
      <c r="Q101" s="300"/>
      <c r="R101" s="300"/>
      <c r="S101" s="300"/>
      <c r="T101" s="300"/>
      <c r="U101" s="301"/>
      <c r="V101" s="299" t="s">
        <v>26</v>
      </c>
      <c r="W101" s="301"/>
      <c r="X101" s="299" t="s">
        <v>25</v>
      </c>
      <c r="Y101" s="300"/>
      <c r="Z101" s="301"/>
      <c r="AA101" s="299" t="s">
        <v>72</v>
      </c>
      <c r="AB101" s="300"/>
      <c r="AC101" s="301"/>
      <c r="AD101" s="299" t="s">
        <v>73</v>
      </c>
      <c r="AE101" s="300"/>
      <c r="AF101" s="301"/>
      <c r="AG101" s="409" t="s">
        <v>22</v>
      </c>
      <c r="AH101" s="410"/>
      <c r="AI101" s="410"/>
      <c r="AJ101" s="410"/>
      <c r="AK101" s="410"/>
      <c r="AL101" s="410"/>
      <c r="AM101" s="410"/>
      <c r="AN101" s="410"/>
      <c r="AO101" s="410"/>
      <c r="AP101" s="411"/>
      <c r="AQ101" s="299" t="s">
        <v>18</v>
      </c>
      <c r="AR101" s="300"/>
      <c r="AS101" s="300"/>
      <c r="AT101" s="300"/>
      <c r="AU101" s="300"/>
      <c r="AV101" s="300"/>
      <c r="AW101" s="300"/>
      <c r="AX101" s="300"/>
      <c r="AY101" s="300"/>
      <c r="AZ101" s="300"/>
      <c r="BA101" s="300"/>
      <c r="BB101" s="301"/>
      <c r="BC101" s="82"/>
    </row>
    <row r="102" spans="1:55" s="83" customFormat="1">
      <c r="A102" s="82"/>
      <c r="B102" s="251">
        <v>1</v>
      </c>
      <c r="C102" s="251"/>
      <c r="D102" s="252" t="s">
        <v>50</v>
      </c>
      <c r="E102" s="253"/>
      <c r="F102" s="253"/>
      <c r="G102" s="253"/>
      <c r="H102" s="253"/>
      <c r="I102" s="254"/>
      <c r="J102" s="252" t="s">
        <v>78</v>
      </c>
      <c r="K102" s="253"/>
      <c r="L102" s="253"/>
      <c r="M102" s="253"/>
      <c r="N102" s="253"/>
      <c r="O102" s="254"/>
      <c r="P102" s="252" t="s">
        <v>46</v>
      </c>
      <c r="Q102" s="253"/>
      <c r="R102" s="253"/>
      <c r="S102" s="253"/>
      <c r="T102" s="253"/>
      <c r="U102" s="254"/>
      <c r="V102" s="255" t="s">
        <v>37</v>
      </c>
      <c r="W102" s="256"/>
      <c r="X102" s="255" t="s">
        <v>76</v>
      </c>
      <c r="Y102" s="257"/>
      <c r="Z102" s="256"/>
      <c r="AA102" s="255" t="s">
        <v>76</v>
      </c>
      <c r="AB102" s="257"/>
      <c r="AC102" s="256"/>
      <c r="AD102" s="255" t="s">
        <v>76</v>
      </c>
      <c r="AE102" s="257"/>
      <c r="AF102" s="256"/>
      <c r="AG102" s="252"/>
      <c r="AH102" s="253"/>
      <c r="AI102" s="253"/>
      <c r="AJ102" s="253"/>
      <c r="AK102" s="253"/>
      <c r="AL102" s="253"/>
      <c r="AM102" s="253"/>
      <c r="AN102" s="253"/>
      <c r="AO102" s="253"/>
      <c r="AP102" s="254"/>
      <c r="AQ102" s="248"/>
      <c r="AR102" s="249"/>
      <c r="AS102" s="249"/>
      <c r="AT102" s="249"/>
      <c r="AU102" s="249"/>
      <c r="AV102" s="249"/>
      <c r="AW102" s="249"/>
      <c r="AX102" s="249"/>
      <c r="AY102" s="249"/>
      <c r="AZ102" s="249"/>
      <c r="BA102" s="249"/>
      <c r="BB102" s="250"/>
      <c r="BC102" s="82"/>
    </row>
    <row r="103" spans="1:55" s="83" customFormat="1">
      <c r="A103" s="82"/>
      <c r="B103" s="251">
        <v>2</v>
      </c>
      <c r="C103" s="251"/>
      <c r="D103" s="252" t="s">
        <v>52</v>
      </c>
      <c r="E103" s="253"/>
      <c r="F103" s="253"/>
      <c r="G103" s="253"/>
      <c r="H103" s="253"/>
      <c r="I103" s="254"/>
      <c r="J103" s="252" t="s">
        <v>79</v>
      </c>
      <c r="K103" s="253"/>
      <c r="L103" s="253"/>
      <c r="M103" s="253"/>
      <c r="N103" s="253"/>
      <c r="O103" s="254"/>
      <c r="P103" s="252" t="s">
        <v>46</v>
      </c>
      <c r="Q103" s="253"/>
      <c r="R103" s="253"/>
      <c r="S103" s="253"/>
      <c r="T103" s="253"/>
      <c r="U103" s="254"/>
      <c r="V103" s="255" t="s">
        <v>37</v>
      </c>
      <c r="W103" s="256"/>
      <c r="X103" s="255" t="s">
        <v>76</v>
      </c>
      <c r="Y103" s="257"/>
      <c r="Z103" s="256"/>
      <c r="AA103" s="255" t="s">
        <v>76</v>
      </c>
      <c r="AB103" s="257"/>
      <c r="AC103" s="256"/>
      <c r="AD103" s="255" t="s">
        <v>76</v>
      </c>
      <c r="AE103" s="257"/>
      <c r="AF103" s="256"/>
      <c r="AG103" s="252"/>
      <c r="AH103" s="253"/>
      <c r="AI103" s="253"/>
      <c r="AJ103" s="253"/>
      <c r="AK103" s="253"/>
      <c r="AL103" s="253"/>
      <c r="AM103" s="253"/>
      <c r="AN103" s="253"/>
      <c r="AO103" s="253"/>
      <c r="AP103" s="254"/>
      <c r="AQ103" s="248"/>
      <c r="AR103" s="249"/>
      <c r="AS103" s="249"/>
      <c r="AT103" s="249"/>
      <c r="AU103" s="249"/>
      <c r="AV103" s="249"/>
      <c r="AW103" s="249"/>
      <c r="AX103" s="249"/>
      <c r="AY103" s="249"/>
      <c r="AZ103" s="249"/>
      <c r="BA103" s="249"/>
      <c r="BB103" s="250"/>
      <c r="BC103" s="82"/>
    </row>
    <row r="104" spans="1:55" s="83" customFormat="1">
      <c r="A104" s="82"/>
      <c r="B104" s="251">
        <v>3</v>
      </c>
      <c r="C104" s="251"/>
      <c r="D104" s="252" t="s">
        <v>74</v>
      </c>
      <c r="E104" s="253"/>
      <c r="F104" s="253"/>
      <c r="G104" s="253"/>
      <c r="H104" s="253"/>
      <c r="I104" s="254"/>
      <c r="J104" s="252" t="s">
        <v>31</v>
      </c>
      <c r="K104" s="253"/>
      <c r="L104" s="253"/>
      <c r="M104" s="253"/>
      <c r="N104" s="253"/>
      <c r="O104" s="254"/>
      <c r="P104" s="252" t="s">
        <v>75</v>
      </c>
      <c r="Q104" s="253"/>
      <c r="R104" s="253"/>
      <c r="S104" s="253"/>
      <c r="T104" s="253"/>
      <c r="U104" s="254"/>
      <c r="V104" s="255" t="s">
        <v>31</v>
      </c>
      <c r="W104" s="256"/>
      <c r="X104" s="255" t="s">
        <v>76</v>
      </c>
      <c r="Y104" s="257"/>
      <c r="Z104" s="256"/>
      <c r="AA104" s="255" t="s">
        <v>76</v>
      </c>
      <c r="AB104" s="257"/>
      <c r="AC104" s="256"/>
      <c r="AD104" s="255" t="s">
        <v>76</v>
      </c>
      <c r="AE104" s="257"/>
      <c r="AF104" s="256"/>
      <c r="AG104" s="252" t="s">
        <v>77</v>
      </c>
      <c r="AH104" s="253"/>
      <c r="AI104" s="253"/>
      <c r="AJ104" s="253"/>
      <c r="AK104" s="253"/>
      <c r="AL104" s="253"/>
      <c r="AM104" s="253"/>
      <c r="AN104" s="253"/>
      <c r="AO104" s="253"/>
      <c r="AP104" s="254"/>
      <c r="AQ104" s="248"/>
      <c r="AR104" s="249"/>
      <c r="AS104" s="249"/>
      <c r="AT104" s="249"/>
      <c r="AU104" s="249"/>
      <c r="AV104" s="249"/>
      <c r="AW104" s="249"/>
      <c r="AX104" s="249"/>
      <c r="AY104" s="249"/>
      <c r="AZ104" s="249"/>
      <c r="BA104" s="249"/>
      <c r="BB104" s="250"/>
      <c r="BC104" s="82"/>
    </row>
    <row r="105" spans="1:55">
      <c r="A105" s="82"/>
      <c r="B105" s="71"/>
      <c r="C105" s="71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3"/>
      <c r="AR105" s="73"/>
      <c r="AS105" s="73"/>
      <c r="AT105" s="73"/>
      <c r="AU105" s="73"/>
      <c r="AV105" s="73"/>
      <c r="AW105" s="73"/>
      <c r="AX105" s="74"/>
      <c r="AY105" s="74"/>
      <c r="AZ105" s="74"/>
      <c r="BA105" s="74"/>
      <c r="BB105" s="74"/>
      <c r="BC105" s="82"/>
    </row>
    <row r="106" spans="1:55">
      <c r="A106" s="82"/>
      <c r="B106" s="45"/>
      <c r="C106" s="45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75"/>
      <c r="AR106" s="75"/>
      <c r="AS106" s="75"/>
      <c r="AT106" s="75"/>
      <c r="AU106" s="75"/>
      <c r="AV106" s="75"/>
      <c r="AW106" s="75"/>
      <c r="AX106" s="74"/>
      <c r="AY106" s="74"/>
      <c r="AZ106" s="74"/>
      <c r="BA106" s="74"/>
      <c r="BB106" s="74"/>
      <c r="BC106" s="82"/>
    </row>
    <row r="107" spans="1:55" ht="13.5" customHeight="1">
      <c r="B107" s="100" t="s">
        <v>116</v>
      </c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</row>
    <row r="108" spans="1:55" ht="13.5" customHeight="1"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</row>
    <row r="109" spans="1:55">
      <c r="B109" s="29" t="s">
        <v>29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</row>
    <row r="110" spans="1:55">
      <c r="B110" s="284" t="s">
        <v>40</v>
      </c>
      <c r="C110" s="285"/>
      <c r="D110" s="263" t="s">
        <v>28</v>
      </c>
      <c r="E110" s="264"/>
      <c r="F110" s="264"/>
      <c r="G110" s="264"/>
      <c r="H110" s="264"/>
      <c r="I110" s="265"/>
      <c r="J110" s="381" t="s">
        <v>43</v>
      </c>
      <c r="K110" s="382"/>
      <c r="L110" s="382"/>
      <c r="M110" s="382"/>
      <c r="N110" s="382"/>
      <c r="O110" s="382"/>
      <c r="P110" s="382"/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  <c r="AA110" s="382"/>
      <c r="AB110" s="382"/>
      <c r="AC110" s="382"/>
      <c r="AD110" s="382"/>
      <c r="AE110" s="382"/>
      <c r="AF110" s="382"/>
      <c r="AG110" s="382"/>
      <c r="AH110" s="382"/>
      <c r="AI110" s="383"/>
      <c r="AJ110" s="266" t="s">
        <v>18</v>
      </c>
      <c r="AK110" s="267"/>
      <c r="AL110" s="267"/>
      <c r="AM110" s="267"/>
      <c r="AN110" s="267"/>
      <c r="AO110" s="267"/>
      <c r="AP110" s="267"/>
      <c r="AQ110" s="267"/>
      <c r="AR110" s="267"/>
      <c r="AS110" s="267"/>
      <c r="AT110" s="267"/>
      <c r="AU110" s="267"/>
      <c r="AV110" s="267"/>
      <c r="AW110" s="267"/>
      <c r="AX110" s="267"/>
      <c r="AY110" s="267"/>
      <c r="AZ110" s="267"/>
      <c r="BA110" s="267"/>
      <c r="BB110" s="268"/>
    </row>
    <row r="111" spans="1:55">
      <c r="B111" s="377">
        <v>1</v>
      </c>
      <c r="C111" s="378"/>
      <c r="D111" s="380"/>
      <c r="E111" s="380"/>
      <c r="F111" s="380"/>
      <c r="G111" s="380"/>
      <c r="H111" s="380"/>
      <c r="I111" s="380"/>
      <c r="J111" s="384" t="s">
        <v>136</v>
      </c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  <c r="AC111" s="385"/>
      <c r="AD111" s="385"/>
      <c r="AE111" s="385"/>
      <c r="AF111" s="385"/>
      <c r="AG111" s="385"/>
      <c r="AH111" s="385"/>
      <c r="AI111" s="386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94"/>
    </row>
    <row r="113" spans="1:55">
      <c r="A113" s="82"/>
      <c r="B113" s="45"/>
      <c r="C113" s="45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75"/>
      <c r="AR113" s="75"/>
      <c r="AS113" s="75"/>
      <c r="AT113" s="75"/>
      <c r="AU113" s="75"/>
      <c r="AV113" s="75"/>
      <c r="AW113" s="75"/>
      <c r="AX113" s="74"/>
      <c r="AY113" s="74"/>
      <c r="AZ113" s="74"/>
      <c r="BA113" s="74"/>
      <c r="BB113" s="74"/>
      <c r="BC113" s="82"/>
    </row>
    <row r="114" spans="1:55">
      <c r="A114" s="33"/>
      <c r="B114" s="297" t="s">
        <v>63</v>
      </c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297"/>
      <c r="BB114" s="297"/>
      <c r="BC114" s="33"/>
    </row>
    <row r="115" spans="1:55">
      <c r="A115" s="33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  <c r="AJ115" s="297"/>
      <c r="AK115" s="297"/>
      <c r="AL115" s="297"/>
      <c r="AM115" s="297"/>
      <c r="AN115" s="297"/>
      <c r="AO115" s="297"/>
      <c r="AP115" s="297"/>
      <c r="AQ115" s="297"/>
      <c r="AR115" s="297"/>
      <c r="AS115" s="297"/>
      <c r="AT115" s="297"/>
      <c r="AU115" s="297"/>
      <c r="AV115" s="297"/>
      <c r="AW115" s="297"/>
      <c r="AX115" s="297"/>
      <c r="AY115" s="297"/>
      <c r="AZ115" s="297"/>
      <c r="BA115" s="297"/>
      <c r="BB115" s="297"/>
      <c r="BC115" s="33"/>
    </row>
    <row r="116" spans="1:55">
      <c r="A116" s="33"/>
      <c r="B116" s="29" t="s">
        <v>29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spans="1:55">
      <c r="A117" s="33"/>
      <c r="B117" s="284" t="s">
        <v>17</v>
      </c>
      <c r="C117" s="285"/>
      <c r="D117" s="263" t="s">
        <v>28</v>
      </c>
      <c r="E117" s="264"/>
      <c r="F117" s="264"/>
      <c r="G117" s="264"/>
      <c r="H117" s="264"/>
      <c r="I117" s="265"/>
      <c r="J117" s="263" t="s">
        <v>27</v>
      </c>
      <c r="K117" s="264"/>
      <c r="L117" s="264"/>
      <c r="M117" s="264"/>
      <c r="N117" s="264"/>
      <c r="O117" s="265"/>
      <c r="P117" s="263" t="s">
        <v>32</v>
      </c>
      <c r="Q117" s="264"/>
      <c r="R117" s="264"/>
      <c r="S117" s="264"/>
      <c r="T117" s="264"/>
      <c r="U117" s="265"/>
      <c r="V117" s="263" t="s">
        <v>26</v>
      </c>
      <c r="W117" s="265"/>
      <c r="X117" s="263" t="s">
        <v>25</v>
      </c>
      <c r="Y117" s="264"/>
      <c r="Z117" s="265"/>
      <c r="AA117" s="263" t="s">
        <v>24</v>
      </c>
      <c r="AB117" s="264"/>
      <c r="AC117" s="265"/>
      <c r="AD117" s="263" t="s">
        <v>23</v>
      </c>
      <c r="AE117" s="264"/>
      <c r="AF117" s="265"/>
      <c r="AG117" s="263" t="s">
        <v>33</v>
      </c>
      <c r="AH117" s="265"/>
      <c r="AI117" s="263" t="s">
        <v>22</v>
      </c>
      <c r="AJ117" s="264"/>
      <c r="AK117" s="264"/>
      <c r="AL117" s="264"/>
      <c r="AM117" s="264"/>
      <c r="AN117" s="264"/>
      <c r="AO117" s="264"/>
      <c r="AP117" s="265"/>
      <c r="AQ117" s="275" t="s">
        <v>18</v>
      </c>
      <c r="AR117" s="276"/>
      <c r="AS117" s="276"/>
      <c r="AT117" s="276"/>
      <c r="AU117" s="276"/>
      <c r="AV117" s="276"/>
      <c r="AW117" s="276"/>
      <c r="AX117" s="276"/>
      <c r="AY117" s="276"/>
      <c r="AZ117" s="276"/>
      <c r="BA117" s="276"/>
      <c r="BB117" s="277"/>
      <c r="BC117" s="33"/>
    </row>
    <row r="118" spans="1:55">
      <c r="A118" s="33"/>
      <c r="B118" s="273">
        <v>1</v>
      </c>
      <c r="C118" s="274"/>
      <c r="D118" s="258" t="s">
        <v>80</v>
      </c>
      <c r="E118" s="259"/>
      <c r="F118" s="259"/>
      <c r="G118" s="259"/>
      <c r="H118" s="259"/>
      <c r="I118" s="260"/>
      <c r="J118" s="258" t="s">
        <v>82</v>
      </c>
      <c r="K118" s="259"/>
      <c r="L118" s="259"/>
      <c r="M118" s="259"/>
      <c r="N118" s="259"/>
      <c r="O118" s="260"/>
      <c r="P118" s="258" t="s">
        <v>36</v>
      </c>
      <c r="Q118" s="259"/>
      <c r="R118" s="259"/>
      <c r="S118" s="259"/>
      <c r="T118" s="259"/>
      <c r="U118" s="260"/>
      <c r="V118" s="261" t="s">
        <v>37</v>
      </c>
      <c r="W118" s="262"/>
      <c r="X118" s="261" t="s">
        <v>31</v>
      </c>
      <c r="Y118" s="269"/>
      <c r="Z118" s="262"/>
      <c r="AA118" s="261" t="s">
        <v>31</v>
      </c>
      <c r="AB118" s="269"/>
      <c r="AC118" s="262"/>
      <c r="AD118" s="261" t="s">
        <v>31</v>
      </c>
      <c r="AE118" s="269"/>
      <c r="AF118" s="262"/>
      <c r="AG118" s="261" t="s">
        <v>31</v>
      </c>
      <c r="AH118" s="262"/>
      <c r="AI118" s="270" t="s">
        <v>38</v>
      </c>
      <c r="AJ118" s="271"/>
      <c r="AK118" s="271"/>
      <c r="AL118" s="271"/>
      <c r="AM118" s="271"/>
      <c r="AN118" s="271"/>
      <c r="AO118" s="271"/>
      <c r="AP118" s="272"/>
      <c r="AQ118" s="62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4"/>
      <c r="BC118" s="33"/>
    </row>
    <row r="119" spans="1:55">
      <c r="A119" s="33"/>
      <c r="B119" s="261">
        <v>2</v>
      </c>
      <c r="C119" s="262"/>
      <c r="D119" s="258" t="s">
        <v>45</v>
      </c>
      <c r="E119" s="259"/>
      <c r="F119" s="259"/>
      <c r="G119" s="259"/>
      <c r="H119" s="259"/>
      <c r="I119" s="260"/>
      <c r="J119" s="258" t="s">
        <v>81</v>
      </c>
      <c r="K119" s="259"/>
      <c r="L119" s="259"/>
      <c r="M119" s="259"/>
      <c r="N119" s="259"/>
      <c r="O119" s="260"/>
      <c r="P119" s="258" t="s">
        <v>36</v>
      </c>
      <c r="Q119" s="259"/>
      <c r="R119" s="259"/>
      <c r="S119" s="259"/>
      <c r="T119" s="259"/>
      <c r="U119" s="260"/>
      <c r="V119" s="261" t="s">
        <v>37</v>
      </c>
      <c r="W119" s="262"/>
      <c r="X119" s="261" t="s">
        <v>31</v>
      </c>
      <c r="Y119" s="269"/>
      <c r="Z119" s="262"/>
      <c r="AA119" s="261" t="s">
        <v>31</v>
      </c>
      <c r="AB119" s="269"/>
      <c r="AC119" s="262"/>
      <c r="AD119" s="261" t="s">
        <v>31</v>
      </c>
      <c r="AE119" s="269"/>
      <c r="AF119" s="262"/>
      <c r="AG119" s="261" t="s">
        <v>31</v>
      </c>
      <c r="AH119" s="262"/>
      <c r="AI119" s="270" t="s">
        <v>38</v>
      </c>
      <c r="AJ119" s="271"/>
      <c r="AK119" s="271"/>
      <c r="AL119" s="271"/>
      <c r="AM119" s="271"/>
      <c r="AN119" s="271"/>
      <c r="AO119" s="271"/>
      <c r="AP119" s="272"/>
      <c r="AQ119" s="62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4"/>
      <c r="BC119" s="33"/>
    </row>
    <row r="120" spans="1:55">
      <c r="A120" s="33"/>
      <c r="B120" s="261">
        <v>3</v>
      </c>
      <c r="C120" s="262"/>
      <c r="D120" s="258" t="s">
        <v>105</v>
      </c>
      <c r="E120" s="259"/>
      <c r="F120" s="259"/>
      <c r="G120" s="259"/>
      <c r="H120" s="259"/>
      <c r="I120" s="260"/>
      <c r="J120" s="258" t="s">
        <v>106</v>
      </c>
      <c r="K120" s="259"/>
      <c r="L120" s="259"/>
      <c r="M120" s="259"/>
      <c r="N120" s="259"/>
      <c r="O120" s="260"/>
      <c r="P120" s="258" t="s">
        <v>36</v>
      </c>
      <c r="Q120" s="259"/>
      <c r="R120" s="259"/>
      <c r="S120" s="259"/>
      <c r="T120" s="259"/>
      <c r="U120" s="260"/>
      <c r="V120" s="261" t="s">
        <v>37</v>
      </c>
      <c r="W120" s="262"/>
      <c r="X120" s="261" t="s">
        <v>31</v>
      </c>
      <c r="Y120" s="269"/>
      <c r="Z120" s="262"/>
      <c r="AA120" s="261" t="s">
        <v>31</v>
      </c>
      <c r="AB120" s="269"/>
      <c r="AC120" s="262"/>
      <c r="AD120" s="261" t="s">
        <v>31</v>
      </c>
      <c r="AE120" s="269"/>
      <c r="AF120" s="262"/>
      <c r="AG120" s="261" t="s">
        <v>31</v>
      </c>
      <c r="AH120" s="262"/>
      <c r="AI120" s="270" t="s">
        <v>38</v>
      </c>
      <c r="AJ120" s="271"/>
      <c r="AK120" s="271"/>
      <c r="AL120" s="271"/>
      <c r="AM120" s="271"/>
      <c r="AN120" s="271"/>
      <c r="AO120" s="271"/>
      <c r="AP120" s="272"/>
      <c r="AQ120" s="84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6"/>
      <c r="BC120" s="33"/>
    </row>
    <row r="121" spans="1:55">
      <c r="A121" s="33"/>
      <c r="B121" s="261">
        <v>4</v>
      </c>
      <c r="C121" s="262"/>
      <c r="D121" s="258" t="s">
        <v>87</v>
      </c>
      <c r="E121" s="259"/>
      <c r="F121" s="259"/>
      <c r="G121" s="259"/>
      <c r="H121" s="259"/>
      <c r="I121" s="260"/>
      <c r="J121" s="258" t="s">
        <v>88</v>
      </c>
      <c r="K121" s="259"/>
      <c r="L121" s="259"/>
      <c r="M121" s="259"/>
      <c r="N121" s="259"/>
      <c r="O121" s="260"/>
      <c r="P121" s="258" t="s">
        <v>36</v>
      </c>
      <c r="Q121" s="259"/>
      <c r="R121" s="259"/>
      <c r="S121" s="259"/>
      <c r="T121" s="259"/>
      <c r="U121" s="260"/>
      <c r="V121" s="261" t="s">
        <v>37</v>
      </c>
      <c r="W121" s="262"/>
      <c r="X121" s="261" t="s">
        <v>31</v>
      </c>
      <c r="Y121" s="269"/>
      <c r="Z121" s="262"/>
      <c r="AA121" s="261" t="s">
        <v>31</v>
      </c>
      <c r="AB121" s="269"/>
      <c r="AC121" s="262"/>
      <c r="AD121" s="261" t="s">
        <v>31</v>
      </c>
      <c r="AE121" s="269"/>
      <c r="AF121" s="262"/>
      <c r="AG121" s="261" t="s">
        <v>31</v>
      </c>
      <c r="AH121" s="262"/>
      <c r="AI121" s="270" t="s">
        <v>38</v>
      </c>
      <c r="AJ121" s="271"/>
      <c r="AK121" s="271"/>
      <c r="AL121" s="271"/>
      <c r="AM121" s="271"/>
      <c r="AN121" s="271"/>
      <c r="AO121" s="271"/>
      <c r="AP121" s="272"/>
      <c r="AQ121" s="62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4"/>
      <c r="BC121" s="33"/>
    </row>
    <row r="122" spans="1:55">
      <c r="A122" s="33"/>
      <c r="B122" s="261">
        <v>5</v>
      </c>
      <c r="C122" s="262"/>
      <c r="D122" s="281" t="s">
        <v>66</v>
      </c>
      <c r="E122" s="282"/>
      <c r="F122" s="282"/>
      <c r="G122" s="282"/>
      <c r="H122" s="282"/>
      <c r="I122" s="283"/>
      <c r="J122" s="281" t="s">
        <v>31</v>
      </c>
      <c r="K122" s="282"/>
      <c r="L122" s="282"/>
      <c r="M122" s="282"/>
      <c r="N122" s="282"/>
      <c r="O122" s="283"/>
      <c r="P122" s="281" t="s">
        <v>47</v>
      </c>
      <c r="Q122" s="282"/>
      <c r="R122" s="282"/>
      <c r="S122" s="282"/>
      <c r="T122" s="282"/>
      <c r="U122" s="283"/>
      <c r="V122" s="273" t="s">
        <v>31</v>
      </c>
      <c r="W122" s="274"/>
      <c r="X122" s="273" t="s">
        <v>31</v>
      </c>
      <c r="Y122" s="286"/>
      <c r="Z122" s="274"/>
      <c r="AA122" s="273" t="s">
        <v>31</v>
      </c>
      <c r="AB122" s="286"/>
      <c r="AC122" s="274"/>
      <c r="AD122" s="273" t="s">
        <v>31</v>
      </c>
      <c r="AE122" s="286"/>
      <c r="AF122" s="274"/>
      <c r="AG122" s="273" t="s">
        <v>31</v>
      </c>
      <c r="AH122" s="274"/>
      <c r="AI122" s="278" t="s">
        <v>132</v>
      </c>
      <c r="AJ122" s="279"/>
      <c r="AK122" s="279"/>
      <c r="AL122" s="279"/>
      <c r="AM122" s="279"/>
      <c r="AN122" s="279"/>
      <c r="AO122" s="279"/>
      <c r="AP122" s="280"/>
      <c r="AQ122" s="47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9"/>
      <c r="BC122" s="33"/>
    </row>
    <row r="123" spans="1:5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spans="1:5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spans="1:55">
      <c r="B125" s="29" t="s">
        <v>39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</row>
    <row r="126" spans="1:55">
      <c r="B126" s="284" t="s">
        <v>40</v>
      </c>
      <c r="C126" s="285"/>
      <c r="D126" s="263" t="s">
        <v>28</v>
      </c>
      <c r="E126" s="264"/>
      <c r="F126" s="264"/>
      <c r="G126" s="264"/>
      <c r="H126" s="264"/>
      <c r="I126" s="265"/>
      <c r="J126" s="266" t="s">
        <v>42</v>
      </c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8"/>
      <c r="W126" s="266" t="s">
        <v>43</v>
      </c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8"/>
      <c r="AJ126" s="266" t="s">
        <v>44</v>
      </c>
      <c r="AK126" s="267"/>
      <c r="AL126" s="267"/>
      <c r="AM126" s="267"/>
      <c r="AN126" s="267"/>
      <c r="AO126" s="267"/>
      <c r="AP126" s="267"/>
      <c r="AQ126" s="267"/>
      <c r="AR126" s="267"/>
      <c r="AS126" s="267"/>
      <c r="AT126" s="267"/>
      <c r="AU126" s="267"/>
      <c r="AV126" s="267"/>
      <c r="AW126" s="267"/>
      <c r="AX126" s="267"/>
      <c r="AY126" s="267"/>
      <c r="AZ126" s="267"/>
      <c r="BA126" s="267"/>
      <c r="BB126" s="268"/>
    </row>
    <row r="127" spans="1:55">
      <c r="B127" s="377">
        <v>1</v>
      </c>
      <c r="C127" s="378"/>
      <c r="D127" s="379" t="s">
        <v>83</v>
      </c>
      <c r="E127" s="379"/>
      <c r="F127" s="379"/>
      <c r="G127" s="379"/>
      <c r="H127" s="379"/>
      <c r="I127" s="379"/>
      <c r="J127" s="30" t="s">
        <v>84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2"/>
      <c r="W127" s="65" t="s">
        <v>85</v>
      </c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7"/>
      <c r="AJ127" s="27" t="s">
        <v>86</v>
      </c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69"/>
    </row>
    <row r="128" spans="1:55" ht="13.5" customHeight="1">
      <c r="B128" s="39"/>
      <c r="C128" s="39"/>
      <c r="D128" s="52"/>
      <c r="E128" s="52"/>
      <c r="F128" s="52"/>
      <c r="G128" s="52"/>
      <c r="H128" s="52"/>
      <c r="I128" s="52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52"/>
    </row>
    <row r="129" spans="1:55" ht="13.5" customHeight="1">
      <c r="B129" s="39"/>
      <c r="C129" s="39"/>
      <c r="D129" s="52"/>
      <c r="E129" s="52"/>
      <c r="F129" s="52"/>
      <c r="G129" s="52"/>
      <c r="H129" s="52"/>
      <c r="I129" s="52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52"/>
    </row>
    <row r="130" spans="1:55" ht="14.25">
      <c r="A130" s="33"/>
      <c r="B130" s="51" t="s">
        <v>64</v>
      </c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33"/>
    </row>
    <row r="131" spans="1:55" ht="14.25">
      <c r="A131" s="33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33"/>
    </row>
    <row r="132" spans="1:55">
      <c r="A132" s="33"/>
      <c r="B132" s="29" t="s">
        <v>29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spans="1:55">
      <c r="A133" s="33"/>
      <c r="B133" s="284" t="s">
        <v>17</v>
      </c>
      <c r="C133" s="285"/>
      <c r="D133" s="263" t="s">
        <v>28</v>
      </c>
      <c r="E133" s="264"/>
      <c r="F133" s="264"/>
      <c r="G133" s="264"/>
      <c r="H133" s="264"/>
      <c r="I133" s="265"/>
      <c r="J133" s="263" t="s">
        <v>27</v>
      </c>
      <c r="K133" s="264"/>
      <c r="L133" s="264"/>
      <c r="M133" s="264"/>
      <c r="N133" s="264"/>
      <c r="O133" s="265"/>
      <c r="P133" s="263" t="s">
        <v>32</v>
      </c>
      <c r="Q133" s="264"/>
      <c r="R133" s="264"/>
      <c r="S133" s="264"/>
      <c r="T133" s="264"/>
      <c r="U133" s="265"/>
      <c r="V133" s="263" t="s">
        <v>26</v>
      </c>
      <c r="W133" s="265"/>
      <c r="X133" s="263" t="s">
        <v>25</v>
      </c>
      <c r="Y133" s="264"/>
      <c r="Z133" s="265"/>
      <c r="AA133" s="263" t="s">
        <v>24</v>
      </c>
      <c r="AB133" s="264"/>
      <c r="AC133" s="265"/>
      <c r="AD133" s="263" t="s">
        <v>23</v>
      </c>
      <c r="AE133" s="264"/>
      <c r="AF133" s="265"/>
      <c r="AG133" s="263" t="s">
        <v>33</v>
      </c>
      <c r="AH133" s="265"/>
      <c r="AI133" s="263" t="s">
        <v>22</v>
      </c>
      <c r="AJ133" s="264"/>
      <c r="AK133" s="264"/>
      <c r="AL133" s="264"/>
      <c r="AM133" s="264"/>
      <c r="AN133" s="264"/>
      <c r="AO133" s="264"/>
      <c r="AP133" s="265"/>
      <c r="AQ133" s="275" t="s">
        <v>18</v>
      </c>
      <c r="AR133" s="276"/>
      <c r="AS133" s="276"/>
      <c r="AT133" s="276"/>
      <c r="AU133" s="276"/>
      <c r="AV133" s="276"/>
      <c r="AW133" s="276"/>
      <c r="AX133" s="276"/>
      <c r="AY133" s="276"/>
      <c r="AZ133" s="276"/>
      <c r="BA133" s="276"/>
      <c r="BB133" s="277"/>
      <c r="BC133" s="33"/>
    </row>
    <row r="134" spans="1:55">
      <c r="A134" s="33"/>
      <c r="B134" s="273">
        <v>1</v>
      </c>
      <c r="C134" s="274"/>
      <c r="D134" s="258" t="s">
        <v>80</v>
      </c>
      <c r="E134" s="259"/>
      <c r="F134" s="259"/>
      <c r="G134" s="259"/>
      <c r="H134" s="259"/>
      <c r="I134" s="260"/>
      <c r="J134" s="258" t="s">
        <v>82</v>
      </c>
      <c r="K134" s="259"/>
      <c r="L134" s="259"/>
      <c r="M134" s="259"/>
      <c r="N134" s="259"/>
      <c r="O134" s="260"/>
      <c r="P134" s="258" t="s">
        <v>36</v>
      </c>
      <c r="Q134" s="259"/>
      <c r="R134" s="259"/>
      <c r="S134" s="259"/>
      <c r="T134" s="259"/>
      <c r="U134" s="260"/>
      <c r="V134" s="261" t="s">
        <v>37</v>
      </c>
      <c r="W134" s="262"/>
      <c r="X134" s="261" t="s">
        <v>31</v>
      </c>
      <c r="Y134" s="269"/>
      <c r="Z134" s="262"/>
      <c r="AA134" s="261" t="s">
        <v>31</v>
      </c>
      <c r="AB134" s="269"/>
      <c r="AC134" s="262"/>
      <c r="AD134" s="261" t="s">
        <v>31</v>
      </c>
      <c r="AE134" s="269"/>
      <c r="AF134" s="262"/>
      <c r="AG134" s="261" t="s">
        <v>31</v>
      </c>
      <c r="AH134" s="262"/>
      <c r="AI134" s="270" t="s">
        <v>38</v>
      </c>
      <c r="AJ134" s="271"/>
      <c r="AK134" s="271"/>
      <c r="AL134" s="271"/>
      <c r="AM134" s="271"/>
      <c r="AN134" s="271"/>
      <c r="AO134" s="271"/>
      <c r="AP134" s="272"/>
      <c r="AQ134" s="62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4"/>
      <c r="BC134" s="33"/>
    </row>
    <row r="135" spans="1:55">
      <c r="A135" s="33"/>
      <c r="B135" s="261">
        <v>2</v>
      </c>
      <c r="C135" s="262"/>
      <c r="D135" s="258" t="s">
        <v>45</v>
      </c>
      <c r="E135" s="259"/>
      <c r="F135" s="259"/>
      <c r="G135" s="259"/>
      <c r="H135" s="259"/>
      <c r="I135" s="260"/>
      <c r="J135" s="258" t="s">
        <v>81</v>
      </c>
      <c r="K135" s="259"/>
      <c r="L135" s="259"/>
      <c r="M135" s="259"/>
      <c r="N135" s="259"/>
      <c r="O135" s="260"/>
      <c r="P135" s="258" t="s">
        <v>36</v>
      </c>
      <c r="Q135" s="259"/>
      <c r="R135" s="259"/>
      <c r="S135" s="259"/>
      <c r="T135" s="259"/>
      <c r="U135" s="260"/>
      <c r="V135" s="261" t="s">
        <v>37</v>
      </c>
      <c r="W135" s="262"/>
      <c r="X135" s="261" t="s">
        <v>31</v>
      </c>
      <c r="Y135" s="269"/>
      <c r="Z135" s="262"/>
      <c r="AA135" s="261" t="s">
        <v>31</v>
      </c>
      <c r="AB135" s="269"/>
      <c r="AC135" s="262"/>
      <c r="AD135" s="261" t="s">
        <v>31</v>
      </c>
      <c r="AE135" s="269"/>
      <c r="AF135" s="262"/>
      <c r="AG135" s="261" t="s">
        <v>31</v>
      </c>
      <c r="AH135" s="262"/>
      <c r="AI135" s="270" t="s">
        <v>38</v>
      </c>
      <c r="AJ135" s="271"/>
      <c r="AK135" s="271"/>
      <c r="AL135" s="271"/>
      <c r="AM135" s="271"/>
      <c r="AN135" s="271"/>
      <c r="AO135" s="271"/>
      <c r="AP135" s="272"/>
      <c r="AQ135" s="62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4"/>
      <c r="BC135" s="33"/>
    </row>
    <row r="136" spans="1:55">
      <c r="A136" s="33"/>
      <c r="B136" s="261">
        <v>3</v>
      </c>
      <c r="C136" s="262"/>
      <c r="D136" s="258" t="s">
        <v>89</v>
      </c>
      <c r="E136" s="259"/>
      <c r="F136" s="259"/>
      <c r="G136" s="259"/>
      <c r="H136" s="259"/>
      <c r="I136" s="260"/>
      <c r="J136" s="258" t="s">
        <v>90</v>
      </c>
      <c r="K136" s="259"/>
      <c r="L136" s="259"/>
      <c r="M136" s="259"/>
      <c r="N136" s="259"/>
      <c r="O136" s="260"/>
      <c r="P136" s="258" t="s">
        <v>36</v>
      </c>
      <c r="Q136" s="259"/>
      <c r="R136" s="259"/>
      <c r="S136" s="259"/>
      <c r="T136" s="259"/>
      <c r="U136" s="260"/>
      <c r="V136" s="261" t="s">
        <v>37</v>
      </c>
      <c r="W136" s="262"/>
      <c r="X136" s="261" t="s">
        <v>31</v>
      </c>
      <c r="Y136" s="269"/>
      <c r="Z136" s="262"/>
      <c r="AA136" s="261" t="s">
        <v>31</v>
      </c>
      <c r="AB136" s="269"/>
      <c r="AC136" s="262"/>
      <c r="AD136" s="261" t="s">
        <v>31</v>
      </c>
      <c r="AE136" s="269"/>
      <c r="AF136" s="262"/>
      <c r="AG136" s="261" t="s">
        <v>31</v>
      </c>
      <c r="AH136" s="262"/>
      <c r="AI136" s="270" t="s">
        <v>38</v>
      </c>
      <c r="AJ136" s="271"/>
      <c r="AK136" s="271"/>
      <c r="AL136" s="271"/>
      <c r="AM136" s="271"/>
      <c r="AN136" s="271"/>
      <c r="AO136" s="271"/>
      <c r="AP136" s="272"/>
      <c r="AQ136" s="62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4"/>
    </row>
    <row r="137" spans="1:55">
      <c r="A137" s="33"/>
      <c r="B137" s="261">
        <v>4</v>
      </c>
      <c r="C137" s="262"/>
      <c r="D137" s="258" t="s">
        <v>87</v>
      </c>
      <c r="E137" s="259"/>
      <c r="F137" s="259"/>
      <c r="G137" s="259"/>
      <c r="H137" s="259"/>
      <c r="I137" s="260"/>
      <c r="J137" s="258" t="s">
        <v>88</v>
      </c>
      <c r="K137" s="259"/>
      <c r="L137" s="259"/>
      <c r="M137" s="259"/>
      <c r="N137" s="259"/>
      <c r="O137" s="260"/>
      <c r="P137" s="258" t="s">
        <v>36</v>
      </c>
      <c r="Q137" s="259"/>
      <c r="R137" s="259"/>
      <c r="S137" s="259"/>
      <c r="T137" s="259"/>
      <c r="U137" s="260"/>
      <c r="V137" s="261" t="s">
        <v>37</v>
      </c>
      <c r="W137" s="262"/>
      <c r="X137" s="261" t="s">
        <v>31</v>
      </c>
      <c r="Y137" s="269"/>
      <c r="Z137" s="262"/>
      <c r="AA137" s="261" t="s">
        <v>31</v>
      </c>
      <c r="AB137" s="269"/>
      <c r="AC137" s="262"/>
      <c r="AD137" s="261" t="s">
        <v>31</v>
      </c>
      <c r="AE137" s="269"/>
      <c r="AF137" s="262"/>
      <c r="AG137" s="261" t="s">
        <v>31</v>
      </c>
      <c r="AH137" s="262"/>
      <c r="AI137" s="270" t="s">
        <v>38</v>
      </c>
      <c r="AJ137" s="271"/>
      <c r="AK137" s="271"/>
      <c r="AL137" s="271"/>
      <c r="AM137" s="271"/>
      <c r="AN137" s="271"/>
      <c r="AO137" s="271"/>
      <c r="AP137" s="272"/>
      <c r="AQ137" s="62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4"/>
      <c r="BC137" s="33"/>
    </row>
    <row r="138" spans="1:55">
      <c r="A138" s="33"/>
      <c r="B138" s="261">
        <v>5</v>
      </c>
      <c r="C138" s="262"/>
      <c r="D138" s="281" t="s">
        <v>109</v>
      </c>
      <c r="E138" s="282"/>
      <c r="F138" s="282"/>
      <c r="G138" s="282"/>
      <c r="H138" s="282"/>
      <c r="I138" s="283"/>
      <c r="J138" s="281" t="s">
        <v>100</v>
      </c>
      <c r="K138" s="282"/>
      <c r="L138" s="282"/>
      <c r="M138" s="282"/>
      <c r="N138" s="282"/>
      <c r="O138" s="283"/>
      <c r="P138" s="281" t="s">
        <v>46</v>
      </c>
      <c r="Q138" s="282"/>
      <c r="R138" s="282"/>
      <c r="S138" s="282"/>
      <c r="T138" s="282"/>
      <c r="U138" s="283"/>
      <c r="V138" s="261" t="s">
        <v>31</v>
      </c>
      <c r="W138" s="262"/>
      <c r="X138" s="273" t="s">
        <v>31</v>
      </c>
      <c r="Y138" s="286"/>
      <c r="Z138" s="274"/>
      <c r="AA138" s="273" t="s">
        <v>31</v>
      </c>
      <c r="AB138" s="286"/>
      <c r="AC138" s="274"/>
      <c r="AD138" s="273" t="s">
        <v>31</v>
      </c>
      <c r="AE138" s="286"/>
      <c r="AF138" s="274"/>
      <c r="AG138" s="273" t="s">
        <v>31</v>
      </c>
      <c r="AH138" s="274"/>
      <c r="AI138" s="278" t="s">
        <v>108</v>
      </c>
      <c r="AJ138" s="279"/>
      <c r="AK138" s="279"/>
      <c r="AL138" s="279"/>
      <c r="AM138" s="279"/>
      <c r="AN138" s="279"/>
      <c r="AO138" s="279"/>
      <c r="AP138" s="280"/>
      <c r="AQ138" s="47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9"/>
      <c r="BC138" s="33"/>
    </row>
    <row r="139" spans="1:55" ht="13.5" customHeight="1">
      <c r="A139" s="33"/>
      <c r="B139" s="261">
        <v>6</v>
      </c>
      <c r="C139" s="262"/>
      <c r="D139" s="281" t="s">
        <v>67</v>
      </c>
      <c r="E139" s="282"/>
      <c r="F139" s="282"/>
      <c r="G139" s="282"/>
      <c r="H139" s="282"/>
      <c r="I139" s="283"/>
      <c r="J139" s="281" t="s">
        <v>31</v>
      </c>
      <c r="K139" s="282"/>
      <c r="L139" s="282"/>
      <c r="M139" s="282"/>
      <c r="N139" s="282"/>
      <c r="O139" s="283"/>
      <c r="P139" s="281" t="s">
        <v>47</v>
      </c>
      <c r="Q139" s="282"/>
      <c r="R139" s="282"/>
      <c r="S139" s="282"/>
      <c r="T139" s="282"/>
      <c r="U139" s="283"/>
      <c r="V139" s="273" t="s">
        <v>31</v>
      </c>
      <c r="W139" s="274"/>
      <c r="X139" s="273" t="s">
        <v>31</v>
      </c>
      <c r="Y139" s="286"/>
      <c r="Z139" s="274"/>
      <c r="AA139" s="273" t="s">
        <v>31</v>
      </c>
      <c r="AB139" s="286"/>
      <c r="AC139" s="274"/>
      <c r="AD139" s="273" t="s">
        <v>31</v>
      </c>
      <c r="AE139" s="286"/>
      <c r="AF139" s="274"/>
      <c r="AG139" s="273" t="s">
        <v>31</v>
      </c>
      <c r="AH139" s="274"/>
      <c r="AI139" s="278" t="s">
        <v>122</v>
      </c>
      <c r="AJ139" s="279"/>
      <c r="AK139" s="279"/>
      <c r="AL139" s="279"/>
      <c r="AM139" s="279"/>
      <c r="AN139" s="279"/>
      <c r="AO139" s="279"/>
      <c r="AP139" s="280"/>
      <c r="AQ139" s="47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9"/>
    </row>
    <row r="140" spans="1:55" ht="13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</row>
    <row r="142" spans="1:55" ht="14.25">
      <c r="B142" s="51" t="s">
        <v>68</v>
      </c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</row>
    <row r="143" spans="1:55" ht="14.25"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</row>
    <row r="144" spans="1:55">
      <c r="B144" s="29" t="s">
        <v>29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</row>
    <row r="145" spans="1:55">
      <c r="B145" s="284" t="s">
        <v>17</v>
      </c>
      <c r="C145" s="285"/>
      <c r="D145" s="263" t="s">
        <v>28</v>
      </c>
      <c r="E145" s="264"/>
      <c r="F145" s="264"/>
      <c r="G145" s="264"/>
      <c r="H145" s="264"/>
      <c r="I145" s="265"/>
      <c r="J145" s="263" t="s">
        <v>27</v>
      </c>
      <c r="K145" s="264"/>
      <c r="L145" s="264"/>
      <c r="M145" s="264"/>
      <c r="N145" s="264"/>
      <c r="O145" s="265"/>
      <c r="P145" s="263" t="s">
        <v>32</v>
      </c>
      <c r="Q145" s="264"/>
      <c r="R145" s="264"/>
      <c r="S145" s="264"/>
      <c r="T145" s="264"/>
      <c r="U145" s="265"/>
      <c r="V145" s="263" t="s">
        <v>26</v>
      </c>
      <c r="W145" s="265"/>
      <c r="X145" s="263" t="s">
        <v>25</v>
      </c>
      <c r="Y145" s="264"/>
      <c r="Z145" s="265"/>
      <c r="AA145" s="263" t="s">
        <v>24</v>
      </c>
      <c r="AB145" s="264"/>
      <c r="AC145" s="265"/>
      <c r="AD145" s="263" t="s">
        <v>23</v>
      </c>
      <c r="AE145" s="264"/>
      <c r="AF145" s="265"/>
      <c r="AG145" s="263" t="s">
        <v>33</v>
      </c>
      <c r="AH145" s="265"/>
      <c r="AI145" s="263" t="s">
        <v>22</v>
      </c>
      <c r="AJ145" s="264"/>
      <c r="AK145" s="264"/>
      <c r="AL145" s="264"/>
      <c r="AM145" s="264"/>
      <c r="AN145" s="264"/>
      <c r="AO145" s="264"/>
      <c r="AP145" s="265"/>
      <c r="AQ145" s="275" t="s">
        <v>18</v>
      </c>
      <c r="AR145" s="276"/>
      <c r="AS145" s="276"/>
      <c r="AT145" s="276"/>
      <c r="AU145" s="276"/>
      <c r="AV145" s="276"/>
      <c r="AW145" s="276"/>
      <c r="AX145" s="276"/>
      <c r="AY145" s="276"/>
      <c r="AZ145" s="276"/>
      <c r="BA145" s="276"/>
      <c r="BB145" s="277"/>
    </row>
    <row r="146" spans="1:55">
      <c r="A146" s="33"/>
      <c r="B146" s="273">
        <v>1</v>
      </c>
      <c r="C146" s="274"/>
      <c r="D146" s="258" t="s">
        <v>80</v>
      </c>
      <c r="E146" s="259"/>
      <c r="F146" s="259"/>
      <c r="G146" s="259"/>
      <c r="H146" s="259"/>
      <c r="I146" s="260"/>
      <c r="J146" s="258" t="s">
        <v>82</v>
      </c>
      <c r="K146" s="259"/>
      <c r="L146" s="259"/>
      <c r="M146" s="259"/>
      <c r="N146" s="259"/>
      <c r="O146" s="260"/>
      <c r="P146" s="258" t="s">
        <v>36</v>
      </c>
      <c r="Q146" s="259"/>
      <c r="R146" s="259"/>
      <c r="S146" s="259"/>
      <c r="T146" s="259"/>
      <c r="U146" s="260"/>
      <c r="V146" s="261" t="s">
        <v>37</v>
      </c>
      <c r="W146" s="262"/>
      <c r="X146" s="261" t="s">
        <v>31</v>
      </c>
      <c r="Y146" s="269"/>
      <c r="Z146" s="262"/>
      <c r="AA146" s="261" t="s">
        <v>31</v>
      </c>
      <c r="AB146" s="269"/>
      <c r="AC146" s="262"/>
      <c r="AD146" s="261" t="s">
        <v>31</v>
      </c>
      <c r="AE146" s="269"/>
      <c r="AF146" s="262"/>
      <c r="AG146" s="261" t="s">
        <v>31</v>
      </c>
      <c r="AH146" s="262"/>
      <c r="AI146" s="270" t="s">
        <v>38</v>
      </c>
      <c r="AJ146" s="271"/>
      <c r="AK146" s="271"/>
      <c r="AL146" s="271"/>
      <c r="AM146" s="271"/>
      <c r="AN146" s="271"/>
      <c r="AO146" s="271"/>
      <c r="AP146" s="272"/>
      <c r="AQ146" s="62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4"/>
      <c r="BC146" s="33"/>
    </row>
    <row r="147" spans="1:55">
      <c r="A147" s="33"/>
      <c r="B147" s="261">
        <v>2</v>
      </c>
      <c r="C147" s="262"/>
      <c r="D147" s="258" t="s">
        <v>45</v>
      </c>
      <c r="E147" s="259"/>
      <c r="F147" s="259"/>
      <c r="G147" s="259"/>
      <c r="H147" s="259"/>
      <c r="I147" s="260"/>
      <c r="J147" s="258" t="s">
        <v>81</v>
      </c>
      <c r="K147" s="259"/>
      <c r="L147" s="259"/>
      <c r="M147" s="259"/>
      <c r="N147" s="259"/>
      <c r="O147" s="260"/>
      <c r="P147" s="258" t="s">
        <v>36</v>
      </c>
      <c r="Q147" s="259"/>
      <c r="R147" s="259"/>
      <c r="S147" s="259"/>
      <c r="T147" s="259"/>
      <c r="U147" s="260"/>
      <c r="V147" s="261" t="s">
        <v>37</v>
      </c>
      <c r="W147" s="262"/>
      <c r="X147" s="261" t="s">
        <v>31</v>
      </c>
      <c r="Y147" s="269"/>
      <c r="Z147" s="262"/>
      <c r="AA147" s="261" t="s">
        <v>31</v>
      </c>
      <c r="AB147" s="269"/>
      <c r="AC147" s="262"/>
      <c r="AD147" s="261" t="s">
        <v>31</v>
      </c>
      <c r="AE147" s="269"/>
      <c r="AF147" s="262"/>
      <c r="AG147" s="261" t="s">
        <v>31</v>
      </c>
      <c r="AH147" s="262"/>
      <c r="AI147" s="270" t="s">
        <v>38</v>
      </c>
      <c r="AJ147" s="271"/>
      <c r="AK147" s="271"/>
      <c r="AL147" s="271"/>
      <c r="AM147" s="271"/>
      <c r="AN147" s="271"/>
      <c r="AO147" s="271"/>
      <c r="AP147" s="272"/>
      <c r="AQ147" s="62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4"/>
      <c r="BC147" s="33"/>
    </row>
    <row r="148" spans="1:55">
      <c r="A148" s="33"/>
      <c r="B148" s="261">
        <v>3</v>
      </c>
      <c r="C148" s="262"/>
      <c r="D148" s="258" t="s">
        <v>89</v>
      </c>
      <c r="E148" s="259"/>
      <c r="F148" s="259"/>
      <c r="G148" s="259"/>
      <c r="H148" s="259"/>
      <c r="I148" s="260"/>
      <c r="J148" s="258" t="s">
        <v>90</v>
      </c>
      <c r="K148" s="259"/>
      <c r="L148" s="259"/>
      <c r="M148" s="259"/>
      <c r="N148" s="259"/>
      <c r="O148" s="260"/>
      <c r="P148" s="258" t="s">
        <v>36</v>
      </c>
      <c r="Q148" s="259"/>
      <c r="R148" s="259"/>
      <c r="S148" s="259"/>
      <c r="T148" s="259"/>
      <c r="U148" s="260"/>
      <c r="V148" s="261" t="s">
        <v>37</v>
      </c>
      <c r="W148" s="262"/>
      <c r="X148" s="261" t="s">
        <v>31</v>
      </c>
      <c r="Y148" s="269"/>
      <c r="Z148" s="262"/>
      <c r="AA148" s="261" t="s">
        <v>31</v>
      </c>
      <c r="AB148" s="269"/>
      <c r="AC148" s="262"/>
      <c r="AD148" s="261" t="s">
        <v>31</v>
      </c>
      <c r="AE148" s="269"/>
      <c r="AF148" s="262"/>
      <c r="AG148" s="261" t="s">
        <v>31</v>
      </c>
      <c r="AH148" s="262"/>
      <c r="AI148" s="270" t="s">
        <v>38</v>
      </c>
      <c r="AJ148" s="271"/>
      <c r="AK148" s="271"/>
      <c r="AL148" s="271"/>
      <c r="AM148" s="271"/>
      <c r="AN148" s="271"/>
      <c r="AO148" s="271"/>
      <c r="AP148" s="272"/>
      <c r="AQ148" s="62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4"/>
    </row>
    <row r="149" spans="1:55">
      <c r="A149" s="33"/>
      <c r="B149" s="261">
        <v>4</v>
      </c>
      <c r="C149" s="262"/>
      <c r="D149" s="258" t="s">
        <v>87</v>
      </c>
      <c r="E149" s="259"/>
      <c r="F149" s="259"/>
      <c r="G149" s="259"/>
      <c r="H149" s="259"/>
      <c r="I149" s="260"/>
      <c r="J149" s="258" t="s">
        <v>88</v>
      </c>
      <c r="K149" s="259"/>
      <c r="L149" s="259"/>
      <c r="M149" s="259"/>
      <c r="N149" s="259"/>
      <c r="O149" s="260"/>
      <c r="P149" s="258" t="s">
        <v>36</v>
      </c>
      <c r="Q149" s="259"/>
      <c r="R149" s="259"/>
      <c r="S149" s="259"/>
      <c r="T149" s="259"/>
      <c r="U149" s="260"/>
      <c r="V149" s="261" t="s">
        <v>37</v>
      </c>
      <c r="W149" s="262"/>
      <c r="X149" s="261" t="s">
        <v>31</v>
      </c>
      <c r="Y149" s="269"/>
      <c r="Z149" s="262"/>
      <c r="AA149" s="261" t="s">
        <v>31</v>
      </c>
      <c r="AB149" s="269"/>
      <c r="AC149" s="262"/>
      <c r="AD149" s="261" t="s">
        <v>31</v>
      </c>
      <c r="AE149" s="269"/>
      <c r="AF149" s="262"/>
      <c r="AG149" s="261" t="s">
        <v>31</v>
      </c>
      <c r="AH149" s="262"/>
      <c r="AI149" s="270" t="s">
        <v>38</v>
      </c>
      <c r="AJ149" s="271"/>
      <c r="AK149" s="271"/>
      <c r="AL149" s="271"/>
      <c r="AM149" s="271"/>
      <c r="AN149" s="271"/>
      <c r="AO149" s="271"/>
      <c r="AP149" s="272"/>
      <c r="AQ149" s="62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4"/>
      <c r="BC149" s="33"/>
    </row>
    <row r="150" spans="1:55">
      <c r="B150" s="273">
        <v>5</v>
      </c>
      <c r="C150" s="274"/>
      <c r="D150" s="258" t="s">
        <v>69</v>
      </c>
      <c r="E150" s="259"/>
      <c r="F150" s="259"/>
      <c r="G150" s="259"/>
      <c r="H150" s="259"/>
      <c r="I150" s="260"/>
      <c r="J150" s="281" t="s">
        <v>31</v>
      </c>
      <c r="K150" s="282"/>
      <c r="L150" s="282"/>
      <c r="M150" s="282"/>
      <c r="N150" s="282"/>
      <c r="O150" s="283"/>
      <c r="P150" s="281" t="s">
        <v>47</v>
      </c>
      <c r="Q150" s="282"/>
      <c r="R150" s="282"/>
      <c r="S150" s="282"/>
      <c r="T150" s="282"/>
      <c r="U150" s="283"/>
      <c r="V150" s="273" t="s">
        <v>31</v>
      </c>
      <c r="W150" s="274"/>
      <c r="X150" s="261" t="s">
        <v>31</v>
      </c>
      <c r="Y150" s="269"/>
      <c r="Z150" s="262"/>
      <c r="AA150" s="261" t="s">
        <v>31</v>
      </c>
      <c r="AB150" s="269"/>
      <c r="AC150" s="262"/>
      <c r="AD150" s="261" t="s">
        <v>31</v>
      </c>
      <c r="AE150" s="269"/>
      <c r="AF150" s="262"/>
      <c r="AG150" s="261" t="s">
        <v>31</v>
      </c>
      <c r="AH150" s="262"/>
      <c r="AI150" s="278" t="s">
        <v>123</v>
      </c>
      <c r="AJ150" s="279"/>
      <c r="AK150" s="279"/>
      <c r="AL150" s="279"/>
      <c r="AM150" s="279"/>
      <c r="AN150" s="279"/>
      <c r="AO150" s="279"/>
      <c r="AP150" s="280"/>
      <c r="AQ150" s="62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4"/>
    </row>
  </sheetData>
  <mergeCells count="309">
    <mergeCell ref="J110:AI110"/>
    <mergeCell ref="AJ110:BB110"/>
    <mergeCell ref="B111:C111"/>
    <mergeCell ref="D111:I111"/>
    <mergeCell ref="J111:AI111"/>
    <mergeCell ref="B92:C93"/>
    <mergeCell ref="D92:L93"/>
    <mergeCell ref="M92:V93"/>
    <mergeCell ref="W92:AE93"/>
    <mergeCell ref="B94:C95"/>
    <mergeCell ref="D94:L95"/>
    <mergeCell ref="M94:V95"/>
    <mergeCell ref="W94:AE95"/>
    <mergeCell ref="B110:C110"/>
    <mergeCell ref="D110:I110"/>
    <mergeCell ref="AD103:AF103"/>
    <mergeCell ref="AG103:AP103"/>
    <mergeCell ref="AQ103:BB103"/>
    <mergeCell ref="B102:C102"/>
    <mergeCell ref="D102:I102"/>
    <mergeCell ref="J102:O102"/>
    <mergeCell ref="P102:U102"/>
    <mergeCell ref="V102:W102"/>
    <mergeCell ref="X102:Z102"/>
    <mergeCell ref="AI137:AP137"/>
    <mergeCell ref="AI136:AP136"/>
    <mergeCell ref="B133:C133"/>
    <mergeCell ref="D133:I133"/>
    <mergeCell ref="J133:O133"/>
    <mergeCell ref="P133:U133"/>
    <mergeCell ref="AD135:AF135"/>
    <mergeCell ref="AG135:AH135"/>
    <mergeCell ref="AI135:AP135"/>
    <mergeCell ref="B135:C135"/>
    <mergeCell ref="D135:I135"/>
    <mergeCell ref="J135:O135"/>
    <mergeCell ref="P135:U135"/>
    <mergeCell ref="V135:W135"/>
    <mergeCell ref="B137:C137"/>
    <mergeCell ref="D137:I137"/>
    <mergeCell ref="J137:O137"/>
    <mergeCell ref="P137:U137"/>
    <mergeCell ref="V137:W137"/>
    <mergeCell ref="X137:Z137"/>
    <mergeCell ref="AA137:AC137"/>
    <mergeCell ref="AD137:AF137"/>
    <mergeCell ref="AG137:AH137"/>
    <mergeCell ref="X135:Z135"/>
    <mergeCell ref="AD138:AF138"/>
    <mergeCell ref="AG138:AH138"/>
    <mergeCell ref="AI138:AP138"/>
    <mergeCell ref="J147:O147"/>
    <mergeCell ref="P147:U147"/>
    <mergeCell ref="V147:W147"/>
    <mergeCell ref="X147:Z147"/>
    <mergeCell ref="AA147:AC147"/>
    <mergeCell ref="AD147:AF147"/>
    <mergeCell ref="AG147:AH147"/>
    <mergeCell ref="AI147:AP147"/>
    <mergeCell ref="AI139:AP139"/>
    <mergeCell ref="X139:Z139"/>
    <mergeCell ref="AA139:AC139"/>
    <mergeCell ref="AD139:AF139"/>
    <mergeCell ref="AG139:AH139"/>
    <mergeCell ref="X138:Z138"/>
    <mergeCell ref="AA138:AC138"/>
    <mergeCell ref="AI145:AP145"/>
    <mergeCell ref="AD145:AF145"/>
    <mergeCell ref="AG145:AH145"/>
    <mergeCell ref="AD146:AF146"/>
    <mergeCell ref="AG146:AH146"/>
    <mergeCell ref="AI146:AP146"/>
    <mergeCell ref="AD150:AF150"/>
    <mergeCell ref="AG150:AH150"/>
    <mergeCell ref="AI150:AP150"/>
    <mergeCell ref="J148:O148"/>
    <mergeCell ref="P148:U148"/>
    <mergeCell ref="V148:W148"/>
    <mergeCell ref="X148:Z148"/>
    <mergeCell ref="AA148:AC148"/>
    <mergeCell ref="AD148:AF148"/>
    <mergeCell ref="AG148:AH148"/>
    <mergeCell ref="AI148:AP148"/>
    <mergeCell ref="J149:O149"/>
    <mergeCell ref="P149:U149"/>
    <mergeCell ref="V149:W149"/>
    <mergeCell ref="X149:Z149"/>
    <mergeCell ref="AA149:AC149"/>
    <mergeCell ref="AD149:AF149"/>
    <mergeCell ref="AG149:AH149"/>
    <mergeCell ref="AI149:AP149"/>
    <mergeCell ref="B136:C136"/>
    <mergeCell ref="D136:I136"/>
    <mergeCell ref="J136:O136"/>
    <mergeCell ref="P136:U136"/>
    <mergeCell ref="V136:W136"/>
    <mergeCell ref="X136:Z136"/>
    <mergeCell ref="AA136:AC136"/>
    <mergeCell ref="AD136:AF136"/>
    <mergeCell ref="AG136:AH136"/>
    <mergeCell ref="B138:C138"/>
    <mergeCell ref="D138:I138"/>
    <mergeCell ref="J138:O138"/>
    <mergeCell ref="P138:U138"/>
    <mergeCell ref="B139:C139"/>
    <mergeCell ref="D139:I139"/>
    <mergeCell ref="J139:O139"/>
    <mergeCell ref="P139:U139"/>
    <mergeCell ref="V139:W139"/>
    <mergeCell ref="V138:W138"/>
    <mergeCell ref="AA122:AC122"/>
    <mergeCell ref="AD122:AF122"/>
    <mergeCell ref="AG122:AH122"/>
    <mergeCell ref="AI122:AP122"/>
    <mergeCell ref="B121:C121"/>
    <mergeCell ref="D121:I121"/>
    <mergeCell ref="J121:O121"/>
    <mergeCell ref="P121:U121"/>
    <mergeCell ref="V121:W121"/>
    <mergeCell ref="X121:Z121"/>
    <mergeCell ref="AA121:AC121"/>
    <mergeCell ref="AD121:AF121"/>
    <mergeCell ref="AG121:AH121"/>
    <mergeCell ref="AA135:AC135"/>
    <mergeCell ref="B117:C117"/>
    <mergeCell ref="B118:C118"/>
    <mergeCell ref="B114:BB115"/>
    <mergeCell ref="D117:I117"/>
    <mergeCell ref="J117:O117"/>
    <mergeCell ref="P117:U117"/>
    <mergeCell ref="V117:W117"/>
    <mergeCell ref="X117:Z117"/>
    <mergeCell ref="AA117:AC117"/>
    <mergeCell ref="AD117:AF117"/>
    <mergeCell ref="AG117:AH117"/>
    <mergeCell ref="AI117:AP117"/>
    <mergeCell ref="AQ117:BB117"/>
    <mergeCell ref="D118:I118"/>
    <mergeCell ref="J118:O118"/>
    <mergeCell ref="P118:U118"/>
    <mergeCell ref="V118:W118"/>
    <mergeCell ref="X118:Z118"/>
    <mergeCell ref="AA118:AC118"/>
    <mergeCell ref="AD118:AF118"/>
    <mergeCell ref="AG118:AH118"/>
    <mergeCell ref="AI118:AP118"/>
    <mergeCell ref="AA119:AC119"/>
    <mergeCell ref="B88:C88"/>
    <mergeCell ref="D88:L88"/>
    <mergeCell ref="M88:V88"/>
    <mergeCell ref="W88:AE88"/>
    <mergeCell ref="B89:C91"/>
    <mergeCell ref="D89:L91"/>
    <mergeCell ref="M89:V91"/>
    <mergeCell ref="W89:AE91"/>
    <mergeCell ref="B78:C79"/>
    <mergeCell ref="D78:L79"/>
    <mergeCell ref="M78:AE78"/>
    <mergeCell ref="B82:C82"/>
    <mergeCell ref="D82:L82"/>
    <mergeCell ref="M82:V82"/>
    <mergeCell ref="W82:AE82"/>
    <mergeCell ref="B84:C84"/>
    <mergeCell ref="D84:L84"/>
    <mergeCell ref="M84:V84"/>
    <mergeCell ref="W84:AE84"/>
    <mergeCell ref="B87:C87"/>
    <mergeCell ref="D87:L87"/>
    <mergeCell ref="M87:V87"/>
    <mergeCell ref="W87:AE87"/>
    <mergeCell ref="B86:C86"/>
    <mergeCell ref="AF78:BB79"/>
    <mergeCell ref="M79:V79"/>
    <mergeCell ref="W79:AE79"/>
    <mergeCell ref="B81:C81"/>
    <mergeCell ref="D81:L81"/>
    <mergeCell ref="M81:V81"/>
    <mergeCell ref="W81:AE8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D86:L86"/>
    <mergeCell ref="M86:V86"/>
    <mergeCell ref="W86:AE86"/>
    <mergeCell ref="B85:C85"/>
    <mergeCell ref="D85:L85"/>
    <mergeCell ref="M85:V85"/>
    <mergeCell ref="W85:AE85"/>
    <mergeCell ref="AI119:AP119"/>
    <mergeCell ref="B120:C120"/>
    <mergeCell ref="D120:I120"/>
    <mergeCell ref="J120:O120"/>
    <mergeCell ref="P120:U120"/>
    <mergeCell ref="V120:W120"/>
    <mergeCell ref="X120:Z120"/>
    <mergeCell ref="AA120:AC120"/>
    <mergeCell ref="AD120:AF120"/>
    <mergeCell ref="AG120:AH120"/>
    <mergeCell ref="AI120:AP120"/>
    <mergeCell ref="B119:C119"/>
    <mergeCell ref="D119:I119"/>
    <mergeCell ref="J119:O119"/>
    <mergeCell ref="P119:U119"/>
    <mergeCell ref="V119:W119"/>
    <mergeCell ref="X119:Z119"/>
    <mergeCell ref="AD119:AF119"/>
    <mergeCell ref="AG119:AH119"/>
    <mergeCell ref="AD134:AF134"/>
    <mergeCell ref="AG134:AH134"/>
    <mergeCell ref="B126:C126"/>
    <mergeCell ref="D126:I126"/>
    <mergeCell ref="J126:V126"/>
    <mergeCell ref="W126:AI126"/>
    <mergeCell ref="AI134:AP134"/>
    <mergeCell ref="B134:C134"/>
    <mergeCell ref="D134:I134"/>
    <mergeCell ref="J134:O134"/>
    <mergeCell ref="P134:U134"/>
    <mergeCell ref="V134:W134"/>
    <mergeCell ref="X134:Z134"/>
    <mergeCell ref="AA134:AC134"/>
    <mergeCell ref="AI121:AP121"/>
    <mergeCell ref="B122:C122"/>
    <mergeCell ref="D122:I122"/>
    <mergeCell ref="J122:O122"/>
    <mergeCell ref="P122:U122"/>
    <mergeCell ref="V122:W122"/>
    <mergeCell ref="X122:Z122"/>
    <mergeCell ref="AJ126:BB126"/>
    <mergeCell ref="B127:C127"/>
    <mergeCell ref="V133:W133"/>
    <mergeCell ref="X133:Z133"/>
    <mergeCell ref="AA133:AC133"/>
    <mergeCell ref="AD133:AF133"/>
    <mergeCell ref="AG133:AH133"/>
    <mergeCell ref="AI133:AP133"/>
    <mergeCell ref="D127:I127"/>
    <mergeCell ref="AQ133:BB133"/>
    <mergeCell ref="B150:C150"/>
    <mergeCell ref="D150:I150"/>
    <mergeCell ref="B145:C145"/>
    <mergeCell ref="D145:I145"/>
    <mergeCell ref="J145:O145"/>
    <mergeCell ref="P145:U145"/>
    <mergeCell ref="V145:W145"/>
    <mergeCell ref="X145:Z145"/>
    <mergeCell ref="AA145:AC145"/>
    <mergeCell ref="B148:C148"/>
    <mergeCell ref="D148:I148"/>
    <mergeCell ref="B149:C149"/>
    <mergeCell ref="D149:I149"/>
    <mergeCell ref="V146:W146"/>
    <mergeCell ref="X146:Z146"/>
    <mergeCell ref="AA146:AC146"/>
    <mergeCell ref="B147:C147"/>
    <mergeCell ref="D147:I147"/>
    <mergeCell ref="J150:O150"/>
    <mergeCell ref="P150:U150"/>
    <mergeCell ref="V150:W150"/>
    <mergeCell ref="X150:Z150"/>
    <mergeCell ref="AA150:AC150"/>
    <mergeCell ref="AQ145:BB145"/>
    <mergeCell ref="B146:C146"/>
    <mergeCell ref="D146:I146"/>
    <mergeCell ref="J146:O146"/>
    <mergeCell ref="P146:U146"/>
    <mergeCell ref="B98:BB99"/>
    <mergeCell ref="B101:C101"/>
    <mergeCell ref="D101:I101"/>
    <mergeCell ref="J101:O101"/>
    <mergeCell ref="P101:U101"/>
    <mergeCell ref="V101:W101"/>
    <mergeCell ref="X101:Z101"/>
    <mergeCell ref="AA101:AC101"/>
    <mergeCell ref="AD101:AF101"/>
    <mergeCell ref="AG101:AP101"/>
    <mergeCell ref="AQ101:BB101"/>
    <mergeCell ref="AQ102:BB102"/>
    <mergeCell ref="B103:C103"/>
    <mergeCell ref="D103:I103"/>
    <mergeCell ref="J103:O103"/>
    <mergeCell ref="P103:U103"/>
    <mergeCell ref="V103:W103"/>
    <mergeCell ref="X103:Z103"/>
    <mergeCell ref="AA103:AC103"/>
    <mergeCell ref="AA102:AC102"/>
    <mergeCell ref="AD102:AF102"/>
    <mergeCell ref="AG102:AP102"/>
    <mergeCell ref="AQ104:BB104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P104"/>
  </mergeCells>
  <phoneticPr fontId="1"/>
  <pageMargins left="0.23622047244094491" right="0.23622047244094491" top="0.55118110236220474" bottom="0.74803149606299213" header="0.31496062992125984" footer="0.31496062992125984"/>
  <pageSetup paperSize="9" scale="69" fitToHeight="0" orientation="portrait" r:id="rId1"/>
  <headerFooter>
    <oddFooter>&amp;C&amp;8&amp;P / &amp;N ページ</oddFooter>
  </headerFooter>
  <rowBreaks count="2" manualBreakCount="2">
    <brk id="76" max="54" man="1"/>
    <brk id="113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更新履歴</vt:lpstr>
      <vt:lpstr>成果物一覧画面（管理者権限）</vt:lpstr>
      <vt:lpstr>成果物一覧画面（講師権限）</vt:lpstr>
      <vt:lpstr>更新履歴!Print_Area</vt:lpstr>
      <vt:lpstr>'成果物一覧画面（管理者権限）'!Print_Area</vt:lpstr>
      <vt:lpstr>'成果物一覧画面（講師権限）'!Print_Area</vt:lpstr>
      <vt:lpstr>'成果物一覧画面（管理者権限）'!Print_Titles</vt:lpstr>
      <vt:lpstr>'成果物一覧画面（講師権限）'!Print_Titles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2020-01-27T02:32:32Z</dcterms:modified>
</cp:coreProperties>
</file>