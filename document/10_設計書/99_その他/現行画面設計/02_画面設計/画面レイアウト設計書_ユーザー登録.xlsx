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filterPrivacy="1" defaultThemeVersion="124226"/>
  <xr:revisionPtr revIDLastSave="0" documentId="13_ncr:1_{F4673733-D76C-4C87-BFE9-40F54B70FA09}" xr6:coauthVersionLast="45" xr6:coauthVersionMax="45" xr10:uidLastSave="{00000000-0000-0000-0000-000000000000}"/>
  <bookViews>
    <workbookView xWindow="-120" yWindow="-120" windowWidth="29040" windowHeight="15840" tabRatio="763" xr2:uid="{00000000-000D-0000-FFFF-FFFF00000000}"/>
  </bookViews>
  <sheets>
    <sheet name="表紙" sheetId="4" r:id="rId1"/>
    <sheet name="更新履歴" sheetId="5" r:id="rId2"/>
    <sheet name="ユーザー登録" sheetId="63" r:id="rId3"/>
    <sheet name="ユーザー登録完了" sheetId="64" r:id="rId4"/>
  </sheets>
  <definedNames>
    <definedName name="a" localSheetId="2" hidden="1">{"ID名称",#N/A,FALSE,"進捗状況";"prog予定",#N/A,FALSE,"進捗状況"}</definedName>
    <definedName name="a" localSheetId="3" hidden="1">{"ID名称",#N/A,FALSE,"進捗状況";"prog予定",#N/A,FALSE,"進捗状況"}</definedName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localSheetId="3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localSheetId="3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localSheetId="3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localSheetId="3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ユーザー登録!$A$1:$BC$62</definedName>
    <definedName name="_xlnm.Print_Area" localSheetId="3">ユーザー登録完了!$A$1:$BC$53</definedName>
    <definedName name="_xlnm.Print_Area" localSheetId="1">更新履歴!$A$1:$BC$34</definedName>
    <definedName name="_xlnm.Print_Titles" localSheetId="2">ユーザー登録!$1:$4</definedName>
    <definedName name="_xlnm.Print_Titles" localSheetId="3">ユーザー登録完了!$1:$4</definedName>
    <definedName name="ugawa" localSheetId="2" hidden="1">{"ID名称",#N/A,FALSE,"進捗状況";"prog予定",#N/A,FALSE,"進捗状況"}</definedName>
    <definedName name="ugawa" localSheetId="3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3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localSheetId="3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localSheetId="3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localSheetId="3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localSheetId="3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localSheetId="3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localSheetId="3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" i="64" l="1"/>
  <c r="J2" i="64"/>
  <c r="A2" i="64"/>
  <c r="R1" i="64"/>
  <c r="J2" i="63" l="1"/>
  <c r="A2" i="63"/>
  <c r="J2" i="5"/>
  <c r="A2" i="5"/>
  <c r="AA17" i="4" l="1"/>
  <c r="R2" i="63" l="1"/>
  <c r="X17" i="4" l="1"/>
  <c r="R1" i="63" l="1"/>
  <c r="R1" i="5" l="1"/>
</calcChain>
</file>

<file path=xl/sharedStrings.xml><?xml version="1.0" encoding="utf-8"?>
<sst xmlns="http://schemas.openxmlformats.org/spreadsheetml/2006/main" count="178" uniqueCount="100">
  <si>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</si>
  <si>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</si>
  <si>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</si>
  <si>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</si>
  <si>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</si>
  <si>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</si>
  <si>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</si>
  <si>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</si>
  <si>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</si>
  <si>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</si>
  <si>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</si>
  <si>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</si>
  <si>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</si>
  <si>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</si>
  <si>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</si>
  <si>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</si>
  <si>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</si>
  <si>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</si>
  <si>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</si>
  <si>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属性</t>
    <rPh sb="0" eb="2">
      <t>ゾクセイ</t>
    </rPh>
    <phoneticPr fontId="1"/>
  </si>
  <si>
    <t>最大値</t>
    <rPh sb="0" eb="2">
      <t>サイダイ</t>
    </rPh>
    <rPh sb="2" eb="3">
      <t>アタイ</t>
    </rPh>
    <phoneticPr fontId="1"/>
  </si>
  <si>
    <t>最小値</t>
    <rPh sb="0" eb="2">
      <t>サイショウ</t>
    </rPh>
    <rPh sb="2" eb="3">
      <t>アタイ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</si>
  <si>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</si>
  <si>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</si>
  <si>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</si>
  <si>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</si>
  <si>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</si>
  <si>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-</t>
    <phoneticPr fontId="1"/>
  </si>
  <si>
    <t>コントロール</t>
    <phoneticPr fontId="1"/>
  </si>
  <si>
    <t>IME</t>
    <phoneticPr fontId="1"/>
  </si>
  <si>
    <t>○</t>
    <phoneticPr fontId="1"/>
  </si>
  <si>
    <t>金城</t>
    <rPh sb="0" eb="2">
      <t>キンジョウ</t>
    </rPh>
    <phoneticPr fontId="1"/>
  </si>
  <si>
    <t>テキストエリア</t>
    <phoneticPr fontId="1"/>
  </si>
  <si>
    <t>受講生名簿の登録</t>
    <rPh sb="0" eb="3">
      <t>ジュコウセイ</t>
    </rPh>
    <rPh sb="3" eb="5">
      <t>メイボ</t>
    </rPh>
    <rPh sb="6" eb="8">
      <t>トウロク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</si>
  <si>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</si>
  <si>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名称</t>
  </si>
  <si>
    <t>テーブル名(物理名）</t>
  </si>
  <si>
    <t>カラム名(物理名）</t>
  </si>
  <si>
    <t>備考</t>
  </si>
  <si>
    <t>データベース　登録</t>
    <rPh sb="7" eb="9">
      <t>トウロク</t>
    </rPh>
    <phoneticPr fontId="1"/>
  </si>
  <si>
    <t>コース詳細、コース一覧、コースコピーを本設計書に移動</t>
    <rPh sb="3" eb="5">
      <t>ショウサイ</t>
    </rPh>
    <rPh sb="9" eb="11">
      <t>イチラン</t>
    </rPh>
    <rPh sb="19" eb="20">
      <t>ホン</t>
    </rPh>
    <rPh sb="20" eb="23">
      <t>セッケイショ</t>
    </rPh>
    <rPh sb="24" eb="26">
      <t>イドウ</t>
    </rPh>
    <phoneticPr fontId="1"/>
  </si>
  <si>
    <t>本松</t>
    <rPh sb="0" eb="2">
      <t>ホンマツ</t>
    </rPh>
    <phoneticPr fontId="1"/>
  </si>
  <si>
    <t>プログラム経験</t>
    <rPh sb="5" eb="7">
      <t>ケイケン</t>
    </rPh>
    <phoneticPr fontId="1"/>
  </si>
  <si>
    <t>よみがな</t>
    <phoneticPr fontId="1"/>
  </si>
  <si>
    <t>テキストボックス</t>
    <phoneticPr fontId="1"/>
  </si>
  <si>
    <t>on</t>
    <phoneticPr fontId="1"/>
  </si>
  <si>
    <t>kana</t>
    <phoneticPr fontId="1"/>
  </si>
  <si>
    <t>プルダウン</t>
    <phoneticPr fontId="1"/>
  </si>
  <si>
    <t>（管理者の場合）</t>
    <rPh sb="1" eb="4">
      <t>カンリシャ</t>
    </rPh>
    <rPh sb="5" eb="7">
      <t>バアイ</t>
    </rPh>
    <phoneticPr fontId="1"/>
  </si>
  <si>
    <t>研修を通じてどのようになってほしいか</t>
    <rPh sb="0" eb="2">
      <t>ケンシュウ</t>
    </rPh>
    <rPh sb="3" eb="4">
      <t>ツウ</t>
    </rPh>
    <phoneticPr fontId="1"/>
  </si>
  <si>
    <t>全角文字</t>
    <rPh sb="0" eb="2">
      <t>ゼンカク</t>
    </rPh>
    <rPh sb="2" eb="4">
      <t>モジ</t>
    </rPh>
    <phoneticPr fontId="1"/>
  </si>
  <si>
    <t>全角ひらがな</t>
    <rPh sb="0" eb="2">
      <t>ゼンカク</t>
    </rPh>
    <phoneticPr fontId="1"/>
  </si>
  <si>
    <t>半角数字</t>
    <rPh sb="0" eb="2">
      <t>ハンカク</t>
    </rPh>
    <rPh sb="2" eb="4">
      <t>スウジ</t>
    </rPh>
    <phoneticPr fontId="1"/>
  </si>
  <si>
    <t>hopeViaTraning</t>
    <phoneticPr fontId="1"/>
  </si>
  <si>
    <t>よみがな</t>
    <phoneticPr fontId="1"/>
  </si>
  <si>
    <t>m_user</t>
    <phoneticPr fontId="1"/>
  </si>
  <si>
    <t>kana</t>
    <phoneticPr fontId="1"/>
  </si>
  <si>
    <t>m_lms_user</t>
    <phoneticPr fontId="1"/>
  </si>
  <si>
    <t>hope_via_traning</t>
    <phoneticPr fontId="1"/>
  </si>
  <si>
    <t>program_experience</t>
    <phoneticPr fontId="1"/>
  </si>
  <si>
    <t>研修を通じてどのようになってほしいか</t>
    <phoneticPr fontId="1"/>
  </si>
  <si>
    <t>プログラム経験</t>
    <phoneticPr fontId="1"/>
  </si>
  <si>
    <t>※既存仕様は記述なし</t>
    <rPh sb="1" eb="3">
      <t>キゾン</t>
    </rPh>
    <rPh sb="3" eb="5">
      <t>シヨウ</t>
    </rPh>
    <rPh sb="6" eb="8">
      <t>キジュツ</t>
    </rPh>
    <phoneticPr fontId="1"/>
  </si>
  <si>
    <t>programExperience</t>
    <phoneticPr fontId="1"/>
  </si>
  <si>
    <t>受講生登録時のみ表示</t>
    <rPh sb="0" eb="2">
      <t>ジュコウ</t>
    </rPh>
    <rPh sb="2" eb="3">
      <t>セイ</t>
    </rPh>
    <rPh sb="3" eb="5">
      <t>トウロク</t>
    </rPh>
    <rPh sb="5" eb="6">
      <t>ジ</t>
    </rPh>
    <rPh sb="8" eb="10">
      <t>ヒョウジ</t>
    </rPh>
    <phoneticPr fontId="1"/>
  </si>
  <si>
    <t>受講生登録時のみ表示</t>
    <phoneticPr fontId="1"/>
  </si>
  <si>
    <t>LMS学習管理システム</t>
    <phoneticPr fontId="1"/>
  </si>
  <si>
    <t>原</t>
    <rPh sb="0" eb="1">
      <t>ハラ</t>
    </rPh>
    <phoneticPr fontId="1"/>
  </si>
  <si>
    <t>助成金カテゴリID</t>
    <rPh sb="0" eb="3">
      <t>ジョセイキン</t>
    </rPh>
    <phoneticPr fontId="1"/>
  </si>
  <si>
    <t>subsidy_category_id</t>
    <phoneticPr fontId="1"/>
  </si>
  <si>
    <t>subsidy_category_id</t>
    <phoneticPr fontId="1"/>
  </si>
  <si>
    <t>m_subsidy_category</t>
    <phoneticPr fontId="1"/>
  </si>
  <si>
    <t>プルダウン</t>
    <phoneticPr fontId="1"/>
  </si>
  <si>
    <t>-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</si>
  <si>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</si>
  <si>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</si>
  <si>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</si>
  <si>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[受講生登録時]『（空白）、あり、なし』以外が入力された場合</t>
    <phoneticPr fontId="1"/>
  </si>
  <si>
    <t>-</t>
    <phoneticPr fontId="1"/>
  </si>
  <si>
    <t>○</t>
  </si>
  <si>
    <t>使用する助成金</t>
    <rPh sb="0" eb="2">
      <t>シヨウ</t>
    </rPh>
    <rPh sb="4" eb="7">
      <t>ジョセイキン</t>
    </rPh>
    <phoneticPr fontId="1"/>
  </si>
  <si>
    <t>【助成金書類DL機能のユーザビリティ向上 案件対応】
使用する助成金の項目追加</t>
    <rPh sb="27" eb="29">
      <t>シヨウ</t>
    </rPh>
    <rPh sb="31" eb="34">
      <t>ジョセイキン</t>
    </rPh>
    <rPh sb="35" eb="37">
      <t>コウモク</t>
    </rPh>
    <rPh sb="37" eb="39">
      <t>ツイカ</t>
    </rPh>
    <phoneticPr fontId="1"/>
  </si>
  <si>
    <t>ユーザー登録</t>
    <rPh sb="4" eb="6">
      <t>トウロク</t>
    </rPh>
    <phoneticPr fontId="1"/>
  </si>
  <si>
    <t>13期12月対応</t>
    <phoneticPr fontId="1"/>
  </si>
  <si>
    <t>ユーザー登録完了</t>
    <phoneticPr fontId="1"/>
  </si>
  <si>
    <t>新規作成</t>
    <rPh sb="0" eb="2">
      <t>シンキ</t>
    </rPh>
    <rPh sb="2" eb="4">
      <t>サクセイ</t>
    </rPh>
    <phoneticPr fontId="1"/>
  </si>
  <si>
    <t>高橋大</t>
    <rPh sb="0" eb="2">
      <t>タカハシ</t>
    </rPh>
    <rPh sb="2" eb="3">
      <t>ダイ</t>
    </rPh>
    <phoneticPr fontId="1"/>
  </si>
  <si>
    <t>会場アサイン変更へ</t>
    <rPh sb="0" eb="2">
      <t>カイジョウ</t>
    </rPh>
    <rPh sb="6" eb="8">
      <t>ヘンコウ</t>
    </rPh>
    <phoneticPr fontId="1"/>
  </si>
  <si>
    <t>送信ボタン</t>
    <phoneticPr fontId="1"/>
  </si>
  <si>
    <t>/assign/update/</t>
    <phoneticPr fontId="1"/>
  </si>
  <si>
    <t>コースID</t>
    <phoneticPr fontId="1"/>
  </si>
  <si>
    <t>会場ID</t>
    <rPh sb="0" eb="2">
      <t>カイジョウ</t>
    </rPh>
    <phoneticPr fontId="1"/>
  </si>
  <si>
    <t>企業ID</t>
    <rPh sb="0" eb="2">
      <t>キギョウ</t>
    </rPh>
    <phoneticPr fontId="1"/>
  </si>
  <si>
    <t>hidden</t>
    <phoneticPr fontId="1"/>
  </si>
  <si>
    <t>コース、企業</t>
    <rPh sb="4" eb="6">
      <t>キギョウ</t>
    </rPh>
    <phoneticPr fontId="1"/>
  </si>
  <si>
    <t>コースIDと企業IDで企業・コース紐付けIDを取得、紐付けIDから会場アサイン情報テーブルを取得できなかったかった場合</t>
    <rPh sb="6" eb="8">
      <t>キギョウ</t>
    </rPh>
    <rPh sb="11" eb="13">
      <t>キギョウ</t>
    </rPh>
    <rPh sb="17" eb="18">
      <t>ヒモ</t>
    </rPh>
    <rPh sb="18" eb="19">
      <t>ツ</t>
    </rPh>
    <rPh sb="23" eb="25">
      <t>シュトク</t>
    </rPh>
    <rPh sb="26" eb="27">
      <t>ヒモ</t>
    </rPh>
    <rPh sb="27" eb="28">
      <t>ツ</t>
    </rPh>
    <rPh sb="33" eb="35">
      <t>カイジョウ</t>
    </rPh>
    <rPh sb="39" eb="41">
      <t>ジョウホウ</t>
    </rPh>
    <rPh sb="46" eb="48">
      <t>シュトク</t>
    </rPh>
    <rPh sb="57" eb="59">
      <t>バアイ</t>
    </rPh>
    <phoneticPr fontId="1"/>
  </si>
  <si>
    <t>エラーメッセージを表示</t>
    <rPh sb="9" eb="11">
      <t>ヒョウジ</t>
    </rPh>
    <phoneticPr fontId="1"/>
  </si>
  <si>
    <t>企業に紐づくコース一覧を表示</t>
    <rPh sb="12" eb="14">
      <t>ヒョウジ</t>
    </rPh>
    <phoneticPr fontId="1"/>
  </si>
  <si>
    <t>ユーザー登録</t>
    <phoneticPr fontId="1"/>
  </si>
  <si>
    <t>エラー条件を追加</t>
    <rPh sb="3" eb="5">
      <t>ジョウケン</t>
    </rPh>
    <rPh sb="6" eb="8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</si>
</sst>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7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8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41"/>
      </patternFill>
    </fill>
    <fill>
      <patternFill patternType="solid">
        <fgColor theme="0"/>
        <bgColor theme="4"/>
      </patternFill>
    </fill>
    <fill>
      <patternFill patternType="solid">
        <fgColor theme="0"/>
        <bgColor indexed="41"/>
      </patternFill>
    </fill>
  </fills>
  <borders count="7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9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</cellStyleXfs>
  <cellXfs count="284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" fillId="28" borderId="25" xfId="102" applyFont="1" applyFill="1" applyBorder="1"/>
    <xf numFmtId="31" fontId="2" fillId="28" borderId="26" xfId="102" applyNumberFormat="1" applyFont="1" applyFill="1" applyBorder="1" applyAlignment="1"/>
    <xf numFmtId="0" fontId="2" fillId="28" borderId="27" xfId="102" applyFont="1" applyFill="1" applyBorder="1" applyAlignment="1"/>
    <xf numFmtId="0" fontId="2" fillId="28" borderId="28" xfId="102" applyFont="1" applyFill="1" applyBorder="1" applyAlignment="1"/>
    <xf numFmtId="0" fontId="2" fillId="28" borderId="29" xfId="102" applyFont="1" applyFill="1" applyBorder="1"/>
    <xf numFmtId="0" fontId="2" fillId="28" borderId="30" xfId="102" applyFont="1" applyFill="1" applyBorder="1"/>
    <xf numFmtId="0" fontId="2" fillId="28" borderId="31" xfId="102" applyFont="1" applyFill="1" applyBorder="1"/>
    <xf numFmtId="0" fontId="2" fillId="28" borderId="32" xfId="102" applyFont="1" applyFill="1" applyBorder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0" fillId="0" borderId="0" xfId="0" applyBorder="1">
      <alignment vertical="center"/>
    </xf>
    <xf numFmtId="0" fontId="52" fillId="0" borderId="0" xfId="0" applyFont="1" applyBorder="1">
      <alignment vertical="center"/>
    </xf>
    <xf numFmtId="0" fontId="55" fillId="0" borderId="0" xfId="0" applyFont="1">
      <alignment vertical="center"/>
    </xf>
    <xf numFmtId="0" fontId="55" fillId="0" borderId="0" xfId="0" applyFont="1" applyBorder="1">
      <alignment vertical="center"/>
    </xf>
    <xf numFmtId="0" fontId="56" fillId="0" borderId="0" xfId="0" applyFont="1" applyBorder="1">
      <alignment vertical="center"/>
    </xf>
    <xf numFmtId="0" fontId="55" fillId="32" borderId="0" xfId="0" applyFont="1" applyFill="1" applyBorder="1">
      <alignment vertical="center"/>
    </xf>
    <xf numFmtId="0" fontId="58" fillId="34" borderId="0" xfId="98" applyFont="1" applyFill="1" applyBorder="1" applyAlignment="1">
      <alignment vertical="center"/>
    </xf>
    <xf numFmtId="0" fontId="57" fillId="32" borderId="0" xfId="0" applyFont="1" applyFill="1" applyBorder="1" applyAlignment="1">
      <alignment vertical="center"/>
    </xf>
    <xf numFmtId="0" fontId="56" fillId="32" borderId="0" xfId="0" applyFont="1" applyFill="1" applyBorder="1" applyAlignment="1">
      <alignment vertical="center"/>
    </xf>
    <xf numFmtId="0" fontId="55" fillId="0" borderId="0" xfId="0" applyFont="1" applyBorder="1" applyAlignment="1">
      <alignment vertical="center"/>
    </xf>
    <xf numFmtId="0" fontId="58" fillId="35" borderId="0" xfId="105" applyFont="1" applyFill="1" applyBorder="1" applyAlignment="1">
      <alignment vertical="center"/>
    </xf>
    <xf numFmtId="0" fontId="59" fillId="32" borderId="0" xfId="105" applyFont="1" applyFill="1" applyBorder="1" applyAlignment="1"/>
    <xf numFmtId="0" fontId="61" fillId="0" borderId="0" xfId="0" applyFont="1" applyBorder="1" applyAlignment="1">
      <alignment horizontal="left" vertical="center"/>
    </xf>
    <xf numFmtId="0" fontId="62" fillId="0" borderId="0" xfId="0" applyFont="1" applyBorder="1">
      <alignment vertical="center"/>
    </xf>
    <xf numFmtId="0" fontId="52" fillId="30" borderId="0" xfId="0" applyFont="1" applyFill="1" applyBorder="1">
      <alignment vertical="center"/>
    </xf>
    <xf numFmtId="0" fontId="0" fillId="30" borderId="0" xfId="0" applyFill="1" applyBorder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53" fillId="0" borderId="71" xfId="101" applyFont="1" applyBorder="1" applyAlignment="1">
      <alignment horizontal="center" vertical="center" wrapText="1"/>
    </xf>
    <xf numFmtId="0" fontId="54" fillId="0" borderId="72" xfId="101" applyFont="1" applyBorder="1" applyAlignment="1">
      <alignment horizontal="center" vertical="center" wrapText="1"/>
    </xf>
    <xf numFmtId="0" fontId="54" fillId="0" borderId="72" xfId="105" applyFont="1" applyBorder="1" applyAlignment="1">
      <alignment horizontal="center" vertical="center" wrapText="1"/>
    </xf>
    <xf numFmtId="0" fontId="54" fillId="0" borderId="73" xfId="105" applyFont="1" applyBorder="1" applyAlignment="1">
      <alignment horizontal="center" vertical="center" wrapText="1"/>
    </xf>
    <xf numFmtId="0" fontId="54" fillId="0" borderId="50" xfId="101" applyFont="1" applyBorder="1" applyAlignment="1">
      <alignment horizontal="center" vertical="center" wrapText="1"/>
    </xf>
    <xf numFmtId="0" fontId="54" fillId="0" borderId="66" xfId="101" applyFont="1" applyBorder="1" applyAlignment="1">
      <alignment horizontal="center" vertical="center" wrapText="1"/>
    </xf>
    <xf numFmtId="0" fontId="54" fillId="0" borderId="66" xfId="105" applyFont="1" applyBorder="1" applyAlignment="1">
      <alignment horizontal="center" vertical="center" wrapText="1"/>
    </xf>
    <xf numFmtId="0" fontId="54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176" fontId="66" fillId="0" borderId="33" xfId="101" applyNumberFormat="1" applyFont="1" applyFill="1" applyBorder="1" applyAlignment="1">
      <alignment horizontal="center" vertical="center"/>
    </xf>
    <xf numFmtId="176" fontId="67" fillId="0" borderId="27" xfId="105" applyNumberFormat="1" applyFont="1" applyFill="1" applyBorder="1" applyAlignment="1">
      <alignment horizontal="center" vertical="center"/>
    </xf>
    <xf numFmtId="176" fontId="67" fillId="0" borderId="28" xfId="105" applyNumberFormat="1" applyFont="1" applyFill="1" applyBorder="1" applyAlignment="1">
      <alignment horizontal="center" vertical="center"/>
    </xf>
    <xf numFmtId="176" fontId="67" fillId="0" borderId="34" xfId="105" applyNumberFormat="1" applyFont="1" applyFill="1" applyBorder="1" applyAlignment="1">
      <alignment horizontal="center" vertical="center"/>
    </xf>
    <xf numFmtId="176" fontId="67" fillId="0" borderId="0" xfId="105" applyNumberFormat="1" applyFont="1" applyFill="1" applyBorder="1" applyAlignment="1">
      <alignment horizontal="center" vertical="center"/>
    </xf>
    <xf numFmtId="176" fontId="67" fillId="0" borderId="29" xfId="105" applyNumberFormat="1" applyFont="1" applyFill="1" applyBorder="1" applyAlignment="1">
      <alignment horizontal="center" vertical="center"/>
    </xf>
    <xf numFmtId="176" fontId="67" fillId="0" borderId="35" xfId="105" applyNumberFormat="1" applyFont="1" applyFill="1" applyBorder="1" applyAlignment="1">
      <alignment horizontal="center" vertical="center"/>
    </xf>
    <xf numFmtId="176" fontId="67" fillId="0" borderId="31" xfId="105" applyNumberFormat="1" applyFont="1" applyFill="1" applyBorder="1" applyAlignment="1">
      <alignment horizontal="center" vertical="center"/>
    </xf>
    <xf numFmtId="176" fontId="67" fillId="0" borderId="32" xfId="105" applyNumberFormat="1" applyFont="1" applyFill="1" applyBorder="1" applyAlignment="1">
      <alignment horizontal="center" vertical="center"/>
    </xf>
    <xf numFmtId="14" fontId="66" fillId="0" borderId="26" xfId="101" applyNumberFormat="1" applyFont="1" applyFill="1" applyBorder="1" applyAlignment="1">
      <alignment horizontal="center" vertical="center"/>
    </xf>
    <xf numFmtId="14" fontId="67" fillId="0" borderId="27" xfId="105" applyNumberFormat="1" applyFont="1" applyFill="1" applyBorder="1" applyAlignment="1">
      <alignment horizontal="center" vertical="center"/>
    </xf>
    <xf numFmtId="14" fontId="67" fillId="0" borderId="28" xfId="105" applyNumberFormat="1" applyFont="1" applyFill="1" applyBorder="1" applyAlignment="1">
      <alignment horizontal="center" vertical="center"/>
    </xf>
    <xf numFmtId="14" fontId="67" fillId="0" borderId="25" xfId="105" applyNumberFormat="1" applyFont="1" applyFill="1" applyBorder="1" applyAlignment="1">
      <alignment horizontal="center" vertical="center"/>
    </xf>
    <xf numFmtId="14" fontId="67" fillId="0" borderId="0" xfId="105" applyNumberFormat="1" applyFont="1" applyFill="1" applyBorder="1" applyAlignment="1">
      <alignment horizontal="center" vertical="center"/>
    </xf>
    <xf numFmtId="14" fontId="67" fillId="0" borderId="29" xfId="105" applyNumberFormat="1" applyFont="1" applyFill="1" applyBorder="1" applyAlignment="1">
      <alignment horizontal="center" vertical="center"/>
    </xf>
    <xf numFmtId="14" fontId="67" fillId="0" borderId="30" xfId="105" applyNumberFormat="1" applyFont="1" applyFill="1" applyBorder="1" applyAlignment="1">
      <alignment horizontal="center" vertical="center"/>
    </xf>
    <xf numFmtId="14" fontId="67" fillId="0" borderId="31" xfId="105" applyNumberFormat="1" applyFont="1" applyFill="1" applyBorder="1" applyAlignment="1">
      <alignment horizontal="center" vertical="center"/>
    </xf>
    <xf numFmtId="14" fontId="67" fillId="0" borderId="32" xfId="105" applyNumberFormat="1" applyFont="1" applyFill="1" applyBorder="1" applyAlignment="1">
      <alignment horizontal="center" vertical="center"/>
    </xf>
    <xf numFmtId="0" fontId="66" fillId="0" borderId="26" xfId="101" applyFont="1" applyFill="1" applyBorder="1" applyAlignment="1">
      <alignment horizontal="center" vertical="center" wrapText="1"/>
    </xf>
    <xf numFmtId="0" fontId="67" fillId="0" borderId="27" xfId="105" applyFont="1" applyFill="1" applyBorder="1" applyAlignment="1">
      <alignment horizontal="center" vertical="center"/>
    </xf>
    <xf numFmtId="0" fontId="67" fillId="0" borderId="28" xfId="105" applyFont="1" applyFill="1" applyBorder="1" applyAlignment="1">
      <alignment horizontal="center" vertical="center"/>
    </xf>
    <xf numFmtId="0" fontId="67" fillId="0" borderId="25" xfId="105" applyFont="1" applyFill="1" applyBorder="1" applyAlignment="1">
      <alignment horizontal="center" vertical="center"/>
    </xf>
    <xf numFmtId="0" fontId="67" fillId="0" borderId="0" xfId="105" applyFont="1" applyFill="1" applyBorder="1" applyAlignment="1">
      <alignment horizontal="center" vertical="center"/>
    </xf>
    <xf numFmtId="0" fontId="67" fillId="0" borderId="29" xfId="105" applyFont="1" applyFill="1" applyBorder="1" applyAlignment="1">
      <alignment horizontal="center" vertical="center"/>
    </xf>
    <xf numFmtId="0" fontId="67" fillId="0" borderId="30" xfId="105" applyFont="1" applyFill="1" applyBorder="1" applyAlignment="1">
      <alignment horizontal="center" vertical="center"/>
    </xf>
    <xf numFmtId="0" fontId="67" fillId="0" borderId="31" xfId="105" applyFont="1" applyFill="1" applyBorder="1" applyAlignment="1">
      <alignment horizontal="center" vertical="center"/>
    </xf>
    <xf numFmtId="0" fontId="67" fillId="0" borderId="32" xfId="105" applyFont="1" applyFill="1" applyBorder="1" applyAlignment="1">
      <alignment horizontal="center" vertical="center"/>
    </xf>
    <xf numFmtId="0" fontId="66" fillId="0" borderId="26" xfId="101" applyFont="1" applyFill="1" applyBorder="1" applyAlignment="1">
      <alignment vertical="center" wrapText="1"/>
    </xf>
    <xf numFmtId="0" fontId="67" fillId="0" borderId="27" xfId="105" applyFont="1" applyFill="1" applyBorder="1" applyAlignment="1">
      <alignment vertical="center" wrapText="1"/>
    </xf>
    <xf numFmtId="0" fontId="67" fillId="0" borderId="28" xfId="105" applyFont="1" applyFill="1" applyBorder="1" applyAlignment="1">
      <alignment vertical="center" wrapText="1"/>
    </xf>
    <xf numFmtId="0" fontId="67" fillId="0" borderId="25" xfId="105" applyFont="1" applyFill="1" applyBorder="1" applyAlignment="1">
      <alignment vertical="center" wrapText="1"/>
    </xf>
    <xf numFmtId="0" fontId="67" fillId="0" borderId="0" xfId="105" applyFont="1" applyFill="1" applyBorder="1" applyAlignment="1">
      <alignment vertical="center" wrapText="1"/>
    </xf>
    <xf numFmtId="0" fontId="67" fillId="0" borderId="29" xfId="105" applyFont="1" applyFill="1" applyBorder="1" applyAlignment="1">
      <alignment vertical="center" wrapText="1"/>
    </xf>
    <xf numFmtId="0" fontId="67" fillId="0" borderId="30" xfId="105" applyFont="1" applyFill="1" applyBorder="1" applyAlignment="1">
      <alignment vertical="center" wrapText="1"/>
    </xf>
    <xf numFmtId="0" fontId="67" fillId="0" borderId="31" xfId="105" applyFont="1" applyFill="1" applyBorder="1" applyAlignment="1">
      <alignment vertical="center" wrapText="1"/>
    </xf>
    <xf numFmtId="0" fontId="67" fillId="0" borderId="32" xfId="105" applyFont="1" applyFill="1" applyBorder="1" applyAlignment="1">
      <alignment vertical="center" wrapText="1"/>
    </xf>
    <xf numFmtId="0" fontId="66" fillId="0" borderId="26" xfId="101" applyFont="1" applyFill="1" applyBorder="1" applyAlignment="1">
      <alignment horizontal="center" vertical="center"/>
    </xf>
    <xf numFmtId="0" fontId="67" fillId="0" borderId="36" xfId="105" applyFont="1" applyFill="1" applyBorder="1" applyAlignment="1">
      <alignment horizontal="center" vertical="center"/>
    </xf>
    <xf numFmtId="0" fontId="67" fillId="0" borderId="37" xfId="105" applyFont="1" applyFill="1" applyBorder="1" applyAlignment="1">
      <alignment horizontal="center" vertical="center"/>
    </xf>
    <xf numFmtId="0" fontId="67" fillId="0" borderId="38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2" fillId="0" borderId="0" xfId="105" applyNumberFormat="1" applyFont="1" applyFill="1" applyBorder="1" applyAlignment="1">
      <alignment horizontal="center" vertical="center"/>
    </xf>
    <xf numFmtId="0" fontId="2" fillId="0" borderId="0" xfId="105" applyNumberFormat="1" applyFont="1" applyFill="1" applyBorder="1" applyAlignment="1">
      <alignment vertical="center" wrapText="1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0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0" xfId="101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0" fontId="50" fillId="0" borderId="0" xfId="101" applyNumberFormat="1" applyFont="1" applyFill="1" applyBorder="1" applyAlignment="1">
      <alignment horizontal="center" vertical="center" wrapText="1"/>
    </xf>
    <xf numFmtId="0" fontId="50" fillId="0" borderId="0" xfId="101" applyNumberFormat="1" applyFont="1" applyFill="1" applyBorder="1" applyAlignment="1">
      <alignment vertical="center" wrapText="1"/>
    </xf>
    <xf numFmtId="0" fontId="63" fillId="30" borderId="78" xfId="0" applyFont="1" applyFill="1" applyBorder="1" applyAlignment="1">
      <alignment horizontal="center" vertical="center"/>
    </xf>
    <xf numFmtId="0" fontId="64" fillId="31" borderId="77" xfId="98" applyFont="1" applyFill="1" applyBorder="1" applyAlignment="1">
      <alignment horizontal="center" vertical="center"/>
    </xf>
    <xf numFmtId="0" fontId="60" fillId="0" borderId="78" xfId="105" applyFont="1" applyBorder="1" applyAlignment="1">
      <alignment horizontal="center" vertical="center"/>
    </xf>
    <xf numFmtId="0" fontId="60" fillId="0" borderId="78" xfId="105" applyFont="1" applyBorder="1" applyAlignment="1">
      <alignment horizontal="left" vertical="center"/>
    </xf>
    <xf numFmtId="0" fontId="60" fillId="0" borderId="78" xfId="105" applyFont="1" applyBorder="1" applyAlignment="1">
      <alignment horizontal="left"/>
    </xf>
    <xf numFmtId="0" fontId="60" fillId="0" borderId="78" xfId="105" applyFont="1" applyBorder="1" applyAlignment="1"/>
    <xf numFmtId="0" fontId="49" fillId="0" borderId="66" xfId="105" applyFont="1" applyBorder="1" applyAlignment="1">
      <alignment horizontal="center" vertical="center"/>
    </xf>
    <xf numFmtId="0" fontId="0" fillId="0" borderId="68" xfId="101" applyFont="1" applyBorder="1" applyAlignment="1">
      <alignment horizontal="center" vertical="center"/>
    </xf>
    <xf numFmtId="0" fontId="2" fillId="0" borderId="69" xfId="105" applyFont="1" applyBorder="1" applyAlignment="1">
      <alignment horizontal="center" vertical="center"/>
    </xf>
    <xf numFmtId="14" fontId="2" fillId="0" borderId="69" xfId="101" applyNumberFormat="1" applyFont="1" applyBorder="1" applyAlignment="1">
      <alignment horizontal="center" vertical="center"/>
    </xf>
    <xf numFmtId="14" fontId="2" fillId="0" borderId="67" xfId="101" applyNumberFormat="1" applyFont="1" applyBorder="1" applyAlignment="1">
      <alignment horizontal="center" vertical="center"/>
    </xf>
    <xf numFmtId="0" fontId="2" fillId="0" borderId="67" xfId="105" applyFont="1" applyBorder="1" applyAlignment="1">
      <alignment horizontal="center" vertical="center"/>
    </xf>
    <xf numFmtId="0" fontId="2" fillId="0" borderId="70" xfId="105" applyFont="1" applyBorder="1" applyAlignment="1">
      <alignment horizontal="center" vertical="center"/>
    </xf>
    <xf numFmtId="0" fontId="2" fillId="0" borderId="66" xfId="105" applyFont="1" applyBorder="1" applyAlignment="1">
      <alignment horizontal="center" vertical="center"/>
    </xf>
    <xf numFmtId="0" fontId="64" fillId="31" borderId="78" xfId="98" applyFont="1" applyFill="1" applyBorder="1" applyAlignment="1">
      <alignment horizontal="center" vertical="center"/>
    </xf>
    <xf numFmtId="0" fontId="64" fillId="33" borderId="78" xfId="105" applyFont="1" applyFill="1" applyBorder="1" applyAlignment="1">
      <alignment horizontal="center" vertical="center"/>
    </xf>
    <xf numFmtId="0" fontId="64" fillId="33" borderId="76" xfId="105" applyFont="1" applyFill="1" applyBorder="1" applyAlignment="1">
      <alignment horizontal="center" vertical="center"/>
    </xf>
    <xf numFmtId="0" fontId="64" fillId="33" borderId="74" xfId="105" applyFont="1" applyFill="1" applyBorder="1" applyAlignment="1">
      <alignment horizontal="center" vertical="center"/>
    </xf>
    <xf numFmtId="0" fontId="64" fillId="33" borderId="75" xfId="105" applyFont="1" applyFill="1" applyBorder="1" applyAlignment="1">
      <alignment horizontal="center" vertical="center"/>
    </xf>
    <xf numFmtId="0" fontId="60" fillId="0" borderId="78" xfId="0" applyFont="1" applyBorder="1" applyAlignment="1">
      <alignment vertical="center"/>
    </xf>
    <xf numFmtId="0" fontId="60" fillId="0" borderId="78" xfId="0" applyFont="1" applyBorder="1" applyAlignment="1">
      <alignment horizontal="center" vertical="center"/>
    </xf>
    <xf numFmtId="0" fontId="60" fillId="0" borderId="78" xfId="0" applyFont="1" applyBorder="1" applyAlignment="1">
      <alignment horizontal="left" vertical="center"/>
    </xf>
    <xf numFmtId="0" fontId="60" fillId="0" borderId="78" xfId="0" applyFont="1" applyBorder="1" applyAlignment="1">
      <alignment horizontal="left" vertical="center" wrapText="1"/>
    </xf>
    <xf numFmtId="0" fontId="68" fillId="0" borderId="78" xfId="0" applyFont="1" applyBorder="1" applyAlignment="1">
      <alignment vertical="center"/>
    </xf>
    <xf numFmtId="0" fontId="68" fillId="0" borderId="78" xfId="0" applyFont="1" applyBorder="1" applyAlignment="1">
      <alignment vertical="center" wrapText="1"/>
    </xf>
    <xf numFmtId="0" fontId="68" fillId="0" borderId="78" xfId="0" applyFont="1" applyBorder="1" applyAlignment="1">
      <alignment horizontal="left" vertical="center"/>
    </xf>
    <xf numFmtId="0" fontId="59" fillId="0" borderId="0" xfId="0" applyFont="1" applyBorder="1" applyAlignment="1">
      <alignment horizontal="left" vertical="center"/>
    </xf>
    <xf numFmtId="0" fontId="5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9" fillId="0" borderId="0" xfId="0" applyFont="1" applyBorder="1" applyAlignment="1">
      <alignment vertical="center"/>
    </xf>
    <xf numFmtId="0" fontId="58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64" fillId="30" borderId="77" xfId="0" applyFont="1" applyFill="1" applyBorder="1" applyAlignment="1">
      <alignment horizontal="center" vertical="center"/>
    </xf>
    <xf numFmtId="0" fontId="64" fillId="30" borderId="78" xfId="0" applyFont="1" applyFill="1" applyBorder="1" applyAlignment="1">
      <alignment horizontal="center" vertical="center"/>
    </xf>
    <xf numFmtId="0" fontId="60" fillId="0" borderId="78" xfId="0" applyFont="1" applyBorder="1" applyAlignment="1">
      <alignment vertical="center" wrapText="1"/>
    </xf>
    <xf numFmtId="0" fontId="69" fillId="0" borderId="0" xfId="0" applyFont="1" applyBorder="1">
      <alignment vertical="center"/>
    </xf>
    <xf numFmtId="0" fontId="65" fillId="0" borderId="76" xfId="0" applyFont="1" applyBorder="1" applyAlignment="1">
      <alignment horizontal="center" vertical="center"/>
    </xf>
    <xf numFmtId="0" fontId="65" fillId="0" borderId="75" xfId="0" applyFont="1" applyBorder="1" applyAlignment="1">
      <alignment horizontal="center" vertical="center"/>
    </xf>
    <xf numFmtId="0" fontId="65" fillId="0" borderId="76" xfId="0" applyFont="1" applyBorder="1" applyAlignment="1">
      <alignment horizontal="left" vertical="center"/>
    </xf>
    <xf numFmtId="0" fontId="65" fillId="0" borderId="74" xfId="0" applyFont="1" applyBorder="1" applyAlignment="1">
      <alignment horizontal="left" vertical="center"/>
    </xf>
    <xf numFmtId="0" fontId="65" fillId="0" borderId="75" xfId="0" applyFont="1" applyBorder="1" applyAlignment="1">
      <alignment horizontal="left" vertical="center"/>
    </xf>
    <xf numFmtId="0" fontId="65" fillId="0" borderId="76" xfId="0" applyFont="1" applyBorder="1" applyAlignment="1">
      <alignment horizontal="left" vertical="center" wrapText="1"/>
    </xf>
    <xf numFmtId="0" fontId="65" fillId="0" borderId="74" xfId="0" applyFont="1" applyBorder="1" applyAlignment="1">
      <alignment horizontal="left" vertical="center" wrapText="1"/>
    </xf>
    <xf numFmtId="0" fontId="65" fillId="0" borderId="75" xfId="0" applyFont="1" applyBorder="1" applyAlignment="1">
      <alignment horizontal="left" vertical="center" wrapText="1"/>
    </xf>
    <xf numFmtId="0" fontId="65" fillId="0" borderId="30" xfId="0" applyFont="1" applyBorder="1" applyAlignment="1">
      <alignment horizontal="center" vertical="center"/>
    </xf>
    <xf numFmtId="0" fontId="65" fillId="0" borderId="32" xfId="0" applyFont="1" applyBorder="1" applyAlignment="1">
      <alignment horizontal="center" vertical="center"/>
    </xf>
    <xf numFmtId="0" fontId="65" fillId="0" borderId="30" xfId="0" applyFont="1" applyBorder="1" applyAlignment="1">
      <alignment horizontal="left" vertical="center"/>
    </xf>
    <xf numFmtId="0" fontId="65" fillId="0" borderId="31" xfId="0" applyFont="1" applyBorder="1" applyAlignment="1">
      <alignment horizontal="left" vertical="center"/>
    </xf>
    <xf numFmtId="0" fontId="65" fillId="0" borderId="32" xfId="0" applyFont="1" applyBorder="1" applyAlignment="1">
      <alignment horizontal="left" vertical="center"/>
    </xf>
    <xf numFmtId="0" fontId="65" fillId="0" borderId="30" xfId="0" applyFont="1" applyBorder="1" applyAlignment="1">
      <alignment horizontal="left" vertical="center" wrapText="1"/>
    </xf>
    <xf numFmtId="0" fontId="65" fillId="0" borderId="31" xfId="0" applyFont="1" applyBorder="1" applyAlignment="1">
      <alignment horizontal="left" vertical="center" wrapText="1"/>
    </xf>
    <xf numFmtId="0" fontId="65" fillId="0" borderId="32" xfId="0" applyFont="1" applyBorder="1" applyAlignment="1">
      <alignment horizontal="left" vertical="center" wrapText="1"/>
    </xf>
  </cellXfs>
  <cellStyles count="109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heck Cell" xfId="47" xr:uid="{00000000-0005-0000-0000-00002D000000}"/>
    <cellStyle name="Comma [0]_FON95-03" xfId="48" xr:uid="{00000000-0005-0000-0000-00002E000000}"/>
    <cellStyle name="Comma_FON95-03" xfId="49" xr:uid="{00000000-0005-0000-0000-00002F000000}"/>
    <cellStyle name="Currency [0]_FON95-03" xfId="50" xr:uid="{00000000-0005-0000-0000-000030000000}"/>
    <cellStyle name="Currency_FON95-03" xfId="51" xr:uid="{00000000-0005-0000-0000-000031000000}"/>
    <cellStyle name="date" xfId="52" xr:uid="{00000000-0005-0000-0000-000032000000}"/>
    <cellStyle name="Explanatory Text" xfId="53" xr:uid="{00000000-0005-0000-0000-000033000000}"/>
    <cellStyle name="Good" xfId="54" xr:uid="{00000000-0005-0000-0000-000034000000}"/>
    <cellStyle name="Heading 1" xfId="55" xr:uid="{00000000-0005-0000-0000-000035000000}"/>
    <cellStyle name="Heading 2" xfId="56" xr:uid="{00000000-0005-0000-0000-000036000000}"/>
    <cellStyle name="Heading 3" xfId="57" xr:uid="{00000000-0005-0000-0000-000037000000}"/>
    <cellStyle name="Heading 4" xfId="58" xr:uid="{00000000-0005-0000-0000-000038000000}"/>
    <cellStyle name="IBM(401K)" xfId="106" xr:uid="{00000000-0005-0000-0000-000039000000}"/>
    <cellStyle name="Input" xfId="59" xr:uid="{00000000-0005-0000-0000-00003A000000}"/>
    <cellStyle name="J401K" xfId="107" xr:uid="{00000000-0005-0000-0000-00003B000000}"/>
    <cellStyle name="Linked Cell" xfId="60" xr:uid="{00000000-0005-0000-0000-00003C000000}"/>
    <cellStyle name="Milliers [0]_AR1194" xfId="61" xr:uid="{00000000-0005-0000-0000-00003D000000}"/>
    <cellStyle name="Milliers_AR1194" xfId="62" xr:uid="{00000000-0005-0000-0000-00003E000000}"/>
    <cellStyle name="Mon騁aire [0]_AR1194" xfId="63" xr:uid="{00000000-0005-0000-0000-00003F000000}"/>
    <cellStyle name="Mon騁aire_AR1194" xfId="64" xr:uid="{00000000-0005-0000-0000-000040000000}"/>
    <cellStyle name="Neutral" xfId="65" xr:uid="{00000000-0005-0000-0000-000041000000}"/>
    <cellStyle name="Normal_AR1194" xfId="66" xr:uid="{00000000-0005-0000-0000-000042000000}"/>
    <cellStyle name="Note" xfId="67" xr:uid="{00000000-0005-0000-0000-000043000000}"/>
    <cellStyle name="Output" xfId="68" xr:uid="{00000000-0005-0000-0000-000044000000}"/>
    <cellStyle name="Title" xfId="69" xr:uid="{00000000-0005-0000-0000-000045000000}"/>
    <cellStyle name="Total" xfId="70" xr:uid="{00000000-0005-0000-0000-000046000000}"/>
    <cellStyle name="Warning Text" xfId="71" xr:uid="{00000000-0005-0000-0000-000047000000}"/>
    <cellStyle name="アクセント 1 2" xfId="72" xr:uid="{00000000-0005-0000-0000-000048000000}"/>
    <cellStyle name="アクセント 2 2" xfId="73" xr:uid="{00000000-0005-0000-0000-000049000000}"/>
    <cellStyle name="アクセント 3 2" xfId="74" xr:uid="{00000000-0005-0000-0000-00004A000000}"/>
    <cellStyle name="アクセント 4 2" xfId="75" xr:uid="{00000000-0005-0000-0000-00004B000000}"/>
    <cellStyle name="アクセント 5 2" xfId="76" xr:uid="{00000000-0005-0000-0000-00004C000000}"/>
    <cellStyle name="アクセント 6 2" xfId="77" xr:uid="{00000000-0005-0000-0000-00004D000000}"/>
    <cellStyle name="タイトル 2" xfId="78" xr:uid="{00000000-0005-0000-0000-00004E000000}"/>
    <cellStyle name="チェック セル 2" xfId="79" xr:uid="{00000000-0005-0000-0000-00004F000000}"/>
    <cellStyle name="データパイロットの数値" xfId="80" xr:uid="{00000000-0005-0000-0000-000050000000}"/>
    <cellStyle name="データパイロットの分類項目" xfId="81" xr:uid="{00000000-0005-0000-0000-000051000000}"/>
    <cellStyle name="どちらでもない 2" xfId="82" xr:uid="{00000000-0005-0000-0000-000052000000}"/>
    <cellStyle name="フェンスチャート" xfId="83" xr:uid="{00000000-0005-0000-0000-000053000000}"/>
    <cellStyle name="メモ 2" xfId="84" xr:uid="{00000000-0005-0000-0000-000054000000}"/>
    <cellStyle name="リンク セル 2" xfId="85" xr:uid="{00000000-0005-0000-0000-000055000000}"/>
    <cellStyle name="悪い 2" xfId="86" xr:uid="{00000000-0005-0000-0000-000056000000}"/>
    <cellStyle name="計算 2" xfId="87" xr:uid="{00000000-0005-0000-0000-000057000000}"/>
    <cellStyle name="警告文 2" xfId="88" xr:uid="{00000000-0005-0000-0000-000058000000}"/>
    <cellStyle name="見出し 1 2" xfId="89" xr:uid="{00000000-0005-0000-0000-000059000000}"/>
    <cellStyle name="見出し 2 2" xfId="90" xr:uid="{00000000-0005-0000-0000-00005A000000}"/>
    <cellStyle name="見出し 3 2" xfId="91" xr:uid="{00000000-0005-0000-0000-00005B000000}"/>
    <cellStyle name="見出し 4 2" xfId="92" xr:uid="{00000000-0005-0000-0000-00005C000000}"/>
    <cellStyle name="集計 2" xfId="93" xr:uid="{00000000-0005-0000-0000-00005D000000}"/>
    <cellStyle name="出力 2" xfId="94" xr:uid="{00000000-0005-0000-0000-00005E000000}"/>
    <cellStyle name="状態遷移図" xfId="95" xr:uid="{00000000-0005-0000-0000-00005F000000}"/>
    <cellStyle name="説明文 2" xfId="96" xr:uid="{00000000-0005-0000-0000-000060000000}"/>
    <cellStyle name="入力 2" xfId="97" xr:uid="{00000000-0005-0000-0000-000061000000}"/>
    <cellStyle name="標準" xfId="0" builtinId="0"/>
    <cellStyle name="標準 2" xfId="98" xr:uid="{00000000-0005-0000-0000-000063000000}"/>
    <cellStyle name="標準 2 2" xfId="105" xr:uid="{00000000-0005-0000-0000-000064000000}"/>
    <cellStyle name="標準 2_デモ／空メールエントリーシステム＿メモ" xfId="108" xr:uid="{00000000-0005-0000-0000-000065000000}"/>
    <cellStyle name="標準 3" xfId="99" xr:uid="{00000000-0005-0000-0000-000066000000}"/>
    <cellStyle name="標準 4" xfId="100" xr:uid="{00000000-0005-0000-0000-000067000000}"/>
    <cellStyle name="標準 5" xfId="1" xr:uid="{00000000-0005-0000-0000-000068000000}"/>
    <cellStyle name="標準_開発計画_110720_v11" xfId="101" xr:uid="{00000000-0005-0000-0000-000069000000}"/>
    <cellStyle name="標準_朝日生命_バースデーキャンペーン_DB設計書_080415_社内_情報活用セミナー_Createテキストデータ設計書_081107-2" xfId="102" xr:uid="{00000000-0005-0000-0000-00006A000000}"/>
    <cellStyle name="未定義" xfId="103" xr:uid="{00000000-0005-0000-0000-00006B000000}"/>
    <cellStyle name="良い 2" xfId="104" xr:uid="{00000000-0005-0000-0000-00006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603006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38109</xdr:colOff>
      <xdr:row>6</xdr:row>
      <xdr:rowOff>66676</xdr:rowOff>
    </xdr:from>
    <xdr:to>
      <xdr:col>42</xdr:col>
      <xdr:colOff>24824</xdr:colOff>
      <xdr:row>35</xdr:row>
      <xdr:rowOff>11432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8522AA4-58FC-4C03-92E4-41CD1F771F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516" t="13771" r="5222" b="14345"/>
        <a:stretch/>
      </xdr:blipFill>
      <xdr:spPr>
        <a:xfrm>
          <a:off x="638184" y="1095376"/>
          <a:ext cx="7787690" cy="490728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62</xdr:col>
      <xdr:colOff>66675</xdr:colOff>
      <xdr:row>9</xdr:row>
      <xdr:rowOff>66675</xdr:rowOff>
    </xdr:from>
    <xdr:to>
      <xdr:col>84</xdr:col>
      <xdr:colOff>123825</xdr:colOff>
      <xdr:row>22</xdr:row>
      <xdr:rowOff>76200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FE00984-63DE-46E0-A407-94A7FAF5628B}"/>
            </a:ext>
          </a:extLst>
        </xdr:cNvPr>
        <xdr:cNvSpPr/>
      </xdr:nvSpPr>
      <xdr:spPr>
        <a:xfrm>
          <a:off x="12468225" y="1609725"/>
          <a:ext cx="4457700" cy="2238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&lt;div id="main" class="main2clm"&gt;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  &lt;h2&gt;</a:t>
          </a:r>
          <a:r>
            <a:rPr kumimoji="1" lang="ja-JP" altLang="en-US" sz="1100"/>
            <a:t>ユーザー登録完了</a:t>
          </a:r>
          <a:r>
            <a:rPr kumimoji="1" lang="en-US" altLang="ja-JP" sz="1100"/>
            <a:t>&lt;/h2&gt;</a:t>
          </a:r>
        </a:p>
        <a:p>
          <a:pPr algn="l"/>
          <a:r>
            <a:rPr kumimoji="1" lang="en-US" altLang="ja-JP" sz="1100"/>
            <a:t>    &lt;h3&gt;</a:t>
          </a:r>
          <a:r>
            <a:rPr kumimoji="1" lang="ja-JP" altLang="en-US" sz="1100"/>
            <a:t>ユーザー登録が完了しました。</a:t>
          </a:r>
          <a:r>
            <a:rPr kumimoji="1" lang="en-US" altLang="ja-JP" sz="1100"/>
            <a:t>&lt;/h3&gt;</a:t>
          </a:r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&lt;br&gt;</a:t>
          </a:r>
        </a:p>
        <a:p>
          <a:pPr algn="l"/>
          <a:r>
            <a:rPr kumimoji="1" lang="en-US" altLang="ja-JP" sz="1100"/>
            <a:t>&lt;h2 class="text-danger"&gt;※</a:t>
          </a:r>
          <a:r>
            <a:rPr kumimoji="1" lang="ja-JP" altLang="en-US" sz="1100"/>
            <a:t>引続き会場アサイン、見積情報の修正を行ってください。</a:t>
          </a:r>
          <a:r>
            <a:rPr kumimoji="1" lang="en-US" altLang="ja-JP" sz="1100"/>
            <a:t>&lt;/h2&gt;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&lt;div class="panel panel-default"&gt;</a:t>
          </a:r>
        </a:p>
        <a:p>
          <a:pPr algn="l"/>
          <a:r>
            <a:rPr kumimoji="1" lang="en-US" altLang="ja-JP" sz="1100"/>
            <a:t>    &lt;div class="panel-body"&gt;</a:t>
          </a:r>
        </a:p>
        <a:p>
          <a:pPr algn="l"/>
          <a:r>
            <a:rPr kumimoji="1" lang="en-US" altLang="ja-JP" sz="1100"/>
            <a:t>      &lt;form name="indexActionForm" method="post" action="/lms/"&gt;&lt;div&gt;&lt;input type="hidden" name="org.apache.struts.taglib.html.TOKEN" value="56fcc4f86765931f3f49ab246eb060cc"&gt;&lt;/div&gt;</a:t>
          </a:r>
        </a:p>
        <a:p>
          <a:pPr algn="l"/>
          <a:r>
            <a:rPr kumimoji="1" lang="en-US" altLang="ja-JP" sz="1100"/>
            <a:t>        &lt;input type="submit" value="</a:t>
          </a:r>
          <a:r>
            <a:rPr kumimoji="1" lang="ja-JP" altLang="en-US" sz="1100"/>
            <a:t>会場アサイン変更へ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  &lt;/form&gt;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r>
            <a:rPr kumimoji="1" lang="en-US" altLang="ja-JP" sz="1100"/>
            <a:t>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&lt;h4&gt;</a:t>
          </a:r>
          <a:r>
            <a:rPr kumimoji="1" lang="ja-JP" altLang="en-US" sz="1100"/>
            <a:t>パスワードを発行しましたので以下の情報をユーザーに知らせてください。</a:t>
          </a:r>
          <a:r>
            <a:rPr kumimoji="1" lang="en-US" altLang="ja-JP" sz="1100"/>
            <a:t>&lt;/h4&gt;</a:t>
          </a:r>
        </a:p>
        <a:p>
          <a:pPr algn="l"/>
          <a:r>
            <a:rPr kumimoji="1" lang="en-US" altLang="ja-JP" sz="1100"/>
            <a:t>&lt;div class="panel panel-default"&gt;</a:t>
          </a:r>
        </a:p>
        <a:p>
          <a:pPr algn="l"/>
          <a:r>
            <a:rPr kumimoji="1" lang="en-US" altLang="ja-JP" sz="1100"/>
            <a:t>    &lt;div class="panel-body"&gt;</a:t>
          </a:r>
        </a:p>
        <a:p>
          <a:pPr algn="l"/>
          <a:r>
            <a:rPr kumimoji="1" lang="en-US" altLang="ja-JP" sz="1100"/>
            <a:t>    &lt;fieldset&gt;</a:t>
          </a:r>
        </a:p>
        <a:p>
          <a:pPr algn="l"/>
          <a:r>
            <a:rPr kumimoji="1" lang="en-US" altLang="ja-JP" sz="1100"/>
            <a:t>      &lt;legend&gt;</a:t>
          </a:r>
          <a:r>
            <a:rPr kumimoji="1" lang="ja-JP" altLang="en-US" sz="1100"/>
            <a:t>ログイン</a:t>
          </a:r>
          <a:r>
            <a:rPr kumimoji="1" lang="en-US" altLang="ja-JP" sz="1100"/>
            <a:t>ID&lt;/legend&gt;</a:t>
          </a:r>
        </a:p>
        <a:p>
          <a:pPr algn="l"/>
          <a:r>
            <a:rPr kumimoji="1" lang="en-US" altLang="ja-JP" sz="1100"/>
            <a:t>      &lt;div class="form-group"&gt;</a:t>
          </a:r>
        </a:p>
        <a:p>
          <a:pPr algn="l"/>
          <a:r>
            <a:rPr kumimoji="1" lang="en-US" altLang="ja-JP" sz="1100"/>
            <a:t>        &lt;strong&gt;SSSStudentsHT0000&lt;/strong&gt;</a:t>
          </a:r>
        </a:p>
        <a:p>
          <a:pPr algn="l"/>
          <a:r>
            <a:rPr kumimoji="1" lang="en-US" altLang="ja-JP" sz="1100"/>
            <a:t>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&lt;legend&gt;</a:t>
          </a:r>
          <a:r>
            <a:rPr kumimoji="1" lang="ja-JP" altLang="en-US" sz="1100"/>
            <a:t>パスワード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&lt;div class="form-group"&gt;</a:t>
          </a:r>
        </a:p>
        <a:p>
          <a:pPr algn="l"/>
          <a:r>
            <a:rPr kumimoji="1" lang="en-US" altLang="ja-JP" sz="1100"/>
            <a:t>        &lt;strong&gt;9zI6dt2M&lt;/strong&gt;</a:t>
          </a:r>
        </a:p>
        <a:p>
          <a:pPr algn="l"/>
          <a:r>
            <a:rPr kumimoji="1" lang="en-US" altLang="ja-JP" sz="1100"/>
            <a:t>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&lt;/fieldset&gt;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r>
            <a:rPr kumimoji="1" lang="en-US" altLang="ja-JP" sz="1100"/>
            <a:t>  &lt;/div&gt;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      &lt;/div&gt;</a:t>
          </a:r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66675</xdr:colOff>
      <xdr:row>9</xdr:row>
      <xdr:rowOff>66675</xdr:rowOff>
    </xdr:from>
    <xdr:to>
      <xdr:col>84</xdr:col>
      <xdr:colOff>123825</xdr:colOff>
      <xdr:row>22</xdr:row>
      <xdr:rowOff>76200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B65D339-EFA5-4AA3-BAF7-B6C7BEFBFCF7}"/>
            </a:ext>
          </a:extLst>
        </xdr:cNvPr>
        <xdr:cNvSpPr/>
      </xdr:nvSpPr>
      <xdr:spPr>
        <a:xfrm>
          <a:off x="12468225" y="1609725"/>
          <a:ext cx="4457700" cy="2238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&lt;div id="main" class="main2clm"&gt;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  &lt;h2&gt;</a:t>
          </a:r>
          <a:r>
            <a:rPr kumimoji="1" lang="ja-JP" altLang="en-US" sz="1100"/>
            <a:t>ユーザー登録完了</a:t>
          </a:r>
          <a:r>
            <a:rPr kumimoji="1" lang="en-US" altLang="ja-JP" sz="1100"/>
            <a:t>&lt;/h2&gt;</a:t>
          </a:r>
        </a:p>
        <a:p>
          <a:pPr algn="l"/>
          <a:r>
            <a:rPr kumimoji="1" lang="en-US" altLang="ja-JP" sz="1100"/>
            <a:t>    &lt;h3&gt;</a:t>
          </a:r>
          <a:r>
            <a:rPr kumimoji="1" lang="ja-JP" altLang="en-US" sz="1100"/>
            <a:t>ユーザー登録が完了しました。</a:t>
          </a:r>
          <a:r>
            <a:rPr kumimoji="1" lang="en-US" altLang="ja-JP" sz="1100"/>
            <a:t>&lt;/h3&gt;</a:t>
          </a:r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&lt;br&gt;</a:t>
          </a:r>
        </a:p>
        <a:p>
          <a:pPr algn="l"/>
          <a:r>
            <a:rPr kumimoji="1" lang="en-US" altLang="ja-JP" sz="1100"/>
            <a:t>&lt;h2 class="text-danger"&gt;※</a:t>
          </a:r>
          <a:r>
            <a:rPr kumimoji="1" lang="ja-JP" altLang="en-US" sz="1100"/>
            <a:t>引続き会場アサイン、見積情報の修正を行ってください。</a:t>
          </a:r>
          <a:r>
            <a:rPr kumimoji="1" lang="en-US" altLang="ja-JP" sz="1100"/>
            <a:t>&lt;/h2&gt;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&lt;div class="panel panel-default"&gt;</a:t>
          </a:r>
        </a:p>
        <a:p>
          <a:pPr algn="l"/>
          <a:r>
            <a:rPr kumimoji="1" lang="en-US" altLang="ja-JP" sz="1100"/>
            <a:t>    &lt;div class="panel-body"&gt;</a:t>
          </a:r>
        </a:p>
        <a:p>
          <a:pPr algn="l"/>
          <a:r>
            <a:rPr kumimoji="1" lang="en-US" altLang="ja-JP" sz="1100"/>
            <a:t>      &lt;form name="indexActionForm" method="post" action="/lms/"&gt;&lt;div&gt;&lt;input type="hidden" name="org.apache.struts.taglib.html.TOKEN" value="56fcc4f86765931f3f49ab246eb060cc"&gt;&lt;/div&gt;</a:t>
          </a:r>
        </a:p>
        <a:p>
          <a:pPr algn="l"/>
          <a:r>
            <a:rPr kumimoji="1" lang="en-US" altLang="ja-JP" sz="1100"/>
            <a:t>        &lt;input type="submit" value="</a:t>
          </a:r>
          <a:r>
            <a:rPr kumimoji="1" lang="ja-JP" altLang="en-US" sz="1100"/>
            <a:t>会場アサイン変更へ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  &lt;/form&gt;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r>
            <a:rPr kumimoji="1" lang="en-US" altLang="ja-JP" sz="1100"/>
            <a:t>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&lt;h4&gt;</a:t>
          </a:r>
          <a:r>
            <a:rPr kumimoji="1" lang="ja-JP" altLang="en-US" sz="1100"/>
            <a:t>パスワードを発行しましたので以下の情報をユーザーに知らせてください。</a:t>
          </a:r>
          <a:r>
            <a:rPr kumimoji="1" lang="en-US" altLang="ja-JP" sz="1100"/>
            <a:t>&lt;/h4&gt;</a:t>
          </a:r>
        </a:p>
        <a:p>
          <a:pPr algn="l"/>
          <a:r>
            <a:rPr kumimoji="1" lang="en-US" altLang="ja-JP" sz="1100"/>
            <a:t>&lt;div class="panel panel-default"&gt;</a:t>
          </a:r>
        </a:p>
        <a:p>
          <a:pPr algn="l"/>
          <a:r>
            <a:rPr kumimoji="1" lang="en-US" altLang="ja-JP" sz="1100"/>
            <a:t>    &lt;div class="panel-body"&gt;</a:t>
          </a:r>
        </a:p>
        <a:p>
          <a:pPr algn="l"/>
          <a:r>
            <a:rPr kumimoji="1" lang="en-US" altLang="ja-JP" sz="1100"/>
            <a:t>    &lt;fieldset&gt;</a:t>
          </a:r>
        </a:p>
        <a:p>
          <a:pPr algn="l"/>
          <a:r>
            <a:rPr kumimoji="1" lang="en-US" altLang="ja-JP" sz="1100"/>
            <a:t>      &lt;legend&gt;</a:t>
          </a:r>
          <a:r>
            <a:rPr kumimoji="1" lang="ja-JP" altLang="en-US" sz="1100"/>
            <a:t>ログイン</a:t>
          </a:r>
          <a:r>
            <a:rPr kumimoji="1" lang="en-US" altLang="ja-JP" sz="1100"/>
            <a:t>ID&lt;/legend&gt;</a:t>
          </a:r>
        </a:p>
        <a:p>
          <a:pPr algn="l"/>
          <a:r>
            <a:rPr kumimoji="1" lang="en-US" altLang="ja-JP" sz="1100"/>
            <a:t>      &lt;div class="form-group"&gt;</a:t>
          </a:r>
        </a:p>
        <a:p>
          <a:pPr algn="l"/>
          <a:r>
            <a:rPr kumimoji="1" lang="en-US" altLang="ja-JP" sz="1100"/>
            <a:t>        &lt;strong&gt;SSSStudentsHT0000&lt;/strong&gt;</a:t>
          </a:r>
        </a:p>
        <a:p>
          <a:pPr algn="l"/>
          <a:r>
            <a:rPr kumimoji="1" lang="en-US" altLang="ja-JP" sz="1100"/>
            <a:t>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&lt;legend&gt;</a:t>
          </a:r>
          <a:r>
            <a:rPr kumimoji="1" lang="ja-JP" altLang="en-US" sz="1100"/>
            <a:t>パスワード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&lt;div class="form-group"&gt;</a:t>
          </a:r>
        </a:p>
        <a:p>
          <a:pPr algn="l"/>
          <a:r>
            <a:rPr kumimoji="1" lang="en-US" altLang="ja-JP" sz="1100"/>
            <a:t>        &lt;strong&gt;9zI6dt2M&lt;/strong&gt;</a:t>
          </a:r>
        </a:p>
        <a:p>
          <a:pPr algn="l"/>
          <a:r>
            <a:rPr kumimoji="1" lang="en-US" altLang="ja-JP" sz="1100"/>
            <a:t>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&lt;/fieldset&gt;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r>
            <a:rPr kumimoji="1" lang="en-US" altLang="ja-JP" sz="1100"/>
            <a:t>  &lt;/div&gt;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      &lt;/div&gt;</a:t>
          </a:r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52</xdr:col>
      <xdr:colOff>152400</xdr:colOff>
      <xdr:row>44</xdr:row>
      <xdr:rowOff>64092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23C18E5-D87A-4C4D-A505-D7D928290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200150"/>
          <a:ext cx="9953625" cy="6398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53" t="s">
        <v>66</v>
      </c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53" t="s">
        <v>83</v>
      </c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54" t="s">
        <v>17</v>
      </c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55"/>
      <c r="AB15" s="55"/>
      <c r="AC15" s="55"/>
      <c r="AD15" s="55"/>
      <c r="AE15" s="55"/>
      <c r="AF15" s="55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"第"&amp;TEXT(MAX(更新履歴!A8:I172),"#0.0")&amp;"版"</f>
        <v>第1.4版</v>
      </c>
      <c r="Y17" s="34"/>
      <c r="Z17" s="34"/>
      <c r="AA17" s="56">
        <f>MAX(更新履歴!J8:Q34)</f>
        <v>43783</v>
      </c>
      <c r="AB17" s="56"/>
      <c r="AC17" s="56"/>
      <c r="AD17" s="56"/>
      <c r="AE17" s="56"/>
      <c r="AF17" s="56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56"/>
      <c r="AB19" s="56"/>
      <c r="AC19" s="56"/>
      <c r="AD19" s="56"/>
      <c r="AE19" s="56"/>
      <c r="AF19" s="56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57" t="s">
        <v>6</v>
      </c>
      <c r="V20" s="58"/>
      <c r="W20" s="58"/>
      <c r="X20" s="58"/>
      <c r="Y20" s="59"/>
      <c r="Z20" s="60" t="s">
        <v>7</v>
      </c>
      <c r="AA20" s="61"/>
      <c r="AB20" s="61"/>
      <c r="AC20" s="61"/>
      <c r="AD20" s="62"/>
      <c r="AE20" s="57" t="s">
        <v>8</v>
      </c>
      <c r="AF20" s="58"/>
      <c r="AG20" s="58"/>
      <c r="AH20" s="58"/>
      <c r="AI20" s="59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7"/>
      <c r="W22" s="7"/>
      <c r="X22" s="7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7"/>
      <c r="W23" s="7"/>
      <c r="X23" s="7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85"/>
  <sheetViews>
    <sheetView showGridLines="0" view="pageBreakPreview" zoomScaleNormal="85" zoomScaleSheetLayoutView="100" workbookViewId="0">
      <selection sqref="A1:I1"/>
    </sheetView>
  </sheetViews>
  <sheetFormatPr defaultColWidth="2.75" defaultRowHeight="13.5" customHeight="1"/>
  <cols>
    <col min="1" max="55" width="2.625" style="31" customWidth="1"/>
    <col min="56" max="237" width="2.75" style="31"/>
    <col min="238" max="301" width="2.625" style="31" customWidth="1"/>
    <col min="302" max="493" width="2.75" style="31"/>
    <col min="494" max="557" width="2.625" style="31" customWidth="1"/>
    <col min="558" max="749" width="2.75" style="31"/>
    <col min="750" max="813" width="2.625" style="31" customWidth="1"/>
    <col min="814" max="1005" width="2.75" style="31"/>
    <col min="1006" max="1069" width="2.625" style="31" customWidth="1"/>
    <col min="1070" max="1261" width="2.75" style="31"/>
    <col min="1262" max="1325" width="2.625" style="31" customWidth="1"/>
    <col min="1326" max="1517" width="2.75" style="31"/>
    <col min="1518" max="1581" width="2.625" style="31" customWidth="1"/>
    <col min="1582" max="1773" width="2.75" style="31"/>
    <col min="1774" max="1837" width="2.625" style="31" customWidth="1"/>
    <col min="1838" max="2029" width="2.75" style="31"/>
    <col min="2030" max="2093" width="2.625" style="31" customWidth="1"/>
    <col min="2094" max="2285" width="2.75" style="31"/>
    <col min="2286" max="2349" width="2.625" style="31" customWidth="1"/>
    <col min="2350" max="2541" width="2.75" style="31"/>
    <col min="2542" max="2605" width="2.625" style="31" customWidth="1"/>
    <col min="2606" max="2797" width="2.75" style="31"/>
    <col min="2798" max="2861" width="2.625" style="31" customWidth="1"/>
    <col min="2862" max="3053" width="2.75" style="31"/>
    <col min="3054" max="3117" width="2.625" style="31" customWidth="1"/>
    <col min="3118" max="3309" width="2.75" style="31"/>
    <col min="3310" max="3373" width="2.625" style="31" customWidth="1"/>
    <col min="3374" max="3565" width="2.75" style="31"/>
    <col min="3566" max="3629" width="2.625" style="31" customWidth="1"/>
    <col min="3630" max="3821" width="2.75" style="31"/>
    <col min="3822" max="3885" width="2.625" style="31" customWidth="1"/>
    <col min="3886" max="4077" width="2.75" style="31"/>
    <col min="4078" max="4141" width="2.625" style="31" customWidth="1"/>
    <col min="4142" max="4333" width="2.75" style="31"/>
    <col min="4334" max="4397" width="2.625" style="31" customWidth="1"/>
    <col min="4398" max="4589" width="2.75" style="31"/>
    <col min="4590" max="4653" width="2.625" style="31" customWidth="1"/>
    <col min="4654" max="4845" width="2.75" style="31"/>
    <col min="4846" max="4909" width="2.625" style="31" customWidth="1"/>
    <col min="4910" max="5101" width="2.75" style="31"/>
    <col min="5102" max="5165" width="2.625" style="31" customWidth="1"/>
    <col min="5166" max="5357" width="2.75" style="31"/>
    <col min="5358" max="5421" width="2.625" style="31" customWidth="1"/>
    <col min="5422" max="5613" width="2.75" style="31"/>
    <col min="5614" max="5677" width="2.625" style="31" customWidth="1"/>
    <col min="5678" max="5869" width="2.75" style="31"/>
    <col min="5870" max="5933" width="2.625" style="31" customWidth="1"/>
    <col min="5934" max="6125" width="2.75" style="31"/>
    <col min="6126" max="6189" width="2.625" style="31" customWidth="1"/>
    <col min="6190" max="6381" width="2.75" style="31"/>
    <col min="6382" max="6445" width="2.625" style="31" customWidth="1"/>
    <col min="6446" max="6637" width="2.75" style="31"/>
    <col min="6638" max="6701" width="2.625" style="31" customWidth="1"/>
    <col min="6702" max="6893" width="2.75" style="31"/>
    <col min="6894" max="6957" width="2.625" style="31" customWidth="1"/>
    <col min="6958" max="7149" width="2.75" style="31"/>
    <col min="7150" max="7213" width="2.625" style="31" customWidth="1"/>
    <col min="7214" max="7405" width="2.75" style="31"/>
    <col min="7406" max="7469" width="2.625" style="31" customWidth="1"/>
    <col min="7470" max="7661" width="2.75" style="31"/>
    <col min="7662" max="7725" width="2.625" style="31" customWidth="1"/>
    <col min="7726" max="7917" width="2.75" style="31"/>
    <col min="7918" max="7981" width="2.625" style="31" customWidth="1"/>
    <col min="7982" max="8173" width="2.75" style="31"/>
    <col min="8174" max="8237" width="2.625" style="31" customWidth="1"/>
    <col min="8238" max="8429" width="2.75" style="31"/>
    <col min="8430" max="8493" width="2.625" style="31" customWidth="1"/>
    <col min="8494" max="8685" width="2.75" style="31"/>
    <col min="8686" max="8749" width="2.625" style="31" customWidth="1"/>
    <col min="8750" max="8941" width="2.75" style="31"/>
    <col min="8942" max="9005" width="2.625" style="31" customWidth="1"/>
    <col min="9006" max="9197" width="2.75" style="31"/>
    <col min="9198" max="9261" width="2.625" style="31" customWidth="1"/>
    <col min="9262" max="9453" width="2.75" style="31"/>
    <col min="9454" max="9517" width="2.625" style="31" customWidth="1"/>
    <col min="9518" max="9709" width="2.75" style="31"/>
    <col min="9710" max="9773" width="2.625" style="31" customWidth="1"/>
    <col min="9774" max="9965" width="2.75" style="31"/>
    <col min="9966" max="10029" width="2.625" style="31" customWidth="1"/>
    <col min="10030" max="10221" width="2.75" style="31"/>
    <col min="10222" max="10285" width="2.625" style="31" customWidth="1"/>
    <col min="10286" max="10477" width="2.75" style="31"/>
    <col min="10478" max="10541" width="2.625" style="31" customWidth="1"/>
    <col min="10542" max="10733" width="2.75" style="31"/>
    <col min="10734" max="10797" width="2.625" style="31" customWidth="1"/>
    <col min="10798" max="10989" width="2.75" style="31"/>
    <col min="10990" max="11053" width="2.625" style="31" customWidth="1"/>
    <col min="11054" max="11245" width="2.75" style="31"/>
    <col min="11246" max="11309" width="2.625" style="31" customWidth="1"/>
    <col min="11310" max="11501" width="2.75" style="31"/>
    <col min="11502" max="11565" width="2.625" style="31" customWidth="1"/>
    <col min="11566" max="11757" width="2.75" style="31"/>
    <col min="11758" max="11821" width="2.625" style="31" customWidth="1"/>
    <col min="11822" max="12013" width="2.75" style="31"/>
    <col min="12014" max="12077" width="2.625" style="31" customWidth="1"/>
    <col min="12078" max="12269" width="2.75" style="31"/>
    <col min="12270" max="12333" width="2.625" style="31" customWidth="1"/>
    <col min="12334" max="12525" width="2.75" style="31"/>
    <col min="12526" max="12589" width="2.625" style="31" customWidth="1"/>
    <col min="12590" max="12781" width="2.75" style="31"/>
    <col min="12782" max="12845" width="2.625" style="31" customWidth="1"/>
    <col min="12846" max="13037" width="2.75" style="31"/>
    <col min="13038" max="13101" width="2.625" style="31" customWidth="1"/>
    <col min="13102" max="13293" width="2.75" style="31"/>
    <col min="13294" max="13357" width="2.625" style="31" customWidth="1"/>
    <col min="13358" max="13549" width="2.75" style="31"/>
    <col min="13550" max="13613" width="2.625" style="31" customWidth="1"/>
    <col min="13614" max="13805" width="2.75" style="31"/>
    <col min="13806" max="13869" width="2.625" style="31" customWidth="1"/>
    <col min="13870" max="14061" width="2.75" style="31"/>
    <col min="14062" max="14125" width="2.625" style="31" customWidth="1"/>
    <col min="14126" max="14317" width="2.75" style="31"/>
    <col min="14318" max="14381" width="2.625" style="31" customWidth="1"/>
    <col min="14382" max="14573" width="2.75" style="31"/>
    <col min="14574" max="14637" width="2.625" style="31" customWidth="1"/>
    <col min="14638" max="14829" width="2.75" style="31"/>
    <col min="14830" max="14893" width="2.625" style="31" customWidth="1"/>
    <col min="14894" max="15085" width="2.75" style="31"/>
    <col min="15086" max="15149" width="2.625" style="31" customWidth="1"/>
    <col min="15150" max="15341" width="2.75" style="31"/>
    <col min="15342" max="15405" width="2.625" style="31" customWidth="1"/>
    <col min="15406" max="15597" width="2.75" style="31"/>
    <col min="15598" max="15661" width="2.625" style="31" customWidth="1"/>
    <col min="15662" max="15853" width="2.75" style="31"/>
    <col min="15854" max="15917" width="2.625" style="31" customWidth="1"/>
    <col min="15918" max="16109" width="2.75" style="31"/>
    <col min="16110" max="16173" width="2.625" style="31" customWidth="1"/>
    <col min="16174" max="16384" width="2.75" style="31"/>
  </cols>
  <sheetData>
    <row r="1" spans="1:55" s="25" customFormat="1" ht="13.5" customHeight="1">
      <c r="A1" s="98" t="s">
        <v>0</v>
      </c>
      <c r="B1" s="63"/>
      <c r="C1" s="63"/>
      <c r="D1" s="63"/>
      <c r="E1" s="63"/>
      <c r="F1" s="64"/>
      <c r="G1" s="64"/>
      <c r="H1" s="64"/>
      <c r="I1" s="99"/>
      <c r="J1" s="100" t="s">
        <v>1</v>
      </c>
      <c r="K1" s="63"/>
      <c r="L1" s="63"/>
      <c r="M1" s="63"/>
      <c r="N1" s="63"/>
      <c r="O1" s="64"/>
      <c r="P1" s="64"/>
      <c r="Q1" s="64"/>
      <c r="R1" s="101" t="str">
        <f>表紙!S12</f>
        <v>画面レイアウト設計書</v>
      </c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3"/>
      <c r="AJ1" s="104" t="s">
        <v>2</v>
      </c>
      <c r="AK1" s="105"/>
      <c r="AL1" s="105"/>
      <c r="AM1" s="105"/>
      <c r="AN1" s="105"/>
      <c r="AO1" s="106" t="s">
        <v>3</v>
      </c>
      <c r="AP1" s="105"/>
      <c r="AQ1" s="105"/>
      <c r="AR1" s="105"/>
      <c r="AS1" s="105"/>
      <c r="AT1" s="106" t="s">
        <v>4</v>
      </c>
      <c r="AU1" s="105"/>
      <c r="AV1" s="105"/>
      <c r="AW1" s="105"/>
      <c r="AX1" s="105"/>
      <c r="AY1" s="63" t="s">
        <v>5</v>
      </c>
      <c r="AZ1" s="64"/>
      <c r="BA1" s="64"/>
      <c r="BB1" s="64"/>
      <c r="BC1" s="65"/>
    </row>
    <row r="2" spans="1:55" s="25" customFormat="1" ht="13.5" customHeight="1">
      <c r="A2" s="66" t="str">
        <f>表紙!O10</f>
        <v>13期12月対応</v>
      </c>
      <c r="B2" s="67"/>
      <c r="C2" s="67"/>
      <c r="D2" s="67"/>
      <c r="E2" s="67"/>
      <c r="F2" s="68"/>
      <c r="G2" s="68"/>
      <c r="H2" s="68"/>
      <c r="I2" s="69"/>
      <c r="J2" s="74" t="str">
        <f>表紙!O9</f>
        <v>LMS学習管理システム</v>
      </c>
      <c r="K2" s="75"/>
      <c r="L2" s="75"/>
      <c r="M2" s="75"/>
      <c r="N2" s="75"/>
      <c r="O2" s="76"/>
      <c r="P2" s="76"/>
      <c r="Q2" s="77"/>
      <c r="R2" s="82" t="s">
        <v>33</v>
      </c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4"/>
      <c r="AJ2" s="88" t="s">
        <v>31</v>
      </c>
      <c r="AK2" s="89"/>
      <c r="AL2" s="89"/>
      <c r="AM2" s="89"/>
      <c r="AN2" s="89"/>
      <c r="AO2" s="92">
        <v>42660</v>
      </c>
      <c r="AP2" s="89"/>
      <c r="AQ2" s="89"/>
      <c r="AR2" s="89"/>
      <c r="AS2" s="89"/>
      <c r="AT2" s="88" t="s">
        <v>86</v>
      </c>
      <c r="AU2" s="89"/>
      <c r="AV2" s="89"/>
      <c r="AW2" s="89"/>
      <c r="AX2" s="89"/>
      <c r="AY2" s="93">
        <v>43783</v>
      </c>
      <c r="AZ2" s="94"/>
      <c r="BA2" s="94"/>
      <c r="BB2" s="94"/>
      <c r="BC2" s="95"/>
    </row>
    <row r="3" spans="1:55" s="25" customFormat="1" ht="13.5" customHeight="1" thickBot="1">
      <c r="A3" s="70"/>
      <c r="B3" s="71"/>
      <c r="C3" s="71"/>
      <c r="D3" s="71"/>
      <c r="E3" s="71"/>
      <c r="F3" s="72"/>
      <c r="G3" s="72"/>
      <c r="H3" s="72"/>
      <c r="I3" s="73"/>
      <c r="J3" s="78"/>
      <c r="K3" s="79"/>
      <c r="L3" s="79"/>
      <c r="M3" s="79"/>
      <c r="N3" s="79"/>
      <c r="O3" s="80"/>
      <c r="P3" s="80"/>
      <c r="Q3" s="81"/>
      <c r="R3" s="85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7"/>
      <c r="AJ3" s="90"/>
      <c r="AK3" s="91"/>
      <c r="AL3" s="91"/>
      <c r="AM3" s="91"/>
      <c r="AN3" s="91"/>
      <c r="AO3" s="91"/>
      <c r="AP3" s="91"/>
      <c r="AQ3" s="91"/>
      <c r="AR3" s="91"/>
      <c r="AS3" s="91"/>
      <c r="AT3" s="90"/>
      <c r="AU3" s="91"/>
      <c r="AV3" s="91"/>
      <c r="AW3" s="91"/>
      <c r="AX3" s="91"/>
      <c r="AY3" s="96"/>
      <c r="AZ3" s="96"/>
      <c r="BA3" s="96"/>
      <c r="BB3" s="96"/>
      <c r="BC3" s="97"/>
    </row>
    <row r="4" spans="1:55" ht="13.5" customHeight="1" thickBo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7"/>
      <c r="M4" s="27"/>
      <c r="N4" s="27"/>
      <c r="O4" s="27"/>
      <c r="P4" s="28"/>
      <c r="Q4" s="29"/>
      <c r="R4" s="29"/>
      <c r="S4" s="29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27"/>
      <c r="AQ4" s="27"/>
      <c r="AR4" s="27"/>
      <c r="AS4" s="27"/>
      <c r="AT4" s="27"/>
      <c r="AU4" s="28"/>
      <c r="AV4" s="28"/>
      <c r="AW4" s="28"/>
      <c r="AX4" s="30"/>
      <c r="AY4" s="28"/>
      <c r="AZ4" s="28"/>
      <c r="BA4" s="30"/>
      <c r="BB4" s="30"/>
      <c r="BC4" s="26"/>
    </row>
    <row r="5" spans="1:55" s="32" customFormat="1" ht="13.5" customHeight="1">
      <c r="A5" s="107" t="s">
        <v>9</v>
      </c>
      <c r="B5" s="108"/>
      <c r="C5" s="108"/>
      <c r="D5" s="108"/>
      <c r="E5" s="108"/>
      <c r="F5" s="108"/>
      <c r="G5" s="108"/>
      <c r="H5" s="108"/>
      <c r="I5" s="109"/>
      <c r="J5" s="116" t="s">
        <v>10</v>
      </c>
      <c r="K5" s="108"/>
      <c r="L5" s="108"/>
      <c r="M5" s="108"/>
      <c r="N5" s="108"/>
      <c r="O5" s="108"/>
      <c r="P5" s="108"/>
      <c r="Q5" s="109"/>
      <c r="R5" s="116" t="s">
        <v>11</v>
      </c>
      <c r="S5" s="108"/>
      <c r="T5" s="108"/>
      <c r="U5" s="109"/>
      <c r="V5" s="116" t="s">
        <v>12</v>
      </c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9"/>
      <c r="AT5" s="116" t="s">
        <v>13</v>
      </c>
      <c r="AU5" s="108"/>
      <c r="AV5" s="108"/>
      <c r="AW5" s="108"/>
      <c r="AX5" s="108"/>
      <c r="AY5" s="108"/>
      <c r="AZ5" s="108"/>
      <c r="BA5" s="108"/>
      <c r="BB5" s="108"/>
      <c r="BC5" s="119"/>
    </row>
    <row r="6" spans="1:55" s="33" customFormat="1" ht="13.5" customHeight="1">
      <c r="A6" s="110"/>
      <c r="B6" s="111"/>
      <c r="C6" s="111"/>
      <c r="D6" s="111"/>
      <c r="E6" s="111"/>
      <c r="F6" s="111"/>
      <c r="G6" s="111"/>
      <c r="H6" s="111"/>
      <c r="I6" s="112"/>
      <c r="J6" s="117"/>
      <c r="K6" s="111"/>
      <c r="L6" s="111"/>
      <c r="M6" s="111"/>
      <c r="N6" s="111"/>
      <c r="O6" s="111"/>
      <c r="P6" s="111"/>
      <c r="Q6" s="112"/>
      <c r="R6" s="117"/>
      <c r="S6" s="111"/>
      <c r="T6" s="111"/>
      <c r="U6" s="112"/>
      <c r="V6" s="117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2"/>
      <c r="AT6" s="117"/>
      <c r="AU6" s="111"/>
      <c r="AV6" s="111"/>
      <c r="AW6" s="111"/>
      <c r="AX6" s="111"/>
      <c r="AY6" s="111"/>
      <c r="AZ6" s="111"/>
      <c r="BA6" s="111"/>
      <c r="BB6" s="111"/>
      <c r="BC6" s="120"/>
    </row>
    <row r="7" spans="1:55" s="33" customFormat="1" ht="13.5" customHeight="1" thickBot="1">
      <c r="A7" s="113"/>
      <c r="B7" s="114"/>
      <c r="C7" s="114"/>
      <c r="D7" s="114"/>
      <c r="E7" s="114"/>
      <c r="F7" s="114"/>
      <c r="G7" s="114"/>
      <c r="H7" s="114"/>
      <c r="I7" s="115"/>
      <c r="J7" s="118"/>
      <c r="K7" s="114"/>
      <c r="L7" s="114"/>
      <c r="M7" s="114"/>
      <c r="N7" s="114"/>
      <c r="O7" s="114"/>
      <c r="P7" s="114"/>
      <c r="Q7" s="115"/>
      <c r="R7" s="118"/>
      <c r="S7" s="114"/>
      <c r="T7" s="114"/>
      <c r="U7" s="115"/>
      <c r="V7" s="118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5"/>
      <c r="AT7" s="118"/>
      <c r="AU7" s="114"/>
      <c r="AV7" s="114"/>
      <c r="AW7" s="114"/>
      <c r="AX7" s="114"/>
      <c r="AY7" s="114"/>
      <c r="AZ7" s="114"/>
      <c r="BA7" s="114"/>
      <c r="BB7" s="114"/>
      <c r="BC7" s="121"/>
    </row>
    <row r="8" spans="1:55" s="33" customFormat="1" ht="13.5" customHeight="1" thickTop="1">
      <c r="A8" s="122">
        <v>1</v>
      </c>
      <c r="B8" s="123"/>
      <c r="C8" s="123"/>
      <c r="D8" s="123"/>
      <c r="E8" s="123"/>
      <c r="F8" s="123"/>
      <c r="G8" s="123"/>
      <c r="H8" s="123"/>
      <c r="I8" s="124"/>
      <c r="J8" s="129">
        <v>42660</v>
      </c>
      <c r="K8" s="130"/>
      <c r="L8" s="130"/>
      <c r="M8" s="130"/>
      <c r="N8" s="130"/>
      <c r="O8" s="130"/>
      <c r="P8" s="130"/>
      <c r="Q8" s="131"/>
      <c r="R8" s="136" t="s">
        <v>14</v>
      </c>
      <c r="S8" s="137"/>
      <c r="T8" s="137"/>
      <c r="U8" s="138"/>
      <c r="V8" s="143" t="s">
        <v>33</v>
      </c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5"/>
      <c r="AT8" s="136" t="s">
        <v>31</v>
      </c>
      <c r="AU8" s="137"/>
      <c r="AV8" s="137"/>
      <c r="AW8" s="137"/>
      <c r="AX8" s="137"/>
      <c r="AY8" s="137"/>
      <c r="AZ8" s="137"/>
      <c r="BA8" s="137"/>
      <c r="BB8" s="137"/>
      <c r="BC8" s="150"/>
    </row>
    <row r="9" spans="1:55" s="33" customFormat="1" ht="13.5" customHeight="1">
      <c r="A9" s="125"/>
      <c r="B9" s="123"/>
      <c r="C9" s="123"/>
      <c r="D9" s="123"/>
      <c r="E9" s="123"/>
      <c r="F9" s="123"/>
      <c r="G9" s="123"/>
      <c r="H9" s="123"/>
      <c r="I9" s="124"/>
      <c r="J9" s="132"/>
      <c r="K9" s="130"/>
      <c r="L9" s="130"/>
      <c r="M9" s="130"/>
      <c r="N9" s="130"/>
      <c r="O9" s="130"/>
      <c r="P9" s="130"/>
      <c r="Q9" s="131"/>
      <c r="R9" s="139"/>
      <c r="S9" s="137"/>
      <c r="T9" s="137"/>
      <c r="U9" s="138"/>
      <c r="V9" s="146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5"/>
      <c r="AT9" s="139"/>
      <c r="AU9" s="137"/>
      <c r="AV9" s="137"/>
      <c r="AW9" s="137"/>
      <c r="AX9" s="137"/>
      <c r="AY9" s="137"/>
      <c r="AZ9" s="137"/>
      <c r="BA9" s="137"/>
      <c r="BB9" s="137"/>
      <c r="BC9" s="150"/>
    </row>
    <row r="10" spans="1:55" s="33" customFormat="1" ht="13.5" customHeight="1">
      <c r="A10" s="126"/>
      <c r="B10" s="127"/>
      <c r="C10" s="127"/>
      <c r="D10" s="127"/>
      <c r="E10" s="127"/>
      <c r="F10" s="127"/>
      <c r="G10" s="127"/>
      <c r="H10" s="127"/>
      <c r="I10" s="128"/>
      <c r="J10" s="133"/>
      <c r="K10" s="134"/>
      <c r="L10" s="134"/>
      <c r="M10" s="134"/>
      <c r="N10" s="134"/>
      <c r="O10" s="134"/>
      <c r="P10" s="134"/>
      <c r="Q10" s="135"/>
      <c r="R10" s="140"/>
      <c r="S10" s="141"/>
      <c r="T10" s="141"/>
      <c r="U10" s="142"/>
      <c r="V10" s="147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9"/>
      <c r="AT10" s="140"/>
      <c r="AU10" s="141"/>
      <c r="AV10" s="141"/>
      <c r="AW10" s="141"/>
      <c r="AX10" s="141"/>
      <c r="AY10" s="141"/>
      <c r="AZ10" s="141"/>
      <c r="BA10" s="141"/>
      <c r="BB10" s="141"/>
      <c r="BC10" s="151"/>
    </row>
    <row r="11" spans="1:55" s="33" customFormat="1" ht="13.5" customHeight="1">
      <c r="A11" s="152">
        <v>1.1000000000000001</v>
      </c>
      <c r="B11" s="153"/>
      <c r="C11" s="153"/>
      <c r="D11" s="153"/>
      <c r="E11" s="153"/>
      <c r="F11" s="153"/>
      <c r="G11" s="153"/>
      <c r="H11" s="153"/>
      <c r="I11" s="154"/>
      <c r="J11" s="155">
        <v>42678</v>
      </c>
      <c r="K11" s="156"/>
      <c r="L11" s="156"/>
      <c r="M11" s="156"/>
      <c r="N11" s="156"/>
      <c r="O11" s="156"/>
      <c r="P11" s="156"/>
      <c r="Q11" s="157"/>
      <c r="R11" s="158" t="s">
        <v>73</v>
      </c>
      <c r="S11" s="159"/>
      <c r="T11" s="159"/>
      <c r="U11" s="160"/>
      <c r="V11" s="161" t="s">
        <v>40</v>
      </c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2"/>
      <c r="AQ11" s="162"/>
      <c r="AR11" s="162"/>
      <c r="AS11" s="163"/>
      <c r="AT11" s="136" t="s">
        <v>41</v>
      </c>
      <c r="AU11" s="137"/>
      <c r="AV11" s="137"/>
      <c r="AW11" s="137"/>
      <c r="AX11" s="137"/>
      <c r="AY11" s="137"/>
      <c r="AZ11" s="137"/>
      <c r="BA11" s="137"/>
      <c r="BB11" s="137"/>
      <c r="BC11" s="150"/>
    </row>
    <row r="12" spans="1:55" s="33" customFormat="1" ht="13.5" customHeight="1">
      <c r="A12" s="125"/>
      <c r="B12" s="123"/>
      <c r="C12" s="123"/>
      <c r="D12" s="123"/>
      <c r="E12" s="123"/>
      <c r="F12" s="123"/>
      <c r="G12" s="123"/>
      <c r="H12" s="123"/>
      <c r="I12" s="124"/>
      <c r="J12" s="132"/>
      <c r="K12" s="130"/>
      <c r="L12" s="130"/>
      <c r="M12" s="130"/>
      <c r="N12" s="130"/>
      <c r="O12" s="130"/>
      <c r="P12" s="130"/>
      <c r="Q12" s="131"/>
      <c r="R12" s="139"/>
      <c r="S12" s="137"/>
      <c r="T12" s="137"/>
      <c r="U12" s="138"/>
      <c r="V12" s="146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5"/>
      <c r="AT12" s="139"/>
      <c r="AU12" s="137"/>
      <c r="AV12" s="137"/>
      <c r="AW12" s="137"/>
      <c r="AX12" s="137"/>
      <c r="AY12" s="137"/>
      <c r="AZ12" s="137"/>
      <c r="BA12" s="137"/>
      <c r="BB12" s="137"/>
      <c r="BC12" s="150"/>
    </row>
    <row r="13" spans="1:55" s="33" customFormat="1" ht="13.5" customHeight="1">
      <c r="A13" s="126"/>
      <c r="B13" s="127"/>
      <c r="C13" s="127"/>
      <c r="D13" s="127"/>
      <c r="E13" s="127"/>
      <c r="F13" s="127"/>
      <c r="G13" s="127"/>
      <c r="H13" s="127"/>
      <c r="I13" s="128"/>
      <c r="J13" s="133"/>
      <c r="K13" s="134"/>
      <c r="L13" s="134"/>
      <c r="M13" s="134"/>
      <c r="N13" s="134"/>
      <c r="O13" s="134"/>
      <c r="P13" s="134"/>
      <c r="Q13" s="135"/>
      <c r="R13" s="140"/>
      <c r="S13" s="141"/>
      <c r="T13" s="141"/>
      <c r="U13" s="142"/>
      <c r="V13" s="147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9"/>
      <c r="AT13" s="140"/>
      <c r="AU13" s="141"/>
      <c r="AV13" s="141"/>
      <c r="AW13" s="141"/>
      <c r="AX13" s="141"/>
      <c r="AY13" s="141"/>
      <c r="AZ13" s="141"/>
      <c r="BA13" s="141"/>
      <c r="BB13" s="141"/>
      <c r="BC13" s="151"/>
    </row>
    <row r="14" spans="1:55" s="33" customFormat="1" ht="13.5" customHeight="1">
      <c r="A14" s="152">
        <v>1.2</v>
      </c>
      <c r="B14" s="153"/>
      <c r="C14" s="153"/>
      <c r="D14" s="153"/>
      <c r="E14" s="153"/>
      <c r="F14" s="153"/>
      <c r="G14" s="153"/>
      <c r="H14" s="153"/>
      <c r="I14" s="154"/>
      <c r="J14" s="155">
        <v>43111</v>
      </c>
      <c r="K14" s="156"/>
      <c r="L14" s="156"/>
      <c r="M14" s="156"/>
      <c r="N14" s="156"/>
      <c r="O14" s="156"/>
      <c r="P14" s="156"/>
      <c r="Q14" s="157"/>
      <c r="R14" s="158" t="s">
        <v>82</v>
      </c>
      <c r="S14" s="159"/>
      <c r="T14" s="159"/>
      <c r="U14" s="160"/>
      <c r="V14" s="161" t="s">
        <v>81</v>
      </c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62"/>
      <c r="AP14" s="162"/>
      <c r="AQ14" s="162"/>
      <c r="AR14" s="162"/>
      <c r="AS14" s="163"/>
      <c r="AT14" s="158" t="s">
        <v>67</v>
      </c>
      <c r="AU14" s="159"/>
      <c r="AV14" s="159"/>
      <c r="AW14" s="159"/>
      <c r="AX14" s="159"/>
      <c r="AY14" s="159"/>
      <c r="AZ14" s="159"/>
      <c r="BA14" s="159"/>
      <c r="BB14" s="159"/>
      <c r="BC14" s="164"/>
    </row>
    <row r="15" spans="1:55" s="33" customFormat="1" ht="13.5" customHeight="1">
      <c r="A15" s="125"/>
      <c r="B15" s="123"/>
      <c r="C15" s="123"/>
      <c r="D15" s="123"/>
      <c r="E15" s="123"/>
      <c r="F15" s="123"/>
      <c r="G15" s="123"/>
      <c r="H15" s="123"/>
      <c r="I15" s="124"/>
      <c r="J15" s="132"/>
      <c r="K15" s="130"/>
      <c r="L15" s="130"/>
      <c r="M15" s="130"/>
      <c r="N15" s="130"/>
      <c r="O15" s="130"/>
      <c r="P15" s="130"/>
      <c r="Q15" s="131"/>
      <c r="R15" s="139"/>
      <c r="S15" s="137"/>
      <c r="T15" s="137"/>
      <c r="U15" s="138"/>
      <c r="V15" s="146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5"/>
      <c r="AT15" s="139"/>
      <c r="AU15" s="137"/>
      <c r="AV15" s="137"/>
      <c r="AW15" s="137"/>
      <c r="AX15" s="137"/>
      <c r="AY15" s="137"/>
      <c r="AZ15" s="137"/>
      <c r="BA15" s="137"/>
      <c r="BB15" s="137"/>
      <c r="BC15" s="150"/>
    </row>
    <row r="16" spans="1:55" s="33" customFormat="1" ht="13.5" customHeight="1">
      <c r="A16" s="126"/>
      <c r="B16" s="127"/>
      <c r="C16" s="127"/>
      <c r="D16" s="127"/>
      <c r="E16" s="127"/>
      <c r="F16" s="127"/>
      <c r="G16" s="127"/>
      <c r="H16" s="127"/>
      <c r="I16" s="128"/>
      <c r="J16" s="133"/>
      <c r="K16" s="134"/>
      <c r="L16" s="134"/>
      <c r="M16" s="134"/>
      <c r="N16" s="134"/>
      <c r="O16" s="134"/>
      <c r="P16" s="134"/>
      <c r="Q16" s="135"/>
      <c r="R16" s="140"/>
      <c r="S16" s="141"/>
      <c r="T16" s="141"/>
      <c r="U16" s="142"/>
      <c r="V16" s="147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9"/>
      <c r="AT16" s="140"/>
      <c r="AU16" s="141"/>
      <c r="AV16" s="141"/>
      <c r="AW16" s="141"/>
      <c r="AX16" s="141"/>
      <c r="AY16" s="141"/>
      <c r="AZ16" s="141"/>
      <c r="BA16" s="141"/>
      <c r="BB16" s="141"/>
      <c r="BC16" s="151"/>
    </row>
    <row r="17" spans="1:55" s="33" customFormat="1" ht="13.5" customHeight="1">
      <c r="A17" s="165">
        <v>1.3</v>
      </c>
      <c r="B17" s="166"/>
      <c r="C17" s="166"/>
      <c r="D17" s="166"/>
      <c r="E17" s="166"/>
      <c r="F17" s="166"/>
      <c r="G17" s="166"/>
      <c r="H17" s="166"/>
      <c r="I17" s="167"/>
      <c r="J17" s="174">
        <v>43777</v>
      </c>
      <c r="K17" s="175"/>
      <c r="L17" s="175"/>
      <c r="M17" s="175"/>
      <c r="N17" s="175"/>
      <c r="O17" s="175"/>
      <c r="P17" s="175"/>
      <c r="Q17" s="176"/>
      <c r="R17" s="183" t="s">
        <v>84</v>
      </c>
      <c r="S17" s="184"/>
      <c r="T17" s="184"/>
      <c r="U17" s="185"/>
      <c r="V17" s="192" t="s">
        <v>85</v>
      </c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4"/>
      <c r="AT17" s="201" t="s">
        <v>86</v>
      </c>
      <c r="AU17" s="184"/>
      <c r="AV17" s="184"/>
      <c r="AW17" s="184"/>
      <c r="AX17" s="184"/>
      <c r="AY17" s="184"/>
      <c r="AZ17" s="184"/>
      <c r="BA17" s="184"/>
      <c r="BB17" s="184"/>
      <c r="BC17" s="202"/>
    </row>
    <row r="18" spans="1:55" s="33" customFormat="1" ht="13.5" customHeight="1">
      <c r="A18" s="168"/>
      <c r="B18" s="169"/>
      <c r="C18" s="169"/>
      <c r="D18" s="169"/>
      <c r="E18" s="169"/>
      <c r="F18" s="169"/>
      <c r="G18" s="169"/>
      <c r="H18" s="169"/>
      <c r="I18" s="170"/>
      <c r="J18" s="177"/>
      <c r="K18" s="178"/>
      <c r="L18" s="178"/>
      <c r="M18" s="178"/>
      <c r="N18" s="178"/>
      <c r="O18" s="178"/>
      <c r="P18" s="178"/>
      <c r="Q18" s="179"/>
      <c r="R18" s="186"/>
      <c r="S18" s="187"/>
      <c r="T18" s="187"/>
      <c r="U18" s="188"/>
      <c r="V18" s="195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  <c r="AK18" s="196"/>
      <c r="AL18" s="196"/>
      <c r="AM18" s="196"/>
      <c r="AN18" s="196"/>
      <c r="AO18" s="196"/>
      <c r="AP18" s="196"/>
      <c r="AQ18" s="196"/>
      <c r="AR18" s="196"/>
      <c r="AS18" s="197"/>
      <c r="AT18" s="186"/>
      <c r="AU18" s="187"/>
      <c r="AV18" s="187"/>
      <c r="AW18" s="187"/>
      <c r="AX18" s="187"/>
      <c r="AY18" s="187"/>
      <c r="AZ18" s="187"/>
      <c r="BA18" s="187"/>
      <c r="BB18" s="187"/>
      <c r="BC18" s="203"/>
    </row>
    <row r="19" spans="1:55" s="33" customFormat="1" ht="13.5" customHeight="1">
      <c r="A19" s="171"/>
      <c r="B19" s="172"/>
      <c r="C19" s="172"/>
      <c r="D19" s="172"/>
      <c r="E19" s="172"/>
      <c r="F19" s="172"/>
      <c r="G19" s="172"/>
      <c r="H19" s="172"/>
      <c r="I19" s="173"/>
      <c r="J19" s="180"/>
      <c r="K19" s="181"/>
      <c r="L19" s="181"/>
      <c r="M19" s="181"/>
      <c r="N19" s="181"/>
      <c r="O19" s="181"/>
      <c r="P19" s="181"/>
      <c r="Q19" s="182"/>
      <c r="R19" s="189"/>
      <c r="S19" s="190"/>
      <c r="T19" s="190"/>
      <c r="U19" s="191"/>
      <c r="V19" s="198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9"/>
      <c r="AP19" s="199"/>
      <c r="AQ19" s="199"/>
      <c r="AR19" s="199"/>
      <c r="AS19" s="200"/>
      <c r="AT19" s="189"/>
      <c r="AU19" s="190"/>
      <c r="AV19" s="190"/>
      <c r="AW19" s="190"/>
      <c r="AX19" s="190"/>
      <c r="AY19" s="190"/>
      <c r="AZ19" s="190"/>
      <c r="BA19" s="190"/>
      <c r="BB19" s="190"/>
      <c r="BC19" s="204"/>
    </row>
    <row r="20" spans="1:55" s="33" customFormat="1" ht="13.5" customHeight="1">
      <c r="A20" s="165">
        <v>1.4</v>
      </c>
      <c r="B20" s="166"/>
      <c r="C20" s="166"/>
      <c r="D20" s="166"/>
      <c r="E20" s="166"/>
      <c r="F20" s="166"/>
      <c r="G20" s="166"/>
      <c r="H20" s="166"/>
      <c r="I20" s="167"/>
      <c r="J20" s="174">
        <v>43783</v>
      </c>
      <c r="K20" s="175"/>
      <c r="L20" s="175"/>
      <c r="M20" s="175"/>
      <c r="N20" s="175"/>
      <c r="O20" s="175"/>
      <c r="P20" s="175"/>
      <c r="Q20" s="176"/>
      <c r="R20" s="183" t="s">
        <v>98</v>
      </c>
      <c r="S20" s="184"/>
      <c r="T20" s="184"/>
      <c r="U20" s="185"/>
      <c r="V20" s="192" t="s">
        <v>99</v>
      </c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193"/>
      <c r="AS20" s="194"/>
      <c r="AT20" s="201" t="s">
        <v>86</v>
      </c>
      <c r="AU20" s="184"/>
      <c r="AV20" s="184"/>
      <c r="AW20" s="184"/>
      <c r="AX20" s="184"/>
      <c r="AY20" s="184"/>
      <c r="AZ20" s="184"/>
      <c r="BA20" s="184"/>
      <c r="BB20" s="184"/>
      <c r="BC20" s="202"/>
    </row>
    <row r="21" spans="1:55" s="33" customFormat="1" ht="13.5" customHeight="1">
      <c r="A21" s="168"/>
      <c r="B21" s="169"/>
      <c r="C21" s="169"/>
      <c r="D21" s="169"/>
      <c r="E21" s="169"/>
      <c r="F21" s="169"/>
      <c r="G21" s="169"/>
      <c r="H21" s="169"/>
      <c r="I21" s="170"/>
      <c r="J21" s="177"/>
      <c r="K21" s="178"/>
      <c r="L21" s="178"/>
      <c r="M21" s="178"/>
      <c r="N21" s="178"/>
      <c r="O21" s="178"/>
      <c r="P21" s="178"/>
      <c r="Q21" s="179"/>
      <c r="R21" s="186"/>
      <c r="S21" s="187"/>
      <c r="T21" s="187"/>
      <c r="U21" s="188"/>
      <c r="V21" s="195"/>
      <c r="W21" s="196"/>
      <c r="X21" s="196"/>
      <c r="Y21" s="196"/>
      <c r="Z21" s="196"/>
      <c r="AA21" s="196"/>
      <c r="AB21" s="196"/>
      <c r="AC21" s="196"/>
      <c r="AD21" s="196"/>
      <c r="AE21" s="196"/>
      <c r="AF21" s="196"/>
      <c r="AG21" s="196"/>
      <c r="AH21" s="196"/>
      <c r="AI21" s="196"/>
      <c r="AJ21" s="196"/>
      <c r="AK21" s="196"/>
      <c r="AL21" s="196"/>
      <c r="AM21" s="196"/>
      <c r="AN21" s="196"/>
      <c r="AO21" s="196"/>
      <c r="AP21" s="196"/>
      <c r="AQ21" s="196"/>
      <c r="AR21" s="196"/>
      <c r="AS21" s="197"/>
      <c r="AT21" s="186"/>
      <c r="AU21" s="187"/>
      <c r="AV21" s="187"/>
      <c r="AW21" s="187"/>
      <c r="AX21" s="187"/>
      <c r="AY21" s="187"/>
      <c r="AZ21" s="187"/>
      <c r="BA21" s="187"/>
      <c r="BB21" s="187"/>
      <c r="BC21" s="203"/>
    </row>
    <row r="22" spans="1:55" s="33" customFormat="1" ht="13.5" customHeight="1">
      <c r="A22" s="171"/>
      <c r="B22" s="172"/>
      <c r="C22" s="172"/>
      <c r="D22" s="172"/>
      <c r="E22" s="172"/>
      <c r="F22" s="172"/>
      <c r="G22" s="172"/>
      <c r="H22" s="172"/>
      <c r="I22" s="173"/>
      <c r="J22" s="180"/>
      <c r="K22" s="181"/>
      <c r="L22" s="181"/>
      <c r="M22" s="181"/>
      <c r="N22" s="181"/>
      <c r="O22" s="181"/>
      <c r="P22" s="181"/>
      <c r="Q22" s="182"/>
      <c r="R22" s="189"/>
      <c r="S22" s="190"/>
      <c r="T22" s="190"/>
      <c r="U22" s="191"/>
      <c r="V22" s="198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  <c r="AS22" s="200"/>
      <c r="AT22" s="189"/>
      <c r="AU22" s="190"/>
      <c r="AV22" s="190"/>
      <c r="AW22" s="190"/>
      <c r="AX22" s="190"/>
      <c r="AY22" s="190"/>
      <c r="AZ22" s="190"/>
      <c r="BA22" s="190"/>
      <c r="BB22" s="190"/>
      <c r="BC22" s="204"/>
    </row>
    <row r="23" spans="1:55" s="33" customFormat="1" ht="13.5" customHeight="1">
      <c r="A23" s="152"/>
      <c r="B23" s="153"/>
      <c r="C23" s="153"/>
      <c r="D23" s="153"/>
      <c r="E23" s="153"/>
      <c r="F23" s="153"/>
      <c r="G23" s="153"/>
      <c r="H23" s="153"/>
      <c r="I23" s="154"/>
      <c r="J23" s="155"/>
      <c r="K23" s="156"/>
      <c r="L23" s="156"/>
      <c r="M23" s="156"/>
      <c r="N23" s="156"/>
      <c r="O23" s="156"/>
      <c r="P23" s="156"/>
      <c r="Q23" s="157"/>
      <c r="R23" s="205"/>
      <c r="S23" s="159"/>
      <c r="T23" s="159"/>
      <c r="U23" s="160"/>
      <c r="V23" s="161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2"/>
      <c r="AP23" s="162"/>
      <c r="AQ23" s="162"/>
      <c r="AR23" s="162"/>
      <c r="AS23" s="163"/>
      <c r="AT23" s="158"/>
      <c r="AU23" s="159"/>
      <c r="AV23" s="159"/>
      <c r="AW23" s="159"/>
      <c r="AX23" s="159"/>
      <c r="AY23" s="159"/>
      <c r="AZ23" s="159"/>
      <c r="BA23" s="159"/>
      <c r="BB23" s="159"/>
      <c r="BC23" s="164"/>
    </row>
    <row r="24" spans="1:55" s="33" customFormat="1" ht="13.5" customHeight="1">
      <c r="A24" s="125"/>
      <c r="B24" s="123"/>
      <c r="C24" s="123"/>
      <c r="D24" s="123"/>
      <c r="E24" s="123"/>
      <c r="F24" s="123"/>
      <c r="G24" s="123"/>
      <c r="H24" s="123"/>
      <c r="I24" s="124"/>
      <c r="J24" s="132"/>
      <c r="K24" s="130"/>
      <c r="L24" s="130"/>
      <c r="M24" s="130"/>
      <c r="N24" s="130"/>
      <c r="O24" s="130"/>
      <c r="P24" s="130"/>
      <c r="Q24" s="131"/>
      <c r="R24" s="139"/>
      <c r="S24" s="137"/>
      <c r="T24" s="137"/>
      <c r="U24" s="138"/>
      <c r="V24" s="146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5"/>
      <c r="AT24" s="139"/>
      <c r="AU24" s="137"/>
      <c r="AV24" s="137"/>
      <c r="AW24" s="137"/>
      <c r="AX24" s="137"/>
      <c r="AY24" s="137"/>
      <c r="AZ24" s="137"/>
      <c r="BA24" s="137"/>
      <c r="BB24" s="137"/>
      <c r="BC24" s="150"/>
    </row>
    <row r="25" spans="1:55" s="33" customFormat="1" ht="13.5" customHeight="1">
      <c r="A25" s="126"/>
      <c r="B25" s="127"/>
      <c r="C25" s="127"/>
      <c r="D25" s="127"/>
      <c r="E25" s="127"/>
      <c r="F25" s="127"/>
      <c r="G25" s="127"/>
      <c r="H25" s="127"/>
      <c r="I25" s="128"/>
      <c r="J25" s="133"/>
      <c r="K25" s="134"/>
      <c r="L25" s="134"/>
      <c r="M25" s="134"/>
      <c r="N25" s="134"/>
      <c r="O25" s="134"/>
      <c r="P25" s="134"/>
      <c r="Q25" s="135"/>
      <c r="R25" s="140"/>
      <c r="S25" s="141"/>
      <c r="T25" s="141"/>
      <c r="U25" s="142"/>
      <c r="V25" s="147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9"/>
      <c r="AT25" s="140"/>
      <c r="AU25" s="141"/>
      <c r="AV25" s="141"/>
      <c r="AW25" s="141"/>
      <c r="AX25" s="141"/>
      <c r="AY25" s="141"/>
      <c r="AZ25" s="141"/>
      <c r="BA25" s="141"/>
      <c r="BB25" s="141"/>
      <c r="BC25" s="151"/>
    </row>
    <row r="26" spans="1:55" s="33" customFormat="1" ht="13.5" customHeight="1">
      <c r="A26" s="152"/>
      <c r="B26" s="153"/>
      <c r="C26" s="153"/>
      <c r="D26" s="153"/>
      <c r="E26" s="153"/>
      <c r="F26" s="153"/>
      <c r="G26" s="153"/>
      <c r="H26" s="153"/>
      <c r="I26" s="154"/>
      <c r="J26" s="155"/>
      <c r="K26" s="156"/>
      <c r="L26" s="156"/>
      <c r="M26" s="156"/>
      <c r="N26" s="156"/>
      <c r="O26" s="156"/>
      <c r="P26" s="156"/>
      <c r="Q26" s="157"/>
      <c r="R26" s="205"/>
      <c r="S26" s="159"/>
      <c r="T26" s="159"/>
      <c r="U26" s="160"/>
      <c r="V26" s="161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3"/>
      <c r="AT26" s="158"/>
      <c r="AU26" s="159"/>
      <c r="AV26" s="159"/>
      <c r="AW26" s="159"/>
      <c r="AX26" s="159"/>
      <c r="AY26" s="159"/>
      <c r="AZ26" s="159"/>
      <c r="BA26" s="159"/>
      <c r="BB26" s="159"/>
      <c r="BC26" s="164"/>
    </row>
    <row r="27" spans="1:55" s="33" customFormat="1" ht="13.5" customHeight="1">
      <c r="A27" s="125"/>
      <c r="B27" s="123"/>
      <c r="C27" s="123"/>
      <c r="D27" s="123"/>
      <c r="E27" s="123"/>
      <c r="F27" s="123"/>
      <c r="G27" s="123"/>
      <c r="H27" s="123"/>
      <c r="I27" s="124"/>
      <c r="J27" s="132"/>
      <c r="K27" s="130"/>
      <c r="L27" s="130"/>
      <c r="M27" s="130"/>
      <c r="N27" s="130"/>
      <c r="O27" s="130"/>
      <c r="P27" s="130"/>
      <c r="Q27" s="131"/>
      <c r="R27" s="139"/>
      <c r="S27" s="137"/>
      <c r="T27" s="137"/>
      <c r="U27" s="138"/>
      <c r="V27" s="146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5"/>
      <c r="AT27" s="139"/>
      <c r="AU27" s="137"/>
      <c r="AV27" s="137"/>
      <c r="AW27" s="137"/>
      <c r="AX27" s="137"/>
      <c r="AY27" s="137"/>
      <c r="AZ27" s="137"/>
      <c r="BA27" s="137"/>
      <c r="BB27" s="137"/>
      <c r="BC27" s="150"/>
    </row>
    <row r="28" spans="1:55" s="33" customFormat="1" ht="13.5" customHeight="1">
      <c r="A28" s="126"/>
      <c r="B28" s="127"/>
      <c r="C28" s="127"/>
      <c r="D28" s="127"/>
      <c r="E28" s="127"/>
      <c r="F28" s="127"/>
      <c r="G28" s="127"/>
      <c r="H28" s="127"/>
      <c r="I28" s="128"/>
      <c r="J28" s="133"/>
      <c r="K28" s="134"/>
      <c r="L28" s="134"/>
      <c r="M28" s="134"/>
      <c r="N28" s="134"/>
      <c r="O28" s="134"/>
      <c r="P28" s="134"/>
      <c r="Q28" s="135"/>
      <c r="R28" s="140"/>
      <c r="S28" s="141"/>
      <c r="T28" s="141"/>
      <c r="U28" s="142"/>
      <c r="V28" s="147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9"/>
      <c r="AT28" s="140"/>
      <c r="AU28" s="141"/>
      <c r="AV28" s="141"/>
      <c r="AW28" s="141"/>
      <c r="AX28" s="141"/>
      <c r="AY28" s="141"/>
      <c r="AZ28" s="141"/>
      <c r="BA28" s="141"/>
      <c r="BB28" s="141"/>
      <c r="BC28" s="151"/>
    </row>
    <row r="29" spans="1:55" s="33" customFormat="1" ht="13.5" customHeight="1">
      <c r="A29" s="152"/>
      <c r="B29" s="153"/>
      <c r="C29" s="153"/>
      <c r="D29" s="153"/>
      <c r="E29" s="153"/>
      <c r="F29" s="153"/>
      <c r="G29" s="153"/>
      <c r="H29" s="153"/>
      <c r="I29" s="154"/>
      <c r="J29" s="155"/>
      <c r="K29" s="156"/>
      <c r="L29" s="156"/>
      <c r="M29" s="156"/>
      <c r="N29" s="156"/>
      <c r="O29" s="156"/>
      <c r="P29" s="156"/>
      <c r="Q29" s="157"/>
      <c r="R29" s="158"/>
      <c r="S29" s="159"/>
      <c r="T29" s="159"/>
      <c r="U29" s="160"/>
      <c r="V29" s="161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8"/>
      <c r="AI29" s="208"/>
      <c r="AJ29" s="208"/>
      <c r="AK29" s="208"/>
      <c r="AL29" s="208"/>
      <c r="AM29" s="208"/>
      <c r="AN29" s="208"/>
      <c r="AO29" s="208"/>
      <c r="AP29" s="208"/>
      <c r="AQ29" s="208"/>
      <c r="AR29" s="208"/>
      <c r="AS29" s="209"/>
      <c r="AT29" s="158"/>
      <c r="AU29" s="159"/>
      <c r="AV29" s="159"/>
      <c r="AW29" s="159"/>
      <c r="AX29" s="159"/>
      <c r="AY29" s="159"/>
      <c r="AZ29" s="159"/>
      <c r="BA29" s="159"/>
      <c r="BB29" s="159"/>
      <c r="BC29" s="164"/>
    </row>
    <row r="30" spans="1:55" s="33" customFormat="1" ht="13.5" customHeight="1">
      <c r="A30" s="125"/>
      <c r="B30" s="123"/>
      <c r="C30" s="123"/>
      <c r="D30" s="123"/>
      <c r="E30" s="123"/>
      <c r="F30" s="123"/>
      <c r="G30" s="123"/>
      <c r="H30" s="123"/>
      <c r="I30" s="124"/>
      <c r="J30" s="132"/>
      <c r="K30" s="130"/>
      <c r="L30" s="130"/>
      <c r="M30" s="130"/>
      <c r="N30" s="130"/>
      <c r="O30" s="130"/>
      <c r="P30" s="130"/>
      <c r="Q30" s="131"/>
      <c r="R30" s="139"/>
      <c r="S30" s="137"/>
      <c r="T30" s="137"/>
      <c r="U30" s="138"/>
      <c r="V30" s="143"/>
      <c r="W30" s="210"/>
      <c r="X30" s="210"/>
      <c r="Y30" s="210"/>
      <c r="Z30" s="210"/>
      <c r="AA30" s="210"/>
      <c r="AB30" s="210"/>
      <c r="AC30" s="210"/>
      <c r="AD30" s="210"/>
      <c r="AE30" s="210"/>
      <c r="AF30" s="210"/>
      <c r="AG30" s="210"/>
      <c r="AH30" s="210"/>
      <c r="AI30" s="210"/>
      <c r="AJ30" s="210"/>
      <c r="AK30" s="210"/>
      <c r="AL30" s="210"/>
      <c r="AM30" s="210"/>
      <c r="AN30" s="210"/>
      <c r="AO30" s="210"/>
      <c r="AP30" s="210"/>
      <c r="AQ30" s="210"/>
      <c r="AR30" s="210"/>
      <c r="AS30" s="211"/>
      <c r="AT30" s="139"/>
      <c r="AU30" s="137"/>
      <c r="AV30" s="137"/>
      <c r="AW30" s="137"/>
      <c r="AX30" s="137"/>
      <c r="AY30" s="137"/>
      <c r="AZ30" s="137"/>
      <c r="BA30" s="137"/>
      <c r="BB30" s="137"/>
      <c r="BC30" s="150"/>
    </row>
    <row r="31" spans="1:55" s="33" customFormat="1" ht="13.5" customHeight="1">
      <c r="A31" s="126"/>
      <c r="B31" s="127"/>
      <c r="C31" s="127"/>
      <c r="D31" s="127"/>
      <c r="E31" s="127"/>
      <c r="F31" s="127"/>
      <c r="G31" s="127"/>
      <c r="H31" s="127"/>
      <c r="I31" s="128"/>
      <c r="J31" s="133"/>
      <c r="K31" s="134"/>
      <c r="L31" s="134"/>
      <c r="M31" s="134"/>
      <c r="N31" s="134"/>
      <c r="O31" s="134"/>
      <c r="P31" s="134"/>
      <c r="Q31" s="135"/>
      <c r="R31" s="140"/>
      <c r="S31" s="141"/>
      <c r="T31" s="141"/>
      <c r="U31" s="142"/>
      <c r="V31" s="212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4"/>
      <c r="AT31" s="140"/>
      <c r="AU31" s="141"/>
      <c r="AV31" s="141"/>
      <c r="AW31" s="141"/>
      <c r="AX31" s="141"/>
      <c r="AY31" s="141"/>
      <c r="AZ31" s="141"/>
      <c r="BA31" s="141"/>
      <c r="BB31" s="141"/>
      <c r="BC31" s="151"/>
    </row>
    <row r="32" spans="1:55" s="33" customFormat="1" ht="13.5" customHeight="1">
      <c r="A32" s="152"/>
      <c r="B32" s="153"/>
      <c r="C32" s="153"/>
      <c r="D32" s="153"/>
      <c r="E32" s="153"/>
      <c r="F32" s="153"/>
      <c r="G32" s="153"/>
      <c r="H32" s="153"/>
      <c r="I32" s="154"/>
      <c r="J32" s="155"/>
      <c r="K32" s="156"/>
      <c r="L32" s="156"/>
      <c r="M32" s="156"/>
      <c r="N32" s="156"/>
      <c r="O32" s="156"/>
      <c r="P32" s="156"/>
      <c r="Q32" s="157"/>
      <c r="R32" s="158"/>
      <c r="S32" s="159"/>
      <c r="T32" s="159"/>
      <c r="U32" s="160"/>
      <c r="V32" s="161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2"/>
      <c r="AQ32" s="162"/>
      <c r="AR32" s="162"/>
      <c r="AS32" s="163"/>
      <c r="AT32" s="158"/>
      <c r="AU32" s="159"/>
      <c r="AV32" s="159"/>
      <c r="AW32" s="159"/>
      <c r="AX32" s="159"/>
      <c r="AY32" s="159"/>
      <c r="AZ32" s="159"/>
      <c r="BA32" s="159"/>
      <c r="BB32" s="159"/>
      <c r="BC32" s="164"/>
    </row>
    <row r="33" spans="1:55" s="33" customFormat="1" ht="13.5" customHeight="1">
      <c r="A33" s="125"/>
      <c r="B33" s="123"/>
      <c r="C33" s="123"/>
      <c r="D33" s="123"/>
      <c r="E33" s="123"/>
      <c r="F33" s="123"/>
      <c r="G33" s="123"/>
      <c r="H33" s="123"/>
      <c r="I33" s="124"/>
      <c r="J33" s="132"/>
      <c r="K33" s="130"/>
      <c r="L33" s="130"/>
      <c r="M33" s="130"/>
      <c r="N33" s="130"/>
      <c r="O33" s="130"/>
      <c r="P33" s="130"/>
      <c r="Q33" s="131"/>
      <c r="R33" s="139"/>
      <c r="S33" s="137"/>
      <c r="T33" s="137"/>
      <c r="U33" s="138"/>
      <c r="V33" s="146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5"/>
      <c r="AT33" s="139"/>
      <c r="AU33" s="137"/>
      <c r="AV33" s="137"/>
      <c r="AW33" s="137"/>
      <c r="AX33" s="137"/>
      <c r="AY33" s="137"/>
      <c r="AZ33" s="137"/>
      <c r="BA33" s="137"/>
      <c r="BB33" s="137"/>
      <c r="BC33" s="150"/>
    </row>
    <row r="34" spans="1:55" s="33" customFormat="1" ht="13.5" customHeight="1" thickBot="1">
      <c r="A34" s="215"/>
      <c r="B34" s="216"/>
      <c r="C34" s="216"/>
      <c r="D34" s="216"/>
      <c r="E34" s="216"/>
      <c r="F34" s="216"/>
      <c r="G34" s="216"/>
      <c r="H34" s="216"/>
      <c r="I34" s="217"/>
      <c r="J34" s="218"/>
      <c r="K34" s="219"/>
      <c r="L34" s="219"/>
      <c r="M34" s="219"/>
      <c r="N34" s="219"/>
      <c r="O34" s="219"/>
      <c r="P34" s="219"/>
      <c r="Q34" s="220"/>
      <c r="R34" s="221"/>
      <c r="S34" s="222"/>
      <c r="T34" s="222"/>
      <c r="U34" s="223"/>
      <c r="V34" s="224"/>
      <c r="W34" s="225"/>
      <c r="X34" s="225"/>
      <c r="Y34" s="225"/>
      <c r="Z34" s="225"/>
      <c r="AA34" s="225"/>
      <c r="AB34" s="225"/>
      <c r="AC34" s="225"/>
      <c r="AD34" s="225"/>
      <c r="AE34" s="225"/>
      <c r="AF34" s="225"/>
      <c r="AG34" s="225"/>
      <c r="AH34" s="225"/>
      <c r="AI34" s="225"/>
      <c r="AJ34" s="225"/>
      <c r="AK34" s="225"/>
      <c r="AL34" s="225"/>
      <c r="AM34" s="225"/>
      <c r="AN34" s="225"/>
      <c r="AO34" s="225"/>
      <c r="AP34" s="225"/>
      <c r="AQ34" s="225"/>
      <c r="AR34" s="225"/>
      <c r="AS34" s="226"/>
      <c r="AT34" s="221"/>
      <c r="AU34" s="222"/>
      <c r="AV34" s="222"/>
      <c r="AW34" s="222"/>
      <c r="AX34" s="222"/>
      <c r="AY34" s="222"/>
      <c r="AZ34" s="222"/>
      <c r="BA34" s="222"/>
      <c r="BB34" s="222"/>
      <c r="BC34" s="227"/>
    </row>
    <row r="35" spans="1:55" s="33" customFormat="1" ht="13.5" customHeight="1">
      <c r="A35" s="206"/>
      <c r="B35" s="206"/>
      <c r="C35" s="206"/>
      <c r="D35" s="206"/>
      <c r="E35" s="206"/>
      <c r="F35" s="206"/>
      <c r="G35" s="206"/>
      <c r="H35" s="206"/>
      <c r="I35" s="206"/>
      <c r="J35" s="130"/>
      <c r="K35" s="130"/>
      <c r="L35" s="130"/>
      <c r="M35" s="130"/>
      <c r="N35" s="130"/>
      <c r="O35" s="130"/>
      <c r="P35" s="130"/>
      <c r="Q35" s="130"/>
      <c r="R35" s="206"/>
      <c r="S35" s="206"/>
      <c r="T35" s="206"/>
      <c r="U35" s="206"/>
      <c r="V35" s="207"/>
      <c r="W35" s="207"/>
      <c r="X35" s="207"/>
      <c r="Y35" s="207"/>
      <c r="Z35" s="207"/>
      <c r="AA35" s="207"/>
      <c r="AB35" s="207"/>
      <c r="AC35" s="207"/>
      <c r="AD35" s="207"/>
      <c r="AE35" s="207"/>
      <c r="AF35" s="207"/>
      <c r="AG35" s="207"/>
      <c r="AH35" s="207"/>
      <c r="AI35" s="207"/>
      <c r="AJ35" s="207"/>
      <c r="AK35" s="207"/>
      <c r="AL35" s="207"/>
      <c r="AM35" s="207"/>
      <c r="AN35" s="207"/>
      <c r="AO35" s="207"/>
      <c r="AP35" s="207"/>
      <c r="AQ35" s="207"/>
      <c r="AR35" s="207"/>
      <c r="AS35" s="207"/>
      <c r="AT35" s="206"/>
      <c r="AU35" s="206"/>
      <c r="AV35" s="206"/>
      <c r="AW35" s="206"/>
      <c r="AX35" s="206"/>
      <c r="AY35" s="206"/>
      <c r="AZ35" s="206"/>
      <c r="BA35" s="206"/>
      <c r="BB35" s="206"/>
      <c r="BC35" s="206"/>
    </row>
    <row r="36" spans="1:55" s="33" customFormat="1" ht="13.5" customHeight="1">
      <c r="A36" s="206"/>
      <c r="B36" s="206"/>
      <c r="C36" s="206"/>
      <c r="D36" s="206"/>
      <c r="E36" s="206"/>
      <c r="F36" s="206"/>
      <c r="G36" s="206"/>
      <c r="H36" s="206"/>
      <c r="I36" s="206"/>
      <c r="J36" s="130"/>
      <c r="K36" s="130"/>
      <c r="L36" s="130"/>
      <c r="M36" s="130"/>
      <c r="N36" s="130"/>
      <c r="O36" s="130"/>
      <c r="P36" s="130"/>
      <c r="Q36" s="130"/>
      <c r="R36" s="206"/>
      <c r="S36" s="206"/>
      <c r="T36" s="206"/>
      <c r="U36" s="206"/>
      <c r="V36" s="207"/>
      <c r="W36" s="207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K36" s="207"/>
      <c r="AL36" s="207"/>
      <c r="AM36" s="207"/>
      <c r="AN36" s="207"/>
      <c r="AO36" s="207"/>
      <c r="AP36" s="207"/>
      <c r="AQ36" s="207"/>
      <c r="AR36" s="207"/>
      <c r="AS36" s="207"/>
      <c r="AT36" s="206"/>
      <c r="AU36" s="206"/>
      <c r="AV36" s="206"/>
      <c r="AW36" s="206"/>
      <c r="AX36" s="206"/>
      <c r="AY36" s="206"/>
      <c r="AZ36" s="206"/>
      <c r="BA36" s="206"/>
      <c r="BB36" s="206"/>
      <c r="BC36" s="206"/>
    </row>
    <row r="37" spans="1:55" s="33" customFormat="1" ht="13.5" customHeight="1">
      <c r="A37" s="228"/>
      <c r="B37" s="206"/>
      <c r="C37" s="206"/>
      <c r="D37" s="206"/>
      <c r="E37" s="206"/>
      <c r="F37" s="206"/>
      <c r="G37" s="206"/>
      <c r="H37" s="206"/>
      <c r="I37" s="206"/>
      <c r="J37" s="229"/>
      <c r="K37" s="130"/>
      <c r="L37" s="130"/>
      <c r="M37" s="130"/>
      <c r="N37" s="130"/>
      <c r="O37" s="130"/>
      <c r="P37" s="130"/>
      <c r="Q37" s="130"/>
      <c r="R37" s="230"/>
      <c r="S37" s="206"/>
      <c r="T37" s="206"/>
      <c r="U37" s="206"/>
      <c r="V37" s="231"/>
      <c r="W37" s="207"/>
      <c r="X37" s="207"/>
      <c r="Y37" s="207"/>
      <c r="Z37" s="207"/>
      <c r="AA37" s="207"/>
      <c r="AB37" s="207"/>
      <c r="AC37" s="207"/>
      <c r="AD37" s="207"/>
      <c r="AE37" s="207"/>
      <c r="AF37" s="207"/>
      <c r="AG37" s="207"/>
      <c r="AH37" s="207"/>
      <c r="AI37" s="207"/>
      <c r="AJ37" s="207"/>
      <c r="AK37" s="207"/>
      <c r="AL37" s="207"/>
      <c r="AM37" s="207"/>
      <c r="AN37" s="207"/>
      <c r="AO37" s="207"/>
      <c r="AP37" s="207"/>
      <c r="AQ37" s="207"/>
      <c r="AR37" s="207"/>
      <c r="AS37" s="207"/>
      <c r="AT37" s="228"/>
      <c r="AU37" s="206"/>
      <c r="AV37" s="206"/>
      <c r="AW37" s="206"/>
      <c r="AX37" s="206"/>
      <c r="AY37" s="206"/>
      <c r="AZ37" s="206"/>
      <c r="BA37" s="206"/>
      <c r="BB37" s="206"/>
      <c r="BC37" s="206"/>
    </row>
    <row r="38" spans="1:55" s="33" customFormat="1" ht="13.5" customHeight="1">
      <c r="A38" s="206"/>
      <c r="B38" s="206"/>
      <c r="C38" s="206"/>
      <c r="D38" s="206"/>
      <c r="E38" s="206"/>
      <c r="F38" s="206"/>
      <c r="G38" s="206"/>
      <c r="H38" s="206"/>
      <c r="I38" s="206"/>
      <c r="J38" s="130"/>
      <c r="K38" s="130"/>
      <c r="L38" s="130"/>
      <c r="M38" s="130"/>
      <c r="N38" s="130"/>
      <c r="O38" s="130"/>
      <c r="P38" s="130"/>
      <c r="Q38" s="130"/>
      <c r="R38" s="206"/>
      <c r="S38" s="206"/>
      <c r="T38" s="206"/>
      <c r="U38" s="206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  <c r="AG38" s="207"/>
      <c r="AH38" s="207"/>
      <c r="AI38" s="207"/>
      <c r="AJ38" s="207"/>
      <c r="AK38" s="207"/>
      <c r="AL38" s="207"/>
      <c r="AM38" s="207"/>
      <c r="AN38" s="207"/>
      <c r="AO38" s="207"/>
      <c r="AP38" s="207"/>
      <c r="AQ38" s="207"/>
      <c r="AR38" s="207"/>
      <c r="AS38" s="207"/>
      <c r="AT38" s="206"/>
      <c r="AU38" s="206"/>
      <c r="AV38" s="206"/>
      <c r="AW38" s="206"/>
      <c r="AX38" s="206"/>
      <c r="AY38" s="206"/>
      <c r="AZ38" s="206"/>
      <c r="BA38" s="206"/>
      <c r="BB38" s="206"/>
      <c r="BC38" s="206"/>
    </row>
    <row r="39" spans="1:55" s="33" customFormat="1" ht="13.5" customHeight="1">
      <c r="A39" s="206"/>
      <c r="B39" s="206"/>
      <c r="C39" s="206"/>
      <c r="D39" s="206"/>
      <c r="E39" s="206"/>
      <c r="F39" s="206"/>
      <c r="G39" s="206"/>
      <c r="H39" s="206"/>
      <c r="I39" s="206"/>
      <c r="J39" s="130"/>
      <c r="K39" s="130"/>
      <c r="L39" s="130"/>
      <c r="M39" s="130"/>
      <c r="N39" s="130"/>
      <c r="O39" s="130"/>
      <c r="P39" s="130"/>
      <c r="Q39" s="130"/>
      <c r="R39" s="206"/>
      <c r="S39" s="206"/>
      <c r="T39" s="206"/>
      <c r="U39" s="206"/>
      <c r="V39" s="207"/>
      <c r="W39" s="207"/>
      <c r="X39" s="207"/>
      <c r="Y39" s="207"/>
      <c r="Z39" s="207"/>
      <c r="AA39" s="207"/>
      <c r="AB39" s="207"/>
      <c r="AC39" s="207"/>
      <c r="AD39" s="207"/>
      <c r="AE39" s="207"/>
      <c r="AF39" s="207"/>
      <c r="AG39" s="207"/>
      <c r="AH39" s="207"/>
      <c r="AI39" s="207"/>
      <c r="AJ39" s="207"/>
      <c r="AK39" s="207"/>
      <c r="AL39" s="207"/>
      <c r="AM39" s="207"/>
      <c r="AN39" s="207"/>
      <c r="AO39" s="207"/>
      <c r="AP39" s="207"/>
      <c r="AQ39" s="207"/>
      <c r="AR39" s="207"/>
      <c r="AS39" s="207"/>
      <c r="AT39" s="206"/>
      <c r="AU39" s="206"/>
      <c r="AV39" s="206"/>
      <c r="AW39" s="206"/>
      <c r="AX39" s="206"/>
      <c r="AY39" s="206"/>
      <c r="AZ39" s="206"/>
      <c r="BA39" s="206"/>
      <c r="BB39" s="206"/>
      <c r="BC39" s="206"/>
    </row>
    <row r="40" spans="1:55" s="33" customFormat="1" ht="13.5" customHeight="1">
      <c r="A40" s="228"/>
      <c r="B40" s="206"/>
      <c r="C40" s="206"/>
      <c r="D40" s="206"/>
      <c r="E40" s="206"/>
      <c r="F40" s="206"/>
      <c r="G40" s="206"/>
      <c r="H40" s="206"/>
      <c r="I40" s="206"/>
      <c r="J40" s="229"/>
      <c r="K40" s="130"/>
      <c r="L40" s="130"/>
      <c r="M40" s="130"/>
      <c r="N40" s="130"/>
      <c r="O40" s="130"/>
      <c r="P40" s="130"/>
      <c r="Q40" s="130"/>
      <c r="R40" s="230"/>
      <c r="S40" s="206"/>
      <c r="T40" s="206"/>
      <c r="U40" s="206"/>
      <c r="V40" s="231"/>
      <c r="W40" s="207"/>
      <c r="X40" s="207"/>
      <c r="Y40" s="207"/>
      <c r="Z40" s="207"/>
      <c r="AA40" s="207"/>
      <c r="AB40" s="207"/>
      <c r="AC40" s="207"/>
      <c r="AD40" s="207"/>
      <c r="AE40" s="207"/>
      <c r="AF40" s="207"/>
      <c r="AG40" s="207"/>
      <c r="AH40" s="207"/>
      <c r="AI40" s="207"/>
      <c r="AJ40" s="207"/>
      <c r="AK40" s="207"/>
      <c r="AL40" s="207"/>
      <c r="AM40" s="207"/>
      <c r="AN40" s="207"/>
      <c r="AO40" s="207"/>
      <c r="AP40" s="207"/>
      <c r="AQ40" s="207"/>
      <c r="AR40" s="207"/>
      <c r="AS40" s="207"/>
      <c r="AT40" s="228"/>
      <c r="AU40" s="206"/>
      <c r="AV40" s="206"/>
      <c r="AW40" s="206"/>
      <c r="AX40" s="206"/>
      <c r="AY40" s="206"/>
      <c r="AZ40" s="206"/>
      <c r="BA40" s="206"/>
      <c r="BB40" s="206"/>
      <c r="BC40" s="206"/>
    </row>
    <row r="41" spans="1:55" s="33" customFormat="1" ht="13.5" customHeight="1">
      <c r="A41" s="206"/>
      <c r="B41" s="206"/>
      <c r="C41" s="206"/>
      <c r="D41" s="206"/>
      <c r="E41" s="206"/>
      <c r="F41" s="206"/>
      <c r="G41" s="206"/>
      <c r="H41" s="206"/>
      <c r="I41" s="206"/>
      <c r="J41" s="130"/>
      <c r="K41" s="130"/>
      <c r="L41" s="130"/>
      <c r="M41" s="130"/>
      <c r="N41" s="130"/>
      <c r="O41" s="130"/>
      <c r="P41" s="130"/>
      <c r="Q41" s="130"/>
      <c r="R41" s="206"/>
      <c r="S41" s="206"/>
      <c r="T41" s="206"/>
      <c r="U41" s="206"/>
      <c r="V41" s="207"/>
      <c r="W41" s="207"/>
      <c r="X41" s="207"/>
      <c r="Y41" s="207"/>
      <c r="Z41" s="207"/>
      <c r="AA41" s="207"/>
      <c r="AB41" s="207"/>
      <c r="AC41" s="207"/>
      <c r="AD41" s="207"/>
      <c r="AE41" s="207"/>
      <c r="AF41" s="207"/>
      <c r="AG41" s="207"/>
      <c r="AH41" s="207"/>
      <c r="AI41" s="207"/>
      <c r="AJ41" s="207"/>
      <c r="AK41" s="207"/>
      <c r="AL41" s="207"/>
      <c r="AM41" s="207"/>
      <c r="AN41" s="207"/>
      <c r="AO41" s="207"/>
      <c r="AP41" s="207"/>
      <c r="AQ41" s="207"/>
      <c r="AR41" s="207"/>
      <c r="AS41" s="207"/>
      <c r="AT41" s="206"/>
      <c r="AU41" s="206"/>
      <c r="AV41" s="206"/>
      <c r="AW41" s="206"/>
      <c r="AX41" s="206"/>
      <c r="AY41" s="206"/>
      <c r="AZ41" s="206"/>
      <c r="BA41" s="206"/>
      <c r="BB41" s="206"/>
      <c r="BC41" s="206"/>
    </row>
    <row r="42" spans="1:55" s="33" customFormat="1" ht="13.5" customHeight="1">
      <c r="A42" s="206"/>
      <c r="B42" s="206"/>
      <c r="C42" s="206"/>
      <c r="D42" s="206"/>
      <c r="E42" s="206"/>
      <c r="F42" s="206"/>
      <c r="G42" s="206"/>
      <c r="H42" s="206"/>
      <c r="I42" s="206"/>
      <c r="J42" s="130"/>
      <c r="K42" s="130"/>
      <c r="L42" s="130"/>
      <c r="M42" s="130"/>
      <c r="N42" s="130"/>
      <c r="O42" s="130"/>
      <c r="P42" s="130"/>
      <c r="Q42" s="130"/>
      <c r="R42" s="206"/>
      <c r="S42" s="206"/>
      <c r="T42" s="206"/>
      <c r="U42" s="206"/>
      <c r="V42" s="207"/>
      <c r="W42" s="207"/>
      <c r="X42" s="207"/>
      <c r="Y42" s="207"/>
      <c r="Z42" s="207"/>
      <c r="AA42" s="207"/>
      <c r="AB42" s="207"/>
      <c r="AC42" s="207"/>
      <c r="AD42" s="207"/>
      <c r="AE42" s="207"/>
      <c r="AF42" s="207"/>
      <c r="AG42" s="207"/>
      <c r="AH42" s="207"/>
      <c r="AI42" s="207"/>
      <c r="AJ42" s="207"/>
      <c r="AK42" s="207"/>
      <c r="AL42" s="207"/>
      <c r="AM42" s="207"/>
      <c r="AN42" s="207"/>
      <c r="AO42" s="207"/>
      <c r="AP42" s="207"/>
      <c r="AQ42" s="207"/>
      <c r="AR42" s="207"/>
      <c r="AS42" s="207"/>
      <c r="AT42" s="206"/>
      <c r="AU42" s="206"/>
      <c r="AV42" s="206"/>
      <c r="AW42" s="206"/>
      <c r="AX42" s="206"/>
      <c r="AY42" s="206"/>
      <c r="AZ42" s="206"/>
      <c r="BA42" s="206"/>
      <c r="BB42" s="206"/>
      <c r="BC42" s="206"/>
    </row>
    <row r="43" spans="1:55" s="33" customFormat="1" ht="13.5" customHeight="1">
      <c r="A43" s="228"/>
      <c r="B43" s="206"/>
      <c r="C43" s="206"/>
      <c r="D43" s="206"/>
      <c r="E43" s="206"/>
      <c r="F43" s="206"/>
      <c r="G43" s="206"/>
      <c r="H43" s="206"/>
      <c r="I43" s="206"/>
      <c r="J43" s="229"/>
      <c r="K43" s="130"/>
      <c r="L43" s="130"/>
      <c r="M43" s="130"/>
      <c r="N43" s="130"/>
      <c r="O43" s="130"/>
      <c r="P43" s="130"/>
      <c r="Q43" s="130"/>
      <c r="R43" s="230"/>
      <c r="S43" s="206"/>
      <c r="T43" s="206"/>
      <c r="U43" s="206"/>
      <c r="V43" s="231"/>
      <c r="W43" s="207"/>
      <c r="X43" s="207"/>
      <c r="Y43" s="207"/>
      <c r="Z43" s="207"/>
      <c r="AA43" s="207"/>
      <c r="AB43" s="207"/>
      <c r="AC43" s="207"/>
      <c r="AD43" s="207"/>
      <c r="AE43" s="207"/>
      <c r="AF43" s="207"/>
      <c r="AG43" s="207"/>
      <c r="AH43" s="207"/>
      <c r="AI43" s="207"/>
      <c r="AJ43" s="207"/>
      <c r="AK43" s="207"/>
      <c r="AL43" s="207"/>
      <c r="AM43" s="207"/>
      <c r="AN43" s="207"/>
      <c r="AO43" s="207"/>
      <c r="AP43" s="207"/>
      <c r="AQ43" s="207"/>
      <c r="AR43" s="207"/>
      <c r="AS43" s="207"/>
      <c r="AT43" s="228"/>
      <c r="AU43" s="206"/>
      <c r="AV43" s="206"/>
      <c r="AW43" s="206"/>
      <c r="AX43" s="206"/>
      <c r="AY43" s="206"/>
      <c r="AZ43" s="206"/>
      <c r="BA43" s="206"/>
      <c r="BB43" s="206"/>
      <c r="BC43" s="206"/>
    </row>
    <row r="44" spans="1:55" s="33" customFormat="1" ht="13.5" customHeight="1">
      <c r="A44" s="206"/>
      <c r="B44" s="206"/>
      <c r="C44" s="206"/>
      <c r="D44" s="206"/>
      <c r="E44" s="206"/>
      <c r="F44" s="206"/>
      <c r="G44" s="206"/>
      <c r="H44" s="206"/>
      <c r="I44" s="206"/>
      <c r="J44" s="130"/>
      <c r="K44" s="130"/>
      <c r="L44" s="130"/>
      <c r="M44" s="130"/>
      <c r="N44" s="130"/>
      <c r="O44" s="130"/>
      <c r="P44" s="130"/>
      <c r="Q44" s="130"/>
      <c r="R44" s="206"/>
      <c r="S44" s="206"/>
      <c r="T44" s="206"/>
      <c r="U44" s="206"/>
      <c r="V44" s="207"/>
      <c r="W44" s="207"/>
      <c r="X44" s="207"/>
      <c r="Y44" s="207"/>
      <c r="Z44" s="207"/>
      <c r="AA44" s="207"/>
      <c r="AB44" s="207"/>
      <c r="AC44" s="207"/>
      <c r="AD44" s="207"/>
      <c r="AE44" s="207"/>
      <c r="AF44" s="207"/>
      <c r="AG44" s="207"/>
      <c r="AH44" s="207"/>
      <c r="AI44" s="207"/>
      <c r="AJ44" s="207"/>
      <c r="AK44" s="207"/>
      <c r="AL44" s="207"/>
      <c r="AM44" s="207"/>
      <c r="AN44" s="207"/>
      <c r="AO44" s="207"/>
      <c r="AP44" s="207"/>
      <c r="AQ44" s="207"/>
      <c r="AR44" s="207"/>
      <c r="AS44" s="207"/>
      <c r="AT44" s="206"/>
      <c r="AU44" s="206"/>
      <c r="AV44" s="206"/>
      <c r="AW44" s="206"/>
      <c r="AX44" s="206"/>
      <c r="AY44" s="206"/>
      <c r="AZ44" s="206"/>
      <c r="BA44" s="206"/>
      <c r="BB44" s="206"/>
      <c r="BC44" s="206"/>
    </row>
    <row r="45" spans="1:55" s="33" customFormat="1" ht="13.5" customHeight="1">
      <c r="A45" s="206"/>
      <c r="B45" s="206"/>
      <c r="C45" s="206"/>
      <c r="D45" s="206"/>
      <c r="E45" s="206"/>
      <c r="F45" s="206"/>
      <c r="G45" s="206"/>
      <c r="H45" s="206"/>
      <c r="I45" s="206"/>
      <c r="J45" s="130"/>
      <c r="K45" s="130"/>
      <c r="L45" s="130"/>
      <c r="M45" s="130"/>
      <c r="N45" s="130"/>
      <c r="O45" s="130"/>
      <c r="P45" s="130"/>
      <c r="Q45" s="130"/>
      <c r="R45" s="206"/>
      <c r="S45" s="206"/>
      <c r="T45" s="206"/>
      <c r="U45" s="206"/>
      <c r="V45" s="207"/>
      <c r="W45" s="207"/>
      <c r="X45" s="207"/>
      <c r="Y45" s="207"/>
      <c r="Z45" s="207"/>
      <c r="AA45" s="207"/>
      <c r="AB45" s="207"/>
      <c r="AC45" s="207"/>
      <c r="AD45" s="207"/>
      <c r="AE45" s="207"/>
      <c r="AF45" s="207"/>
      <c r="AG45" s="207"/>
      <c r="AH45" s="207"/>
      <c r="AI45" s="207"/>
      <c r="AJ45" s="207"/>
      <c r="AK45" s="207"/>
      <c r="AL45" s="207"/>
      <c r="AM45" s="207"/>
      <c r="AN45" s="207"/>
      <c r="AO45" s="207"/>
      <c r="AP45" s="207"/>
      <c r="AQ45" s="207"/>
      <c r="AR45" s="207"/>
      <c r="AS45" s="207"/>
      <c r="AT45" s="206"/>
      <c r="AU45" s="206"/>
      <c r="AV45" s="206"/>
      <c r="AW45" s="206"/>
      <c r="AX45" s="206"/>
      <c r="AY45" s="206"/>
      <c r="AZ45" s="206"/>
      <c r="BA45" s="206"/>
      <c r="BB45" s="206"/>
      <c r="BC45" s="206"/>
    </row>
    <row r="46" spans="1:55" s="33" customFormat="1" ht="13.5" customHeight="1">
      <c r="A46" s="228"/>
      <c r="B46" s="206"/>
      <c r="C46" s="206"/>
      <c r="D46" s="206"/>
      <c r="E46" s="206"/>
      <c r="F46" s="206"/>
      <c r="G46" s="206"/>
      <c r="H46" s="206"/>
      <c r="I46" s="206"/>
      <c r="J46" s="229"/>
      <c r="K46" s="130"/>
      <c r="L46" s="130"/>
      <c r="M46" s="130"/>
      <c r="N46" s="130"/>
      <c r="O46" s="130"/>
      <c r="P46" s="130"/>
      <c r="Q46" s="130"/>
      <c r="R46" s="230"/>
      <c r="S46" s="206"/>
      <c r="T46" s="206"/>
      <c r="U46" s="206"/>
      <c r="V46" s="231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/>
      <c r="AL46" s="207"/>
      <c r="AM46" s="207"/>
      <c r="AN46" s="207"/>
      <c r="AO46" s="207"/>
      <c r="AP46" s="207"/>
      <c r="AQ46" s="207"/>
      <c r="AR46" s="207"/>
      <c r="AS46" s="207"/>
      <c r="AT46" s="228"/>
      <c r="AU46" s="206"/>
      <c r="AV46" s="206"/>
      <c r="AW46" s="206"/>
      <c r="AX46" s="206"/>
      <c r="AY46" s="206"/>
      <c r="AZ46" s="206"/>
      <c r="BA46" s="206"/>
      <c r="BB46" s="206"/>
      <c r="BC46" s="206"/>
    </row>
    <row r="47" spans="1:55" s="33" customFormat="1" ht="13.5" customHeight="1">
      <c r="A47" s="206"/>
      <c r="B47" s="206"/>
      <c r="C47" s="206"/>
      <c r="D47" s="206"/>
      <c r="E47" s="206"/>
      <c r="F47" s="206"/>
      <c r="G47" s="206"/>
      <c r="H47" s="206"/>
      <c r="I47" s="206"/>
      <c r="J47" s="130"/>
      <c r="K47" s="130"/>
      <c r="L47" s="130"/>
      <c r="M47" s="130"/>
      <c r="N47" s="130"/>
      <c r="O47" s="130"/>
      <c r="P47" s="130"/>
      <c r="Q47" s="130"/>
      <c r="R47" s="206"/>
      <c r="S47" s="206"/>
      <c r="T47" s="206"/>
      <c r="U47" s="206"/>
      <c r="V47" s="207"/>
      <c r="W47" s="207"/>
      <c r="X47" s="207"/>
      <c r="Y47" s="207"/>
      <c r="Z47" s="207"/>
      <c r="AA47" s="207"/>
      <c r="AB47" s="207"/>
      <c r="AC47" s="207"/>
      <c r="AD47" s="207"/>
      <c r="AE47" s="207"/>
      <c r="AF47" s="207"/>
      <c r="AG47" s="207"/>
      <c r="AH47" s="207"/>
      <c r="AI47" s="207"/>
      <c r="AJ47" s="207"/>
      <c r="AK47" s="207"/>
      <c r="AL47" s="207"/>
      <c r="AM47" s="207"/>
      <c r="AN47" s="207"/>
      <c r="AO47" s="207"/>
      <c r="AP47" s="207"/>
      <c r="AQ47" s="207"/>
      <c r="AR47" s="207"/>
      <c r="AS47" s="207"/>
      <c r="AT47" s="206"/>
      <c r="AU47" s="206"/>
      <c r="AV47" s="206"/>
      <c r="AW47" s="206"/>
      <c r="AX47" s="206"/>
      <c r="AY47" s="206"/>
      <c r="AZ47" s="206"/>
      <c r="BA47" s="206"/>
      <c r="BB47" s="206"/>
      <c r="BC47" s="206"/>
    </row>
    <row r="48" spans="1:55" s="33" customFormat="1" ht="13.5" customHeight="1">
      <c r="A48" s="206"/>
      <c r="B48" s="206"/>
      <c r="C48" s="206"/>
      <c r="D48" s="206"/>
      <c r="E48" s="206"/>
      <c r="F48" s="206"/>
      <c r="G48" s="206"/>
      <c r="H48" s="206"/>
      <c r="I48" s="206"/>
      <c r="J48" s="130"/>
      <c r="K48" s="130"/>
      <c r="L48" s="130"/>
      <c r="M48" s="130"/>
      <c r="N48" s="130"/>
      <c r="O48" s="130"/>
      <c r="P48" s="130"/>
      <c r="Q48" s="130"/>
      <c r="R48" s="206"/>
      <c r="S48" s="206"/>
      <c r="T48" s="206"/>
      <c r="U48" s="206"/>
      <c r="V48" s="207"/>
      <c r="W48" s="207"/>
      <c r="X48" s="207"/>
      <c r="Y48" s="207"/>
      <c r="Z48" s="207"/>
      <c r="AA48" s="207"/>
      <c r="AB48" s="207"/>
      <c r="AC48" s="207"/>
      <c r="AD48" s="207"/>
      <c r="AE48" s="207"/>
      <c r="AF48" s="207"/>
      <c r="AG48" s="207"/>
      <c r="AH48" s="207"/>
      <c r="AI48" s="207"/>
      <c r="AJ48" s="207"/>
      <c r="AK48" s="207"/>
      <c r="AL48" s="207"/>
      <c r="AM48" s="207"/>
      <c r="AN48" s="207"/>
      <c r="AO48" s="207"/>
      <c r="AP48" s="207"/>
      <c r="AQ48" s="207"/>
      <c r="AR48" s="207"/>
      <c r="AS48" s="207"/>
      <c r="AT48" s="206"/>
      <c r="AU48" s="206"/>
      <c r="AV48" s="206"/>
      <c r="AW48" s="206"/>
      <c r="AX48" s="206"/>
      <c r="AY48" s="206"/>
      <c r="AZ48" s="206"/>
      <c r="BA48" s="206"/>
      <c r="BB48" s="206"/>
      <c r="BC48" s="206"/>
    </row>
    <row r="49" spans="1:55" s="33" customFormat="1" ht="13.5" customHeight="1">
      <c r="A49" s="228"/>
      <c r="B49" s="206"/>
      <c r="C49" s="206"/>
      <c r="D49" s="206"/>
      <c r="E49" s="206"/>
      <c r="F49" s="206"/>
      <c r="G49" s="206"/>
      <c r="H49" s="206"/>
      <c r="I49" s="206"/>
      <c r="J49" s="229"/>
      <c r="K49" s="130"/>
      <c r="L49" s="130"/>
      <c r="M49" s="130"/>
      <c r="N49" s="130"/>
      <c r="O49" s="130"/>
      <c r="P49" s="130"/>
      <c r="Q49" s="130"/>
      <c r="R49" s="230"/>
      <c r="S49" s="206"/>
      <c r="T49" s="206"/>
      <c r="U49" s="206"/>
      <c r="V49" s="231"/>
      <c r="W49" s="207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  <c r="AI49" s="207"/>
      <c r="AJ49" s="207"/>
      <c r="AK49" s="207"/>
      <c r="AL49" s="207"/>
      <c r="AM49" s="207"/>
      <c r="AN49" s="207"/>
      <c r="AO49" s="207"/>
      <c r="AP49" s="207"/>
      <c r="AQ49" s="207"/>
      <c r="AR49" s="207"/>
      <c r="AS49" s="207"/>
      <c r="AT49" s="228"/>
      <c r="AU49" s="206"/>
      <c r="AV49" s="206"/>
      <c r="AW49" s="206"/>
      <c r="AX49" s="206"/>
      <c r="AY49" s="206"/>
      <c r="AZ49" s="206"/>
      <c r="BA49" s="206"/>
      <c r="BB49" s="206"/>
      <c r="BC49" s="206"/>
    </row>
    <row r="50" spans="1:55" s="33" customFormat="1" ht="13.5" customHeight="1">
      <c r="A50" s="206"/>
      <c r="B50" s="206"/>
      <c r="C50" s="206"/>
      <c r="D50" s="206"/>
      <c r="E50" s="206"/>
      <c r="F50" s="206"/>
      <c r="G50" s="206"/>
      <c r="H50" s="206"/>
      <c r="I50" s="206"/>
      <c r="J50" s="130"/>
      <c r="K50" s="130"/>
      <c r="L50" s="130"/>
      <c r="M50" s="130"/>
      <c r="N50" s="130"/>
      <c r="O50" s="130"/>
      <c r="P50" s="130"/>
      <c r="Q50" s="130"/>
      <c r="R50" s="206"/>
      <c r="S50" s="206"/>
      <c r="T50" s="206"/>
      <c r="U50" s="206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207"/>
      <c r="AK50" s="207"/>
      <c r="AL50" s="207"/>
      <c r="AM50" s="207"/>
      <c r="AN50" s="207"/>
      <c r="AO50" s="207"/>
      <c r="AP50" s="207"/>
      <c r="AQ50" s="207"/>
      <c r="AR50" s="207"/>
      <c r="AS50" s="207"/>
      <c r="AT50" s="206"/>
      <c r="AU50" s="206"/>
      <c r="AV50" s="206"/>
      <c r="AW50" s="206"/>
      <c r="AX50" s="206"/>
      <c r="AY50" s="206"/>
      <c r="AZ50" s="206"/>
      <c r="BA50" s="206"/>
      <c r="BB50" s="206"/>
      <c r="BC50" s="206"/>
    </row>
    <row r="51" spans="1:55" s="33" customFormat="1" ht="13.5" customHeight="1">
      <c r="A51" s="206"/>
      <c r="B51" s="206"/>
      <c r="C51" s="206"/>
      <c r="D51" s="206"/>
      <c r="E51" s="206"/>
      <c r="F51" s="206"/>
      <c r="G51" s="206"/>
      <c r="H51" s="206"/>
      <c r="I51" s="206"/>
      <c r="J51" s="130"/>
      <c r="K51" s="130"/>
      <c r="L51" s="130"/>
      <c r="M51" s="130"/>
      <c r="N51" s="130"/>
      <c r="O51" s="130"/>
      <c r="P51" s="130"/>
      <c r="Q51" s="130"/>
      <c r="R51" s="206"/>
      <c r="S51" s="206"/>
      <c r="T51" s="206"/>
      <c r="U51" s="206"/>
      <c r="V51" s="207"/>
      <c r="W51" s="207"/>
      <c r="X51" s="207"/>
      <c r="Y51" s="207"/>
      <c r="Z51" s="207"/>
      <c r="AA51" s="207"/>
      <c r="AB51" s="207"/>
      <c r="AC51" s="207"/>
      <c r="AD51" s="207"/>
      <c r="AE51" s="207"/>
      <c r="AF51" s="207"/>
      <c r="AG51" s="207"/>
      <c r="AH51" s="207"/>
      <c r="AI51" s="207"/>
      <c r="AJ51" s="207"/>
      <c r="AK51" s="207"/>
      <c r="AL51" s="207"/>
      <c r="AM51" s="207"/>
      <c r="AN51" s="207"/>
      <c r="AO51" s="207"/>
      <c r="AP51" s="207"/>
      <c r="AQ51" s="207"/>
      <c r="AR51" s="207"/>
      <c r="AS51" s="207"/>
      <c r="AT51" s="206"/>
      <c r="AU51" s="206"/>
      <c r="AV51" s="206"/>
      <c r="AW51" s="206"/>
      <c r="AX51" s="206"/>
      <c r="AY51" s="206"/>
      <c r="AZ51" s="206"/>
      <c r="BA51" s="206"/>
      <c r="BB51" s="206"/>
      <c r="BC51" s="206"/>
    </row>
    <row r="52" spans="1:55" s="33" customFormat="1" ht="13.5" customHeight="1">
      <c r="A52" s="228"/>
      <c r="B52" s="206"/>
      <c r="C52" s="206"/>
      <c r="D52" s="206"/>
      <c r="E52" s="206"/>
      <c r="F52" s="206"/>
      <c r="G52" s="206"/>
      <c r="H52" s="206"/>
      <c r="I52" s="206"/>
      <c r="J52" s="229"/>
      <c r="K52" s="130"/>
      <c r="L52" s="130"/>
      <c r="M52" s="130"/>
      <c r="N52" s="130"/>
      <c r="O52" s="130"/>
      <c r="P52" s="130"/>
      <c r="Q52" s="130"/>
      <c r="R52" s="230"/>
      <c r="S52" s="206"/>
      <c r="T52" s="206"/>
      <c r="U52" s="206"/>
      <c r="V52" s="231"/>
      <c r="W52" s="207"/>
      <c r="X52" s="207"/>
      <c r="Y52" s="207"/>
      <c r="Z52" s="207"/>
      <c r="AA52" s="207"/>
      <c r="AB52" s="207"/>
      <c r="AC52" s="207"/>
      <c r="AD52" s="207"/>
      <c r="AE52" s="207"/>
      <c r="AF52" s="207"/>
      <c r="AG52" s="207"/>
      <c r="AH52" s="207"/>
      <c r="AI52" s="207"/>
      <c r="AJ52" s="207"/>
      <c r="AK52" s="207"/>
      <c r="AL52" s="207"/>
      <c r="AM52" s="207"/>
      <c r="AN52" s="207"/>
      <c r="AO52" s="207"/>
      <c r="AP52" s="207"/>
      <c r="AQ52" s="207"/>
      <c r="AR52" s="207"/>
      <c r="AS52" s="207"/>
      <c r="AT52" s="228"/>
      <c r="AU52" s="206"/>
      <c r="AV52" s="206"/>
      <c r="AW52" s="206"/>
      <c r="AX52" s="206"/>
      <c r="AY52" s="206"/>
      <c r="AZ52" s="206"/>
      <c r="BA52" s="206"/>
      <c r="BB52" s="206"/>
      <c r="BC52" s="206"/>
    </row>
    <row r="53" spans="1:55" s="33" customFormat="1" ht="13.5" customHeight="1">
      <c r="A53" s="206"/>
      <c r="B53" s="206"/>
      <c r="C53" s="206"/>
      <c r="D53" s="206"/>
      <c r="E53" s="206"/>
      <c r="F53" s="206"/>
      <c r="G53" s="206"/>
      <c r="H53" s="206"/>
      <c r="I53" s="206"/>
      <c r="J53" s="130"/>
      <c r="K53" s="130"/>
      <c r="L53" s="130"/>
      <c r="M53" s="130"/>
      <c r="N53" s="130"/>
      <c r="O53" s="130"/>
      <c r="P53" s="130"/>
      <c r="Q53" s="130"/>
      <c r="R53" s="206"/>
      <c r="S53" s="206"/>
      <c r="T53" s="206"/>
      <c r="U53" s="206"/>
      <c r="V53" s="207"/>
      <c r="W53" s="207"/>
      <c r="X53" s="207"/>
      <c r="Y53" s="207"/>
      <c r="Z53" s="207"/>
      <c r="AA53" s="207"/>
      <c r="AB53" s="207"/>
      <c r="AC53" s="207"/>
      <c r="AD53" s="207"/>
      <c r="AE53" s="207"/>
      <c r="AF53" s="207"/>
      <c r="AG53" s="207"/>
      <c r="AH53" s="207"/>
      <c r="AI53" s="207"/>
      <c r="AJ53" s="207"/>
      <c r="AK53" s="207"/>
      <c r="AL53" s="207"/>
      <c r="AM53" s="207"/>
      <c r="AN53" s="207"/>
      <c r="AO53" s="207"/>
      <c r="AP53" s="207"/>
      <c r="AQ53" s="207"/>
      <c r="AR53" s="207"/>
      <c r="AS53" s="207"/>
      <c r="AT53" s="206"/>
      <c r="AU53" s="206"/>
      <c r="AV53" s="206"/>
      <c r="AW53" s="206"/>
      <c r="AX53" s="206"/>
      <c r="AY53" s="206"/>
      <c r="AZ53" s="206"/>
      <c r="BA53" s="206"/>
      <c r="BB53" s="206"/>
      <c r="BC53" s="206"/>
    </row>
    <row r="54" spans="1:55" s="33" customFormat="1" ht="13.5" customHeight="1">
      <c r="A54" s="206"/>
      <c r="B54" s="206"/>
      <c r="C54" s="206"/>
      <c r="D54" s="206"/>
      <c r="E54" s="206"/>
      <c r="F54" s="206"/>
      <c r="G54" s="206"/>
      <c r="H54" s="206"/>
      <c r="I54" s="206"/>
      <c r="J54" s="130"/>
      <c r="K54" s="130"/>
      <c r="L54" s="130"/>
      <c r="M54" s="130"/>
      <c r="N54" s="130"/>
      <c r="O54" s="130"/>
      <c r="P54" s="130"/>
      <c r="Q54" s="130"/>
      <c r="R54" s="206"/>
      <c r="S54" s="206"/>
      <c r="T54" s="206"/>
      <c r="U54" s="206"/>
      <c r="V54" s="207"/>
      <c r="W54" s="207"/>
      <c r="X54" s="207"/>
      <c r="Y54" s="207"/>
      <c r="Z54" s="207"/>
      <c r="AA54" s="207"/>
      <c r="AB54" s="207"/>
      <c r="AC54" s="207"/>
      <c r="AD54" s="207"/>
      <c r="AE54" s="207"/>
      <c r="AF54" s="207"/>
      <c r="AG54" s="207"/>
      <c r="AH54" s="207"/>
      <c r="AI54" s="207"/>
      <c r="AJ54" s="207"/>
      <c r="AK54" s="207"/>
      <c r="AL54" s="207"/>
      <c r="AM54" s="207"/>
      <c r="AN54" s="207"/>
      <c r="AO54" s="207"/>
      <c r="AP54" s="207"/>
      <c r="AQ54" s="207"/>
      <c r="AR54" s="207"/>
      <c r="AS54" s="207"/>
      <c r="AT54" s="206"/>
      <c r="AU54" s="206"/>
      <c r="AV54" s="206"/>
      <c r="AW54" s="206"/>
      <c r="AX54" s="206"/>
      <c r="AY54" s="206"/>
      <c r="AZ54" s="206"/>
      <c r="BA54" s="206"/>
      <c r="BB54" s="206"/>
      <c r="BC54" s="206"/>
    </row>
    <row r="55" spans="1:55" s="33" customFormat="1" ht="13.5" customHeight="1">
      <c r="A55" s="228"/>
      <c r="B55" s="206"/>
      <c r="C55" s="206"/>
      <c r="D55" s="206"/>
      <c r="E55" s="206"/>
      <c r="F55" s="206"/>
      <c r="G55" s="206"/>
      <c r="H55" s="206"/>
      <c r="I55" s="206"/>
      <c r="J55" s="229"/>
      <c r="K55" s="130"/>
      <c r="L55" s="130"/>
      <c r="M55" s="130"/>
      <c r="N55" s="130"/>
      <c r="O55" s="130"/>
      <c r="P55" s="130"/>
      <c r="Q55" s="130"/>
      <c r="R55" s="230"/>
      <c r="S55" s="206"/>
      <c r="T55" s="206"/>
      <c r="U55" s="206"/>
      <c r="V55" s="231"/>
      <c r="W55" s="207"/>
      <c r="X55" s="207"/>
      <c r="Y55" s="207"/>
      <c r="Z55" s="207"/>
      <c r="AA55" s="207"/>
      <c r="AB55" s="207"/>
      <c r="AC55" s="207"/>
      <c r="AD55" s="207"/>
      <c r="AE55" s="207"/>
      <c r="AF55" s="207"/>
      <c r="AG55" s="207"/>
      <c r="AH55" s="207"/>
      <c r="AI55" s="207"/>
      <c r="AJ55" s="207"/>
      <c r="AK55" s="207"/>
      <c r="AL55" s="207"/>
      <c r="AM55" s="207"/>
      <c r="AN55" s="207"/>
      <c r="AO55" s="207"/>
      <c r="AP55" s="207"/>
      <c r="AQ55" s="207"/>
      <c r="AR55" s="207"/>
      <c r="AS55" s="207"/>
      <c r="AT55" s="228"/>
      <c r="AU55" s="206"/>
      <c r="AV55" s="206"/>
      <c r="AW55" s="206"/>
      <c r="AX55" s="206"/>
      <c r="AY55" s="206"/>
      <c r="AZ55" s="206"/>
      <c r="BA55" s="206"/>
      <c r="BB55" s="206"/>
      <c r="BC55" s="206"/>
    </row>
    <row r="56" spans="1:55" s="33" customFormat="1" ht="13.5" customHeight="1">
      <c r="A56" s="206"/>
      <c r="B56" s="206"/>
      <c r="C56" s="206"/>
      <c r="D56" s="206"/>
      <c r="E56" s="206"/>
      <c r="F56" s="206"/>
      <c r="G56" s="206"/>
      <c r="H56" s="206"/>
      <c r="I56" s="206"/>
      <c r="J56" s="130"/>
      <c r="K56" s="130"/>
      <c r="L56" s="130"/>
      <c r="M56" s="130"/>
      <c r="N56" s="130"/>
      <c r="O56" s="130"/>
      <c r="P56" s="130"/>
      <c r="Q56" s="130"/>
      <c r="R56" s="206"/>
      <c r="S56" s="206"/>
      <c r="T56" s="206"/>
      <c r="U56" s="206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207"/>
      <c r="AK56" s="207"/>
      <c r="AL56" s="207"/>
      <c r="AM56" s="207"/>
      <c r="AN56" s="207"/>
      <c r="AO56" s="207"/>
      <c r="AP56" s="207"/>
      <c r="AQ56" s="207"/>
      <c r="AR56" s="207"/>
      <c r="AS56" s="207"/>
      <c r="AT56" s="206"/>
      <c r="AU56" s="206"/>
      <c r="AV56" s="206"/>
      <c r="AW56" s="206"/>
      <c r="AX56" s="206"/>
      <c r="AY56" s="206"/>
      <c r="AZ56" s="206"/>
      <c r="BA56" s="206"/>
      <c r="BB56" s="206"/>
      <c r="BC56" s="206"/>
    </row>
    <row r="57" spans="1:55" s="33" customFormat="1" ht="13.5" customHeight="1">
      <c r="A57" s="206"/>
      <c r="B57" s="206"/>
      <c r="C57" s="206"/>
      <c r="D57" s="206"/>
      <c r="E57" s="206"/>
      <c r="F57" s="206"/>
      <c r="G57" s="206"/>
      <c r="H57" s="206"/>
      <c r="I57" s="206"/>
      <c r="J57" s="130"/>
      <c r="K57" s="130"/>
      <c r="L57" s="130"/>
      <c r="M57" s="130"/>
      <c r="N57" s="130"/>
      <c r="O57" s="130"/>
      <c r="P57" s="130"/>
      <c r="Q57" s="130"/>
      <c r="R57" s="206"/>
      <c r="S57" s="206"/>
      <c r="T57" s="206"/>
      <c r="U57" s="206"/>
      <c r="V57" s="207"/>
      <c r="W57" s="207"/>
      <c r="X57" s="207"/>
      <c r="Y57" s="207"/>
      <c r="Z57" s="207"/>
      <c r="AA57" s="207"/>
      <c r="AB57" s="207"/>
      <c r="AC57" s="207"/>
      <c r="AD57" s="207"/>
      <c r="AE57" s="207"/>
      <c r="AF57" s="207"/>
      <c r="AG57" s="207"/>
      <c r="AH57" s="207"/>
      <c r="AI57" s="207"/>
      <c r="AJ57" s="207"/>
      <c r="AK57" s="207"/>
      <c r="AL57" s="207"/>
      <c r="AM57" s="207"/>
      <c r="AN57" s="207"/>
      <c r="AO57" s="207"/>
      <c r="AP57" s="207"/>
      <c r="AQ57" s="207"/>
      <c r="AR57" s="207"/>
      <c r="AS57" s="207"/>
      <c r="AT57" s="206"/>
      <c r="AU57" s="206"/>
      <c r="AV57" s="206"/>
      <c r="AW57" s="206"/>
      <c r="AX57" s="206"/>
      <c r="AY57" s="206"/>
      <c r="AZ57" s="206"/>
      <c r="BA57" s="206"/>
      <c r="BB57" s="206"/>
      <c r="BC57" s="206"/>
    </row>
    <row r="58" spans="1:55" s="33" customFormat="1" ht="13.5" customHeight="1">
      <c r="A58" s="228"/>
      <c r="B58" s="206"/>
      <c r="C58" s="206"/>
      <c r="D58" s="206"/>
      <c r="E58" s="206"/>
      <c r="F58" s="206"/>
      <c r="G58" s="206"/>
      <c r="H58" s="206"/>
      <c r="I58" s="206"/>
      <c r="J58" s="229"/>
      <c r="K58" s="130"/>
      <c r="L58" s="130"/>
      <c r="M58" s="130"/>
      <c r="N58" s="130"/>
      <c r="O58" s="130"/>
      <c r="P58" s="130"/>
      <c r="Q58" s="130"/>
      <c r="R58" s="230"/>
      <c r="S58" s="206"/>
      <c r="T58" s="206"/>
      <c r="U58" s="206"/>
      <c r="V58" s="231"/>
      <c r="W58" s="207"/>
      <c r="X58" s="207"/>
      <c r="Y58" s="207"/>
      <c r="Z58" s="207"/>
      <c r="AA58" s="207"/>
      <c r="AB58" s="207"/>
      <c r="AC58" s="207"/>
      <c r="AD58" s="207"/>
      <c r="AE58" s="207"/>
      <c r="AF58" s="207"/>
      <c r="AG58" s="207"/>
      <c r="AH58" s="207"/>
      <c r="AI58" s="207"/>
      <c r="AJ58" s="207"/>
      <c r="AK58" s="207"/>
      <c r="AL58" s="207"/>
      <c r="AM58" s="207"/>
      <c r="AN58" s="207"/>
      <c r="AO58" s="207"/>
      <c r="AP58" s="207"/>
      <c r="AQ58" s="207"/>
      <c r="AR58" s="207"/>
      <c r="AS58" s="207"/>
      <c r="AT58" s="228"/>
      <c r="AU58" s="206"/>
      <c r="AV58" s="206"/>
      <c r="AW58" s="206"/>
      <c r="AX58" s="206"/>
      <c r="AY58" s="206"/>
      <c r="AZ58" s="206"/>
      <c r="BA58" s="206"/>
      <c r="BB58" s="206"/>
      <c r="BC58" s="206"/>
    </row>
    <row r="59" spans="1:55" s="33" customFormat="1" ht="13.5" customHeight="1">
      <c r="A59" s="206"/>
      <c r="B59" s="206"/>
      <c r="C59" s="206"/>
      <c r="D59" s="206"/>
      <c r="E59" s="206"/>
      <c r="F59" s="206"/>
      <c r="G59" s="206"/>
      <c r="H59" s="206"/>
      <c r="I59" s="206"/>
      <c r="J59" s="130"/>
      <c r="K59" s="130"/>
      <c r="L59" s="130"/>
      <c r="M59" s="130"/>
      <c r="N59" s="130"/>
      <c r="O59" s="130"/>
      <c r="P59" s="130"/>
      <c r="Q59" s="130"/>
      <c r="R59" s="206"/>
      <c r="S59" s="206"/>
      <c r="T59" s="206"/>
      <c r="U59" s="206"/>
      <c r="V59" s="207"/>
      <c r="W59" s="207"/>
      <c r="X59" s="207"/>
      <c r="Y59" s="207"/>
      <c r="Z59" s="207"/>
      <c r="AA59" s="207"/>
      <c r="AB59" s="207"/>
      <c r="AC59" s="207"/>
      <c r="AD59" s="207"/>
      <c r="AE59" s="207"/>
      <c r="AF59" s="207"/>
      <c r="AG59" s="207"/>
      <c r="AH59" s="207"/>
      <c r="AI59" s="207"/>
      <c r="AJ59" s="207"/>
      <c r="AK59" s="207"/>
      <c r="AL59" s="207"/>
      <c r="AM59" s="207"/>
      <c r="AN59" s="207"/>
      <c r="AO59" s="207"/>
      <c r="AP59" s="207"/>
      <c r="AQ59" s="207"/>
      <c r="AR59" s="207"/>
      <c r="AS59" s="207"/>
      <c r="AT59" s="206"/>
      <c r="AU59" s="206"/>
      <c r="AV59" s="206"/>
      <c r="AW59" s="206"/>
      <c r="AX59" s="206"/>
      <c r="AY59" s="206"/>
      <c r="AZ59" s="206"/>
      <c r="BA59" s="206"/>
      <c r="BB59" s="206"/>
      <c r="BC59" s="206"/>
    </row>
    <row r="60" spans="1:55" s="33" customFormat="1" ht="13.5" customHeight="1">
      <c r="A60" s="206"/>
      <c r="B60" s="206"/>
      <c r="C60" s="206"/>
      <c r="D60" s="206"/>
      <c r="E60" s="206"/>
      <c r="F60" s="206"/>
      <c r="G60" s="206"/>
      <c r="H60" s="206"/>
      <c r="I60" s="206"/>
      <c r="J60" s="130"/>
      <c r="K60" s="130"/>
      <c r="L60" s="130"/>
      <c r="M60" s="130"/>
      <c r="N60" s="130"/>
      <c r="O60" s="130"/>
      <c r="P60" s="130"/>
      <c r="Q60" s="130"/>
      <c r="R60" s="206"/>
      <c r="S60" s="206"/>
      <c r="T60" s="206"/>
      <c r="U60" s="206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207"/>
      <c r="AK60" s="207"/>
      <c r="AL60" s="207"/>
      <c r="AM60" s="207"/>
      <c r="AN60" s="207"/>
      <c r="AO60" s="207"/>
      <c r="AP60" s="207"/>
      <c r="AQ60" s="207"/>
      <c r="AR60" s="207"/>
      <c r="AS60" s="207"/>
      <c r="AT60" s="206"/>
      <c r="AU60" s="206"/>
      <c r="AV60" s="206"/>
      <c r="AW60" s="206"/>
      <c r="AX60" s="206"/>
      <c r="AY60" s="206"/>
      <c r="AZ60" s="206"/>
      <c r="BA60" s="206"/>
      <c r="BB60" s="206"/>
      <c r="BC60" s="206"/>
    </row>
    <row r="61" spans="1:55" s="33" customFormat="1" ht="13.5" customHeight="1">
      <c r="A61" s="228"/>
      <c r="B61" s="206"/>
      <c r="C61" s="206"/>
      <c r="D61" s="206"/>
      <c r="E61" s="206"/>
      <c r="F61" s="206"/>
      <c r="G61" s="206"/>
      <c r="H61" s="206"/>
      <c r="I61" s="206"/>
      <c r="J61" s="229"/>
      <c r="K61" s="130"/>
      <c r="L61" s="130"/>
      <c r="M61" s="130"/>
      <c r="N61" s="130"/>
      <c r="O61" s="130"/>
      <c r="P61" s="130"/>
      <c r="Q61" s="130"/>
      <c r="R61" s="230"/>
      <c r="S61" s="206"/>
      <c r="T61" s="206"/>
      <c r="U61" s="206"/>
      <c r="V61" s="231"/>
      <c r="W61" s="207"/>
      <c r="X61" s="207"/>
      <c r="Y61" s="207"/>
      <c r="Z61" s="207"/>
      <c r="AA61" s="207"/>
      <c r="AB61" s="207"/>
      <c r="AC61" s="207"/>
      <c r="AD61" s="207"/>
      <c r="AE61" s="207"/>
      <c r="AF61" s="207"/>
      <c r="AG61" s="207"/>
      <c r="AH61" s="207"/>
      <c r="AI61" s="207"/>
      <c r="AJ61" s="207"/>
      <c r="AK61" s="207"/>
      <c r="AL61" s="207"/>
      <c r="AM61" s="207"/>
      <c r="AN61" s="207"/>
      <c r="AO61" s="207"/>
      <c r="AP61" s="207"/>
      <c r="AQ61" s="207"/>
      <c r="AR61" s="207"/>
      <c r="AS61" s="207"/>
      <c r="AT61" s="228"/>
      <c r="AU61" s="206"/>
      <c r="AV61" s="206"/>
      <c r="AW61" s="206"/>
      <c r="AX61" s="206"/>
      <c r="AY61" s="206"/>
      <c r="AZ61" s="206"/>
      <c r="BA61" s="206"/>
      <c r="BB61" s="206"/>
      <c r="BC61" s="206"/>
    </row>
    <row r="62" spans="1:55" s="33" customFormat="1" ht="13.5" customHeight="1">
      <c r="A62" s="206"/>
      <c r="B62" s="206"/>
      <c r="C62" s="206"/>
      <c r="D62" s="206"/>
      <c r="E62" s="206"/>
      <c r="F62" s="206"/>
      <c r="G62" s="206"/>
      <c r="H62" s="206"/>
      <c r="I62" s="206"/>
      <c r="J62" s="130"/>
      <c r="K62" s="130"/>
      <c r="L62" s="130"/>
      <c r="M62" s="130"/>
      <c r="N62" s="130"/>
      <c r="O62" s="130"/>
      <c r="P62" s="130"/>
      <c r="Q62" s="130"/>
      <c r="R62" s="206"/>
      <c r="S62" s="206"/>
      <c r="T62" s="206"/>
      <c r="U62" s="206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207"/>
      <c r="AK62" s="207"/>
      <c r="AL62" s="207"/>
      <c r="AM62" s="207"/>
      <c r="AN62" s="207"/>
      <c r="AO62" s="207"/>
      <c r="AP62" s="207"/>
      <c r="AQ62" s="207"/>
      <c r="AR62" s="207"/>
      <c r="AS62" s="207"/>
      <c r="AT62" s="206"/>
      <c r="AU62" s="206"/>
      <c r="AV62" s="206"/>
      <c r="AW62" s="206"/>
      <c r="AX62" s="206"/>
      <c r="AY62" s="206"/>
      <c r="AZ62" s="206"/>
      <c r="BA62" s="206"/>
      <c r="BB62" s="206"/>
      <c r="BC62" s="206"/>
    </row>
    <row r="63" spans="1:55" s="33" customFormat="1" ht="13.5" customHeight="1">
      <c r="A63" s="206"/>
      <c r="B63" s="206"/>
      <c r="C63" s="206"/>
      <c r="D63" s="206"/>
      <c r="E63" s="206"/>
      <c r="F63" s="206"/>
      <c r="G63" s="206"/>
      <c r="H63" s="206"/>
      <c r="I63" s="206"/>
      <c r="J63" s="130"/>
      <c r="K63" s="130"/>
      <c r="L63" s="130"/>
      <c r="M63" s="130"/>
      <c r="N63" s="130"/>
      <c r="O63" s="130"/>
      <c r="P63" s="130"/>
      <c r="Q63" s="130"/>
      <c r="R63" s="206"/>
      <c r="S63" s="206"/>
      <c r="T63" s="206"/>
      <c r="U63" s="206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07"/>
      <c r="AG63" s="207"/>
      <c r="AH63" s="207"/>
      <c r="AI63" s="207"/>
      <c r="AJ63" s="207"/>
      <c r="AK63" s="207"/>
      <c r="AL63" s="207"/>
      <c r="AM63" s="207"/>
      <c r="AN63" s="207"/>
      <c r="AO63" s="207"/>
      <c r="AP63" s="207"/>
      <c r="AQ63" s="207"/>
      <c r="AR63" s="207"/>
      <c r="AS63" s="207"/>
      <c r="AT63" s="206"/>
      <c r="AU63" s="206"/>
      <c r="AV63" s="206"/>
      <c r="AW63" s="206"/>
      <c r="AX63" s="206"/>
      <c r="AY63" s="206"/>
      <c r="AZ63" s="206"/>
      <c r="BA63" s="206"/>
      <c r="BB63" s="206"/>
      <c r="BC63" s="206"/>
    </row>
    <row r="64" spans="1:55" s="33" customFormat="1" ht="13.5" customHeight="1">
      <c r="A64" s="228"/>
      <c r="B64" s="206"/>
      <c r="C64" s="206"/>
      <c r="D64" s="206"/>
      <c r="E64" s="206"/>
      <c r="F64" s="206"/>
      <c r="G64" s="206"/>
      <c r="H64" s="206"/>
      <c r="I64" s="206"/>
      <c r="J64" s="229"/>
      <c r="K64" s="130"/>
      <c r="L64" s="130"/>
      <c r="M64" s="130"/>
      <c r="N64" s="130"/>
      <c r="O64" s="130"/>
      <c r="P64" s="130"/>
      <c r="Q64" s="130"/>
      <c r="R64" s="230"/>
      <c r="S64" s="206"/>
      <c r="T64" s="206"/>
      <c r="U64" s="206"/>
      <c r="V64" s="231"/>
      <c r="W64" s="207"/>
      <c r="X64" s="207"/>
      <c r="Y64" s="207"/>
      <c r="Z64" s="207"/>
      <c r="AA64" s="207"/>
      <c r="AB64" s="207"/>
      <c r="AC64" s="207"/>
      <c r="AD64" s="207"/>
      <c r="AE64" s="207"/>
      <c r="AF64" s="207"/>
      <c r="AG64" s="207"/>
      <c r="AH64" s="207"/>
      <c r="AI64" s="207"/>
      <c r="AJ64" s="207"/>
      <c r="AK64" s="207"/>
      <c r="AL64" s="207"/>
      <c r="AM64" s="207"/>
      <c r="AN64" s="207"/>
      <c r="AO64" s="207"/>
      <c r="AP64" s="207"/>
      <c r="AQ64" s="207"/>
      <c r="AR64" s="207"/>
      <c r="AS64" s="207"/>
      <c r="AT64" s="228"/>
      <c r="AU64" s="206"/>
      <c r="AV64" s="206"/>
      <c r="AW64" s="206"/>
      <c r="AX64" s="206"/>
      <c r="AY64" s="206"/>
      <c r="AZ64" s="206"/>
      <c r="BA64" s="206"/>
      <c r="BB64" s="206"/>
      <c r="BC64" s="206"/>
    </row>
    <row r="65" spans="1:55" s="33" customFormat="1" ht="13.5" customHeight="1">
      <c r="A65" s="206"/>
      <c r="B65" s="206"/>
      <c r="C65" s="206"/>
      <c r="D65" s="206"/>
      <c r="E65" s="206"/>
      <c r="F65" s="206"/>
      <c r="G65" s="206"/>
      <c r="H65" s="206"/>
      <c r="I65" s="206"/>
      <c r="J65" s="130"/>
      <c r="K65" s="130"/>
      <c r="L65" s="130"/>
      <c r="M65" s="130"/>
      <c r="N65" s="130"/>
      <c r="O65" s="130"/>
      <c r="P65" s="130"/>
      <c r="Q65" s="130"/>
      <c r="R65" s="206"/>
      <c r="S65" s="206"/>
      <c r="T65" s="206"/>
      <c r="U65" s="206"/>
      <c r="V65" s="207"/>
      <c r="W65" s="207"/>
      <c r="X65" s="207"/>
      <c r="Y65" s="207"/>
      <c r="Z65" s="207"/>
      <c r="AA65" s="207"/>
      <c r="AB65" s="207"/>
      <c r="AC65" s="207"/>
      <c r="AD65" s="207"/>
      <c r="AE65" s="207"/>
      <c r="AF65" s="207"/>
      <c r="AG65" s="207"/>
      <c r="AH65" s="207"/>
      <c r="AI65" s="207"/>
      <c r="AJ65" s="207"/>
      <c r="AK65" s="207"/>
      <c r="AL65" s="207"/>
      <c r="AM65" s="207"/>
      <c r="AN65" s="207"/>
      <c r="AO65" s="207"/>
      <c r="AP65" s="207"/>
      <c r="AQ65" s="207"/>
      <c r="AR65" s="207"/>
      <c r="AS65" s="207"/>
      <c r="AT65" s="206"/>
      <c r="AU65" s="206"/>
      <c r="AV65" s="206"/>
      <c r="AW65" s="206"/>
      <c r="AX65" s="206"/>
      <c r="AY65" s="206"/>
      <c r="AZ65" s="206"/>
      <c r="BA65" s="206"/>
      <c r="BB65" s="206"/>
      <c r="BC65" s="206"/>
    </row>
    <row r="66" spans="1:55" s="33" customFormat="1" ht="13.5" customHeight="1">
      <c r="A66" s="206"/>
      <c r="B66" s="206"/>
      <c r="C66" s="206"/>
      <c r="D66" s="206"/>
      <c r="E66" s="206"/>
      <c r="F66" s="206"/>
      <c r="G66" s="206"/>
      <c r="H66" s="206"/>
      <c r="I66" s="206"/>
      <c r="J66" s="130"/>
      <c r="K66" s="130"/>
      <c r="L66" s="130"/>
      <c r="M66" s="130"/>
      <c r="N66" s="130"/>
      <c r="O66" s="130"/>
      <c r="P66" s="130"/>
      <c r="Q66" s="130"/>
      <c r="R66" s="206"/>
      <c r="S66" s="206"/>
      <c r="T66" s="206"/>
      <c r="U66" s="206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  <c r="AF66" s="207"/>
      <c r="AG66" s="207"/>
      <c r="AH66" s="207"/>
      <c r="AI66" s="207"/>
      <c r="AJ66" s="207"/>
      <c r="AK66" s="207"/>
      <c r="AL66" s="207"/>
      <c r="AM66" s="207"/>
      <c r="AN66" s="207"/>
      <c r="AO66" s="207"/>
      <c r="AP66" s="207"/>
      <c r="AQ66" s="207"/>
      <c r="AR66" s="207"/>
      <c r="AS66" s="207"/>
      <c r="AT66" s="206"/>
      <c r="AU66" s="206"/>
      <c r="AV66" s="206"/>
      <c r="AW66" s="206"/>
      <c r="AX66" s="206"/>
      <c r="AY66" s="206"/>
      <c r="AZ66" s="206"/>
      <c r="BA66" s="206"/>
      <c r="BB66" s="206"/>
      <c r="BC66" s="206"/>
    </row>
    <row r="67" spans="1:55" s="33" customFormat="1" ht="13.5" customHeight="1">
      <c r="A67" s="228"/>
      <c r="B67" s="206"/>
      <c r="C67" s="206"/>
      <c r="D67" s="206"/>
      <c r="E67" s="206"/>
      <c r="F67" s="206"/>
      <c r="G67" s="206"/>
      <c r="H67" s="206"/>
      <c r="I67" s="206"/>
      <c r="J67" s="229"/>
      <c r="K67" s="130"/>
      <c r="L67" s="130"/>
      <c r="M67" s="130"/>
      <c r="N67" s="130"/>
      <c r="O67" s="130"/>
      <c r="P67" s="130"/>
      <c r="Q67" s="130"/>
      <c r="R67" s="230"/>
      <c r="S67" s="206"/>
      <c r="T67" s="206"/>
      <c r="U67" s="206"/>
      <c r="V67" s="231"/>
      <c r="W67" s="207"/>
      <c r="X67" s="207"/>
      <c r="Y67" s="207"/>
      <c r="Z67" s="207"/>
      <c r="AA67" s="207"/>
      <c r="AB67" s="207"/>
      <c r="AC67" s="207"/>
      <c r="AD67" s="207"/>
      <c r="AE67" s="207"/>
      <c r="AF67" s="207"/>
      <c r="AG67" s="207"/>
      <c r="AH67" s="207"/>
      <c r="AI67" s="207"/>
      <c r="AJ67" s="207"/>
      <c r="AK67" s="207"/>
      <c r="AL67" s="207"/>
      <c r="AM67" s="207"/>
      <c r="AN67" s="207"/>
      <c r="AO67" s="207"/>
      <c r="AP67" s="207"/>
      <c r="AQ67" s="207"/>
      <c r="AR67" s="207"/>
      <c r="AS67" s="207"/>
      <c r="AT67" s="228"/>
      <c r="AU67" s="206"/>
      <c r="AV67" s="206"/>
      <c r="AW67" s="206"/>
      <c r="AX67" s="206"/>
      <c r="AY67" s="206"/>
      <c r="AZ67" s="206"/>
      <c r="BA67" s="206"/>
      <c r="BB67" s="206"/>
      <c r="BC67" s="206"/>
    </row>
    <row r="68" spans="1:55" s="33" customFormat="1" ht="13.5" customHeight="1">
      <c r="A68" s="206"/>
      <c r="B68" s="206"/>
      <c r="C68" s="206"/>
      <c r="D68" s="206"/>
      <c r="E68" s="206"/>
      <c r="F68" s="206"/>
      <c r="G68" s="206"/>
      <c r="H68" s="206"/>
      <c r="I68" s="206"/>
      <c r="J68" s="130"/>
      <c r="K68" s="130"/>
      <c r="L68" s="130"/>
      <c r="M68" s="130"/>
      <c r="N68" s="130"/>
      <c r="O68" s="130"/>
      <c r="P68" s="130"/>
      <c r="Q68" s="130"/>
      <c r="R68" s="206"/>
      <c r="S68" s="206"/>
      <c r="T68" s="206"/>
      <c r="U68" s="206"/>
      <c r="V68" s="207"/>
      <c r="W68" s="207"/>
      <c r="X68" s="207"/>
      <c r="Y68" s="207"/>
      <c r="Z68" s="207"/>
      <c r="AA68" s="207"/>
      <c r="AB68" s="207"/>
      <c r="AC68" s="207"/>
      <c r="AD68" s="207"/>
      <c r="AE68" s="207"/>
      <c r="AF68" s="207"/>
      <c r="AG68" s="207"/>
      <c r="AH68" s="207"/>
      <c r="AI68" s="207"/>
      <c r="AJ68" s="207"/>
      <c r="AK68" s="207"/>
      <c r="AL68" s="207"/>
      <c r="AM68" s="207"/>
      <c r="AN68" s="207"/>
      <c r="AO68" s="207"/>
      <c r="AP68" s="207"/>
      <c r="AQ68" s="207"/>
      <c r="AR68" s="207"/>
      <c r="AS68" s="207"/>
      <c r="AT68" s="206"/>
      <c r="AU68" s="206"/>
      <c r="AV68" s="206"/>
      <c r="AW68" s="206"/>
      <c r="AX68" s="206"/>
      <c r="AY68" s="206"/>
      <c r="AZ68" s="206"/>
      <c r="BA68" s="206"/>
      <c r="BB68" s="206"/>
      <c r="BC68" s="206"/>
    </row>
    <row r="69" spans="1:55" s="33" customFormat="1" ht="13.5" customHeight="1">
      <c r="A69" s="206"/>
      <c r="B69" s="206"/>
      <c r="C69" s="206"/>
      <c r="D69" s="206"/>
      <c r="E69" s="206"/>
      <c r="F69" s="206"/>
      <c r="G69" s="206"/>
      <c r="H69" s="206"/>
      <c r="I69" s="206"/>
      <c r="J69" s="130"/>
      <c r="K69" s="130"/>
      <c r="L69" s="130"/>
      <c r="M69" s="130"/>
      <c r="N69" s="130"/>
      <c r="O69" s="130"/>
      <c r="P69" s="130"/>
      <c r="Q69" s="130"/>
      <c r="R69" s="206"/>
      <c r="S69" s="206"/>
      <c r="T69" s="206"/>
      <c r="U69" s="206"/>
      <c r="V69" s="207"/>
      <c r="W69" s="207"/>
      <c r="X69" s="207"/>
      <c r="Y69" s="207"/>
      <c r="Z69" s="207"/>
      <c r="AA69" s="207"/>
      <c r="AB69" s="207"/>
      <c r="AC69" s="207"/>
      <c r="AD69" s="207"/>
      <c r="AE69" s="207"/>
      <c r="AF69" s="207"/>
      <c r="AG69" s="207"/>
      <c r="AH69" s="207"/>
      <c r="AI69" s="207"/>
      <c r="AJ69" s="207"/>
      <c r="AK69" s="207"/>
      <c r="AL69" s="207"/>
      <c r="AM69" s="207"/>
      <c r="AN69" s="207"/>
      <c r="AO69" s="207"/>
      <c r="AP69" s="207"/>
      <c r="AQ69" s="207"/>
      <c r="AR69" s="207"/>
      <c r="AS69" s="207"/>
      <c r="AT69" s="206"/>
      <c r="AU69" s="206"/>
      <c r="AV69" s="206"/>
      <c r="AW69" s="206"/>
      <c r="AX69" s="206"/>
      <c r="AY69" s="206"/>
      <c r="AZ69" s="206"/>
      <c r="BA69" s="206"/>
      <c r="BB69" s="206"/>
      <c r="BC69" s="206"/>
    </row>
    <row r="70" spans="1:55" s="33" customFormat="1" ht="13.5" customHeight="1">
      <c r="A70" s="228"/>
      <c r="B70" s="206"/>
      <c r="C70" s="206"/>
      <c r="D70" s="206"/>
      <c r="E70" s="206"/>
      <c r="F70" s="206"/>
      <c r="G70" s="206"/>
      <c r="H70" s="206"/>
      <c r="I70" s="206"/>
      <c r="J70" s="229"/>
      <c r="K70" s="130"/>
      <c r="L70" s="130"/>
      <c r="M70" s="130"/>
      <c r="N70" s="130"/>
      <c r="O70" s="130"/>
      <c r="P70" s="130"/>
      <c r="Q70" s="130"/>
      <c r="R70" s="230"/>
      <c r="S70" s="206"/>
      <c r="T70" s="206"/>
      <c r="U70" s="206"/>
      <c r="V70" s="231"/>
      <c r="W70" s="207"/>
      <c r="X70" s="207"/>
      <c r="Y70" s="207"/>
      <c r="Z70" s="207"/>
      <c r="AA70" s="207"/>
      <c r="AB70" s="207"/>
      <c r="AC70" s="207"/>
      <c r="AD70" s="207"/>
      <c r="AE70" s="207"/>
      <c r="AF70" s="207"/>
      <c r="AG70" s="207"/>
      <c r="AH70" s="207"/>
      <c r="AI70" s="207"/>
      <c r="AJ70" s="207"/>
      <c r="AK70" s="207"/>
      <c r="AL70" s="207"/>
      <c r="AM70" s="207"/>
      <c r="AN70" s="207"/>
      <c r="AO70" s="207"/>
      <c r="AP70" s="207"/>
      <c r="AQ70" s="207"/>
      <c r="AR70" s="207"/>
      <c r="AS70" s="207"/>
      <c r="AT70" s="228"/>
      <c r="AU70" s="206"/>
      <c r="AV70" s="206"/>
      <c r="AW70" s="206"/>
      <c r="AX70" s="206"/>
      <c r="AY70" s="206"/>
      <c r="AZ70" s="206"/>
      <c r="BA70" s="206"/>
      <c r="BB70" s="206"/>
      <c r="BC70" s="206"/>
    </row>
    <row r="71" spans="1:55" s="33" customFormat="1" ht="13.5" customHeight="1">
      <c r="A71" s="206"/>
      <c r="B71" s="206"/>
      <c r="C71" s="206"/>
      <c r="D71" s="206"/>
      <c r="E71" s="206"/>
      <c r="F71" s="206"/>
      <c r="G71" s="206"/>
      <c r="H71" s="206"/>
      <c r="I71" s="206"/>
      <c r="J71" s="130"/>
      <c r="K71" s="130"/>
      <c r="L71" s="130"/>
      <c r="M71" s="130"/>
      <c r="N71" s="130"/>
      <c r="O71" s="130"/>
      <c r="P71" s="130"/>
      <c r="Q71" s="130"/>
      <c r="R71" s="206"/>
      <c r="S71" s="206"/>
      <c r="T71" s="206"/>
      <c r="U71" s="206"/>
      <c r="V71" s="207"/>
      <c r="W71" s="207"/>
      <c r="X71" s="207"/>
      <c r="Y71" s="207"/>
      <c r="Z71" s="207"/>
      <c r="AA71" s="207"/>
      <c r="AB71" s="207"/>
      <c r="AC71" s="207"/>
      <c r="AD71" s="207"/>
      <c r="AE71" s="207"/>
      <c r="AF71" s="207"/>
      <c r="AG71" s="207"/>
      <c r="AH71" s="207"/>
      <c r="AI71" s="207"/>
      <c r="AJ71" s="207"/>
      <c r="AK71" s="207"/>
      <c r="AL71" s="207"/>
      <c r="AM71" s="207"/>
      <c r="AN71" s="207"/>
      <c r="AO71" s="207"/>
      <c r="AP71" s="207"/>
      <c r="AQ71" s="207"/>
      <c r="AR71" s="207"/>
      <c r="AS71" s="207"/>
      <c r="AT71" s="206"/>
      <c r="AU71" s="206"/>
      <c r="AV71" s="206"/>
      <c r="AW71" s="206"/>
      <c r="AX71" s="206"/>
      <c r="AY71" s="206"/>
      <c r="AZ71" s="206"/>
      <c r="BA71" s="206"/>
      <c r="BB71" s="206"/>
      <c r="BC71" s="206"/>
    </row>
    <row r="72" spans="1:55" s="33" customFormat="1" ht="13.5" customHeight="1">
      <c r="A72" s="206"/>
      <c r="B72" s="206"/>
      <c r="C72" s="206"/>
      <c r="D72" s="206"/>
      <c r="E72" s="206"/>
      <c r="F72" s="206"/>
      <c r="G72" s="206"/>
      <c r="H72" s="206"/>
      <c r="I72" s="206"/>
      <c r="J72" s="130"/>
      <c r="K72" s="130"/>
      <c r="L72" s="130"/>
      <c r="M72" s="130"/>
      <c r="N72" s="130"/>
      <c r="O72" s="130"/>
      <c r="P72" s="130"/>
      <c r="Q72" s="130"/>
      <c r="R72" s="206"/>
      <c r="S72" s="206"/>
      <c r="T72" s="206"/>
      <c r="U72" s="206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207"/>
      <c r="AK72" s="207"/>
      <c r="AL72" s="207"/>
      <c r="AM72" s="207"/>
      <c r="AN72" s="207"/>
      <c r="AO72" s="207"/>
      <c r="AP72" s="207"/>
      <c r="AQ72" s="207"/>
      <c r="AR72" s="207"/>
      <c r="AS72" s="207"/>
      <c r="AT72" s="206"/>
      <c r="AU72" s="206"/>
      <c r="AV72" s="206"/>
      <c r="AW72" s="206"/>
      <c r="AX72" s="206"/>
      <c r="AY72" s="206"/>
      <c r="AZ72" s="206"/>
      <c r="BA72" s="206"/>
      <c r="BB72" s="206"/>
      <c r="BC72" s="206"/>
    </row>
    <row r="73" spans="1:55" s="33" customFormat="1" ht="13.5" customHeight="1">
      <c r="A73" s="228"/>
      <c r="B73" s="206"/>
      <c r="C73" s="206"/>
      <c r="D73" s="206"/>
      <c r="E73" s="206"/>
      <c r="F73" s="206"/>
      <c r="G73" s="206"/>
      <c r="H73" s="206"/>
      <c r="I73" s="206"/>
      <c r="J73" s="229"/>
      <c r="K73" s="130"/>
      <c r="L73" s="130"/>
      <c r="M73" s="130"/>
      <c r="N73" s="130"/>
      <c r="O73" s="130"/>
      <c r="P73" s="130"/>
      <c r="Q73" s="130"/>
      <c r="R73" s="230"/>
      <c r="S73" s="206"/>
      <c r="T73" s="206"/>
      <c r="U73" s="206"/>
      <c r="V73" s="231"/>
      <c r="W73" s="207"/>
      <c r="X73" s="207"/>
      <c r="Y73" s="207"/>
      <c r="Z73" s="207"/>
      <c r="AA73" s="207"/>
      <c r="AB73" s="207"/>
      <c r="AC73" s="207"/>
      <c r="AD73" s="207"/>
      <c r="AE73" s="207"/>
      <c r="AF73" s="207"/>
      <c r="AG73" s="207"/>
      <c r="AH73" s="207"/>
      <c r="AI73" s="207"/>
      <c r="AJ73" s="207"/>
      <c r="AK73" s="207"/>
      <c r="AL73" s="207"/>
      <c r="AM73" s="207"/>
      <c r="AN73" s="207"/>
      <c r="AO73" s="207"/>
      <c r="AP73" s="207"/>
      <c r="AQ73" s="207"/>
      <c r="AR73" s="207"/>
      <c r="AS73" s="207"/>
      <c r="AT73" s="228"/>
      <c r="AU73" s="206"/>
      <c r="AV73" s="206"/>
      <c r="AW73" s="206"/>
      <c r="AX73" s="206"/>
      <c r="AY73" s="206"/>
      <c r="AZ73" s="206"/>
      <c r="BA73" s="206"/>
      <c r="BB73" s="206"/>
      <c r="BC73" s="206"/>
    </row>
    <row r="74" spans="1:55" s="33" customFormat="1" ht="13.5" customHeight="1">
      <c r="A74" s="206"/>
      <c r="B74" s="206"/>
      <c r="C74" s="206"/>
      <c r="D74" s="206"/>
      <c r="E74" s="206"/>
      <c r="F74" s="206"/>
      <c r="G74" s="206"/>
      <c r="H74" s="206"/>
      <c r="I74" s="206"/>
      <c r="J74" s="130"/>
      <c r="K74" s="130"/>
      <c r="L74" s="130"/>
      <c r="M74" s="130"/>
      <c r="N74" s="130"/>
      <c r="O74" s="130"/>
      <c r="P74" s="130"/>
      <c r="Q74" s="130"/>
      <c r="R74" s="206"/>
      <c r="S74" s="206"/>
      <c r="T74" s="206"/>
      <c r="U74" s="206"/>
      <c r="V74" s="207"/>
      <c r="W74" s="207"/>
      <c r="X74" s="207"/>
      <c r="Y74" s="207"/>
      <c r="Z74" s="207"/>
      <c r="AA74" s="207"/>
      <c r="AB74" s="207"/>
      <c r="AC74" s="207"/>
      <c r="AD74" s="207"/>
      <c r="AE74" s="207"/>
      <c r="AF74" s="207"/>
      <c r="AG74" s="207"/>
      <c r="AH74" s="207"/>
      <c r="AI74" s="207"/>
      <c r="AJ74" s="207"/>
      <c r="AK74" s="207"/>
      <c r="AL74" s="207"/>
      <c r="AM74" s="207"/>
      <c r="AN74" s="207"/>
      <c r="AO74" s="207"/>
      <c r="AP74" s="207"/>
      <c r="AQ74" s="207"/>
      <c r="AR74" s="207"/>
      <c r="AS74" s="207"/>
      <c r="AT74" s="206"/>
      <c r="AU74" s="206"/>
      <c r="AV74" s="206"/>
      <c r="AW74" s="206"/>
      <c r="AX74" s="206"/>
      <c r="AY74" s="206"/>
      <c r="AZ74" s="206"/>
      <c r="BA74" s="206"/>
      <c r="BB74" s="206"/>
      <c r="BC74" s="206"/>
    </row>
    <row r="75" spans="1:55" s="33" customFormat="1" ht="13.5" customHeight="1">
      <c r="A75" s="206"/>
      <c r="B75" s="206"/>
      <c r="C75" s="206"/>
      <c r="D75" s="206"/>
      <c r="E75" s="206"/>
      <c r="F75" s="206"/>
      <c r="G75" s="206"/>
      <c r="H75" s="206"/>
      <c r="I75" s="206"/>
      <c r="J75" s="130"/>
      <c r="K75" s="130"/>
      <c r="L75" s="130"/>
      <c r="M75" s="130"/>
      <c r="N75" s="130"/>
      <c r="O75" s="130"/>
      <c r="P75" s="130"/>
      <c r="Q75" s="130"/>
      <c r="R75" s="206"/>
      <c r="S75" s="206"/>
      <c r="T75" s="206"/>
      <c r="U75" s="206"/>
      <c r="V75" s="207"/>
      <c r="W75" s="207"/>
      <c r="X75" s="207"/>
      <c r="Y75" s="207"/>
      <c r="Z75" s="207"/>
      <c r="AA75" s="207"/>
      <c r="AB75" s="207"/>
      <c r="AC75" s="207"/>
      <c r="AD75" s="207"/>
      <c r="AE75" s="207"/>
      <c r="AF75" s="207"/>
      <c r="AG75" s="207"/>
      <c r="AH75" s="207"/>
      <c r="AI75" s="207"/>
      <c r="AJ75" s="207"/>
      <c r="AK75" s="207"/>
      <c r="AL75" s="207"/>
      <c r="AM75" s="207"/>
      <c r="AN75" s="207"/>
      <c r="AO75" s="207"/>
      <c r="AP75" s="207"/>
      <c r="AQ75" s="207"/>
      <c r="AR75" s="207"/>
      <c r="AS75" s="207"/>
      <c r="AT75" s="206"/>
      <c r="AU75" s="206"/>
      <c r="AV75" s="206"/>
      <c r="AW75" s="206"/>
      <c r="AX75" s="206"/>
      <c r="AY75" s="206"/>
      <c r="AZ75" s="206"/>
      <c r="BA75" s="206"/>
      <c r="BB75" s="206"/>
      <c r="BC75" s="206"/>
    </row>
    <row r="76" spans="1:55" s="33" customFormat="1" ht="13.5" customHeight="1">
      <c r="A76" s="228"/>
      <c r="B76" s="206"/>
      <c r="C76" s="206"/>
      <c r="D76" s="206"/>
      <c r="E76" s="206"/>
      <c r="F76" s="206"/>
      <c r="G76" s="206"/>
      <c r="H76" s="206"/>
      <c r="I76" s="206"/>
      <c r="J76" s="229"/>
      <c r="K76" s="130"/>
      <c r="L76" s="130"/>
      <c r="M76" s="130"/>
      <c r="N76" s="130"/>
      <c r="O76" s="130"/>
      <c r="P76" s="130"/>
      <c r="Q76" s="130"/>
      <c r="R76" s="230"/>
      <c r="S76" s="206"/>
      <c r="T76" s="206"/>
      <c r="U76" s="206"/>
      <c r="V76" s="231"/>
      <c r="W76" s="207"/>
      <c r="X76" s="207"/>
      <c r="Y76" s="207"/>
      <c r="Z76" s="207"/>
      <c r="AA76" s="207"/>
      <c r="AB76" s="207"/>
      <c r="AC76" s="207"/>
      <c r="AD76" s="207"/>
      <c r="AE76" s="207"/>
      <c r="AF76" s="207"/>
      <c r="AG76" s="207"/>
      <c r="AH76" s="207"/>
      <c r="AI76" s="207"/>
      <c r="AJ76" s="207"/>
      <c r="AK76" s="207"/>
      <c r="AL76" s="207"/>
      <c r="AM76" s="207"/>
      <c r="AN76" s="207"/>
      <c r="AO76" s="207"/>
      <c r="AP76" s="207"/>
      <c r="AQ76" s="207"/>
      <c r="AR76" s="207"/>
      <c r="AS76" s="207"/>
      <c r="AT76" s="228"/>
      <c r="AU76" s="206"/>
      <c r="AV76" s="206"/>
      <c r="AW76" s="206"/>
      <c r="AX76" s="206"/>
      <c r="AY76" s="206"/>
      <c r="AZ76" s="206"/>
      <c r="BA76" s="206"/>
      <c r="BB76" s="206"/>
      <c r="BC76" s="206"/>
    </row>
    <row r="77" spans="1:55" s="33" customFormat="1" ht="13.5" customHeight="1">
      <c r="A77" s="206"/>
      <c r="B77" s="206"/>
      <c r="C77" s="206"/>
      <c r="D77" s="206"/>
      <c r="E77" s="206"/>
      <c r="F77" s="206"/>
      <c r="G77" s="206"/>
      <c r="H77" s="206"/>
      <c r="I77" s="206"/>
      <c r="J77" s="130"/>
      <c r="K77" s="130"/>
      <c r="L77" s="130"/>
      <c r="M77" s="130"/>
      <c r="N77" s="130"/>
      <c r="O77" s="130"/>
      <c r="P77" s="130"/>
      <c r="Q77" s="130"/>
      <c r="R77" s="206"/>
      <c r="S77" s="206"/>
      <c r="T77" s="206"/>
      <c r="U77" s="206"/>
      <c r="V77" s="207"/>
      <c r="W77" s="207"/>
      <c r="X77" s="207"/>
      <c r="Y77" s="207"/>
      <c r="Z77" s="207"/>
      <c r="AA77" s="207"/>
      <c r="AB77" s="207"/>
      <c r="AC77" s="207"/>
      <c r="AD77" s="207"/>
      <c r="AE77" s="207"/>
      <c r="AF77" s="207"/>
      <c r="AG77" s="207"/>
      <c r="AH77" s="207"/>
      <c r="AI77" s="207"/>
      <c r="AJ77" s="207"/>
      <c r="AK77" s="207"/>
      <c r="AL77" s="207"/>
      <c r="AM77" s="207"/>
      <c r="AN77" s="207"/>
      <c r="AO77" s="207"/>
      <c r="AP77" s="207"/>
      <c r="AQ77" s="207"/>
      <c r="AR77" s="207"/>
      <c r="AS77" s="207"/>
      <c r="AT77" s="206"/>
      <c r="AU77" s="206"/>
      <c r="AV77" s="206"/>
      <c r="AW77" s="206"/>
      <c r="AX77" s="206"/>
      <c r="AY77" s="206"/>
      <c r="AZ77" s="206"/>
      <c r="BA77" s="206"/>
      <c r="BB77" s="206"/>
      <c r="BC77" s="206"/>
    </row>
    <row r="78" spans="1:55" s="33" customFormat="1" ht="13.5" customHeight="1">
      <c r="A78" s="206"/>
      <c r="B78" s="206"/>
      <c r="C78" s="206"/>
      <c r="D78" s="206"/>
      <c r="E78" s="206"/>
      <c r="F78" s="206"/>
      <c r="G78" s="206"/>
      <c r="H78" s="206"/>
      <c r="I78" s="206"/>
      <c r="J78" s="130"/>
      <c r="K78" s="130"/>
      <c r="L78" s="130"/>
      <c r="M78" s="130"/>
      <c r="N78" s="130"/>
      <c r="O78" s="130"/>
      <c r="P78" s="130"/>
      <c r="Q78" s="130"/>
      <c r="R78" s="206"/>
      <c r="S78" s="206"/>
      <c r="T78" s="206"/>
      <c r="U78" s="206"/>
      <c r="V78" s="207"/>
      <c r="W78" s="207"/>
      <c r="X78" s="207"/>
      <c r="Y78" s="207"/>
      <c r="Z78" s="207"/>
      <c r="AA78" s="207"/>
      <c r="AB78" s="207"/>
      <c r="AC78" s="207"/>
      <c r="AD78" s="207"/>
      <c r="AE78" s="207"/>
      <c r="AF78" s="207"/>
      <c r="AG78" s="207"/>
      <c r="AH78" s="207"/>
      <c r="AI78" s="207"/>
      <c r="AJ78" s="207"/>
      <c r="AK78" s="207"/>
      <c r="AL78" s="207"/>
      <c r="AM78" s="207"/>
      <c r="AN78" s="207"/>
      <c r="AO78" s="207"/>
      <c r="AP78" s="207"/>
      <c r="AQ78" s="207"/>
      <c r="AR78" s="207"/>
      <c r="AS78" s="207"/>
      <c r="AT78" s="206"/>
      <c r="AU78" s="206"/>
      <c r="AV78" s="206"/>
      <c r="AW78" s="206"/>
      <c r="AX78" s="206"/>
      <c r="AY78" s="206"/>
      <c r="AZ78" s="206"/>
      <c r="BA78" s="206"/>
      <c r="BB78" s="206"/>
      <c r="BC78" s="206"/>
    </row>
    <row r="79" spans="1:55" s="33" customFormat="1" ht="13.5" customHeight="1">
      <c r="A79" s="228"/>
      <c r="B79" s="206"/>
      <c r="C79" s="206"/>
      <c r="D79" s="206"/>
      <c r="E79" s="206"/>
      <c r="F79" s="206"/>
      <c r="G79" s="206"/>
      <c r="H79" s="206"/>
      <c r="I79" s="206"/>
      <c r="J79" s="229"/>
      <c r="K79" s="130"/>
      <c r="L79" s="130"/>
      <c r="M79" s="130"/>
      <c r="N79" s="130"/>
      <c r="O79" s="130"/>
      <c r="P79" s="130"/>
      <c r="Q79" s="130"/>
      <c r="R79" s="230"/>
      <c r="S79" s="206"/>
      <c r="T79" s="206"/>
      <c r="U79" s="206"/>
      <c r="V79" s="231"/>
      <c r="W79" s="207"/>
      <c r="X79" s="207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  <c r="AI79" s="207"/>
      <c r="AJ79" s="207"/>
      <c r="AK79" s="207"/>
      <c r="AL79" s="207"/>
      <c r="AM79" s="207"/>
      <c r="AN79" s="207"/>
      <c r="AO79" s="207"/>
      <c r="AP79" s="207"/>
      <c r="AQ79" s="207"/>
      <c r="AR79" s="207"/>
      <c r="AS79" s="207"/>
      <c r="AT79" s="228"/>
      <c r="AU79" s="206"/>
      <c r="AV79" s="206"/>
      <c r="AW79" s="206"/>
      <c r="AX79" s="206"/>
      <c r="AY79" s="206"/>
      <c r="AZ79" s="206"/>
      <c r="BA79" s="206"/>
      <c r="BB79" s="206"/>
      <c r="BC79" s="206"/>
    </row>
    <row r="80" spans="1:55" s="33" customFormat="1" ht="13.5" customHeight="1">
      <c r="A80" s="206"/>
      <c r="B80" s="206"/>
      <c r="C80" s="206"/>
      <c r="D80" s="206"/>
      <c r="E80" s="206"/>
      <c r="F80" s="206"/>
      <c r="G80" s="206"/>
      <c r="H80" s="206"/>
      <c r="I80" s="206"/>
      <c r="J80" s="130"/>
      <c r="K80" s="130"/>
      <c r="L80" s="130"/>
      <c r="M80" s="130"/>
      <c r="N80" s="130"/>
      <c r="O80" s="130"/>
      <c r="P80" s="130"/>
      <c r="Q80" s="130"/>
      <c r="R80" s="206"/>
      <c r="S80" s="206"/>
      <c r="T80" s="206"/>
      <c r="U80" s="206"/>
      <c r="V80" s="207"/>
      <c r="W80" s="207"/>
      <c r="X80" s="207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  <c r="AI80" s="207"/>
      <c r="AJ80" s="207"/>
      <c r="AK80" s="207"/>
      <c r="AL80" s="207"/>
      <c r="AM80" s="207"/>
      <c r="AN80" s="207"/>
      <c r="AO80" s="207"/>
      <c r="AP80" s="207"/>
      <c r="AQ80" s="207"/>
      <c r="AR80" s="207"/>
      <c r="AS80" s="207"/>
      <c r="AT80" s="206"/>
      <c r="AU80" s="206"/>
      <c r="AV80" s="206"/>
      <c r="AW80" s="206"/>
      <c r="AX80" s="206"/>
      <c r="AY80" s="206"/>
      <c r="AZ80" s="206"/>
      <c r="BA80" s="206"/>
      <c r="BB80" s="206"/>
      <c r="BC80" s="206"/>
    </row>
    <row r="81" spans="1:55" s="33" customFormat="1" ht="13.5" customHeight="1">
      <c r="A81" s="206"/>
      <c r="B81" s="206"/>
      <c r="C81" s="206"/>
      <c r="D81" s="206"/>
      <c r="E81" s="206"/>
      <c r="F81" s="206"/>
      <c r="G81" s="206"/>
      <c r="H81" s="206"/>
      <c r="I81" s="206"/>
      <c r="J81" s="130"/>
      <c r="K81" s="130"/>
      <c r="L81" s="130"/>
      <c r="M81" s="130"/>
      <c r="N81" s="130"/>
      <c r="O81" s="130"/>
      <c r="P81" s="130"/>
      <c r="Q81" s="130"/>
      <c r="R81" s="206"/>
      <c r="S81" s="206"/>
      <c r="T81" s="206"/>
      <c r="U81" s="206"/>
      <c r="V81" s="207"/>
      <c r="W81" s="207"/>
      <c r="X81" s="207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  <c r="AI81" s="207"/>
      <c r="AJ81" s="207"/>
      <c r="AK81" s="207"/>
      <c r="AL81" s="207"/>
      <c r="AM81" s="207"/>
      <c r="AN81" s="207"/>
      <c r="AO81" s="207"/>
      <c r="AP81" s="207"/>
      <c r="AQ81" s="207"/>
      <c r="AR81" s="207"/>
      <c r="AS81" s="207"/>
      <c r="AT81" s="206"/>
      <c r="AU81" s="206"/>
      <c r="AV81" s="206"/>
      <c r="AW81" s="206"/>
      <c r="AX81" s="206"/>
      <c r="AY81" s="206"/>
      <c r="AZ81" s="206"/>
      <c r="BA81" s="206"/>
      <c r="BB81" s="206"/>
      <c r="BC81" s="206"/>
    </row>
    <row r="82" spans="1:55" s="33" customFormat="1" ht="13.5" customHeight="1">
      <c r="A82" s="228"/>
      <c r="B82" s="206"/>
      <c r="C82" s="206"/>
      <c r="D82" s="206"/>
      <c r="E82" s="206"/>
      <c r="F82" s="206"/>
      <c r="G82" s="206"/>
      <c r="H82" s="206"/>
      <c r="I82" s="206"/>
      <c r="J82" s="229"/>
      <c r="K82" s="130"/>
      <c r="L82" s="130"/>
      <c r="M82" s="130"/>
      <c r="N82" s="130"/>
      <c r="O82" s="130"/>
      <c r="P82" s="130"/>
      <c r="Q82" s="130"/>
      <c r="R82" s="230"/>
      <c r="S82" s="206"/>
      <c r="T82" s="206"/>
      <c r="U82" s="206"/>
      <c r="V82" s="231"/>
      <c r="W82" s="207"/>
      <c r="X82" s="207"/>
      <c r="Y82" s="207"/>
      <c r="Z82" s="207"/>
      <c r="AA82" s="207"/>
      <c r="AB82" s="207"/>
      <c r="AC82" s="207"/>
      <c r="AD82" s="207"/>
      <c r="AE82" s="207"/>
      <c r="AF82" s="207"/>
      <c r="AG82" s="207"/>
      <c r="AH82" s="207"/>
      <c r="AI82" s="207"/>
      <c r="AJ82" s="207"/>
      <c r="AK82" s="207"/>
      <c r="AL82" s="207"/>
      <c r="AM82" s="207"/>
      <c r="AN82" s="207"/>
      <c r="AO82" s="207"/>
      <c r="AP82" s="207"/>
      <c r="AQ82" s="207"/>
      <c r="AR82" s="207"/>
      <c r="AS82" s="207"/>
      <c r="AT82" s="228"/>
      <c r="AU82" s="206"/>
      <c r="AV82" s="206"/>
      <c r="AW82" s="206"/>
      <c r="AX82" s="206"/>
      <c r="AY82" s="206"/>
      <c r="AZ82" s="206"/>
      <c r="BA82" s="206"/>
      <c r="BB82" s="206"/>
      <c r="BC82" s="206"/>
    </row>
    <row r="83" spans="1:55" s="33" customFormat="1" ht="13.5" customHeight="1">
      <c r="A83" s="206"/>
      <c r="B83" s="206"/>
      <c r="C83" s="206"/>
      <c r="D83" s="206"/>
      <c r="E83" s="206"/>
      <c r="F83" s="206"/>
      <c r="G83" s="206"/>
      <c r="H83" s="206"/>
      <c r="I83" s="206"/>
      <c r="J83" s="130"/>
      <c r="K83" s="130"/>
      <c r="L83" s="130"/>
      <c r="M83" s="130"/>
      <c r="N83" s="130"/>
      <c r="O83" s="130"/>
      <c r="P83" s="130"/>
      <c r="Q83" s="130"/>
      <c r="R83" s="206"/>
      <c r="S83" s="206"/>
      <c r="T83" s="206"/>
      <c r="U83" s="206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  <c r="AI83" s="207"/>
      <c r="AJ83" s="207"/>
      <c r="AK83" s="207"/>
      <c r="AL83" s="207"/>
      <c r="AM83" s="207"/>
      <c r="AN83" s="207"/>
      <c r="AO83" s="207"/>
      <c r="AP83" s="207"/>
      <c r="AQ83" s="207"/>
      <c r="AR83" s="207"/>
      <c r="AS83" s="207"/>
      <c r="AT83" s="206"/>
      <c r="AU83" s="206"/>
      <c r="AV83" s="206"/>
      <c r="AW83" s="206"/>
      <c r="AX83" s="206"/>
      <c r="AY83" s="206"/>
      <c r="AZ83" s="206"/>
      <c r="BA83" s="206"/>
      <c r="BB83" s="206"/>
      <c r="BC83" s="206"/>
    </row>
    <row r="84" spans="1:55" s="33" customFormat="1" ht="13.5" customHeight="1">
      <c r="A84" s="206"/>
      <c r="B84" s="206"/>
      <c r="C84" s="206"/>
      <c r="D84" s="206"/>
      <c r="E84" s="206"/>
      <c r="F84" s="206"/>
      <c r="G84" s="206"/>
      <c r="H84" s="206"/>
      <c r="I84" s="206"/>
      <c r="J84" s="130"/>
      <c r="K84" s="130"/>
      <c r="L84" s="130"/>
      <c r="M84" s="130"/>
      <c r="N84" s="130"/>
      <c r="O84" s="130"/>
      <c r="P84" s="130"/>
      <c r="Q84" s="130"/>
      <c r="R84" s="206"/>
      <c r="S84" s="206"/>
      <c r="T84" s="206"/>
      <c r="U84" s="206"/>
      <c r="V84" s="207"/>
      <c r="W84" s="207"/>
      <c r="X84" s="207"/>
      <c r="Y84" s="207"/>
      <c r="Z84" s="207"/>
      <c r="AA84" s="207"/>
      <c r="AB84" s="207"/>
      <c r="AC84" s="207"/>
      <c r="AD84" s="207"/>
      <c r="AE84" s="207"/>
      <c r="AF84" s="207"/>
      <c r="AG84" s="207"/>
      <c r="AH84" s="207"/>
      <c r="AI84" s="207"/>
      <c r="AJ84" s="207"/>
      <c r="AK84" s="207"/>
      <c r="AL84" s="207"/>
      <c r="AM84" s="207"/>
      <c r="AN84" s="207"/>
      <c r="AO84" s="207"/>
      <c r="AP84" s="207"/>
      <c r="AQ84" s="207"/>
      <c r="AR84" s="207"/>
      <c r="AS84" s="207"/>
      <c r="AT84" s="206"/>
      <c r="AU84" s="206"/>
      <c r="AV84" s="206"/>
      <c r="AW84" s="206"/>
      <c r="AX84" s="206"/>
      <c r="AY84" s="206"/>
      <c r="AZ84" s="206"/>
      <c r="BA84" s="206"/>
      <c r="BB84" s="206"/>
      <c r="BC84" s="206"/>
    </row>
    <row r="85" spans="1:55" s="33" customFormat="1" ht="13.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7"/>
      <c r="M85" s="27"/>
      <c r="N85" s="27"/>
      <c r="O85" s="27"/>
      <c r="P85" s="28"/>
      <c r="Q85" s="29"/>
      <c r="R85" s="29"/>
      <c r="S85" s="29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27"/>
      <c r="AQ85" s="27"/>
      <c r="AR85" s="27"/>
      <c r="AS85" s="27"/>
      <c r="AT85" s="27"/>
      <c r="AU85" s="28"/>
      <c r="AV85" s="28"/>
      <c r="AW85" s="28"/>
      <c r="AX85" s="30"/>
      <c r="AY85" s="28"/>
      <c r="AZ85" s="28"/>
      <c r="BA85" s="30"/>
      <c r="BB85" s="30"/>
      <c r="BC85" s="26"/>
    </row>
  </sheetData>
  <mergeCells count="149">
    <mergeCell ref="A79:I81"/>
    <mergeCell ref="J79:Q81"/>
    <mergeCell ref="R79:U81"/>
    <mergeCell ref="V79:AS81"/>
    <mergeCell ref="AT79:BC81"/>
    <mergeCell ref="A82:I84"/>
    <mergeCell ref="J82:Q84"/>
    <mergeCell ref="R82:U84"/>
    <mergeCell ref="V82:AS84"/>
    <mergeCell ref="AT82:BC84"/>
    <mergeCell ref="A73:I75"/>
    <mergeCell ref="J73:Q75"/>
    <mergeCell ref="R73:U75"/>
    <mergeCell ref="V73:AS75"/>
    <mergeCell ref="AT73:BC75"/>
    <mergeCell ref="A76:I78"/>
    <mergeCell ref="J76:Q78"/>
    <mergeCell ref="R76:U78"/>
    <mergeCell ref="V76:AS78"/>
    <mergeCell ref="AT76:BC78"/>
    <mergeCell ref="A67:I69"/>
    <mergeCell ref="J67:Q69"/>
    <mergeCell ref="R67:U69"/>
    <mergeCell ref="V67:AS69"/>
    <mergeCell ref="AT67:BC69"/>
    <mergeCell ref="A70:I72"/>
    <mergeCell ref="J70:Q72"/>
    <mergeCell ref="R70:U72"/>
    <mergeCell ref="V70:AS72"/>
    <mergeCell ref="AT70:BC72"/>
    <mergeCell ref="A61:I63"/>
    <mergeCell ref="J61:Q63"/>
    <mergeCell ref="R61:U63"/>
    <mergeCell ref="V61:AS63"/>
    <mergeCell ref="AT61:BC63"/>
    <mergeCell ref="A64:I66"/>
    <mergeCell ref="J64:Q66"/>
    <mergeCell ref="R64:U66"/>
    <mergeCell ref="V64:AS66"/>
    <mergeCell ref="AT64:BC66"/>
    <mergeCell ref="A55:I57"/>
    <mergeCell ref="J55:Q57"/>
    <mergeCell ref="R55:U57"/>
    <mergeCell ref="V55:AS57"/>
    <mergeCell ref="AT55:BC57"/>
    <mergeCell ref="A58:I60"/>
    <mergeCell ref="J58:Q60"/>
    <mergeCell ref="R58:U60"/>
    <mergeCell ref="V58:AS60"/>
    <mergeCell ref="AT58:BC60"/>
    <mergeCell ref="A49:I51"/>
    <mergeCell ref="J49:Q51"/>
    <mergeCell ref="R49:U51"/>
    <mergeCell ref="V49:AS51"/>
    <mergeCell ref="AT49:BC51"/>
    <mergeCell ref="A52:I54"/>
    <mergeCell ref="J52:Q54"/>
    <mergeCell ref="R52:U54"/>
    <mergeCell ref="V52:AS54"/>
    <mergeCell ref="AT52:BC54"/>
    <mergeCell ref="A43:I45"/>
    <mergeCell ref="J43:Q45"/>
    <mergeCell ref="R43:U45"/>
    <mergeCell ref="V43:AS45"/>
    <mergeCell ref="AT43:BC45"/>
    <mergeCell ref="A46:I48"/>
    <mergeCell ref="J46:Q48"/>
    <mergeCell ref="R46:U48"/>
    <mergeCell ref="V46:AS48"/>
    <mergeCell ref="AT46:BC48"/>
    <mergeCell ref="A37:I39"/>
    <mergeCell ref="J37:Q39"/>
    <mergeCell ref="R37:U39"/>
    <mergeCell ref="V37:AS39"/>
    <mergeCell ref="AT37:BC39"/>
    <mergeCell ref="A40:I42"/>
    <mergeCell ref="J40:Q42"/>
    <mergeCell ref="R40:U42"/>
    <mergeCell ref="V40:AS42"/>
    <mergeCell ref="AT40:BC42"/>
    <mergeCell ref="A35:I36"/>
    <mergeCell ref="J35:Q36"/>
    <mergeCell ref="R35:U36"/>
    <mergeCell ref="V35:AS36"/>
    <mergeCell ref="AT35:BC36"/>
    <mergeCell ref="A29:I31"/>
    <mergeCell ref="J29:Q31"/>
    <mergeCell ref="R29:U31"/>
    <mergeCell ref="V29:AS31"/>
    <mergeCell ref="AT29:BC31"/>
    <mergeCell ref="A32:I34"/>
    <mergeCell ref="J32:Q34"/>
    <mergeCell ref="R32:U34"/>
    <mergeCell ref="V32:AS34"/>
    <mergeCell ref="AT32:BC34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Footer>&amp;P / &amp;N ページ</oddFooter>
  </headerFooter>
  <rowBreaks count="1" manualBreakCount="1">
    <brk id="60" max="5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CY66"/>
  <sheetViews>
    <sheetView showGridLines="0" view="pageBreakPreview" zoomScaleSheetLayoutView="100" workbookViewId="0">
      <selection sqref="A1:I1"/>
    </sheetView>
  </sheetViews>
  <sheetFormatPr defaultColWidth="2.625" defaultRowHeight="13.5"/>
  <cols>
    <col min="1" max="1" width="2.625" customWidth="1"/>
  </cols>
  <sheetData>
    <row r="1" spans="1:55" ht="13.5" customHeight="1">
      <c r="A1" s="98" t="s">
        <v>0</v>
      </c>
      <c r="B1" s="63"/>
      <c r="C1" s="63"/>
      <c r="D1" s="63"/>
      <c r="E1" s="63"/>
      <c r="F1" s="64"/>
      <c r="G1" s="64"/>
      <c r="H1" s="64"/>
      <c r="I1" s="99"/>
      <c r="J1" s="100" t="s">
        <v>1</v>
      </c>
      <c r="K1" s="63"/>
      <c r="L1" s="63"/>
      <c r="M1" s="63"/>
      <c r="N1" s="63"/>
      <c r="O1" s="64"/>
      <c r="P1" s="64"/>
      <c r="Q1" s="64"/>
      <c r="R1" s="101" t="str">
        <f>表紙!S12</f>
        <v>画面レイアウト設計書</v>
      </c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3"/>
      <c r="AJ1" s="104" t="s">
        <v>2</v>
      </c>
      <c r="AK1" s="105"/>
      <c r="AL1" s="105"/>
      <c r="AM1" s="105"/>
      <c r="AN1" s="105"/>
      <c r="AO1" s="106" t="s">
        <v>3</v>
      </c>
      <c r="AP1" s="105"/>
      <c r="AQ1" s="105"/>
      <c r="AR1" s="105"/>
      <c r="AS1" s="105"/>
      <c r="AT1" s="106" t="s">
        <v>4</v>
      </c>
      <c r="AU1" s="105"/>
      <c r="AV1" s="105"/>
      <c r="AW1" s="105"/>
      <c r="AX1" s="105"/>
      <c r="AY1" s="63" t="s">
        <v>5</v>
      </c>
      <c r="AZ1" s="64"/>
      <c r="BA1" s="64"/>
      <c r="BB1" s="64"/>
      <c r="BC1" s="65"/>
    </row>
    <row r="2" spans="1:55" ht="13.5" customHeight="1">
      <c r="A2" s="66" t="str">
        <f>表紙!O10</f>
        <v>13期12月対応</v>
      </c>
      <c r="B2" s="67"/>
      <c r="C2" s="67"/>
      <c r="D2" s="67"/>
      <c r="E2" s="67"/>
      <c r="F2" s="68"/>
      <c r="G2" s="68"/>
      <c r="H2" s="68"/>
      <c r="I2" s="69"/>
      <c r="J2" s="74" t="str">
        <f>表紙!O9</f>
        <v>LMS学習管理システム</v>
      </c>
      <c r="K2" s="75"/>
      <c r="L2" s="75"/>
      <c r="M2" s="75"/>
      <c r="N2" s="75"/>
      <c r="O2" s="76"/>
      <c r="P2" s="76"/>
      <c r="Q2" s="77"/>
      <c r="R2" s="82" t="str">
        <f ca="1">RIGHT(CELL("filename",A1),LEN(CELL("filename",A1))-FIND("]",CELL("filename",A1)))</f>
        <v>ユーザー登録</v>
      </c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4"/>
      <c r="AJ2" s="239" t="s">
        <v>31</v>
      </c>
      <c r="AK2" s="240"/>
      <c r="AL2" s="240"/>
      <c r="AM2" s="240"/>
      <c r="AN2" s="240"/>
      <c r="AO2" s="241">
        <v>42669</v>
      </c>
      <c r="AP2" s="240"/>
      <c r="AQ2" s="240"/>
      <c r="AR2" s="240"/>
      <c r="AS2" s="240"/>
      <c r="AT2" s="239" t="s">
        <v>86</v>
      </c>
      <c r="AU2" s="240"/>
      <c r="AV2" s="240"/>
      <c r="AW2" s="240"/>
      <c r="AX2" s="240"/>
      <c r="AY2" s="242">
        <v>43783</v>
      </c>
      <c r="AZ2" s="243"/>
      <c r="BA2" s="243"/>
      <c r="BB2" s="243"/>
      <c r="BC2" s="244"/>
    </row>
    <row r="3" spans="1:55" ht="13.5" customHeight="1" thickBot="1">
      <c r="A3" s="70"/>
      <c r="B3" s="71"/>
      <c r="C3" s="71"/>
      <c r="D3" s="71"/>
      <c r="E3" s="71"/>
      <c r="F3" s="72"/>
      <c r="G3" s="72"/>
      <c r="H3" s="72"/>
      <c r="I3" s="73"/>
      <c r="J3" s="78"/>
      <c r="K3" s="79"/>
      <c r="L3" s="79"/>
      <c r="M3" s="79"/>
      <c r="N3" s="79"/>
      <c r="O3" s="80"/>
      <c r="P3" s="80"/>
      <c r="Q3" s="81"/>
      <c r="R3" s="85"/>
      <c r="S3" s="238"/>
      <c r="T3" s="238"/>
      <c r="U3" s="238"/>
      <c r="V3" s="238"/>
      <c r="W3" s="238"/>
      <c r="X3" s="238"/>
      <c r="Y3" s="238"/>
      <c r="Z3" s="238"/>
      <c r="AA3" s="238"/>
      <c r="AB3" s="238"/>
      <c r="AC3" s="238"/>
      <c r="AD3" s="238"/>
      <c r="AE3" s="238"/>
      <c r="AF3" s="238"/>
      <c r="AG3" s="238"/>
      <c r="AH3" s="238"/>
      <c r="AI3" s="87"/>
      <c r="AJ3" s="90"/>
      <c r="AK3" s="91"/>
      <c r="AL3" s="91"/>
      <c r="AM3" s="91"/>
      <c r="AN3" s="91"/>
      <c r="AO3" s="91"/>
      <c r="AP3" s="91"/>
      <c r="AQ3" s="91"/>
      <c r="AR3" s="91"/>
      <c r="AS3" s="91"/>
      <c r="AT3" s="90"/>
      <c r="AU3" s="91"/>
      <c r="AV3" s="91"/>
      <c r="AW3" s="91"/>
      <c r="AX3" s="91"/>
      <c r="AY3" s="245"/>
      <c r="AZ3" s="245"/>
      <c r="BA3" s="245"/>
      <c r="BB3" s="245"/>
      <c r="BC3" s="97"/>
    </row>
    <row r="4" spans="1:55" ht="13.5" customHeight="1"/>
    <row r="5" spans="1:55" ht="13.5" customHeight="1">
      <c r="A5" s="35"/>
      <c r="B5" s="36" t="s">
        <v>18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</row>
    <row r="6" spans="1:55" ht="13.5" customHeight="1">
      <c r="A6" s="35"/>
      <c r="B6" s="36"/>
      <c r="C6" s="35" t="s">
        <v>48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ht="13.5" customHeight="1">
      <c r="A7" s="35"/>
      <c r="B7" s="36"/>
      <c r="C7" s="36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ht="13.5" customHeight="1">
      <c r="A8" s="35"/>
      <c r="B8" s="36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ht="13.5" customHeight="1">
      <c r="A9" s="35"/>
      <c r="B9" s="36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ht="13.5" customHeight="1">
      <c r="A10" s="35"/>
      <c r="B10" s="36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ht="13.5" customHeight="1">
      <c r="A11" s="35"/>
      <c r="B11" s="36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</row>
    <row r="12" spans="1:55" ht="13.5" customHeight="1">
      <c r="A12" s="35"/>
      <c r="B12" s="36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</row>
    <row r="13" spans="1:55" ht="13.5" customHeight="1">
      <c r="A13" s="35"/>
      <c r="B13" s="36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</row>
    <row r="14" spans="1:55" ht="13.5" customHeight="1">
      <c r="A14" s="35"/>
      <c r="B14" s="36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</row>
    <row r="15" spans="1:55" ht="13.5" customHeight="1">
      <c r="A15" s="35"/>
      <c r="B15" s="36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</row>
    <row r="16" spans="1:55" ht="13.5" customHeight="1">
      <c r="A16" s="35"/>
      <c r="B16" s="36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</row>
    <row r="17" spans="1:55" ht="13.5" customHeight="1">
      <c r="A17" s="35"/>
      <c r="B17" s="36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</row>
    <row r="18" spans="1:55" ht="13.5" customHeight="1">
      <c r="A18" s="35"/>
      <c r="B18" s="36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</row>
    <row r="19" spans="1:55" ht="13.5" customHeight="1">
      <c r="A19" s="35"/>
      <c r="B19" s="36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</row>
    <row r="20" spans="1:55" ht="13.5" customHeight="1">
      <c r="A20" s="35"/>
      <c r="B20" s="36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</row>
    <row r="21" spans="1:55" ht="13.5" customHeight="1">
      <c r="A21" s="35"/>
      <c r="B21" s="36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</row>
    <row r="22" spans="1:55" ht="13.5" customHeight="1">
      <c r="A22" s="35"/>
      <c r="B22" s="36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</row>
    <row r="23" spans="1:55" ht="13.5" customHeight="1">
      <c r="A23" s="35"/>
      <c r="B23" s="36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</row>
    <row r="24" spans="1:55" ht="13.5" customHeight="1">
      <c r="A24" s="35"/>
      <c r="B24" s="36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</row>
    <row r="25" spans="1:55" ht="13.5" customHeight="1">
      <c r="A25" s="35"/>
      <c r="B25" s="36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</row>
    <row r="26" spans="1:55" ht="13.5" customHeight="1">
      <c r="A26" s="35"/>
      <c r="B26" s="36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</row>
    <row r="27" spans="1:55" ht="13.5" customHeight="1">
      <c r="A27" s="35"/>
      <c r="B27" s="36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</row>
    <row r="28" spans="1:55" ht="13.5" customHeight="1">
      <c r="A28" s="35"/>
      <c r="B28" s="36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</row>
    <row r="29" spans="1:55" ht="13.5" customHeight="1">
      <c r="A29" s="35"/>
      <c r="B29" s="36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</row>
    <row r="30" spans="1:55" ht="13.5" customHeight="1">
      <c r="A30" s="35"/>
      <c r="B30" s="36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</row>
    <row r="31" spans="1:55" ht="12.75" customHeight="1">
      <c r="A31" s="35"/>
      <c r="B31" s="36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</row>
    <row r="32" spans="1:55" ht="13.5" customHeight="1">
      <c r="A32" s="35"/>
      <c r="B32" s="36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</row>
    <row r="33" spans="1:59" ht="13.5" customHeight="1">
      <c r="A33" s="35"/>
      <c r="B33" s="36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</row>
    <row r="34" spans="1:59" ht="13.5" customHeight="1">
      <c r="A34" s="35"/>
      <c r="B34" s="36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</row>
    <row r="35" spans="1:59" ht="13.5" customHeight="1">
      <c r="A35" s="35"/>
      <c r="B35" s="36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</row>
    <row r="36" spans="1:59" ht="13.5" customHeight="1">
      <c r="A36" s="35"/>
      <c r="B36" s="36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</row>
    <row r="37" spans="1:59" ht="13.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</row>
    <row r="38" spans="1:59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</row>
    <row r="39" spans="1:59" s="37" customFormat="1" ht="13.5" customHeight="1">
      <c r="A39" s="38"/>
      <c r="B39" s="39" t="s">
        <v>26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44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</row>
    <row r="40" spans="1:59" s="37" customFormat="1" ht="13.5" customHeight="1">
      <c r="A40" s="38"/>
      <c r="B40" s="232" t="s">
        <v>15</v>
      </c>
      <c r="C40" s="232"/>
      <c r="D40" s="246" t="s">
        <v>25</v>
      </c>
      <c r="E40" s="246"/>
      <c r="F40" s="246"/>
      <c r="G40" s="246"/>
      <c r="H40" s="246"/>
      <c r="I40" s="246"/>
      <c r="J40" s="246" t="s">
        <v>24</v>
      </c>
      <c r="K40" s="246"/>
      <c r="L40" s="246"/>
      <c r="M40" s="246"/>
      <c r="N40" s="246"/>
      <c r="O40" s="246"/>
      <c r="P40" s="246" t="s">
        <v>28</v>
      </c>
      <c r="Q40" s="246"/>
      <c r="R40" s="246"/>
      <c r="S40" s="246"/>
      <c r="T40" s="246"/>
      <c r="U40" s="246"/>
      <c r="V40" s="246" t="s">
        <v>23</v>
      </c>
      <c r="W40" s="246"/>
      <c r="X40" s="246" t="s">
        <v>22</v>
      </c>
      <c r="Y40" s="246"/>
      <c r="Z40" s="246"/>
      <c r="AA40" s="246" t="s">
        <v>21</v>
      </c>
      <c r="AB40" s="246"/>
      <c r="AC40" s="246"/>
      <c r="AD40" s="246" t="s">
        <v>20</v>
      </c>
      <c r="AE40" s="246"/>
      <c r="AF40" s="246"/>
      <c r="AG40" s="246" t="s">
        <v>29</v>
      </c>
      <c r="AH40" s="246"/>
      <c r="AI40" s="246" t="s">
        <v>19</v>
      </c>
      <c r="AJ40" s="246"/>
      <c r="AK40" s="246"/>
      <c r="AL40" s="246"/>
      <c r="AM40" s="246"/>
      <c r="AN40" s="246"/>
      <c r="AO40" s="246"/>
      <c r="AP40" s="246"/>
      <c r="AQ40" s="246"/>
      <c r="AR40" s="246" t="s">
        <v>16</v>
      </c>
      <c r="AS40" s="246"/>
      <c r="AT40" s="246"/>
      <c r="AU40" s="246"/>
      <c r="AV40" s="246"/>
      <c r="AW40" s="246"/>
      <c r="AX40" s="246"/>
      <c r="AY40" s="246"/>
      <c r="AZ40" s="246"/>
      <c r="BA40" s="246"/>
      <c r="BB40" s="41"/>
      <c r="BC40" s="41"/>
    </row>
    <row r="41" spans="1:59" s="33" customFormat="1" ht="13.5" customHeight="1">
      <c r="A41" s="38"/>
      <c r="B41" s="252">
        <v>1</v>
      </c>
      <c r="C41" s="252"/>
      <c r="D41" s="253" t="s">
        <v>43</v>
      </c>
      <c r="E41" s="253"/>
      <c r="F41" s="253"/>
      <c r="G41" s="253"/>
      <c r="H41" s="253"/>
      <c r="I41" s="253"/>
      <c r="J41" s="253" t="s">
        <v>46</v>
      </c>
      <c r="K41" s="253"/>
      <c r="L41" s="253"/>
      <c r="M41" s="253"/>
      <c r="N41" s="253"/>
      <c r="O41" s="253"/>
      <c r="P41" s="253" t="s">
        <v>44</v>
      </c>
      <c r="Q41" s="253"/>
      <c r="R41" s="253"/>
      <c r="S41" s="253"/>
      <c r="T41" s="253"/>
      <c r="U41" s="253"/>
      <c r="V41" s="252" t="s">
        <v>30</v>
      </c>
      <c r="W41" s="252"/>
      <c r="X41" s="252">
        <v>100</v>
      </c>
      <c r="Y41" s="252"/>
      <c r="Z41" s="252"/>
      <c r="AA41" s="252" t="s">
        <v>27</v>
      </c>
      <c r="AB41" s="252"/>
      <c r="AC41" s="252"/>
      <c r="AD41" s="252" t="s">
        <v>27</v>
      </c>
      <c r="AE41" s="252"/>
      <c r="AF41" s="252"/>
      <c r="AG41" s="252" t="s">
        <v>45</v>
      </c>
      <c r="AH41" s="252"/>
      <c r="AI41" s="251" t="s">
        <v>51</v>
      </c>
      <c r="AJ41" s="251"/>
      <c r="AK41" s="251"/>
      <c r="AL41" s="251"/>
      <c r="AM41" s="251"/>
      <c r="AN41" s="251"/>
      <c r="AO41" s="251"/>
      <c r="AP41" s="251"/>
      <c r="AQ41" s="251"/>
      <c r="AR41" s="251" t="s">
        <v>64</v>
      </c>
      <c r="AS41" s="251"/>
      <c r="AT41" s="251"/>
      <c r="AU41" s="251"/>
      <c r="AV41" s="251"/>
      <c r="AW41" s="251"/>
      <c r="AX41" s="251"/>
      <c r="AY41" s="251"/>
      <c r="AZ41" s="251"/>
      <c r="BA41" s="251"/>
      <c r="BB41" s="42"/>
      <c r="BC41" s="42"/>
    </row>
    <row r="42" spans="1:59" s="33" customFormat="1" ht="13.5" customHeight="1">
      <c r="A42" s="38"/>
      <c r="B42" s="252">
        <v>2</v>
      </c>
      <c r="C42" s="252"/>
      <c r="D42" s="253" t="s">
        <v>80</v>
      </c>
      <c r="E42" s="253"/>
      <c r="F42" s="253"/>
      <c r="G42" s="253"/>
      <c r="H42" s="253"/>
      <c r="I42" s="253"/>
      <c r="J42" s="253" t="s">
        <v>70</v>
      </c>
      <c r="K42" s="253"/>
      <c r="L42" s="253"/>
      <c r="M42" s="253"/>
      <c r="N42" s="253"/>
      <c r="O42" s="253"/>
      <c r="P42" s="253" t="s">
        <v>72</v>
      </c>
      <c r="Q42" s="253"/>
      <c r="R42" s="253"/>
      <c r="S42" s="253"/>
      <c r="T42" s="253"/>
      <c r="U42" s="253"/>
      <c r="V42" s="252" t="s">
        <v>78</v>
      </c>
      <c r="W42" s="252"/>
      <c r="X42" s="252">
        <v>20</v>
      </c>
      <c r="Y42" s="252"/>
      <c r="Z42" s="252"/>
      <c r="AA42" s="252" t="s">
        <v>27</v>
      </c>
      <c r="AB42" s="252"/>
      <c r="AC42" s="252"/>
      <c r="AD42" s="252" t="s">
        <v>27</v>
      </c>
      <c r="AE42" s="252"/>
      <c r="AF42" s="252"/>
      <c r="AG42" s="252" t="s">
        <v>27</v>
      </c>
      <c r="AH42" s="252"/>
      <c r="AI42" s="251" t="s">
        <v>52</v>
      </c>
      <c r="AJ42" s="251"/>
      <c r="AK42" s="251"/>
      <c r="AL42" s="251"/>
      <c r="AM42" s="251"/>
      <c r="AN42" s="251"/>
      <c r="AO42" s="251"/>
      <c r="AP42" s="251"/>
      <c r="AQ42" s="251"/>
      <c r="AR42" s="251" t="s">
        <v>64</v>
      </c>
      <c r="AS42" s="251"/>
      <c r="AT42" s="251"/>
      <c r="AU42" s="251"/>
      <c r="AV42" s="251"/>
      <c r="AW42" s="251"/>
      <c r="AX42" s="251"/>
      <c r="AY42" s="251"/>
      <c r="AZ42" s="251"/>
      <c r="BA42" s="251"/>
      <c r="BB42" s="42"/>
      <c r="BC42" s="42"/>
    </row>
    <row r="43" spans="1:59" s="33" customFormat="1" ht="13.5" customHeight="1">
      <c r="A43" s="38"/>
      <c r="B43" s="252">
        <v>3</v>
      </c>
      <c r="C43" s="252"/>
      <c r="D43" s="254" t="s">
        <v>49</v>
      </c>
      <c r="E43" s="254"/>
      <c r="F43" s="254"/>
      <c r="G43" s="254"/>
      <c r="H43" s="254"/>
      <c r="I43" s="254"/>
      <c r="J43" s="253" t="s">
        <v>53</v>
      </c>
      <c r="K43" s="253"/>
      <c r="L43" s="253"/>
      <c r="M43" s="253"/>
      <c r="N43" s="253"/>
      <c r="O43" s="253"/>
      <c r="P43" s="253" t="s">
        <v>32</v>
      </c>
      <c r="Q43" s="253"/>
      <c r="R43" s="253"/>
      <c r="S43" s="253"/>
      <c r="T43" s="253"/>
      <c r="U43" s="253"/>
      <c r="V43" s="252" t="s">
        <v>79</v>
      </c>
      <c r="W43" s="252"/>
      <c r="X43" s="252">
        <v>1000</v>
      </c>
      <c r="Y43" s="252"/>
      <c r="Z43" s="252"/>
      <c r="AA43" s="252" t="s">
        <v>27</v>
      </c>
      <c r="AB43" s="252"/>
      <c r="AC43" s="252"/>
      <c r="AD43" s="252" t="s">
        <v>27</v>
      </c>
      <c r="AE43" s="252"/>
      <c r="AF43" s="252"/>
      <c r="AG43" s="252" t="s">
        <v>45</v>
      </c>
      <c r="AH43" s="252"/>
      <c r="AI43" s="251" t="s">
        <v>50</v>
      </c>
      <c r="AJ43" s="251"/>
      <c r="AK43" s="251"/>
      <c r="AL43" s="251"/>
      <c r="AM43" s="251"/>
      <c r="AN43" s="251"/>
      <c r="AO43" s="251"/>
      <c r="AP43" s="251"/>
      <c r="AQ43" s="251"/>
      <c r="AR43" s="253" t="s">
        <v>65</v>
      </c>
      <c r="AS43" s="253"/>
      <c r="AT43" s="253"/>
      <c r="AU43" s="253"/>
      <c r="AV43" s="253"/>
      <c r="AW43" s="253"/>
      <c r="AX43" s="253"/>
      <c r="AY43" s="253"/>
      <c r="AZ43" s="253"/>
      <c r="BA43" s="253"/>
      <c r="BB43" s="42"/>
      <c r="BC43" s="42"/>
    </row>
    <row r="44" spans="1:59" s="33" customFormat="1" ht="13.5" customHeight="1">
      <c r="A44" s="38"/>
      <c r="B44" s="255"/>
      <c r="C44" s="255"/>
      <c r="D44" s="256"/>
      <c r="E44" s="256"/>
      <c r="F44" s="256"/>
      <c r="G44" s="256"/>
      <c r="H44" s="256"/>
      <c r="I44" s="256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  <c r="AI44" s="255"/>
      <c r="AJ44" s="255"/>
      <c r="AK44" s="255"/>
      <c r="AL44" s="255"/>
      <c r="AM44" s="255"/>
      <c r="AN44" s="255"/>
      <c r="AO44" s="255"/>
      <c r="AP44" s="255"/>
      <c r="AQ44" s="255"/>
      <c r="AR44" s="257"/>
      <c r="AS44" s="257"/>
      <c r="AT44" s="257"/>
      <c r="AU44" s="257"/>
      <c r="AV44" s="257"/>
      <c r="AW44" s="257"/>
      <c r="AX44" s="257"/>
      <c r="AY44" s="257"/>
      <c r="AZ44" s="257"/>
      <c r="BA44" s="257"/>
      <c r="BB44" s="42"/>
      <c r="BC44" s="42"/>
    </row>
    <row r="45" spans="1:59" s="33" customFormat="1" ht="13.5" customHeight="1">
      <c r="A45" s="38"/>
      <c r="B45" s="252">
        <v>4</v>
      </c>
      <c r="C45" s="252"/>
      <c r="D45" s="253" t="s">
        <v>42</v>
      </c>
      <c r="E45" s="253"/>
      <c r="F45" s="253"/>
      <c r="G45" s="253"/>
      <c r="H45" s="253"/>
      <c r="I45" s="253"/>
      <c r="J45" s="253" t="s">
        <v>63</v>
      </c>
      <c r="K45" s="253"/>
      <c r="L45" s="253"/>
      <c r="M45" s="253"/>
      <c r="N45" s="253"/>
      <c r="O45" s="253"/>
      <c r="P45" s="253" t="s">
        <v>47</v>
      </c>
      <c r="Q45" s="253"/>
      <c r="R45" s="253"/>
      <c r="S45" s="253"/>
      <c r="T45" s="253"/>
      <c r="U45" s="253"/>
      <c r="V45" s="252" t="s">
        <v>30</v>
      </c>
      <c r="W45" s="252"/>
      <c r="X45" s="252" t="s">
        <v>27</v>
      </c>
      <c r="Y45" s="252"/>
      <c r="Z45" s="252"/>
      <c r="AA45" s="252" t="s">
        <v>27</v>
      </c>
      <c r="AB45" s="252"/>
      <c r="AC45" s="252"/>
      <c r="AD45" s="252" t="s">
        <v>27</v>
      </c>
      <c r="AE45" s="252"/>
      <c r="AF45" s="252"/>
      <c r="AG45" s="252" t="s">
        <v>27</v>
      </c>
      <c r="AH45" s="252"/>
      <c r="AI45" s="251" t="s">
        <v>52</v>
      </c>
      <c r="AJ45" s="251"/>
      <c r="AK45" s="251"/>
      <c r="AL45" s="251"/>
      <c r="AM45" s="251"/>
      <c r="AN45" s="251"/>
      <c r="AO45" s="251"/>
      <c r="AP45" s="251"/>
      <c r="AQ45" s="251"/>
      <c r="AR45" s="253" t="s">
        <v>65</v>
      </c>
      <c r="AS45" s="253"/>
      <c r="AT45" s="253"/>
      <c r="AU45" s="253"/>
      <c r="AV45" s="253"/>
      <c r="AW45" s="253"/>
      <c r="AX45" s="253"/>
      <c r="AY45" s="253"/>
      <c r="AZ45" s="253"/>
      <c r="BA45" s="253"/>
      <c r="BB45" s="42"/>
      <c r="BC45" s="42"/>
    </row>
    <row r="46" spans="1:59" s="33" customFormat="1" ht="13.5" customHeight="1">
      <c r="A46" s="38"/>
      <c r="B46" s="258" t="s">
        <v>62</v>
      </c>
      <c r="C46" s="259"/>
      <c r="D46" s="258"/>
      <c r="E46" s="258"/>
      <c r="F46" s="258"/>
      <c r="G46" s="258"/>
      <c r="H46" s="258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60"/>
      <c r="W46" s="260"/>
      <c r="X46" s="260"/>
      <c r="Y46" s="260"/>
      <c r="Z46" s="260"/>
      <c r="AA46" s="260"/>
      <c r="AB46" s="260"/>
      <c r="AC46" s="260"/>
      <c r="AD46" s="260"/>
      <c r="AE46" s="260"/>
      <c r="AF46" s="260"/>
      <c r="AG46" s="260"/>
      <c r="AH46" s="260"/>
      <c r="AI46" s="261"/>
      <c r="AJ46" s="261"/>
      <c r="AK46" s="261"/>
      <c r="AL46" s="261"/>
      <c r="AM46" s="261"/>
      <c r="AN46" s="261"/>
      <c r="AO46" s="261"/>
      <c r="AP46" s="261"/>
      <c r="AQ46" s="261"/>
      <c r="AR46" s="259"/>
      <c r="AS46" s="259"/>
      <c r="AT46" s="259"/>
      <c r="AU46" s="259"/>
      <c r="AV46" s="259"/>
      <c r="AW46" s="259"/>
      <c r="AX46" s="259"/>
      <c r="AY46" s="259"/>
      <c r="AZ46" s="259"/>
      <c r="BA46" s="259"/>
      <c r="BB46" s="42"/>
      <c r="BC46" s="42"/>
    </row>
    <row r="47" spans="1:59" s="37" customFormat="1" ht="13.5" customHeight="1">
      <c r="A47" s="38"/>
      <c r="B47" s="259"/>
      <c r="C47" s="259"/>
      <c r="D47" s="258"/>
      <c r="E47" s="258"/>
      <c r="F47" s="258"/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60"/>
      <c r="W47" s="260"/>
      <c r="X47" s="260"/>
      <c r="Y47" s="260"/>
      <c r="Z47" s="260"/>
      <c r="AA47" s="260"/>
      <c r="AB47" s="260"/>
      <c r="AC47" s="260"/>
      <c r="AD47" s="260"/>
      <c r="AE47" s="260"/>
      <c r="AF47" s="260"/>
      <c r="AG47" s="260"/>
      <c r="AH47" s="260"/>
      <c r="AI47" s="261"/>
      <c r="AJ47" s="261"/>
      <c r="AK47" s="261"/>
      <c r="AL47" s="261"/>
      <c r="AM47" s="261"/>
      <c r="AN47" s="261"/>
      <c r="AO47" s="261"/>
      <c r="AP47" s="261"/>
      <c r="AQ47" s="261"/>
      <c r="AR47" s="259"/>
      <c r="AS47" s="259"/>
      <c r="AT47" s="259"/>
      <c r="AU47" s="259"/>
      <c r="AV47" s="259"/>
      <c r="AW47" s="259"/>
      <c r="AX47" s="259"/>
      <c r="AY47" s="259"/>
      <c r="AZ47" s="259"/>
      <c r="BA47" s="259"/>
      <c r="BB47" s="40"/>
      <c r="BC47" s="40"/>
    </row>
    <row r="48" spans="1:59" s="37" customFormat="1" ht="13.5" customHeight="1">
      <c r="A48" s="38"/>
      <c r="B48" s="262" t="s">
        <v>34</v>
      </c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  <c r="Z48" s="263"/>
      <c r="AA48" s="263"/>
      <c r="AB48" s="263"/>
      <c r="AC48" s="263"/>
      <c r="AD48" s="263"/>
      <c r="AE48" s="263"/>
      <c r="AF48" s="263"/>
      <c r="AG48" s="263"/>
      <c r="AH48" s="263"/>
      <c r="AI48" s="263"/>
      <c r="AJ48" s="263"/>
      <c r="AK48" s="263"/>
      <c r="AL48" s="263"/>
      <c r="AM48" s="263"/>
      <c r="AN48" s="263"/>
      <c r="AO48" s="263"/>
      <c r="AP48" s="263"/>
      <c r="AQ48" s="263"/>
      <c r="AR48" s="263"/>
      <c r="AS48" s="263"/>
      <c r="AT48" s="263"/>
      <c r="AU48" s="263"/>
      <c r="AV48" s="263"/>
      <c r="AW48" s="263"/>
      <c r="AX48" s="263"/>
      <c r="AY48" s="263"/>
      <c r="AZ48" s="263"/>
      <c r="BA48" s="263"/>
      <c r="BB48" s="43"/>
      <c r="BC48" s="43"/>
    </row>
    <row r="49" spans="1:103" s="37" customFormat="1" ht="13.5" customHeight="1">
      <c r="A49" s="38"/>
      <c r="B49" s="264" t="s">
        <v>15</v>
      </c>
      <c r="C49" s="264"/>
      <c r="D49" s="233" t="s">
        <v>25</v>
      </c>
      <c r="E49" s="233"/>
      <c r="F49" s="233"/>
      <c r="G49" s="233"/>
      <c r="H49" s="233"/>
      <c r="I49" s="233"/>
      <c r="J49" s="265" t="s">
        <v>74</v>
      </c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 t="s">
        <v>75</v>
      </c>
      <c r="Z49" s="265"/>
      <c r="AA49" s="265"/>
      <c r="AB49" s="265"/>
      <c r="AC49" s="265"/>
      <c r="AD49" s="265"/>
      <c r="AE49" s="265"/>
      <c r="AF49" s="265"/>
      <c r="AG49" s="265"/>
      <c r="AH49" s="265"/>
      <c r="AI49" s="265"/>
      <c r="AJ49" s="265"/>
      <c r="AK49" s="265"/>
      <c r="AL49" s="265"/>
      <c r="AM49" s="265"/>
      <c r="AN49" s="265"/>
      <c r="AO49" s="265" t="s">
        <v>76</v>
      </c>
      <c r="AP49" s="265"/>
      <c r="AQ49" s="265"/>
      <c r="AR49" s="265"/>
      <c r="AS49" s="265"/>
      <c r="AT49" s="265"/>
      <c r="AU49" s="265"/>
      <c r="AV49" s="265"/>
      <c r="AW49" s="265"/>
      <c r="AX49" s="265"/>
      <c r="AY49" s="265"/>
      <c r="AZ49" s="265"/>
      <c r="BA49" s="265"/>
      <c r="BB49" s="43"/>
      <c r="BC49" s="43"/>
    </row>
    <row r="50" spans="1:103">
      <c r="A50" s="35"/>
      <c r="B50" s="252">
        <v>1</v>
      </c>
      <c r="C50" s="252"/>
      <c r="D50" s="253" t="s">
        <v>42</v>
      </c>
      <c r="E50" s="253"/>
      <c r="F50" s="253"/>
      <c r="G50" s="253"/>
      <c r="H50" s="253"/>
      <c r="I50" s="253"/>
      <c r="J50" s="266" t="s">
        <v>77</v>
      </c>
      <c r="K50" s="266"/>
      <c r="L50" s="266"/>
      <c r="M50" s="266"/>
      <c r="N50" s="266"/>
      <c r="O50" s="266"/>
      <c r="P50" s="266"/>
      <c r="Q50" s="266"/>
      <c r="R50" s="266"/>
      <c r="S50" s="266"/>
      <c r="T50" s="266"/>
      <c r="U50" s="266"/>
      <c r="V50" s="266"/>
      <c r="W50" s="266"/>
      <c r="X50" s="266"/>
      <c r="Y50" s="251"/>
      <c r="Z50" s="251"/>
      <c r="AA50" s="251"/>
      <c r="AB50" s="251"/>
      <c r="AC50" s="251"/>
      <c r="AD50" s="251"/>
      <c r="AE50" s="251"/>
      <c r="AF50" s="251"/>
      <c r="AG50" s="251"/>
      <c r="AH50" s="251"/>
      <c r="AI50" s="251"/>
      <c r="AJ50" s="251"/>
      <c r="AK50" s="251"/>
      <c r="AL50" s="251"/>
      <c r="AM50" s="251"/>
      <c r="AN50" s="251"/>
      <c r="AO50" s="251"/>
      <c r="AP50" s="251"/>
      <c r="AQ50" s="251"/>
      <c r="AR50" s="251"/>
      <c r="AS50" s="251"/>
      <c r="AT50" s="251"/>
      <c r="AU50" s="251"/>
      <c r="AV50" s="251"/>
      <c r="AW50" s="251"/>
      <c r="AX50" s="251"/>
      <c r="AY50" s="251"/>
      <c r="AZ50" s="251"/>
      <c r="BA50" s="251"/>
      <c r="BB50" s="35"/>
      <c r="BC50" s="35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</row>
    <row r="51" spans="1:103" ht="13.5" customHeight="1">
      <c r="A51" s="35"/>
      <c r="B51" s="268">
        <v>2</v>
      </c>
      <c r="C51" s="269"/>
      <c r="D51" s="270" t="s">
        <v>94</v>
      </c>
      <c r="E51" s="271"/>
      <c r="F51" s="271"/>
      <c r="G51" s="271"/>
      <c r="H51" s="271"/>
      <c r="I51" s="272"/>
      <c r="J51" s="273" t="s">
        <v>95</v>
      </c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5"/>
      <c r="Y51" s="270" t="s">
        <v>96</v>
      </c>
      <c r="Z51" s="271"/>
      <c r="AA51" s="271"/>
      <c r="AB51" s="271"/>
      <c r="AC51" s="271"/>
      <c r="AD51" s="271"/>
      <c r="AE51" s="271"/>
      <c r="AF51" s="271"/>
      <c r="AG51" s="271"/>
      <c r="AH51" s="271"/>
      <c r="AI51" s="271"/>
      <c r="AJ51" s="271"/>
      <c r="AK51" s="271"/>
      <c r="AL51" s="271"/>
      <c r="AM51" s="271"/>
      <c r="AN51" s="272"/>
      <c r="AO51" s="270" t="s">
        <v>97</v>
      </c>
      <c r="AP51" s="271"/>
      <c r="AQ51" s="271"/>
      <c r="AR51" s="271"/>
      <c r="AS51" s="271"/>
      <c r="AT51" s="271"/>
      <c r="AU51" s="271"/>
      <c r="AV51" s="271"/>
      <c r="AW51" s="271"/>
      <c r="AX51" s="271"/>
      <c r="AY51" s="271"/>
      <c r="AZ51" s="271"/>
      <c r="BA51" s="272"/>
      <c r="BB51" s="35"/>
      <c r="BC51" s="35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44"/>
      <c r="CU51" s="44"/>
      <c r="CV51" s="44"/>
      <c r="CW51" s="44"/>
      <c r="CX51" s="44"/>
      <c r="CY51" s="44"/>
    </row>
    <row r="52" spans="1:103">
      <c r="A52" s="35"/>
      <c r="B52" s="276"/>
      <c r="C52" s="277"/>
      <c r="D52" s="278"/>
      <c r="E52" s="279"/>
      <c r="F52" s="279"/>
      <c r="G52" s="279"/>
      <c r="H52" s="279"/>
      <c r="I52" s="280"/>
      <c r="J52" s="281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2"/>
      <c r="V52" s="282"/>
      <c r="W52" s="282"/>
      <c r="X52" s="283"/>
      <c r="Y52" s="278"/>
      <c r="Z52" s="279"/>
      <c r="AA52" s="279"/>
      <c r="AB52" s="279"/>
      <c r="AC52" s="279"/>
      <c r="AD52" s="279"/>
      <c r="AE52" s="279"/>
      <c r="AF52" s="279"/>
      <c r="AG52" s="279"/>
      <c r="AH52" s="279"/>
      <c r="AI52" s="279"/>
      <c r="AJ52" s="279"/>
      <c r="AK52" s="279"/>
      <c r="AL52" s="279"/>
      <c r="AM52" s="279"/>
      <c r="AN52" s="280"/>
      <c r="AO52" s="278"/>
      <c r="AP52" s="279"/>
      <c r="AQ52" s="279"/>
      <c r="AR52" s="279"/>
      <c r="AS52" s="279"/>
      <c r="AT52" s="279"/>
      <c r="AU52" s="279"/>
      <c r="AV52" s="279"/>
      <c r="AW52" s="279"/>
      <c r="AX52" s="279"/>
      <c r="AY52" s="279"/>
      <c r="AZ52" s="279"/>
      <c r="BA52" s="280"/>
      <c r="BB52" s="35"/>
      <c r="BC52" s="35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44"/>
      <c r="CY52" s="44"/>
    </row>
    <row r="53" spans="1:103">
      <c r="A53" s="35"/>
      <c r="B53" s="258" t="s">
        <v>62</v>
      </c>
      <c r="C53" s="267"/>
      <c r="D53" s="267"/>
      <c r="E53" s="267"/>
      <c r="F53" s="267"/>
      <c r="G53" s="267"/>
      <c r="H53" s="267"/>
      <c r="I53" s="267"/>
      <c r="J53" s="267"/>
      <c r="K53" s="267"/>
      <c r="L53" s="267"/>
      <c r="M53" s="267"/>
      <c r="N53" s="267"/>
      <c r="O53" s="267"/>
      <c r="P53" s="267"/>
      <c r="Q53" s="267"/>
      <c r="R53" s="267"/>
      <c r="S53" s="267"/>
      <c r="T53" s="267"/>
      <c r="U53" s="267"/>
      <c r="V53" s="267"/>
      <c r="W53" s="267"/>
      <c r="X53" s="267"/>
      <c r="Y53" s="267"/>
      <c r="Z53" s="267"/>
      <c r="AA53" s="267"/>
      <c r="AB53" s="267"/>
      <c r="AC53" s="267"/>
      <c r="AD53" s="267"/>
      <c r="AE53" s="267"/>
      <c r="AF53" s="267"/>
      <c r="AG53" s="267"/>
      <c r="AH53" s="267"/>
      <c r="AI53" s="267"/>
      <c r="AJ53" s="267"/>
      <c r="AK53" s="267"/>
      <c r="AL53" s="267"/>
      <c r="AM53" s="267"/>
      <c r="AN53" s="267"/>
      <c r="AO53" s="267"/>
      <c r="AP53" s="267"/>
      <c r="AQ53" s="267"/>
      <c r="AR53" s="267"/>
      <c r="AS53" s="267"/>
      <c r="AT53" s="267"/>
      <c r="AU53" s="267"/>
      <c r="AV53" s="267"/>
      <c r="AW53" s="267"/>
      <c r="AX53" s="267"/>
      <c r="AY53" s="267"/>
      <c r="AZ53" s="267"/>
      <c r="BA53" s="267"/>
      <c r="BB53" s="35"/>
      <c r="BC53" s="35"/>
    </row>
    <row r="54" spans="1:103" s="37" customFormat="1" ht="13.5" customHeight="1">
      <c r="A54" s="38"/>
      <c r="B54" s="267"/>
      <c r="C54" s="267"/>
      <c r="D54" s="267"/>
      <c r="E54" s="267"/>
      <c r="F54" s="267"/>
      <c r="G54" s="267"/>
      <c r="H54" s="267"/>
      <c r="I54" s="267"/>
      <c r="J54" s="267"/>
      <c r="K54" s="267"/>
      <c r="L54" s="267"/>
      <c r="M54" s="267"/>
      <c r="N54" s="267"/>
      <c r="O54" s="267"/>
      <c r="P54" s="267"/>
      <c r="Q54" s="267"/>
      <c r="R54" s="267"/>
      <c r="S54" s="267"/>
      <c r="T54" s="267"/>
      <c r="U54" s="267"/>
      <c r="V54" s="267"/>
      <c r="W54" s="267"/>
      <c r="X54" s="267"/>
      <c r="Y54" s="267"/>
      <c r="Z54" s="267"/>
      <c r="AA54" s="267"/>
      <c r="AB54" s="267"/>
      <c r="AC54" s="267"/>
      <c r="AD54" s="267"/>
      <c r="AE54" s="267"/>
      <c r="AF54" s="267"/>
      <c r="AG54" s="267"/>
      <c r="AH54" s="267"/>
      <c r="AI54" s="267"/>
      <c r="AJ54" s="267"/>
      <c r="AK54" s="267"/>
      <c r="AL54" s="267"/>
      <c r="AM54" s="267"/>
      <c r="AN54" s="267"/>
      <c r="AO54" s="267"/>
      <c r="AP54" s="267"/>
      <c r="AQ54" s="267"/>
      <c r="AR54" s="267"/>
      <c r="AS54" s="267"/>
      <c r="AT54" s="267"/>
      <c r="AU54" s="267"/>
      <c r="AV54" s="267"/>
      <c r="AW54" s="267"/>
      <c r="AX54" s="267"/>
      <c r="AY54" s="267"/>
      <c r="AZ54" s="267"/>
      <c r="BA54" s="267"/>
      <c r="BB54" s="40"/>
      <c r="BC54" s="40"/>
    </row>
    <row r="55" spans="1:103" s="37" customFormat="1" ht="13.5" customHeight="1">
      <c r="A55" s="38"/>
      <c r="B55" s="262" t="s">
        <v>39</v>
      </c>
      <c r="C55" s="263"/>
      <c r="D55" s="263"/>
      <c r="E55" s="263"/>
      <c r="F55" s="263"/>
      <c r="G55" s="263"/>
      <c r="H55" s="263"/>
      <c r="I55" s="263"/>
      <c r="J55" s="263"/>
      <c r="K55" s="263"/>
      <c r="L55" s="263"/>
      <c r="M55" s="263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3"/>
      <c r="Y55" s="263"/>
      <c r="Z55" s="263"/>
      <c r="AA55" s="263"/>
      <c r="AB55" s="263"/>
      <c r="AC55" s="263"/>
      <c r="AD55" s="263"/>
      <c r="AE55" s="263"/>
      <c r="AF55" s="263"/>
      <c r="AG55" s="263"/>
      <c r="AH55" s="263"/>
      <c r="AI55" s="263"/>
      <c r="AJ55" s="263"/>
      <c r="AK55" s="263"/>
      <c r="AL55" s="263"/>
      <c r="AM55" s="263"/>
      <c r="AN55" s="263"/>
      <c r="AO55" s="263"/>
      <c r="AP55" s="263"/>
      <c r="AQ55" s="263"/>
      <c r="AR55" s="263"/>
      <c r="AS55" s="263"/>
      <c r="AT55" s="263"/>
      <c r="AU55" s="263"/>
      <c r="AV55" s="263"/>
      <c r="AW55" s="263"/>
      <c r="AX55" s="263"/>
      <c r="AY55" s="263"/>
      <c r="AZ55" s="263"/>
      <c r="BA55" s="263"/>
      <c r="BB55" s="45"/>
      <c r="BC55" s="40"/>
    </row>
    <row r="56" spans="1:103" s="37" customFormat="1" ht="13.5" customHeight="1">
      <c r="A56" s="38"/>
      <c r="B56" s="247" t="s">
        <v>15</v>
      </c>
      <c r="C56" s="247"/>
      <c r="D56" s="247" t="s">
        <v>35</v>
      </c>
      <c r="E56" s="247"/>
      <c r="F56" s="247"/>
      <c r="G56" s="247"/>
      <c r="H56" s="247"/>
      <c r="I56" s="247"/>
      <c r="J56" s="247"/>
      <c r="K56" s="247"/>
      <c r="L56" s="247"/>
      <c r="M56" s="247" t="s">
        <v>36</v>
      </c>
      <c r="N56" s="247"/>
      <c r="O56" s="247"/>
      <c r="P56" s="247"/>
      <c r="Q56" s="247"/>
      <c r="R56" s="247"/>
      <c r="S56" s="247"/>
      <c r="T56" s="247"/>
      <c r="U56" s="247"/>
      <c r="V56" s="247"/>
      <c r="W56" s="247" t="s">
        <v>37</v>
      </c>
      <c r="X56" s="247"/>
      <c r="Y56" s="247"/>
      <c r="Z56" s="247"/>
      <c r="AA56" s="247"/>
      <c r="AB56" s="247"/>
      <c r="AC56" s="247"/>
      <c r="AD56" s="247"/>
      <c r="AE56" s="247"/>
      <c r="AF56" s="248" t="s">
        <v>38</v>
      </c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50"/>
      <c r="BB56" s="45"/>
      <c r="BC56" s="40"/>
    </row>
    <row r="57" spans="1:103">
      <c r="A57" s="35"/>
      <c r="B57" s="234">
        <v>1</v>
      </c>
      <c r="C57" s="234"/>
      <c r="D57" s="235" t="s">
        <v>54</v>
      </c>
      <c r="E57" s="235"/>
      <c r="F57" s="235"/>
      <c r="G57" s="235"/>
      <c r="H57" s="235"/>
      <c r="I57" s="235"/>
      <c r="J57" s="235"/>
      <c r="K57" s="235"/>
      <c r="L57" s="235"/>
      <c r="M57" s="236" t="s">
        <v>55</v>
      </c>
      <c r="N57" s="236"/>
      <c r="O57" s="236"/>
      <c r="P57" s="236"/>
      <c r="Q57" s="236"/>
      <c r="R57" s="236"/>
      <c r="S57" s="236"/>
      <c r="T57" s="236"/>
      <c r="U57" s="236"/>
      <c r="V57" s="236"/>
      <c r="W57" s="236" t="s">
        <v>56</v>
      </c>
      <c r="X57" s="236"/>
      <c r="Y57" s="236"/>
      <c r="Z57" s="236"/>
      <c r="AA57" s="236"/>
      <c r="AB57" s="236"/>
      <c r="AC57" s="236"/>
      <c r="AD57" s="236"/>
      <c r="AE57" s="236"/>
      <c r="AF57" s="237"/>
      <c r="AG57" s="237"/>
      <c r="AH57" s="237"/>
      <c r="AI57" s="237"/>
      <c r="AJ57" s="237"/>
      <c r="AK57" s="237"/>
      <c r="AL57" s="237"/>
      <c r="AM57" s="237"/>
      <c r="AN57" s="237"/>
      <c r="AO57" s="237"/>
      <c r="AP57" s="237"/>
      <c r="AQ57" s="237"/>
      <c r="AR57" s="237"/>
      <c r="AS57" s="237"/>
      <c r="AT57" s="237"/>
      <c r="AU57" s="237"/>
      <c r="AV57" s="237"/>
      <c r="AW57" s="237"/>
      <c r="AX57" s="237"/>
      <c r="AY57" s="237"/>
      <c r="AZ57" s="237"/>
      <c r="BA57" s="237"/>
      <c r="BB57" s="35"/>
      <c r="BC57" s="35"/>
    </row>
    <row r="58" spans="1:103">
      <c r="A58" s="35"/>
      <c r="B58" s="234">
        <v>2</v>
      </c>
      <c r="C58" s="234"/>
      <c r="D58" s="235" t="s">
        <v>68</v>
      </c>
      <c r="E58" s="235"/>
      <c r="F58" s="235"/>
      <c r="G58" s="235"/>
      <c r="H58" s="235"/>
      <c r="I58" s="235"/>
      <c r="J58" s="235"/>
      <c r="K58" s="235"/>
      <c r="L58" s="235"/>
      <c r="M58" s="236" t="s">
        <v>71</v>
      </c>
      <c r="N58" s="236"/>
      <c r="O58" s="236"/>
      <c r="P58" s="236"/>
      <c r="Q58" s="236"/>
      <c r="R58" s="236"/>
      <c r="S58" s="236"/>
      <c r="T58" s="236"/>
      <c r="U58" s="236"/>
      <c r="V58" s="236"/>
      <c r="W58" s="236" t="s">
        <v>69</v>
      </c>
      <c r="X58" s="236"/>
      <c r="Y58" s="236"/>
      <c r="Z58" s="236"/>
      <c r="AA58" s="236"/>
      <c r="AB58" s="236"/>
      <c r="AC58" s="236"/>
      <c r="AD58" s="236"/>
      <c r="AE58" s="236"/>
      <c r="AF58" s="237"/>
      <c r="AG58" s="237"/>
      <c r="AH58" s="237"/>
      <c r="AI58" s="237"/>
      <c r="AJ58" s="237"/>
      <c r="AK58" s="237"/>
      <c r="AL58" s="237"/>
      <c r="AM58" s="237"/>
      <c r="AN58" s="237"/>
      <c r="AO58" s="237"/>
      <c r="AP58" s="237"/>
      <c r="AQ58" s="237"/>
      <c r="AR58" s="237"/>
      <c r="AS58" s="237"/>
      <c r="AT58" s="237"/>
      <c r="AU58" s="237"/>
      <c r="AV58" s="237"/>
      <c r="AW58" s="237"/>
      <c r="AX58" s="237"/>
      <c r="AY58" s="237"/>
      <c r="AZ58" s="237"/>
      <c r="BA58" s="237"/>
      <c r="BB58" s="35"/>
      <c r="BC58" s="35"/>
    </row>
    <row r="59" spans="1:103" s="37" customFormat="1" ht="13.5" customHeight="1">
      <c r="A59" s="38"/>
      <c r="B59" s="234">
        <v>3</v>
      </c>
      <c r="C59" s="234"/>
      <c r="D59" s="235" t="s">
        <v>60</v>
      </c>
      <c r="E59" s="235"/>
      <c r="F59" s="235"/>
      <c r="G59" s="235"/>
      <c r="H59" s="235"/>
      <c r="I59" s="235"/>
      <c r="J59" s="235"/>
      <c r="K59" s="235"/>
      <c r="L59" s="235"/>
      <c r="M59" s="236" t="s">
        <v>57</v>
      </c>
      <c r="N59" s="236"/>
      <c r="O59" s="236"/>
      <c r="P59" s="236"/>
      <c r="Q59" s="236"/>
      <c r="R59" s="236"/>
      <c r="S59" s="236"/>
      <c r="T59" s="236"/>
      <c r="U59" s="236"/>
      <c r="V59" s="236"/>
      <c r="W59" s="236" t="s">
        <v>58</v>
      </c>
      <c r="X59" s="236"/>
      <c r="Y59" s="236"/>
      <c r="Z59" s="236"/>
      <c r="AA59" s="236"/>
      <c r="AB59" s="236"/>
      <c r="AC59" s="236"/>
      <c r="AD59" s="236"/>
      <c r="AE59" s="236"/>
      <c r="AF59" s="237"/>
      <c r="AG59" s="237"/>
      <c r="AH59" s="237"/>
      <c r="AI59" s="237"/>
      <c r="AJ59" s="237"/>
      <c r="AK59" s="237"/>
      <c r="AL59" s="237"/>
      <c r="AM59" s="237"/>
      <c r="AN59" s="237"/>
      <c r="AO59" s="237"/>
      <c r="AP59" s="237"/>
      <c r="AQ59" s="237"/>
      <c r="AR59" s="237"/>
      <c r="AS59" s="237"/>
      <c r="AT59" s="237"/>
      <c r="AU59" s="237"/>
      <c r="AV59" s="237"/>
      <c r="AW59" s="237"/>
      <c r="AX59" s="237"/>
      <c r="AY59" s="237"/>
      <c r="AZ59" s="237"/>
      <c r="BA59" s="237"/>
      <c r="BB59" s="46"/>
      <c r="BC59" s="40"/>
    </row>
    <row r="60" spans="1:103" s="37" customFormat="1" ht="13.5" customHeight="1">
      <c r="A60" s="38"/>
      <c r="B60" s="234">
        <v>4</v>
      </c>
      <c r="C60" s="234"/>
      <c r="D60" s="235" t="s">
        <v>61</v>
      </c>
      <c r="E60" s="235"/>
      <c r="F60" s="235"/>
      <c r="G60" s="235"/>
      <c r="H60" s="235"/>
      <c r="I60" s="235"/>
      <c r="J60" s="235"/>
      <c r="K60" s="235"/>
      <c r="L60" s="235"/>
      <c r="M60" s="236" t="s">
        <v>57</v>
      </c>
      <c r="N60" s="236"/>
      <c r="O60" s="236"/>
      <c r="P60" s="236"/>
      <c r="Q60" s="236"/>
      <c r="R60" s="236"/>
      <c r="S60" s="236"/>
      <c r="T60" s="236"/>
      <c r="U60" s="236"/>
      <c r="V60" s="236"/>
      <c r="W60" s="236" t="s">
        <v>59</v>
      </c>
      <c r="X60" s="236"/>
      <c r="Y60" s="236"/>
      <c r="Z60" s="236"/>
      <c r="AA60" s="236"/>
      <c r="AB60" s="236"/>
      <c r="AC60" s="236"/>
      <c r="AD60" s="236"/>
      <c r="AE60" s="236"/>
      <c r="AF60" s="237"/>
      <c r="AG60" s="237"/>
      <c r="AH60" s="237"/>
      <c r="AI60" s="237"/>
      <c r="AJ60" s="237"/>
      <c r="AK60" s="237"/>
      <c r="AL60" s="237"/>
      <c r="AM60" s="237"/>
      <c r="AN60" s="237"/>
      <c r="AO60" s="237"/>
      <c r="AP60" s="237"/>
      <c r="AQ60" s="237"/>
      <c r="AR60" s="237"/>
      <c r="AS60" s="237"/>
      <c r="AT60" s="237"/>
      <c r="AU60" s="237"/>
      <c r="AV60" s="237"/>
      <c r="AW60" s="237"/>
      <c r="AX60" s="237"/>
      <c r="AY60" s="237"/>
      <c r="AZ60" s="237"/>
      <c r="BA60" s="237"/>
      <c r="BB60" s="46"/>
      <c r="BC60" s="40"/>
    </row>
    <row r="61" spans="1:103">
      <c r="A61" s="35"/>
      <c r="B61" s="47" t="s">
        <v>62</v>
      </c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35"/>
      <c r="BC61" s="35"/>
    </row>
    <row r="62" spans="1:103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</row>
    <row r="63" spans="1:10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</row>
    <row r="64" spans="1:103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</row>
    <row r="65" spans="1:5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</row>
    <row r="66" spans="1:55"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</row>
  </sheetData>
  <mergeCells count="109">
    <mergeCell ref="V41:W41"/>
    <mergeCell ref="X41:Z41"/>
    <mergeCell ref="AA41:AC41"/>
    <mergeCell ref="AD41:AF41"/>
    <mergeCell ref="AG41:AH41"/>
    <mergeCell ref="AI42:AQ42"/>
    <mergeCell ref="AF56:BA56"/>
    <mergeCell ref="W57:AE57"/>
    <mergeCell ref="AF57:BA57"/>
    <mergeCell ref="J51:X52"/>
    <mergeCell ref="Y51:AN52"/>
    <mergeCell ref="AO51:BA52"/>
    <mergeCell ref="AF59:BA59"/>
    <mergeCell ref="W58:AE58"/>
    <mergeCell ref="AF58:BA58"/>
    <mergeCell ref="B45:C45"/>
    <mergeCell ref="D45:I45"/>
    <mergeCell ref="J45:O45"/>
    <mergeCell ref="P45:U45"/>
    <mergeCell ref="V45:W45"/>
    <mergeCell ref="B56:C56"/>
    <mergeCell ref="D56:L56"/>
    <mergeCell ref="M56:V56"/>
    <mergeCell ref="W56:AE56"/>
    <mergeCell ref="B57:C57"/>
    <mergeCell ref="B59:C59"/>
    <mergeCell ref="Y50:AN50"/>
    <mergeCell ref="AO50:BA50"/>
    <mergeCell ref="D51:I52"/>
    <mergeCell ref="B51:C52"/>
    <mergeCell ref="AG40:AH40"/>
    <mergeCell ref="AI40:AQ40"/>
    <mergeCell ref="AR43:BA44"/>
    <mergeCell ref="B41:C41"/>
    <mergeCell ref="D41:I41"/>
    <mergeCell ref="J41:O41"/>
    <mergeCell ref="P41:U41"/>
    <mergeCell ref="X43:Z44"/>
    <mergeCell ref="AA43:AC44"/>
    <mergeCell ref="AD43:AF44"/>
    <mergeCell ref="AG43:AH44"/>
    <mergeCell ref="AI43:AQ44"/>
    <mergeCell ref="B43:C44"/>
    <mergeCell ref="D43:I44"/>
    <mergeCell ref="J43:O44"/>
    <mergeCell ref="P43:U44"/>
    <mergeCell ref="V43:W44"/>
    <mergeCell ref="AI41:AQ41"/>
    <mergeCell ref="AR42:BA42"/>
    <mergeCell ref="X42:Z42"/>
    <mergeCell ref="AA42:AC42"/>
    <mergeCell ref="AD42:AF42"/>
    <mergeCell ref="AG42:AH42"/>
    <mergeCell ref="AR41:BA41"/>
    <mergeCell ref="AF60:BA6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40:C40"/>
    <mergeCell ref="D40:I40"/>
    <mergeCell ref="J40:O40"/>
    <mergeCell ref="P40:U40"/>
    <mergeCell ref="V40:W40"/>
    <mergeCell ref="AR40:BA40"/>
    <mergeCell ref="X40:Z40"/>
    <mergeCell ref="AA40:AC40"/>
    <mergeCell ref="AD40:AF40"/>
    <mergeCell ref="B60:C60"/>
    <mergeCell ref="D60:L60"/>
    <mergeCell ref="M60:V60"/>
    <mergeCell ref="D57:L57"/>
    <mergeCell ref="M57:V57"/>
    <mergeCell ref="B58:C58"/>
    <mergeCell ref="D58:L58"/>
    <mergeCell ref="M58:V58"/>
    <mergeCell ref="B50:C50"/>
    <mergeCell ref="D50:I50"/>
    <mergeCell ref="J50:X50"/>
    <mergeCell ref="W60:AE60"/>
    <mergeCell ref="D59:L59"/>
    <mergeCell ref="M59:V59"/>
    <mergeCell ref="W59:AE59"/>
    <mergeCell ref="B42:C42"/>
    <mergeCell ref="D42:I42"/>
    <mergeCell ref="J42:O42"/>
    <mergeCell ref="P42:U42"/>
    <mergeCell ref="V42:W42"/>
    <mergeCell ref="J49:X49"/>
    <mergeCell ref="Y49:AN49"/>
    <mergeCell ref="AO49:BA49"/>
    <mergeCell ref="B49:C49"/>
    <mergeCell ref="D49:I49"/>
    <mergeCell ref="AR45:BA45"/>
    <mergeCell ref="X45:Z45"/>
    <mergeCell ref="AA45:AC45"/>
    <mergeCell ref="AD45:AF45"/>
    <mergeCell ref="AG45:AH45"/>
    <mergeCell ref="AI45:AQ45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rowBreaks count="1" manualBreakCount="1">
    <brk id="38" max="5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2A34-9B7E-4FC2-B730-D1C32285236A}">
  <sheetPr>
    <tabColor rgb="FFFF0000"/>
  </sheetPr>
  <dimension ref="A1:BG55"/>
  <sheetViews>
    <sheetView showGridLines="0" view="pageBreakPreview" zoomScaleSheetLayoutView="100" workbookViewId="0">
      <selection sqref="A1:I1"/>
    </sheetView>
  </sheetViews>
  <sheetFormatPr defaultColWidth="2.625" defaultRowHeight="13.5"/>
  <cols>
    <col min="1" max="1" width="2.625" customWidth="1"/>
  </cols>
  <sheetData>
    <row r="1" spans="1:55" ht="13.5" customHeight="1">
      <c r="A1" s="98" t="s">
        <v>0</v>
      </c>
      <c r="B1" s="63"/>
      <c r="C1" s="63"/>
      <c r="D1" s="63"/>
      <c r="E1" s="63"/>
      <c r="F1" s="64"/>
      <c r="G1" s="64"/>
      <c r="H1" s="64"/>
      <c r="I1" s="99"/>
      <c r="J1" s="100" t="s">
        <v>1</v>
      </c>
      <c r="K1" s="63"/>
      <c r="L1" s="63"/>
      <c r="M1" s="63"/>
      <c r="N1" s="63"/>
      <c r="O1" s="64"/>
      <c r="P1" s="64"/>
      <c r="Q1" s="64"/>
      <c r="R1" s="101" t="str">
        <f>表紙!S12</f>
        <v>画面レイアウト設計書</v>
      </c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3"/>
      <c r="AJ1" s="104" t="s">
        <v>2</v>
      </c>
      <c r="AK1" s="105"/>
      <c r="AL1" s="105"/>
      <c r="AM1" s="105"/>
      <c r="AN1" s="105"/>
      <c r="AO1" s="106" t="s">
        <v>3</v>
      </c>
      <c r="AP1" s="105"/>
      <c r="AQ1" s="105"/>
      <c r="AR1" s="105"/>
      <c r="AS1" s="105"/>
      <c r="AT1" s="106" t="s">
        <v>4</v>
      </c>
      <c r="AU1" s="105"/>
      <c r="AV1" s="105"/>
      <c r="AW1" s="105"/>
      <c r="AX1" s="105"/>
      <c r="AY1" s="63" t="s">
        <v>5</v>
      </c>
      <c r="AZ1" s="64"/>
      <c r="BA1" s="64"/>
      <c r="BB1" s="64"/>
      <c r="BC1" s="65"/>
    </row>
    <row r="2" spans="1:55" ht="13.5" customHeight="1">
      <c r="A2" s="66" t="str">
        <f>表紙!O10</f>
        <v>13期12月対応</v>
      </c>
      <c r="B2" s="67"/>
      <c r="C2" s="67"/>
      <c r="D2" s="67"/>
      <c r="E2" s="67"/>
      <c r="F2" s="68"/>
      <c r="G2" s="68"/>
      <c r="H2" s="68"/>
      <c r="I2" s="69"/>
      <c r="J2" s="74" t="str">
        <f>表紙!O9</f>
        <v>LMS学習管理システム</v>
      </c>
      <c r="K2" s="75"/>
      <c r="L2" s="75"/>
      <c r="M2" s="75"/>
      <c r="N2" s="75"/>
      <c r="O2" s="76"/>
      <c r="P2" s="76"/>
      <c r="Q2" s="77"/>
      <c r="R2" s="82" t="str">
        <f ca="1">RIGHT(CELL("filename",A1),LEN(CELL("filename",A1))-FIND("]",CELL("filename",A1)))</f>
        <v>ユーザー登録完了</v>
      </c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4"/>
      <c r="AJ2" s="239" t="s">
        <v>86</v>
      </c>
      <c r="AK2" s="240"/>
      <c r="AL2" s="240"/>
      <c r="AM2" s="240"/>
      <c r="AN2" s="240"/>
      <c r="AO2" s="241">
        <v>43777</v>
      </c>
      <c r="AP2" s="240"/>
      <c r="AQ2" s="240"/>
      <c r="AR2" s="240"/>
      <c r="AS2" s="240"/>
      <c r="AT2" s="239"/>
      <c r="AU2" s="240"/>
      <c r="AV2" s="240"/>
      <c r="AW2" s="240"/>
      <c r="AX2" s="240"/>
      <c r="AY2" s="242"/>
      <c r="AZ2" s="243"/>
      <c r="BA2" s="243"/>
      <c r="BB2" s="243"/>
      <c r="BC2" s="244"/>
    </row>
    <row r="3" spans="1:55" ht="13.5" customHeight="1" thickBot="1">
      <c r="A3" s="70"/>
      <c r="B3" s="71"/>
      <c r="C3" s="71"/>
      <c r="D3" s="71"/>
      <c r="E3" s="71"/>
      <c r="F3" s="72"/>
      <c r="G3" s="72"/>
      <c r="H3" s="72"/>
      <c r="I3" s="73"/>
      <c r="J3" s="78"/>
      <c r="K3" s="79"/>
      <c r="L3" s="79"/>
      <c r="M3" s="79"/>
      <c r="N3" s="79"/>
      <c r="O3" s="80"/>
      <c r="P3" s="80"/>
      <c r="Q3" s="81"/>
      <c r="R3" s="85"/>
      <c r="S3" s="238"/>
      <c r="T3" s="238"/>
      <c r="U3" s="238"/>
      <c r="V3" s="238"/>
      <c r="W3" s="238"/>
      <c r="X3" s="238"/>
      <c r="Y3" s="238"/>
      <c r="Z3" s="238"/>
      <c r="AA3" s="238"/>
      <c r="AB3" s="238"/>
      <c r="AC3" s="238"/>
      <c r="AD3" s="238"/>
      <c r="AE3" s="238"/>
      <c r="AF3" s="238"/>
      <c r="AG3" s="238"/>
      <c r="AH3" s="238"/>
      <c r="AI3" s="87"/>
      <c r="AJ3" s="90"/>
      <c r="AK3" s="91"/>
      <c r="AL3" s="91"/>
      <c r="AM3" s="91"/>
      <c r="AN3" s="91"/>
      <c r="AO3" s="91"/>
      <c r="AP3" s="91"/>
      <c r="AQ3" s="91"/>
      <c r="AR3" s="91"/>
      <c r="AS3" s="91"/>
      <c r="AT3" s="90"/>
      <c r="AU3" s="91"/>
      <c r="AV3" s="91"/>
      <c r="AW3" s="91"/>
      <c r="AX3" s="91"/>
      <c r="AY3" s="245"/>
      <c r="AZ3" s="245"/>
      <c r="BA3" s="245"/>
      <c r="BB3" s="245"/>
      <c r="BC3" s="97"/>
    </row>
    <row r="4" spans="1:55" ht="13.5" customHeight="1"/>
    <row r="5" spans="1:55" ht="13.5" customHeight="1">
      <c r="A5" s="35"/>
      <c r="B5" s="36" t="s">
        <v>18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</row>
    <row r="6" spans="1:55" ht="13.5" customHeight="1">
      <c r="A6" s="35"/>
      <c r="B6" s="36"/>
      <c r="C6" s="35" t="s">
        <v>48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ht="13.5" customHeight="1">
      <c r="A7" s="35"/>
      <c r="B7" s="36"/>
      <c r="C7" s="49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35"/>
    </row>
    <row r="8" spans="1:55" ht="13.5" customHeight="1">
      <c r="A8" s="35"/>
      <c r="B8" s="36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35"/>
    </row>
    <row r="9" spans="1:55" ht="13.5" customHeight="1">
      <c r="A9" s="35"/>
      <c r="B9" s="36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35"/>
    </row>
    <row r="10" spans="1:55" ht="13.5" customHeight="1">
      <c r="A10" s="35"/>
      <c r="B10" s="36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35"/>
    </row>
    <row r="11" spans="1:55" ht="13.5" customHeight="1">
      <c r="A11" s="35"/>
      <c r="B11" s="36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35"/>
    </row>
    <row r="12" spans="1:55" ht="13.5" customHeight="1">
      <c r="A12" s="35"/>
      <c r="B12" s="36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35"/>
    </row>
    <row r="13" spans="1:55" ht="13.5" customHeight="1">
      <c r="A13" s="35"/>
      <c r="B13" s="36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35"/>
    </row>
    <row r="14" spans="1:55" ht="13.5" customHeight="1">
      <c r="A14" s="35"/>
      <c r="B14" s="36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35"/>
    </row>
    <row r="15" spans="1:55" ht="13.5" customHeight="1">
      <c r="A15" s="35"/>
      <c r="B15" s="36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35"/>
    </row>
    <row r="16" spans="1:55" ht="13.5" customHeight="1">
      <c r="A16" s="35"/>
      <c r="B16" s="36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35"/>
    </row>
    <row r="17" spans="1:55" ht="13.5" customHeight="1">
      <c r="A17" s="35"/>
      <c r="B17" s="36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35"/>
    </row>
    <row r="18" spans="1:55" ht="13.5" customHeight="1">
      <c r="A18" s="35"/>
      <c r="B18" s="36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35"/>
    </row>
    <row r="19" spans="1:55" ht="13.5" customHeight="1">
      <c r="A19" s="35"/>
      <c r="B19" s="36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35"/>
    </row>
    <row r="20" spans="1:55" ht="13.5" customHeight="1">
      <c r="A20" s="35"/>
      <c r="B20" s="36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35"/>
    </row>
    <row r="21" spans="1:55" ht="13.5" customHeight="1">
      <c r="A21" s="35"/>
      <c r="B21" s="36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35"/>
    </row>
    <row r="22" spans="1:55" ht="13.5" customHeight="1">
      <c r="A22" s="35"/>
      <c r="B22" s="36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35"/>
    </row>
    <row r="23" spans="1:55" ht="13.5" customHeight="1">
      <c r="A23" s="35"/>
      <c r="B23" s="36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35"/>
    </row>
    <row r="24" spans="1:55" ht="13.5" customHeight="1">
      <c r="A24" s="35"/>
      <c r="B24" s="36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35"/>
    </row>
    <row r="25" spans="1:55" ht="13.5" customHeight="1">
      <c r="A25" s="35"/>
      <c r="B25" s="36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35"/>
    </row>
    <row r="26" spans="1:55" ht="13.5" customHeight="1">
      <c r="A26" s="35"/>
      <c r="B26" s="36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35"/>
    </row>
    <row r="27" spans="1:55" ht="13.5" customHeight="1">
      <c r="A27" s="35"/>
      <c r="B27" s="36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35"/>
    </row>
    <row r="28" spans="1:55" ht="13.5" customHeight="1">
      <c r="A28" s="35"/>
      <c r="B28" s="36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35"/>
    </row>
    <row r="29" spans="1:55" ht="13.5" customHeight="1">
      <c r="A29" s="35"/>
      <c r="B29" s="36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35"/>
    </row>
    <row r="30" spans="1:55" ht="13.5" customHeight="1">
      <c r="A30" s="35"/>
      <c r="B30" s="36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35"/>
    </row>
    <row r="31" spans="1:55" ht="12.75" customHeight="1">
      <c r="A31" s="35"/>
      <c r="B31" s="36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35"/>
    </row>
    <row r="32" spans="1:55" ht="13.5" customHeight="1">
      <c r="A32" s="35"/>
      <c r="B32" s="36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35"/>
    </row>
    <row r="33" spans="1:59" ht="13.5" customHeight="1">
      <c r="A33" s="35"/>
      <c r="B33" s="36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35"/>
    </row>
    <row r="34" spans="1:59" ht="13.5" customHeight="1">
      <c r="A34" s="35"/>
      <c r="B34" s="36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35"/>
    </row>
    <row r="35" spans="1:59" ht="13.5" customHeight="1">
      <c r="A35" s="35"/>
      <c r="B35" s="36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35"/>
    </row>
    <row r="36" spans="1:59" ht="13.5" customHeight="1">
      <c r="A36" s="35"/>
      <c r="B36" s="36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35"/>
    </row>
    <row r="37" spans="1:59" ht="13.5" customHeight="1">
      <c r="A37" s="35"/>
      <c r="B37" s="36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35"/>
    </row>
    <row r="38" spans="1:59">
      <c r="A38" s="35"/>
      <c r="B38" s="36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35"/>
    </row>
    <row r="39" spans="1:59" s="37" customFormat="1" ht="13.5" customHeight="1">
      <c r="A39" s="35"/>
      <c r="B39" s="36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35"/>
      <c r="BD39" s="38"/>
      <c r="BE39" s="38"/>
      <c r="BF39" s="38"/>
      <c r="BG39" s="38"/>
    </row>
    <row r="40" spans="1:59" s="37" customFormat="1" ht="13.5" customHeight="1">
      <c r="A40" s="35"/>
      <c r="B40" s="36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35"/>
    </row>
    <row r="41" spans="1:59" s="33" customFormat="1" ht="13.5" customHeight="1">
      <c r="A41" s="35"/>
      <c r="B41" s="36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35"/>
    </row>
    <row r="42" spans="1:59" s="33" customFormat="1" ht="13.5" customHeight="1">
      <c r="A42" s="35"/>
      <c r="B42" s="36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35"/>
    </row>
    <row r="43" spans="1:59" s="33" customFormat="1" ht="13.5" customHeight="1">
      <c r="A43" s="35"/>
      <c r="B43" s="36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35"/>
    </row>
    <row r="44" spans="1:59" s="33" customFormat="1" ht="13.5" customHeight="1">
      <c r="A44" s="35"/>
      <c r="B44" s="36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35"/>
    </row>
    <row r="45" spans="1:59" s="33" customFormat="1" ht="13.5" customHeight="1">
      <c r="A45" s="35"/>
      <c r="B45" s="36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35"/>
    </row>
    <row r="46" spans="1:59" s="33" customFormat="1" ht="13.5" customHeight="1">
      <c r="A46" s="35"/>
      <c r="B46" s="36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</row>
    <row r="47" spans="1:59">
      <c r="A47" s="38"/>
      <c r="B47" s="39" t="s">
        <v>26</v>
      </c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44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</row>
    <row r="48" spans="1:59">
      <c r="A48" s="38"/>
      <c r="B48" s="232" t="s">
        <v>15</v>
      </c>
      <c r="C48" s="232"/>
      <c r="D48" s="246" t="s">
        <v>25</v>
      </c>
      <c r="E48" s="246"/>
      <c r="F48" s="246"/>
      <c r="G48" s="246"/>
      <c r="H48" s="246"/>
      <c r="I48" s="246"/>
      <c r="J48" s="246" t="s">
        <v>24</v>
      </c>
      <c r="K48" s="246"/>
      <c r="L48" s="246"/>
      <c r="M48" s="246"/>
      <c r="N48" s="246"/>
      <c r="O48" s="246"/>
      <c r="P48" s="246" t="s">
        <v>28</v>
      </c>
      <c r="Q48" s="246"/>
      <c r="R48" s="246"/>
      <c r="S48" s="246"/>
      <c r="T48" s="246"/>
      <c r="U48" s="246"/>
      <c r="V48" s="246" t="s">
        <v>23</v>
      </c>
      <c r="W48" s="246"/>
      <c r="X48" s="246" t="s">
        <v>22</v>
      </c>
      <c r="Y48" s="246"/>
      <c r="Z48" s="246"/>
      <c r="AA48" s="246" t="s">
        <v>21</v>
      </c>
      <c r="AB48" s="246"/>
      <c r="AC48" s="246"/>
      <c r="AD48" s="246" t="s">
        <v>20</v>
      </c>
      <c r="AE48" s="246"/>
      <c r="AF48" s="246"/>
      <c r="AG48" s="246" t="s">
        <v>29</v>
      </c>
      <c r="AH48" s="246"/>
      <c r="AI48" s="246" t="s">
        <v>19</v>
      </c>
      <c r="AJ48" s="246"/>
      <c r="AK48" s="246"/>
      <c r="AL48" s="246"/>
      <c r="AM48" s="246"/>
      <c r="AN48" s="246"/>
      <c r="AO48" s="246"/>
      <c r="AP48" s="246"/>
      <c r="AQ48" s="246"/>
      <c r="AR48" s="246" t="s">
        <v>16</v>
      </c>
      <c r="AS48" s="246"/>
      <c r="AT48" s="246"/>
      <c r="AU48" s="246"/>
      <c r="AV48" s="246"/>
      <c r="AW48" s="246"/>
      <c r="AX48" s="246"/>
      <c r="AY48" s="246"/>
      <c r="AZ48" s="246"/>
      <c r="BA48" s="246"/>
      <c r="BB48" s="41"/>
      <c r="BC48" s="41"/>
    </row>
    <row r="49" spans="1:55">
      <c r="A49" s="38"/>
      <c r="B49" s="252">
        <v>1</v>
      </c>
      <c r="C49" s="252"/>
      <c r="D49" s="253" t="s">
        <v>87</v>
      </c>
      <c r="E49" s="253"/>
      <c r="F49" s="253"/>
      <c r="G49" s="253"/>
      <c r="H49" s="253"/>
      <c r="I49" s="253"/>
      <c r="J49" s="253" t="s">
        <v>27</v>
      </c>
      <c r="K49" s="253"/>
      <c r="L49" s="253"/>
      <c r="M49" s="253"/>
      <c r="N49" s="253"/>
      <c r="O49" s="253"/>
      <c r="P49" s="253" t="s">
        <v>88</v>
      </c>
      <c r="Q49" s="253"/>
      <c r="R49" s="253"/>
      <c r="S49" s="253"/>
      <c r="T49" s="253"/>
      <c r="U49" s="253"/>
      <c r="V49" s="252" t="s">
        <v>27</v>
      </c>
      <c r="W49" s="252"/>
      <c r="X49" s="252" t="s">
        <v>27</v>
      </c>
      <c r="Y49" s="252"/>
      <c r="Z49" s="252"/>
      <c r="AA49" s="252" t="s">
        <v>27</v>
      </c>
      <c r="AB49" s="252"/>
      <c r="AC49" s="252"/>
      <c r="AD49" s="252" t="s">
        <v>27</v>
      </c>
      <c r="AE49" s="252"/>
      <c r="AF49" s="252"/>
      <c r="AG49" s="252" t="s">
        <v>27</v>
      </c>
      <c r="AH49" s="252"/>
      <c r="AI49" s="251" t="s">
        <v>89</v>
      </c>
      <c r="AJ49" s="251"/>
      <c r="AK49" s="251"/>
      <c r="AL49" s="251"/>
      <c r="AM49" s="251"/>
      <c r="AN49" s="251"/>
      <c r="AO49" s="251"/>
      <c r="AP49" s="251"/>
      <c r="AQ49" s="251"/>
      <c r="AR49" s="251"/>
      <c r="AS49" s="251"/>
      <c r="AT49" s="251"/>
      <c r="AU49" s="251"/>
      <c r="AV49" s="251"/>
      <c r="AW49" s="251"/>
      <c r="AX49" s="251"/>
      <c r="AY49" s="251"/>
      <c r="AZ49" s="251"/>
      <c r="BA49" s="251"/>
      <c r="BB49" s="42"/>
      <c r="BC49" s="42"/>
    </row>
    <row r="50" spans="1:55">
      <c r="A50" s="38"/>
      <c r="B50" s="252">
        <v>2</v>
      </c>
      <c r="C50" s="252"/>
      <c r="D50" s="253" t="s">
        <v>90</v>
      </c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 t="s">
        <v>93</v>
      </c>
      <c r="Q50" s="253"/>
      <c r="R50" s="253"/>
      <c r="S50" s="253"/>
      <c r="T50" s="253"/>
      <c r="U50" s="253"/>
      <c r="V50" s="252" t="s">
        <v>30</v>
      </c>
      <c r="W50" s="252"/>
      <c r="X50" s="252" t="s">
        <v>27</v>
      </c>
      <c r="Y50" s="252"/>
      <c r="Z50" s="252"/>
      <c r="AA50" s="252" t="s">
        <v>27</v>
      </c>
      <c r="AB50" s="252"/>
      <c r="AC50" s="252"/>
      <c r="AD50" s="252" t="s">
        <v>27</v>
      </c>
      <c r="AE50" s="252"/>
      <c r="AF50" s="252"/>
      <c r="AG50" s="252" t="s">
        <v>27</v>
      </c>
      <c r="AH50" s="252"/>
      <c r="AI50" s="251"/>
      <c r="AJ50" s="251"/>
      <c r="AK50" s="251"/>
      <c r="AL50" s="251"/>
      <c r="AM50" s="251"/>
      <c r="AN50" s="251"/>
      <c r="AO50" s="251"/>
      <c r="AP50" s="251"/>
      <c r="AQ50" s="251"/>
      <c r="AR50" s="251"/>
      <c r="AS50" s="251"/>
      <c r="AT50" s="251"/>
      <c r="AU50" s="251"/>
      <c r="AV50" s="251"/>
      <c r="AW50" s="251"/>
      <c r="AX50" s="251"/>
      <c r="AY50" s="251"/>
      <c r="AZ50" s="251"/>
      <c r="BA50" s="251"/>
      <c r="BB50" s="42"/>
      <c r="BC50" s="42"/>
    </row>
    <row r="51" spans="1:55">
      <c r="A51" s="38"/>
      <c r="B51" s="252">
        <v>3</v>
      </c>
      <c r="C51" s="252"/>
      <c r="D51" s="253" t="s">
        <v>91</v>
      </c>
      <c r="E51" s="253"/>
      <c r="F51" s="253"/>
      <c r="G51" s="253"/>
      <c r="H51" s="253"/>
      <c r="I51" s="253"/>
      <c r="J51" s="253"/>
      <c r="K51" s="253"/>
      <c r="L51" s="253"/>
      <c r="M51" s="253"/>
      <c r="N51" s="253"/>
      <c r="O51" s="253"/>
      <c r="P51" s="253" t="s">
        <v>93</v>
      </c>
      <c r="Q51" s="253"/>
      <c r="R51" s="253"/>
      <c r="S51" s="253"/>
      <c r="T51" s="253"/>
      <c r="U51" s="253"/>
      <c r="V51" s="252" t="s">
        <v>30</v>
      </c>
      <c r="W51" s="252"/>
      <c r="X51" s="252" t="s">
        <v>27</v>
      </c>
      <c r="Y51" s="252"/>
      <c r="Z51" s="252"/>
      <c r="AA51" s="252" t="s">
        <v>27</v>
      </c>
      <c r="AB51" s="252"/>
      <c r="AC51" s="252"/>
      <c r="AD51" s="252" t="s">
        <v>27</v>
      </c>
      <c r="AE51" s="252"/>
      <c r="AF51" s="252"/>
      <c r="AG51" s="252" t="s">
        <v>27</v>
      </c>
      <c r="AH51" s="252"/>
      <c r="AI51" s="251"/>
      <c r="AJ51" s="251"/>
      <c r="AK51" s="251"/>
      <c r="AL51" s="251"/>
      <c r="AM51" s="251"/>
      <c r="AN51" s="251"/>
      <c r="AO51" s="251"/>
      <c r="AP51" s="251"/>
      <c r="AQ51" s="251"/>
      <c r="AR51" s="251"/>
      <c r="AS51" s="251"/>
      <c r="AT51" s="251"/>
      <c r="AU51" s="251"/>
      <c r="AV51" s="251"/>
      <c r="AW51" s="251"/>
      <c r="AX51" s="251"/>
      <c r="AY51" s="251"/>
      <c r="AZ51" s="251"/>
      <c r="BA51" s="251"/>
      <c r="BB51" s="42"/>
      <c r="BC51" s="42"/>
    </row>
    <row r="52" spans="1:55">
      <c r="A52" s="38"/>
      <c r="B52" s="252">
        <v>4</v>
      </c>
      <c r="C52" s="252"/>
      <c r="D52" s="253" t="s">
        <v>92</v>
      </c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3"/>
      <c r="P52" s="253" t="s">
        <v>93</v>
      </c>
      <c r="Q52" s="253"/>
      <c r="R52" s="253"/>
      <c r="S52" s="253"/>
      <c r="T52" s="253"/>
      <c r="U52" s="253"/>
      <c r="V52" s="252" t="s">
        <v>30</v>
      </c>
      <c r="W52" s="252"/>
      <c r="X52" s="252" t="s">
        <v>27</v>
      </c>
      <c r="Y52" s="252"/>
      <c r="Z52" s="252"/>
      <c r="AA52" s="252" t="s">
        <v>27</v>
      </c>
      <c r="AB52" s="252"/>
      <c r="AC52" s="252"/>
      <c r="AD52" s="252" t="s">
        <v>27</v>
      </c>
      <c r="AE52" s="252"/>
      <c r="AF52" s="252"/>
      <c r="AG52" s="252" t="s">
        <v>27</v>
      </c>
      <c r="AH52" s="252"/>
      <c r="AI52" s="251"/>
      <c r="AJ52" s="251"/>
      <c r="AK52" s="251"/>
      <c r="AL52" s="251"/>
      <c r="AM52" s="251"/>
      <c r="AN52" s="251"/>
      <c r="AO52" s="251"/>
      <c r="AP52" s="251"/>
      <c r="AQ52" s="251"/>
      <c r="AR52" s="251"/>
      <c r="AS52" s="251"/>
      <c r="AT52" s="251"/>
      <c r="AU52" s="251"/>
      <c r="AV52" s="251"/>
      <c r="AW52" s="251"/>
      <c r="AX52" s="251"/>
      <c r="AY52" s="251"/>
      <c r="AZ52" s="251"/>
      <c r="BA52" s="251"/>
      <c r="BB52" s="42"/>
      <c r="BC52" s="42"/>
    </row>
    <row r="53" spans="1:5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</row>
    <row r="54" spans="1:5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</row>
    <row r="55" spans="1:55"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</row>
  </sheetData>
  <mergeCells count="69">
    <mergeCell ref="X48:Z48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48:C48"/>
    <mergeCell ref="D48:I48"/>
    <mergeCell ref="J48:O48"/>
    <mergeCell ref="P48:U48"/>
    <mergeCell ref="V48:W48"/>
    <mergeCell ref="B49:C49"/>
    <mergeCell ref="D49:I49"/>
    <mergeCell ref="J49:O49"/>
    <mergeCell ref="P49:U49"/>
    <mergeCell ref="V49:W49"/>
    <mergeCell ref="AR49:BA49"/>
    <mergeCell ref="AA48:AC48"/>
    <mergeCell ref="AD48:AF48"/>
    <mergeCell ref="AG48:AH48"/>
    <mergeCell ref="AI48:AQ48"/>
    <mergeCell ref="AR48:BA48"/>
    <mergeCell ref="X49:Z49"/>
    <mergeCell ref="AA49:AC49"/>
    <mergeCell ref="AD49:AF49"/>
    <mergeCell ref="AG49:AH49"/>
    <mergeCell ref="AI49:AQ49"/>
    <mergeCell ref="AR50:BA50"/>
    <mergeCell ref="B50:C50"/>
    <mergeCell ref="D50:I50"/>
    <mergeCell ref="J50:O50"/>
    <mergeCell ref="P50:U50"/>
    <mergeCell ref="V50:W50"/>
    <mergeCell ref="X50:Z50"/>
    <mergeCell ref="AI51:AQ51"/>
    <mergeCell ref="AA50:AC50"/>
    <mergeCell ref="AD50:AF50"/>
    <mergeCell ref="AG50:AH50"/>
    <mergeCell ref="AI50:AQ50"/>
    <mergeCell ref="V51:W51"/>
    <mergeCell ref="X51:Z51"/>
    <mergeCell ref="AA51:AC51"/>
    <mergeCell ref="AD51:AF51"/>
    <mergeCell ref="AG51:AH51"/>
    <mergeCell ref="AI52:AQ52"/>
    <mergeCell ref="AR52:BA52"/>
    <mergeCell ref="AR51:BA51"/>
    <mergeCell ref="B52:C52"/>
    <mergeCell ref="D52:I52"/>
    <mergeCell ref="J52:O52"/>
    <mergeCell ref="P52:U52"/>
    <mergeCell ref="V52:W52"/>
    <mergeCell ref="X52:Z52"/>
    <mergeCell ref="AA52:AC52"/>
    <mergeCell ref="AD52:AF52"/>
    <mergeCell ref="AG52:AH52"/>
    <mergeCell ref="B51:C51"/>
    <mergeCell ref="D51:I51"/>
    <mergeCell ref="J51:O51"/>
    <mergeCell ref="P51:U51"/>
  </mergeCells>
  <phoneticPr fontId="1"/>
  <pageMargins left="0.23622047244094491" right="0.23622047244094491" top="0.74803149606299213" bottom="0.74803149606299213" header="0.31496062992125984" footer="0.31496062992125984"/>
  <pageSetup paperSize="9" scale="79" orientation="landscape" r:id="rId1"/>
  <headerFooter>
    <oddFooter>&amp;C&amp;8&amp;P / &amp;N ページ</oddFooter>
  </headerFooter>
  <rowBreaks count="1" manualBreakCount="1">
    <brk id="46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5</vt:i4>
      </vt:variant>
    </vt:vector>
  </HeadingPairs>
  <TitlesOfParts>
    <vt:vector size="9" baseType="lpstr">
      <vt:lpstr>表紙</vt:lpstr>
      <vt:lpstr>更新履歴</vt:lpstr>
      <vt:lpstr>ユーザー登録</vt:lpstr>
      <vt:lpstr>ユーザー登録完了</vt:lpstr>
      <vt:lpstr>ユーザー登録!Print_Area</vt:lpstr>
      <vt:lpstr>ユーザー登録完了!Print_Area</vt:lpstr>
      <vt:lpstr>更新履歴!Print_Area</vt:lpstr>
      <vt:lpstr>ユーザー登録!Print_Titles</vt:lpstr>
      <vt:lpstr>ユーザー登録完了!Print_Titles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2019-11-14T01:09:00Z</dcterms:modified>
</cp:coreProperties>
</file>