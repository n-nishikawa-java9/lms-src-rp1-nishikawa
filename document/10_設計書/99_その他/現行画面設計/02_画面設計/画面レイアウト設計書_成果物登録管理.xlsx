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defaultThemeVersion="124226"/>
  <xr:revisionPtr revIDLastSave="0" documentId="13_ncr:1_{55FA3147-9360-47C6-A712-5FB43F768589}" xr6:coauthVersionLast="45" xr6:coauthVersionMax="45" xr10:uidLastSave="{00000000-0000-0000-0000-000000000000}"/>
  <bookViews>
    <workbookView showHorizontalScroll="0" showVerticalScroll="0" showSheetTabs="0" xWindow="-108" yWindow="-108" windowWidth="23256" windowHeight="12576" tabRatio="807" activeTab="2" xr2:uid="{00000000-000D-0000-FFFF-FFFF00000000}"/>
  </bookViews>
  <sheets>
    <sheet name="表紙" sheetId="4" r:id="rId1"/>
    <sheet name="更新履歴" sheetId="5" r:id="rId2"/>
    <sheet name="成果物登録管理画面（管理者権限）" sheetId="49" r:id="rId3"/>
  </sheets>
  <externalReferences>
    <externalReference r:id="rId4"/>
    <externalReference r:id="rId5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更新履歴!$A$1:$BC$32</definedName>
    <definedName name="_xlnm.Print_Area" localSheetId="2">'成果物登録管理画面（管理者権限）'!$A$1:$BF$59</definedName>
    <definedName name="_xlnm.Print_Titles" localSheetId="2">'成果物登録管理画面（管理者権限）'!$1:$4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7" i="4" l="1"/>
  <c r="X17" i="4"/>
  <c r="J2" i="49" l="1"/>
  <c r="A2" i="49"/>
  <c r="J2" i="5"/>
  <c r="A2" i="5"/>
  <c r="R2" i="49" l="1"/>
  <c r="R1" i="49"/>
  <c r="R1" i="5"/>
</calcChain>
</file>

<file path=xl/sharedStrings.xml><?xml version="1.0" encoding="utf-8"?>
<sst xmlns="http://schemas.openxmlformats.org/spreadsheetml/2006/main" count="120" uniqueCount="72">
  <si>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</si>
  <si>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</si>
  <si>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</si>
  <si>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</si>
  <si>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</si>
  <si>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</si>
  <si>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</si>
  <si>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</si>
  <si>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</si>
  <si>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</si>
  <si>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</si>
  <si>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</si>
  <si>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</si>
  <si>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</si>
  <si>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</si>
  <si>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</si>
  <si>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</si>
  <si>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</si>
  <si>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</si>
  <si>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</si>
  <si>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</si>
  <si>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</si>
  <si>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</si>
  <si>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</si>
  <si>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</si>
  <si>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</si>
  <si>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</si>
  <si>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</si>
  <si>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</si>
  <si>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</si>
  <si>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</si>
  <si>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</si>
  <si>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</si>
  <si>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登録する</t>
    <rPh sb="0" eb="2">
      <t>トウロク</t>
    </rPh>
    <phoneticPr fontId="1"/>
  </si>
  <si>
    <t>LMS学習管理システム</t>
    <phoneticPr fontId="1"/>
  </si>
  <si>
    <t>櫻井</t>
    <rPh sb="0" eb="2">
      <t>サクライ</t>
    </rPh>
    <phoneticPr fontId="1"/>
  </si>
  <si>
    <t>高橋大</t>
    <rPh sb="0" eb="2">
      <t>タカハシ</t>
    </rPh>
    <rPh sb="2" eb="3">
      <t>ダイ</t>
    </rPh>
    <phoneticPr fontId="1"/>
  </si>
  <si>
    <t>成果物名</t>
    <rPh sb="0" eb="3">
      <t>セイカブツ</t>
    </rPh>
    <rPh sb="3" eb="4">
      <t>メイ</t>
    </rPh>
    <phoneticPr fontId="1"/>
  </si>
  <si>
    <t>基本情報</t>
    <rPh sb="0" eb="2">
      <t>キホン</t>
    </rPh>
    <rPh sb="2" eb="4">
      <t>ジョウホウ</t>
    </rPh>
    <phoneticPr fontId="1"/>
  </si>
  <si>
    <t>採点有無チェック</t>
    <rPh sb="0" eb="2">
      <t>サイテン</t>
    </rPh>
    <rPh sb="2" eb="4">
      <t>ウム</t>
    </rPh>
    <phoneticPr fontId="1"/>
  </si>
  <si>
    <t>◆『登録する』ボタン押下時</t>
    <rPh sb="2" eb="4">
      <t>トウロク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</si>
  <si>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</si>
  <si>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</si>
  <si>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送信ボタン</t>
    <rPh sb="0" eb="2">
      <t>ソウシン</t>
    </rPh>
    <phoneticPr fontId="1"/>
  </si>
  <si>
    <t>データベース　更新</t>
    <rPh sb="7" eb="9">
      <t>コウシン</t>
    </rPh>
    <phoneticPr fontId="1"/>
  </si>
  <si>
    <t>名称</t>
  </si>
  <si>
    <t>テーブル名(物理名）</t>
  </si>
  <si>
    <t>カラム名(物理名）</t>
  </si>
  <si>
    <t>備考</t>
  </si>
  <si>
    <t>deliverablesＮame</t>
    <phoneticPr fontId="1"/>
  </si>
  <si>
    <t>テキストボックス</t>
    <phoneticPr fontId="1"/>
  </si>
  <si>
    <t>チェックボックス：チェックで採点有</t>
    <rPh sb="14" eb="16">
      <t>サイテン</t>
    </rPh>
    <rPh sb="16" eb="17">
      <t>アリ</t>
    </rPh>
    <phoneticPr fontId="1"/>
  </si>
  <si>
    <t>scoreFlg</t>
    <phoneticPr fontId="1"/>
  </si>
  <si>
    <t>○</t>
    <phoneticPr fontId="1"/>
  </si>
  <si>
    <t>成果物名</t>
    <phoneticPr fontId="1"/>
  </si>
  <si>
    <t>deliverables_name</t>
    <phoneticPr fontId="1"/>
  </si>
  <si>
    <t>m_deliverables</t>
    <phoneticPr fontId="1"/>
  </si>
  <si>
    <t>採点フラグ</t>
    <phoneticPr fontId="1"/>
  </si>
  <si>
    <t>score_flg</t>
    <phoneticPr fontId="1"/>
  </si>
  <si>
    <t>13期12月対応</t>
    <phoneticPr fontId="1"/>
  </si>
  <si>
    <t>チェックボックス</t>
    <phoneticPr fontId="1"/>
  </si>
  <si>
    <t>【13期12月対応】
登録時のコントロールを修正</t>
    <rPh sb="11" eb="13">
      <t>トウロク</t>
    </rPh>
    <rPh sb="13" eb="14">
      <t>ジ</t>
    </rPh>
    <rPh sb="22" eb="24">
      <t>シュウセイ</t>
    </rPh>
    <phoneticPr fontId="1"/>
  </si>
  <si>
    <t>feedbackFlg</t>
    <phoneticPr fontId="1"/>
  </si>
  <si>
    <t>フィードバックコメント
有無チェック</t>
    <rPh sb="12" eb="14">
      <t>ウム</t>
    </rPh>
    <phoneticPr fontId="1"/>
  </si>
  <si>
    <t>/lms/deliverables/manage/list</t>
    <phoneticPr fontId="1"/>
  </si>
  <si>
    <t>フィードバックコメント
有無チェック</t>
    <rPh sb="12" eb="14">
      <t>ユウム</t>
    </rPh>
    <phoneticPr fontId="1"/>
  </si>
  <si>
    <t>チェックボックス：チェックでフィードバックコメント有</t>
    <rPh sb="25" eb="26">
      <t>ア</t>
    </rPh>
    <phoneticPr fontId="1"/>
  </si>
  <si>
    <t>谷口</t>
    <rPh sb="0" eb="2">
      <t>タニグチ</t>
    </rPh>
    <phoneticPr fontId="1"/>
  </si>
  <si>
    <t>谷口</t>
    <rPh sb="0" eb="2">
      <t>タニグチ</t>
    </rPh>
    <phoneticPr fontId="1"/>
  </si>
  <si>
    <t>【13期12月対応】
追加対応を反映</t>
    <rPh sb="11" eb="13">
      <t>ツイカ</t>
    </rPh>
    <rPh sb="13" eb="15">
      <t>タイオウ</t>
    </rPh>
    <rPh sb="16" eb="18">
      <t>ハンエイ</t>
    </rPh>
    <phoneticPr fontId="1"/>
  </si>
  <si>
    <t>フィードバックフラグ</t>
    <phoneticPr fontId="1"/>
  </si>
  <si>
    <t>feedback_flg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</si>
</sst>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  <scheme val="minor"/>
    </font>
    <font>
      <b/>
      <sz val="8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</fills>
  <borders count="10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0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48" fillId="3" borderId="85" applyNumberFormat="0" applyProtection="0">
      <alignment vertical="center"/>
    </xf>
    <xf numFmtId="0" fontId="19" fillId="8" borderId="87" applyNumberFormat="0" applyProtection="0">
      <alignment vertical="center"/>
    </xf>
    <xf numFmtId="0" fontId="18" fillId="0" borderId="89" applyNumberFormat="0" applyFill="0" applyProtection="0">
      <alignment vertical="center"/>
    </xf>
    <xf numFmtId="0" fontId="13" fillId="8" borderId="85" applyNumberFormat="0" applyProtection="0">
      <alignment vertical="center"/>
    </xf>
    <xf numFmtId="0" fontId="2" fillId="10" borderId="86" applyNumberFormat="0" applyProtection="0">
      <alignment vertical="center"/>
    </xf>
    <xf numFmtId="0" fontId="46" fillId="0" borderId="88" applyNumberFormat="0" applyFill="0" applyProtection="0">
      <alignment vertical="center"/>
    </xf>
    <xf numFmtId="0" fontId="44" fillId="20" borderId="87" applyNumberFormat="0" applyProtection="0">
      <alignment vertical="center"/>
    </xf>
    <xf numFmtId="0" fontId="2" fillId="10" borderId="86" applyNumberFormat="0" applyProtection="0">
      <alignment vertical="center"/>
    </xf>
    <xf numFmtId="0" fontId="41" fillId="7" borderId="85" applyNumberFormat="0" applyProtection="0">
      <alignment vertical="center"/>
    </xf>
    <xf numFmtId="0" fontId="33" fillId="20" borderId="79" applyNumberFormat="0" applyProtection="0">
      <alignment vertical="center"/>
    </xf>
    <xf numFmtId="0" fontId="33" fillId="20" borderId="85" applyNumberFormat="0" applyProtection="0">
      <alignment vertical="center"/>
    </xf>
    <xf numFmtId="0" fontId="41" fillId="7" borderId="79" applyNumberFormat="0" applyProtection="0">
      <alignment vertical="center"/>
    </xf>
    <xf numFmtId="0" fontId="2" fillId="10" borderId="80" applyNumberFormat="0" applyProtection="0">
      <alignment vertical="center"/>
    </xf>
    <xf numFmtId="0" fontId="44" fillId="20" borderId="81" applyNumberFormat="0" applyProtection="0">
      <alignment vertical="center"/>
    </xf>
    <xf numFmtId="0" fontId="46" fillId="0" borderId="82" applyNumberFormat="0" applyFill="0" applyProtection="0">
      <alignment vertical="center"/>
    </xf>
    <xf numFmtId="0" fontId="2" fillId="10" borderId="80" applyNumberFormat="0" applyProtection="0">
      <alignment vertical="center"/>
    </xf>
    <xf numFmtId="0" fontId="13" fillId="8" borderId="79" applyNumberFormat="0" applyProtection="0">
      <alignment vertical="center"/>
    </xf>
    <xf numFmtId="0" fontId="18" fillId="0" borderId="83" applyNumberFormat="0" applyFill="0" applyProtection="0">
      <alignment vertical="center"/>
    </xf>
    <xf numFmtId="0" fontId="19" fillId="8" borderId="81" applyNumberFormat="0" applyProtection="0">
      <alignment vertical="center"/>
    </xf>
    <xf numFmtId="0" fontId="48" fillId="3" borderId="79" applyNumberFormat="0" applyProtection="0">
      <alignment vertical="center"/>
    </xf>
  </cellStyleXfs>
  <cellXfs count="292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3" fillId="32" borderId="76" xfId="0" applyFont="1" applyFill="1" applyBorder="1" applyAlignment="1">
      <alignment vertical="center"/>
    </xf>
    <xf numFmtId="0" fontId="53" fillId="0" borderId="78" xfId="0" applyFont="1" applyBorder="1" applyAlignment="1">
      <alignment vertical="center"/>
    </xf>
    <xf numFmtId="0" fontId="53" fillId="0" borderId="0" xfId="0" applyFont="1" applyBorder="1" applyAlignment="1">
      <alignment vertical="center"/>
    </xf>
    <xf numFmtId="0" fontId="54" fillId="0" borderId="0" xfId="0" applyFont="1" applyBorder="1">
      <alignment vertical="center"/>
    </xf>
    <xf numFmtId="0" fontId="55" fillId="0" borderId="0" xfId="0" applyFont="1" applyBorder="1">
      <alignment vertical="center"/>
    </xf>
    <xf numFmtId="0" fontId="53" fillId="32" borderId="0" xfId="0" applyFont="1" applyFill="1" applyBorder="1" applyAlignment="1">
      <alignment horizontal="left" vertical="center"/>
    </xf>
    <xf numFmtId="0" fontId="53" fillId="0" borderId="71" xfId="0" applyFont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3" fillId="32" borderId="75" xfId="0" applyFont="1" applyFill="1" applyBorder="1" applyAlignment="1">
      <alignment vertical="center"/>
    </xf>
    <xf numFmtId="0" fontId="55" fillId="0" borderId="0" xfId="0" applyFont="1">
      <alignment vertical="center"/>
    </xf>
    <xf numFmtId="0" fontId="55" fillId="30" borderId="0" xfId="0" applyFont="1" applyFill="1" applyBorder="1">
      <alignment vertical="center"/>
    </xf>
    <xf numFmtId="0" fontId="56" fillId="30" borderId="0" xfId="0" applyFont="1" applyFill="1" applyBorder="1">
      <alignment vertical="center"/>
    </xf>
    <xf numFmtId="0" fontId="55" fillId="30" borderId="0" xfId="0" applyFont="1" applyFill="1">
      <alignment vertical="center"/>
    </xf>
    <xf numFmtId="0" fontId="53" fillId="32" borderId="0" xfId="0" applyFont="1" applyFill="1" applyBorder="1" applyAlignment="1">
      <alignment horizontal="center" vertical="center"/>
    </xf>
    <xf numFmtId="0" fontId="53" fillId="32" borderId="0" xfId="0" applyFont="1" applyFill="1" applyBorder="1" applyAlignment="1">
      <alignment vertical="center"/>
    </xf>
    <xf numFmtId="0" fontId="54" fillId="0" borderId="0" xfId="0" applyFont="1">
      <alignment vertical="center"/>
    </xf>
    <xf numFmtId="0" fontId="55" fillId="33" borderId="98" xfId="0" applyFont="1" applyFill="1" applyBorder="1">
      <alignment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3" fillId="0" borderId="0" xfId="0" applyFont="1">
      <alignment vertical="center"/>
    </xf>
    <xf numFmtId="0" fontId="57" fillId="0" borderId="0" xfId="105" applyFont="1" applyAlignment="1">
      <alignment vertical="center"/>
    </xf>
    <xf numFmtId="0" fontId="59" fillId="0" borderId="0" xfId="105" applyFont="1"/>
    <xf numFmtId="0" fontId="53" fillId="32" borderId="93" xfId="0" applyFont="1" applyFill="1" applyBorder="1" applyAlignment="1">
      <alignment horizontal="left" vertical="center"/>
    </xf>
    <xf numFmtId="0" fontId="53" fillId="32" borderId="94" xfId="0" applyFont="1" applyFill="1" applyBorder="1" applyAlignment="1">
      <alignment horizontal="left" vertical="center"/>
    </xf>
    <xf numFmtId="0" fontId="53" fillId="32" borderId="95" xfId="0" applyFont="1" applyFill="1" applyBorder="1" applyAlignment="1">
      <alignment horizontal="left" vertical="center"/>
    </xf>
    <xf numFmtId="0" fontId="53" fillId="32" borderId="96" xfId="0" applyFont="1" applyFill="1" applyBorder="1">
      <alignment vertical="center"/>
    </xf>
    <xf numFmtId="0" fontId="53" fillId="32" borderId="97" xfId="0" applyFont="1" applyFill="1" applyBorder="1">
      <alignment vertical="center"/>
    </xf>
    <xf numFmtId="0" fontId="53" fillId="32" borderId="98" xfId="0" applyFont="1" applyFill="1" applyBorder="1">
      <alignment vertical="center"/>
    </xf>
    <xf numFmtId="0" fontId="53" fillId="32" borderId="93" xfId="0" applyFont="1" applyFill="1" applyBorder="1">
      <alignment vertical="center"/>
    </xf>
    <xf numFmtId="0" fontId="53" fillId="32" borderId="94" xfId="0" applyFont="1" applyFill="1" applyBorder="1">
      <alignment vertical="center"/>
    </xf>
    <xf numFmtId="0" fontId="53" fillId="32" borderId="95" xfId="0" applyFont="1" applyFill="1" applyBorder="1">
      <alignment vertical="center"/>
    </xf>
    <xf numFmtId="0" fontId="56" fillId="0" borderId="0" xfId="0" applyFont="1" applyBorder="1">
      <alignment vertical="center"/>
    </xf>
    <xf numFmtId="0" fontId="56" fillId="32" borderId="0" xfId="0" applyFont="1" applyFill="1" applyBorder="1">
      <alignment vertical="center"/>
    </xf>
    <xf numFmtId="0" fontId="53" fillId="33" borderId="71" xfId="0" applyFont="1" applyFill="1" applyBorder="1" applyAlignment="1">
      <alignment vertical="center"/>
    </xf>
    <xf numFmtId="0" fontId="53" fillId="33" borderId="72" xfId="0" applyFont="1" applyFill="1" applyBorder="1" applyAlignment="1">
      <alignment vertical="center"/>
    </xf>
    <xf numFmtId="0" fontId="53" fillId="33" borderId="31" xfId="0" applyFont="1" applyFill="1" applyBorder="1" applyAlignment="1">
      <alignment vertical="center"/>
    </xf>
    <xf numFmtId="0" fontId="55" fillId="33" borderId="73" xfId="0" applyFont="1" applyFill="1" applyBorder="1">
      <alignment vertical="center"/>
    </xf>
    <xf numFmtId="0" fontId="2" fillId="0" borderId="0" xfId="0" applyFont="1">
      <alignment vertical="center"/>
    </xf>
    <xf numFmtId="0" fontId="57" fillId="0" borderId="0" xfId="0" applyFont="1">
      <alignment vertical="center"/>
    </xf>
    <xf numFmtId="0" fontId="53" fillId="0" borderId="71" xfId="0" applyFont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90" xfId="102" applyFont="1" applyFill="1" applyBorder="1" applyAlignment="1">
      <alignment horizontal="center" vertical="center"/>
    </xf>
    <xf numFmtId="0" fontId="2" fillId="28" borderId="84" xfId="102" applyFont="1" applyFill="1" applyBorder="1" applyAlignment="1">
      <alignment horizontal="center" vertical="center"/>
    </xf>
    <xf numFmtId="0" fontId="2" fillId="28" borderId="91" xfId="102" applyFont="1" applyFill="1" applyBorder="1" applyAlignment="1">
      <alignment horizontal="center" vertical="center"/>
    </xf>
    <xf numFmtId="0" fontId="2" fillId="28" borderId="25" xfId="102" applyFont="1" applyFill="1" applyBorder="1" applyAlignment="1">
      <alignment horizontal="center" vertical="center"/>
    </xf>
    <xf numFmtId="0" fontId="2" fillId="28" borderId="0" xfId="102" applyFont="1" applyFill="1" applyBorder="1" applyAlignment="1">
      <alignment horizontal="center" vertical="center"/>
    </xf>
    <xf numFmtId="0" fontId="2" fillId="28" borderId="29" xfId="102" applyFont="1" applyFill="1" applyBorder="1" applyAlignment="1">
      <alignment horizontal="center" vertical="center"/>
    </xf>
    <xf numFmtId="0" fontId="2" fillId="28" borderId="68" xfId="102" applyFont="1" applyFill="1" applyBorder="1" applyAlignment="1">
      <alignment horizontal="center" vertical="center"/>
    </xf>
    <xf numFmtId="0" fontId="2" fillId="28" borderId="31" xfId="102" applyFont="1" applyFill="1" applyBorder="1" applyAlignment="1">
      <alignment horizontal="center" vertical="center"/>
    </xf>
    <xf numFmtId="0" fontId="2" fillId="28" borderId="75" xfId="102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50" fillId="0" borderId="93" xfId="101" applyFont="1" applyFill="1" applyBorder="1" applyAlignment="1">
      <alignment vertical="center" wrapText="1"/>
    </xf>
    <xf numFmtId="0" fontId="50" fillId="0" borderId="94" xfId="101" applyFont="1" applyFill="1" applyBorder="1" applyAlignment="1">
      <alignment vertical="center" wrapText="1"/>
    </xf>
    <xf numFmtId="0" fontId="50" fillId="0" borderId="95" xfId="101" applyFont="1" applyFill="1" applyBorder="1" applyAlignment="1">
      <alignment vertical="center" wrapText="1"/>
    </xf>
    <xf numFmtId="0" fontId="50" fillId="0" borderId="68" xfId="101" applyFont="1" applyFill="1" applyBorder="1" applyAlignment="1">
      <alignment vertical="center" wrapText="1"/>
    </xf>
    <xf numFmtId="0" fontId="50" fillId="0" borderId="75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58" fillId="0" borderId="96" xfId="105" applyFont="1" applyBorder="1" applyAlignment="1">
      <alignment horizontal="left"/>
    </xf>
    <xf numFmtId="0" fontId="58" fillId="0" borderId="97" xfId="105" applyFont="1" applyBorder="1" applyAlignment="1">
      <alignment horizontal="left"/>
    </xf>
    <xf numFmtId="0" fontId="58" fillId="0" borderId="98" xfId="105" applyFont="1" applyBorder="1" applyAlignment="1">
      <alignment horizontal="left"/>
    </xf>
    <xf numFmtId="0" fontId="58" fillId="0" borderId="92" xfId="105" applyFont="1" applyBorder="1" applyAlignment="1">
      <alignment horizontal="left"/>
    </xf>
    <xf numFmtId="0" fontId="58" fillId="0" borderId="96" xfId="105" applyFont="1" applyBorder="1" applyAlignment="1">
      <alignment horizontal="left" vertical="center"/>
    </xf>
    <xf numFmtId="0" fontId="58" fillId="0" borderId="97" xfId="105" applyFont="1" applyBorder="1" applyAlignment="1">
      <alignment horizontal="left" vertical="center"/>
    </xf>
    <xf numFmtId="0" fontId="58" fillId="0" borderId="98" xfId="105" applyFont="1" applyBorder="1" applyAlignment="1">
      <alignment horizontal="left" vertical="center"/>
    </xf>
    <xf numFmtId="0" fontId="53" fillId="32" borderId="96" xfId="0" applyFont="1" applyFill="1" applyBorder="1">
      <alignment vertical="center"/>
    </xf>
    <xf numFmtId="0" fontId="53" fillId="32" borderId="97" xfId="0" applyFont="1" applyFill="1" applyBorder="1">
      <alignment vertical="center"/>
    </xf>
    <xf numFmtId="0" fontId="53" fillId="32" borderId="98" xfId="0" applyFont="1" applyFill="1" applyBorder="1">
      <alignment vertical="center"/>
    </xf>
    <xf numFmtId="0" fontId="53" fillId="32" borderId="93" xfId="0" applyFont="1" applyFill="1" applyBorder="1" applyAlignment="1">
      <alignment horizontal="center" vertical="center"/>
    </xf>
    <xf numFmtId="0" fontId="53" fillId="32" borderId="95" xfId="0" applyFont="1" applyFill="1" applyBorder="1" applyAlignment="1">
      <alignment horizontal="center" vertical="center"/>
    </xf>
    <xf numFmtId="0" fontId="53" fillId="32" borderId="96" xfId="0" applyFont="1" applyFill="1" applyBorder="1" applyAlignment="1">
      <alignment horizontal="center" vertical="center"/>
    </xf>
    <xf numFmtId="0" fontId="53" fillId="32" borderId="97" xfId="0" applyFont="1" applyFill="1" applyBorder="1" applyAlignment="1">
      <alignment horizontal="center" vertical="center"/>
    </xf>
    <xf numFmtId="0" fontId="53" fillId="32" borderId="98" xfId="0" applyFont="1" applyFill="1" applyBorder="1" applyAlignment="1">
      <alignment horizontal="center" vertical="center"/>
    </xf>
    <xf numFmtId="0" fontId="53" fillId="32" borderId="96" xfId="0" applyFont="1" applyFill="1" applyBorder="1" applyAlignment="1">
      <alignment horizontal="left" vertical="center"/>
    </xf>
    <xf numFmtId="0" fontId="53" fillId="32" borderId="97" xfId="0" applyFont="1" applyFill="1" applyBorder="1" applyAlignment="1">
      <alignment horizontal="left" vertical="center"/>
    </xf>
    <xf numFmtId="0" fontId="53" fillId="32" borderId="98" xfId="0" applyFont="1" applyFill="1" applyBorder="1" applyAlignment="1">
      <alignment horizontal="left" vertical="center"/>
    </xf>
    <xf numFmtId="0" fontId="58" fillId="0" borderId="92" xfId="105" applyFont="1" applyBorder="1" applyAlignment="1">
      <alignment horizontal="center" vertical="center"/>
    </xf>
    <xf numFmtId="0" fontId="61" fillId="34" borderId="92" xfId="105" applyFont="1" applyFill="1" applyBorder="1" applyAlignment="1">
      <alignment horizontal="center" vertical="center"/>
    </xf>
    <xf numFmtId="0" fontId="61" fillId="34" borderId="96" xfId="105" applyFont="1" applyFill="1" applyBorder="1" applyAlignment="1">
      <alignment horizontal="center" vertical="center"/>
    </xf>
    <xf numFmtId="0" fontId="61" fillId="34" borderId="97" xfId="105" applyFont="1" applyFill="1" applyBorder="1" applyAlignment="1">
      <alignment horizontal="center" vertical="center"/>
    </xf>
    <xf numFmtId="0" fontId="61" fillId="34" borderId="98" xfId="105" applyFont="1" applyFill="1" applyBorder="1" applyAlignment="1">
      <alignment horizontal="center" vertical="center"/>
    </xf>
    <xf numFmtId="0" fontId="53" fillId="32" borderId="99" xfId="0" applyFont="1" applyFill="1" applyBorder="1" applyAlignment="1">
      <alignment horizontal="left" vertical="center" wrapText="1"/>
    </xf>
    <xf numFmtId="0" fontId="53" fillId="32" borderId="100" xfId="0" applyFont="1" applyFill="1" applyBorder="1" applyAlignment="1">
      <alignment horizontal="left" vertical="center"/>
    </xf>
    <xf numFmtId="0" fontId="53" fillId="32" borderId="101" xfId="0" applyFont="1" applyFill="1" applyBorder="1" applyAlignment="1">
      <alignment horizontal="left" vertical="center"/>
    </xf>
    <xf numFmtId="0" fontId="52" fillId="30" borderId="70" xfId="0" applyFont="1" applyFill="1" applyBorder="1" applyAlignment="1">
      <alignment horizontal="center" vertical="center"/>
    </xf>
    <xf numFmtId="0" fontId="52" fillId="30" borderId="74" xfId="0" applyFont="1" applyFill="1" applyBorder="1" applyAlignment="1">
      <alignment horizontal="center" vertical="center"/>
    </xf>
    <xf numFmtId="0" fontId="52" fillId="30" borderId="67" xfId="0" applyFont="1" applyFill="1" applyBorder="1" applyAlignment="1">
      <alignment horizontal="center" vertical="center"/>
    </xf>
    <xf numFmtId="0" fontId="52" fillId="30" borderId="68" xfId="0" applyFont="1" applyFill="1" applyBorder="1" applyAlignment="1">
      <alignment horizontal="center" vertical="center"/>
    </xf>
    <xf numFmtId="0" fontId="52" fillId="30" borderId="31" xfId="0" applyFont="1" applyFill="1" applyBorder="1" applyAlignment="1">
      <alignment horizontal="center" vertical="center"/>
    </xf>
    <xf numFmtId="0" fontId="52" fillId="30" borderId="75" xfId="0" applyFont="1" applyFill="1" applyBorder="1" applyAlignment="1">
      <alignment horizontal="center" vertical="center"/>
    </xf>
    <xf numFmtId="0" fontId="53" fillId="0" borderId="71" xfId="0" applyFont="1" applyFill="1" applyBorder="1" applyAlignment="1">
      <alignment horizontal="left" vertical="center"/>
    </xf>
    <xf numFmtId="0" fontId="53" fillId="0" borderId="72" xfId="0" applyFont="1" applyFill="1" applyBorder="1" applyAlignment="1">
      <alignment horizontal="left" vertical="center"/>
    </xf>
    <xf numFmtId="0" fontId="53" fillId="0" borderId="73" xfId="0" applyFont="1" applyFill="1" applyBorder="1" applyAlignment="1">
      <alignment horizontal="left" vertical="center"/>
    </xf>
    <xf numFmtId="0" fontId="53" fillId="32" borderId="71" xfId="0" applyFont="1" applyFill="1" applyBorder="1" applyAlignment="1">
      <alignment vertical="center"/>
    </xf>
    <xf numFmtId="0" fontId="53" fillId="32" borderId="72" xfId="0" applyFont="1" applyFill="1" applyBorder="1" applyAlignment="1">
      <alignment vertical="center"/>
    </xf>
    <xf numFmtId="0" fontId="53" fillId="32" borderId="73" xfId="0" applyFont="1" applyFill="1" applyBorder="1" applyAlignment="1">
      <alignment vertical="center"/>
    </xf>
    <xf numFmtId="0" fontId="53" fillId="0" borderId="71" xfId="0" applyFont="1" applyBorder="1" applyAlignment="1">
      <alignment vertical="center"/>
    </xf>
    <xf numFmtId="0" fontId="53" fillId="0" borderId="72" xfId="0" applyFont="1" applyBorder="1" applyAlignment="1">
      <alignment vertical="center"/>
    </xf>
    <xf numFmtId="0" fontId="53" fillId="0" borderId="73" xfId="0" applyFont="1" applyBorder="1" applyAlignment="1">
      <alignment vertical="center"/>
    </xf>
    <xf numFmtId="0" fontId="53" fillId="32" borderId="93" xfId="0" applyFont="1" applyFill="1" applyBorder="1">
      <alignment vertical="center"/>
    </xf>
    <xf numFmtId="0" fontId="53" fillId="32" borderId="94" xfId="0" applyFont="1" applyFill="1" applyBorder="1">
      <alignment vertical="center"/>
    </xf>
    <xf numFmtId="0" fontId="53" fillId="32" borderId="95" xfId="0" applyFont="1" applyFill="1" applyBorder="1">
      <alignment vertical="center"/>
    </xf>
    <xf numFmtId="0" fontId="53" fillId="32" borderId="93" xfId="0" applyFont="1" applyFill="1" applyBorder="1" applyAlignment="1">
      <alignment horizontal="left" vertical="center"/>
    </xf>
    <xf numFmtId="0" fontId="53" fillId="32" borderId="94" xfId="0" applyFont="1" applyFill="1" applyBorder="1" applyAlignment="1">
      <alignment horizontal="left" vertical="center"/>
    </xf>
    <xf numFmtId="0" fontId="53" fillId="32" borderId="95" xfId="0" applyFont="1" applyFill="1" applyBorder="1" applyAlignment="1">
      <alignment horizontal="left" vertical="center"/>
    </xf>
    <xf numFmtId="0" fontId="53" fillId="32" borderId="77" xfId="0" applyFont="1" applyFill="1" applyBorder="1" applyAlignment="1">
      <alignment horizontal="center" vertical="center"/>
    </xf>
    <xf numFmtId="0" fontId="53" fillId="32" borderId="76" xfId="0" applyFont="1" applyFill="1" applyBorder="1" applyAlignment="1">
      <alignment horizontal="center" vertical="center"/>
    </xf>
    <xf numFmtId="0" fontId="53" fillId="32" borderId="71" xfId="0" applyFont="1" applyFill="1" applyBorder="1" applyAlignment="1">
      <alignment horizontal="left" vertical="center"/>
    </xf>
    <xf numFmtId="0" fontId="53" fillId="32" borderId="72" xfId="0" applyFont="1" applyFill="1" applyBorder="1" applyAlignment="1">
      <alignment horizontal="left" vertical="center"/>
    </xf>
    <xf numFmtId="0" fontId="53" fillId="32" borderId="73" xfId="0" applyFont="1" applyFill="1" applyBorder="1" applyAlignment="1">
      <alignment horizontal="left" vertical="center"/>
    </xf>
    <xf numFmtId="0" fontId="52" fillId="31" borderId="70" xfId="98" applyFont="1" applyFill="1" applyBorder="1" applyAlignment="1">
      <alignment horizontal="center" vertical="center"/>
    </xf>
    <xf numFmtId="0" fontId="52" fillId="31" borderId="74" xfId="98" applyFont="1" applyFill="1" applyBorder="1" applyAlignment="1">
      <alignment horizontal="center" vertical="center"/>
    </xf>
    <xf numFmtId="0" fontId="52" fillId="31" borderId="67" xfId="98" applyFont="1" applyFill="1" applyBorder="1" applyAlignment="1">
      <alignment horizontal="center" vertical="center"/>
    </xf>
    <xf numFmtId="0" fontId="52" fillId="31" borderId="68" xfId="98" applyFont="1" applyFill="1" applyBorder="1" applyAlignment="1">
      <alignment horizontal="center" vertical="center"/>
    </xf>
    <xf numFmtId="0" fontId="52" fillId="31" borderId="31" xfId="98" applyFont="1" applyFill="1" applyBorder="1" applyAlignment="1">
      <alignment horizontal="center" vertical="center"/>
    </xf>
    <xf numFmtId="0" fontId="52" fillId="31" borderId="75" xfId="98" applyFont="1" applyFill="1" applyBorder="1" applyAlignment="1">
      <alignment horizontal="center" vertical="center"/>
    </xf>
    <xf numFmtId="0" fontId="52" fillId="31" borderId="71" xfId="98" applyFont="1" applyFill="1" applyBorder="1" applyAlignment="1">
      <alignment horizontal="center" vertical="center"/>
    </xf>
    <xf numFmtId="0" fontId="52" fillId="31" borderId="72" xfId="98" applyFont="1" applyFill="1" applyBorder="1" applyAlignment="1">
      <alignment horizontal="center" vertical="center"/>
    </xf>
    <xf numFmtId="0" fontId="52" fillId="31" borderId="73" xfId="98" applyFont="1" applyFill="1" applyBorder="1" applyAlignment="1">
      <alignment horizontal="center" vertical="center"/>
    </xf>
    <xf numFmtId="0" fontId="53" fillId="32" borderId="71" xfId="0" applyFont="1" applyFill="1" applyBorder="1" applyAlignment="1">
      <alignment horizontal="left" vertical="center" wrapText="1"/>
    </xf>
    <xf numFmtId="0" fontId="52" fillId="31" borderId="93" xfId="98" applyFont="1" applyFill="1" applyBorder="1" applyAlignment="1">
      <alignment horizontal="center" vertical="center"/>
    </xf>
    <xf numFmtId="0" fontId="52" fillId="31" borderId="94" xfId="98" applyFont="1" applyFill="1" applyBorder="1" applyAlignment="1">
      <alignment horizontal="center" vertical="center"/>
    </xf>
    <xf numFmtId="0" fontId="52" fillId="31" borderId="95" xfId="98" applyFont="1" applyFill="1" applyBorder="1" applyAlignment="1">
      <alignment horizontal="center" vertical="center"/>
    </xf>
    <xf numFmtId="0" fontId="55" fillId="0" borderId="33" xfId="101" applyFont="1" applyBorder="1" applyAlignment="1">
      <alignment horizontal="center" vertical="center" wrapText="1"/>
    </xf>
    <xf numFmtId="0" fontId="55" fillId="0" borderId="28" xfId="101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52" fillId="31" borderId="96" xfId="98" applyFont="1" applyFill="1" applyBorder="1" applyAlignment="1">
      <alignment horizontal="center" vertical="center"/>
    </xf>
    <xf numFmtId="0" fontId="52" fillId="31" borderId="97" xfId="98" applyFont="1" applyFill="1" applyBorder="1" applyAlignment="1">
      <alignment horizontal="center" vertical="center"/>
    </xf>
    <xf numFmtId="0" fontId="52" fillId="31" borderId="98" xfId="98" applyFont="1" applyFill="1" applyBorder="1" applyAlignment="1">
      <alignment horizontal="center" vertical="center"/>
    </xf>
    <xf numFmtId="0" fontId="53" fillId="33" borderId="96" xfId="0" applyFont="1" applyFill="1" applyBorder="1" applyAlignment="1">
      <alignment horizontal="left" vertical="center"/>
    </xf>
    <xf numFmtId="0" fontId="53" fillId="33" borderId="97" xfId="0" applyFont="1" applyFill="1" applyBorder="1" applyAlignment="1">
      <alignment horizontal="left" vertical="center"/>
    </xf>
    <xf numFmtId="0" fontId="52" fillId="30" borderId="92" xfId="0" applyFont="1" applyFill="1" applyBorder="1" applyAlignment="1">
      <alignment horizontal="center" vertical="center"/>
    </xf>
    <xf numFmtId="0" fontId="52" fillId="31" borderId="92" xfId="98" applyFont="1" applyFill="1" applyBorder="1" applyAlignment="1">
      <alignment horizontal="center" vertical="center"/>
    </xf>
  </cellXfs>
  <cellStyles count="13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19" xr:uid="{00000000-0005-0000-0000-00002D000000}"/>
    <cellStyle name="Calculation 3" xfId="12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1" xr:uid="{00000000-0005-0000-0000-00003D000000}"/>
    <cellStyle name="Input 3" xfId="118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2" xr:uid="{00000000-0005-0000-0000-000048000000}"/>
    <cellStyle name="Note 3" xfId="117" xr:uid="{00000000-0005-0000-0000-000049000000}"/>
    <cellStyle name="Output" xfId="68" xr:uid="{00000000-0005-0000-0000-00004A000000}"/>
    <cellStyle name="Output 2" xfId="123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24" xr:uid="{00000000-0005-0000-0000-00004F000000}"/>
    <cellStyle name="Total 3" xfId="115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25" xr:uid="{00000000-0005-0000-0000-00005F000000}"/>
    <cellStyle name="メモ 2 3" xfId="114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6" xr:uid="{00000000-0005-0000-0000-000064000000}"/>
    <cellStyle name="計算 2 3" xfId="113" xr:uid="{00000000-0005-0000-0000-000065000000}"/>
    <cellStyle name="警告文 2" xfId="88" xr:uid="{00000000-0005-0000-0000-000066000000}"/>
    <cellStyle name="桁区切り 2" xfId="109" xr:uid="{00000000-0005-0000-0000-000067000000}"/>
    <cellStyle name="見出し 1 2" xfId="89" xr:uid="{00000000-0005-0000-0000-000068000000}"/>
    <cellStyle name="見出し 2 2" xfId="90" xr:uid="{00000000-0005-0000-0000-000069000000}"/>
    <cellStyle name="見出し 3 2" xfId="91" xr:uid="{00000000-0005-0000-0000-00006A000000}"/>
    <cellStyle name="見出し 4 2" xfId="92" xr:uid="{00000000-0005-0000-0000-00006B000000}"/>
    <cellStyle name="集計 2" xfId="93" xr:uid="{00000000-0005-0000-0000-00006C000000}"/>
    <cellStyle name="集計 2 2" xfId="127" xr:uid="{00000000-0005-0000-0000-00006D000000}"/>
    <cellStyle name="集計 2 3" xfId="112" xr:uid="{00000000-0005-0000-0000-00006E000000}"/>
    <cellStyle name="出力 2" xfId="94" xr:uid="{00000000-0005-0000-0000-00006F000000}"/>
    <cellStyle name="出力 2 2" xfId="128" xr:uid="{00000000-0005-0000-0000-000070000000}"/>
    <cellStyle name="出力 2 3" xfId="111" xr:uid="{00000000-0005-0000-0000-000071000000}"/>
    <cellStyle name="状態遷移図" xfId="95" xr:uid="{00000000-0005-0000-0000-000072000000}"/>
    <cellStyle name="説明文 2" xfId="96" xr:uid="{00000000-0005-0000-0000-000073000000}"/>
    <cellStyle name="入力 2" xfId="97" xr:uid="{00000000-0005-0000-0000-000074000000}"/>
    <cellStyle name="入力 2 2" xfId="129" xr:uid="{00000000-0005-0000-0000-000075000000}"/>
    <cellStyle name="入力 2 3" xfId="110" xr:uid="{00000000-0005-0000-0000-000076000000}"/>
    <cellStyle name="標準" xfId="0" builtinId="0"/>
    <cellStyle name="標準 2" xfId="98" xr:uid="{00000000-0005-0000-0000-000078000000}"/>
    <cellStyle name="標準 2 2" xfId="105" xr:uid="{00000000-0005-0000-0000-000079000000}"/>
    <cellStyle name="標準 2_デモ／空メールエントリーシステム＿メモ" xfId="108" xr:uid="{00000000-0005-0000-0000-00007A000000}"/>
    <cellStyle name="標準 3" xfId="99" xr:uid="{00000000-0005-0000-0000-00007B000000}"/>
    <cellStyle name="標準 4" xfId="100" xr:uid="{00000000-0005-0000-0000-00007C000000}"/>
    <cellStyle name="標準 5" xfId="1" xr:uid="{00000000-0005-0000-0000-00007D000000}"/>
    <cellStyle name="標準_開発計画_110720_v11" xfId="101" xr:uid="{00000000-0005-0000-0000-00007E000000}"/>
    <cellStyle name="標準_朝日生命_バースデーキャンペーン_DB設計書_080415_社内_情報活用セミナー_Createテキストデータ設計書_081107-2" xfId="102" xr:uid="{00000000-0005-0000-0000-00007F000000}"/>
    <cellStyle name="未定義" xfId="103" xr:uid="{00000000-0005-0000-0000-000080000000}"/>
    <cellStyle name="良い 2" xfId="104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</xdr:colOff>
      <xdr:row>6</xdr:row>
      <xdr:rowOff>53340</xdr:rowOff>
    </xdr:from>
    <xdr:to>
      <xdr:col>48</xdr:col>
      <xdr:colOff>158115</xdr:colOff>
      <xdr:row>29</xdr:row>
      <xdr:rowOff>81915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701F91F-8092-4D02-B913-942BBC570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1104900"/>
          <a:ext cx="9029700" cy="406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69" t="s">
        <v>34</v>
      </c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69" t="s">
        <v>59</v>
      </c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70" t="s">
        <v>19</v>
      </c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71"/>
      <c r="AB15" s="71"/>
      <c r="AC15" s="71"/>
      <c r="AD15" s="71"/>
      <c r="AE15" s="71"/>
      <c r="AF15" s="7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"第"&amp;TEXT(MAX(更新履歴!A8:I31),"0.0")&amp;"版"</f>
        <v>第1.2版</v>
      </c>
      <c r="Y17" s="26"/>
      <c r="Z17" s="26"/>
      <c r="AA17" s="72">
        <f>MAX(更新履歴!J8:Q31)</f>
        <v>43805</v>
      </c>
      <c r="AB17" s="72"/>
      <c r="AC17" s="72"/>
      <c r="AD17" s="72"/>
      <c r="AE17" s="72"/>
      <c r="AF17" s="72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72"/>
      <c r="AB19" s="72"/>
      <c r="AC19" s="72"/>
      <c r="AD19" s="72"/>
      <c r="AE19" s="72"/>
      <c r="AF19" s="72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3" t="s">
        <v>6</v>
      </c>
      <c r="V20" s="74"/>
      <c r="W20" s="74"/>
      <c r="X20" s="74"/>
      <c r="Y20" s="75"/>
      <c r="Z20" s="76" t="s">
        <v>7</v>
      </c>
      <c r="AA20" s="77"/>
      <c r="AB20" s="77"/>
      <c r="AC20" s="77"/>
      <c r="AD20" s="78"/>
      <c r="AE20" s="73" t="s">
        <v>8</v>
      </c>
      <c r="AF20" s="74"/>
      <c r="AG20" s="74"/>
      <c r="AH20" s="74"/>
      <c r="AI20" s="75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79" t="s">
        <v>35</v>
      </c>
      <c r="V21" s="80"/>
      <c r="W21" s="80"/>
      <c r="X21" s="80"/>
      <c r="Y21" s="81"/>
      <c r="Z21" s="79"/>
      <c r="AA21" s="80"/>
      <c r="AB21" s="80"/>
      <c r="AC21" s="80"/>
      <c r="AD21" s="81"/>
      <c r="AE21" s="79"/>
      <c r="AF21" s="80"/>
      <c r="AG21" s="80"/>
      <c r="AH21" s="80"/>
      <c r="AI21" s="8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82"/>
      <c r="V22" s="83"/>
      <c r="W22" s="83"/>
      <c r="X22" s="83"/>
      <c r="Y22" s="84"/>
      <c r="Z22" s="82"/>
      <c r="AA22" s="83"/>
      <c r="AB22" s="83"/>
      <c r="AC22" s="83"/>
      <c r="AD22" s="84"/>
      <c r="AE22" s="82"/>
      <c r="AF22" s="83"/>
      <c r="AG22" s="83"/>
      <c r="AH22" s="83"/>
      <c r="AI22" s="8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82"/>
      <c r="V23" s="83"/>
      <c r="W23" s="83"/>
      <c r="X23" s="83"/>
      <c r="Y23" s="84"/>
      <c r="Z23" s="82"/>
      <c r="AA23" s="83"/>
      <c r="AB23" s="83"/>
      <c r="AC23" s="83"/>
      <c r="AD23" s="84"/>
      <c r="AE23" s="82"/>
      <c r="AF23" s="83"/>
      <c r="AG23" s="83"/>
      <c r="AH23" s="83"/>
      <c r="AI23" s="8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85"/>
      <c r="V24" s="86"/>
      <c r="W24" s="86"/>
      <c r="X24" s="86"/>
      <c r="Y24" s="87"/>
      <c r="Z24" s="85"/>
      <c r="AA24" s="86"/>
      <c r="AB24" s="86"/>
      <c r="AC24" s="86"/>
      <c r="AD24" s="87"/>
      <c r="AE24" s="85"/>
      <c r="AF24" s="86"/>
      <c r="AG24" s="86"/>
      <c r="AH24" s="86"/>
      <c r="AI24" s="87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5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U21:Y24"/>
    <mergeCell ref="Z21:AD24"/>
    <mergeCell ref="AE21:AI2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206" t="s">
        <v>0</v>
      </c>
      <c r="B1" s="175"/>
      <c r="C1" s="175"/>
      <c r="D1" s="175"/>
      <c r="E1" s="175"/>
      <c r="F1" s="176"/>
      <c r="G1" s="176"/>
      <c r="H1" s="176"/>
      <c r="I1" s="207"/>
      <c r="J1" s="208" t="s">
        <v>1</v>
      </c>
      <c r="K1" s="175"/>
      <c r="L1" s="175"/>
      <c r="M1" s="175"/>
      <c r="N1" s="175"/>
      <c r="O1" s="176"/>
      <c r="P1" s="176"/>
      <c r="Q1" s="176"/>
      <c r="R1" s="209" t="str">
        <f>表紙!S12</f>
        <v>画面レイアウト設計書</v>
      </c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1"/>
      <c r="AJ1" s="212" t="s">
        <v>2</v>
      </c>
      <c r="AK1" s="213"/>
      <c r="AL1" s="213"/>
      <c r="AM1" s="213"/>
      <c r="AN1" s="213"/>
      <c r="AO1" s="214" t="s">
        <v>3</v>
      </c>
      <c r="AP1" s="213"/>
      <c r="AQ1" s="213"/>
      <c r="AR1" s="213"/>
      <c r="AS1" s="213"/>
      <c r="AT1" s="214" t="s">
        <v>4</v>
      </c>
      <c r="AU1" s="213"/>
      <c r="AV1" s="213"/>
      <c r="AW1" s="213"/>
      <c r="AX1" s="213"/>
      <c r="AY1" s="175" t="s">
        <v>5</v>
      </c>
      <c r="AZ1" s="176"/>
      <c r="BA1" s="176"/>
      <c r="BB1" s="176"/>
      <c r="BC1" s="177"/>
    </row>
    <row r="2" spans="1:55" s="17" customFormat="1" ht="13.5" customHeight="1">
      <c r="A2" s="178" t="str">
        <f>表紙!O10</f>
        <v>13期12月対応</v>
      </c>
      <c r="B2" s="179"/>
      <c r="C2" s="179"/>
      <c r="D2" s="179"/>
      <c r="E2" s="179"/>
      <c r="F2" s="180"/>
      <c r="G2" s="180"/>
      <c r="H2" s="180"/>
      <c r="I2" s="181"/>
      <c r="J2" s="186" t="str">
        <f>表紙!O9</f>
        <v>LMS学習管理システム</v>
      </c>
      <c r="K2" s="179"/>
      <c r="L2" s="179"/>
      <c r="M2" s="179"/>
      <c r="N2" s="179"/>
      <c r="O2" s="180"/>
      <c r="P2" s="180"/>
      <c r="Q2" s="187"/>
      <c r="R2" s="190" t="s">
        <v>9</v>
      </c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2"/>
      <c r="AJ2" s="196" t="s">
        <v>36</v>
      </c>
      <c r="AK2" s="197"/>
      <c r="AL2" s="197"/>
      <c r="AM2" s="197"/>
      <c r="AN2" s="197"/>
      <c r="AO2" s="200">
        <v>43766</v>
      </c>
      <c r="AP2" s="197"/>
      <c r="AQ2" s="197"/>
      <c r="AR2" s="197"/>
      <c r="AS2" s="197"/>
      <c r="AT2" s="196" t="s">
        <v>67</v>
      </c>
      <c r="AU2" s="197"/>
      <c r="AV2" s="197"/>
      <c r="AW2" s="197"/>
      <c r="AX2" s="197"/>
      <c r="AY2" s="201">
        <v>43805</v>
      </c>
      <c r="AZ2" s="202"/>
      <c r="BA2" s="202"/>
      <c r="BB2" s="202"/>
      <c r="BC2" s="203"/>
    </row>
    <row r="3" spans="1:55" s="17" customFormat="1" ht="13.5" customHeight="1" thickBot="1">
      <c r="A3" s="182"/>
      <c r="B3" s="183"/>
      <c r="C3" s="183"/>
      <c r="D3" s="183"/>
      <c r="E3" s="183"/>
      <c r="F3" s="184"/>
      <c r="G3" s="184"/>
      <c r="H3" s="184"/>
      <c r="I3" s="185"/>
      <c r="J3" s="188"/>
      <c r="K3" s="183"/>
      <c r="L3" s="183"/>
      <c r="M3" s="183"/>
      <c r="N3" s="183"/>
      <c r="O3" s="184"/>
      <c r="P3" s="184"/>
      <c r="Q3" s="189"/>
      <c r="R3" s="193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5"/>
      <c r="AJ3" s="198"/>
      <c r="AK3" s="199"/>
      <c r="AL3" s="199"/>
      <c r="AM3" s="199"/>
      <c r="AN3" s="199"/>
      <c r="AO3" s="199"/>
      <c r="AP3" s="199"/>
      <c r="AQ3" s="199"/>
      <c r="AR3" s="199"/>
      <c r="AS3" s="199"/>
      <c r="AT3" s="198"/>
      <c r="AU3" s="199"/>
      <c r="AV3" s="199"/>
      <c r="AW3" s="199"/>
      <c r="AX3" s="199"/>
      <c r="AY3" s="204"/>
      <c r="AZ3" s="204"/>
      <c r="BA3" s="204"/>
      <c r="BB3" s="204"/>
      <c r="BC3" s="205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58" t="s">
        <v>10</v>
      </c>
      <c r="B5" s="159"/>
      <c r="C5" s="159"/>
      <c r="D5" s="159"/>
      <c r="E5" s="159"/>
      <c r="F5" s="159"/>
      <c r="G5" s="159"/>
      <c r="H5" s="159"/>
      <c r="I5" s="160"/>
      <c r="J5" s="167" t="s">
        <v>11</v>
      </c>
      <c r="K5" s="159"/>
      <c r="L5" s="159"/>
      <c r="M5" s="159"/>
      <c r="N5" s="159"/>
      <c r="O5" s="159"/>
      <c r="P5" s="159"/>
      <c r="Q5" s="160"/>
      <c r="R5" s="167" t="s">
        <v>12</v>
      </c>
      <c r="S5" s="159"/>
      <c r="T5" s="159"/>
      <c r="U5" s="160"/>
      <c r="V5" s="167" t="s">
        <v>13</v>
      </c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60"/>
      <c r="AT5" s="167" t="s">
        <v>14</v>
      </c>
      <c r="AU5" s="159"/>
      <c r="AV5" s="159"/>
      <c r="AW5" s="159"/>
      <c r="AX5" s="159"/>
      <c r="AY5" s="159"/>
      <c r="AZ5" s="159"/>
      <c r="BA5" s="159"/>
      <c r="BB5" s="159"/>
      <c r="BC5" s="170"/>
    </row>
    <row r="6" spans="1:55" s="25" customFormat="1" ht="13.5" customHeight="1">
      <c r="A6" s="161"/>
      <c r="B6" s="162"/>
      <c r="C6" s="162"/>
      <c r="D6" s="162"/>
      <c r="E6" s="162"/>
      <c r="F6" s="162"/>
      <c r="G6" s="162"/>
      <c r="H6" s="162"/>
      <c r="I6" s="163"/>
      <c r="J6" s="168"/>
      <c r="K6" s="162"/>
      <c r="L6" s="162"/>
      <c r="M6" s="162"/>
      <c r="N6" s="162"/>
      <c r="O6" s="162"/>
      <c r="P6" s="162"/>
      <c r="Q6" s="163"/>
      <c r="R6" s="168"/>
      <c r="S6" s="162"/>
      <c r="T6" s="162"/>
      <c r="U6" s="163"/>
      <c r="V6" s="168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3"/>
      <c r="AT6" s="168"/>
      <c r="AU6" s="162"/>
      <c r="AV6" s="162"/>
      <c r="AW6" s="162"/>
      <c r="AX6" s="162"/>
      <c r="AY6" s="162"/>
      <c r="AZ6" s="162"/>
      <c r="BA6" s="162"/>
      <c r="BB6" s="162"/>
      <c r="BC6" s="171"/>
    </row>
    <row r="7" spans="1:55" s="25" customFormat="1" ht="13.5" customHeight="1" thickBot="1">
      <c r="A7" s="164"/>
      <c r="B7" s="165"/>
      <c r="C7" s="165"/>
      <c r="D7" s="165"/>
      <c r="E7" s="165"/>
      <c r="F7" s="165"/>
      <c r="G7" s="165"/>
      <c r="H7" s="165"/>
      <c r="I7" s="166"/>
      <c r="J7" s="169"/>
      <c r="K7" s="165"/>
      <c r="L7" s="165"/>
      <c r="M7" s="165"/>
      <c r="N7" s="165"/>
      <c r="O7" s="165"/>
      <c r="P7" s="165"/>
      <c r="Q7" s="166"/>
      <c r="R7" s="169"/>
      <c r="S7" s="165"/>
      <c r="T7" s="165"/>
      <c r="U7" s="166"/>
      <c r="V7" s="169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6"/>
      <c r="AT7" s="169"/>
      <c r="AU7" s="165"/>
      <c r="AV7" s="165"/>
      <c r="AW7" s="165"/>
      <c r="AX7" s="165"/>
      <c r="AY7" s="165"/>
      <c r="AZ7" s="165"/>
      <c r="BA7" s="165"/>
      <c r="BB7" s="165"/>
      <c r="BC7" s="172"/>
    </row>
    <row r="8" spans="1:55" s="25" customFormat="1" ht="13.5" customHeight="1" thickTop="1">
      <c r="A8" s="173">
        <v>1</v>
      </c>
      <c r="B8" s="89"/>
      <c r="C8" s="89"/>
      <c r="D8" s="89"/>
      <c r="E8" s="89"/>
      <c r="F8" s="89"/>
      <c r="G8" s="89"/>
      <c r="H8" s="89"/>
      <c r="I8" s="100"/>
      <c r="J8" s="174">
        <v>43766</v>
      </c>
      <c r="K8" s="91"/>
      <c r="L8" s="91"/>
      <c r="M8" s="91"/>
      <c r="N8" s="91"/>
      <c r="O8" s="91"/>
      <c r="P8" s="91"/>
      <c r="Q8" s="108"/>
      <c r="R8" s="157" t="s">
        <v>15</v>
      </c>
      <c r="S8" s="93"/>
      <c r="T8" s="93"/>
      <c r="U8" s="116"/>
      <c r="V8" s="123" t="s">
        <v>16</v>
      </c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143"/>
      <c r="AT8" s="157" t="s">
        <v>36</v>
      </c>
      <c r="AU8" s="93"/>
      <c r="AV8" s="93"/>
      <c r="AW8" s="93"/>
      <c r="AX8" s="93"/>
      <c r="AY8" s="93"/>
      <c r="AZ8" s="93"/>
      <c r="BA8" s="93"/>
      <c r="BB8" s="93"/>
      <c r="BC8" s="129"/>
    </row>
    <row r="9" spans="1:55" s="25" customFormat="1" ht="13.5" customHeight="1">
      <c r="A9" s="99"/>
      <c r="B9" s="89"/>
      <c r="C9" s="89"/>
      <c r="D9" s="89"/>
      <c r="E9" s="89"/>
      <c r="F9" s="89"/>
      <c r="G9" s="89"/>
      <c r="H9" s="89"/>
      <c r="I9" s="100"/>
      <c r="J9" s="107"/>
      <c r="K9" s="91"/>
      <c r="L9" s="91"/>
      <c r="M9" s="91"/>
      <c r="N9" s="91"/>
      <c r="O9" s="91"/>
      <c r="P9" s="91"/>
      <c r="Q9" s="108"/>
      <c r="R9" s="115"/>
      <c r="S9" s="93"/>
      <c r="T9" s="93"/>
      <c r="U9" s="116"/>
      <c r="V9" s="142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143"/>
      <c r="AT9" s="115"/>
      <c r="AU9" s="93"/>
      <c r="AV9" s="93"/>
      <c r="AW9" s="93"/>
      <c r="AX9" s="93"/>
      <c r="AY9" s="93"/>
      <c r="AZ9" s="93"/>
      <c r="BA9" s="93"/>
      <c r="BB9" s="93"/>
      <c r="BC9" s="129"/>
    </row>
    <row r="10" spans="1:55" s="25" customFormat="1" ht="13.5" customHeight="1">
      <c r="A10" s="101"/>
      <c r="B10" s="102"/>
      <c r="C10" s="102"/>
      <c r="D10" s="102"/>
      <c r="E10" s="102"/>
      <c r="F10" s="102"/>
      <c r="G10" s="102"/>
      <c r="H10" s="102"/>
      <c r="I10" s="103"/>
      <c r="J10" s="109"/>
      <c r="K10" s="110"/>
      <c r="L10" s="110"/>
      <c r="M10" s="110"/>
      <c r="N10" s="110"/>
      <c r="O10" s="110"/>
      <c r="P10" s="110"/>
      <c r="Q10" s="111"/>
      <c r="R10" s="117"/>
      <c r="S10" s="118"/>
      <c r="T10" s="118"/>
      <c r="U10" s="119"/>
      <c r="V10" s="149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1"/>
      <c r="AT10" s="117"/>
      <c r="AU10" s="118"/>
      <c r="AV10" s="118"/>
      <c r="AW10" s="118"/>
      <c r="AX10" s="118"/>
      <c r="AY10" s="118"/>
      <c r="AZ10" s="118"/>
      <c r="BA10" s="118"/>
      <c r="BB10" s="118"/>
      <c r="BC10" s="130"/>
    </row>
    <row r="11" spans="1:55" s="25" customFormat="1" ht="13.5" customHeight="1">
      <c r="A11" s="96">
        <v>1.1000000000000001</v>
      </c>
      <c r="B11" s="97"/>
      <c r="C11" s="97"/>
      <c r="D11" s="97"/>
      <c r="E11" s="97"/>
      <c r="F11" s="97"/>
      <c r="G11" s="97"/>
      <c r="H11" s="97"/>
      <c r="I11" s="98"/>
      <c r="J11" s="104">
        <v>43774</v>
      </c>
      <c r="K11" s="105"/>
      <c r="L11" s="105"/>
      <c r="M11" s="105"/>
      <c r="N11" s="105"/>
      <c r="O11" s="105"/>
      <c r="P11" s="105"/>
      <c r="Q11" s="106"/>
      <c r="R11" s="157" t="s">
        <v>15</v>
      </c>
      <c r="S11" s="93"/>
      <c r="T11" s="93"/>
      <c r="U11" s="116"/>
      <c r="V11" s="152" t="s">
        <v>61</v>
      </c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4"/>
      <c r="AT11" s="157" t="s">
        <v>36</v>
      </c>
      <c r="AU11" s="93"/>
      <c r="AV11" s="93"/>
      <c r="AW11" s="93"/>
      <c r="AX11" s="93"/>
      <c r="AY11" s="93"/>
      <c r="AZ11" s="93"/>
      <c r="BA11" s="93"/>
      <c r="BB11" s="93"/>
      <c r="BC11" s="129"/>
    </row>
    <row r="12" spans="1:55" s="25" customFormat="1" ht="13.5" customHeight="1">
      <c r="A12" s="99"/>
      <c r="B12" s="89"/>
      <c r="C12" s="89"/>
      <c r="D12" s="89"/>
      <c r="E12" s="89"/>
      <c r="F12" s="89"/>
      <c r="G12" s="89"/>
      <c r="H12" s="89"/>
      <c r="I12" s="100"/>
      <c r="J12" s="107"/>
      <c r="K12" s="91"/>
      <c r="L12" s="91"/>
      <c r="M12" s="91"/>
      <c r="N12" s="91"/>
      <c r="O12" s="91"/>
      <c r="P12" s="91"/>
      <c r="Q12" s="108"/>
      <c r="R12" s="115"/>
      <c r="S12" s="93"/>
      <c r="T12" s="93"/>
      <c r="U12" s="116"/>
      <c r="V12" s="123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124"/>
      <c r="AT12" s="115"/>
      <c r="AU12" s="93"/>
      <c r="AV12" s="93"/>
      <c r="AW12" s="93"/>
      <c r="AX12" s="93"/>
      <c r="AY12" s="93"/>
      <c r="AZ12" s="93"/>
      <c r="BA12" s="93"/>
      <c r="BB12" s="93"/>
      <c r="BC12" s="129"/>
    </row>
    <row r="13" spans="1:55" s="25" customFormat="1" ht="13.5" customHeight="1">
      <c r="A13" s="101"/>
      <c r="B13" s="102"/>
      <c r="C13" s="102"/>
      <c r="D13" s="102"/>
      <c r="E13" s="102"/>
      <c r="F13" s="102"/>
      <c r="G13" s="102"/>
      <c r="H13" s="102"/>
      <c r="I13" s="103"/>
      <c r="J13" s="109"/>
      <c r="K13" s="110"/>
      <c r="L13" s="110"/>
      <c r="M13" s="110"/>
      <c r="N13" s="110"/>
      <c r="O13" s="110"/>
      <c r="P13" s="110"/>
      <c r="Q13" s="111"/>
      <c r="R13" s="117"/>
      <c r="S13" s="118"/>
      <c r="T13" s="118"/>
      <c r="U13" s="119"/>
      <c r="V13" s="155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56"/>
      <c r="AT13" s="117"/>
      <c r="AU13" s="118"/>
      <c r="AV13" s="118"/>
      <c r="AW13" s="118"/>
      <c r="AX13" s="118"/>
      <c r="AY13" s="118"/>
      <c r="AZ13" s="118"/>
      <c r="BA13" s="118"/>
      <c r="BB13" s="118"/>
      <c r="BC13" s="130"/>
    </row>
    <row r="14" spans="1:55" s="25" customFormat="1" ht="13.5" customHeight="1">
      <c r="A14" s="96">
        <v>1.2</v>
      </c>
      <c r="B14" s="97"/>
      <c r="C14" s="97"/>
      <c r="D14" s="97"/>
      <c r="E14" s="97"/>
      <c r="F14" s="97"/>
      <c r="G14" s="97"/>
      <c r="H14" s="97"/>
      <c r="I14" s="98"/>
      <c r="J14" s="104">
        <v>43805</v>
      </c>
      <c r="K14" s="105"/>
      <c r="L14" s="105"/>
      <c r="M14" s="105"/>
      <c r="N14" s="105"/>
      <c r="O14" s="105"/>
      <c r="P14" s="105"/>
      <c r="Q14" s="106"/>
      <c r="R14" s="148" t="s">
        <v>15</v>
      </c>
      <c r="S14" s="113"/>
      <c r="T14" s="113"/>
      <c r="U14" s="114"/>
      <c r="V14" s="152" t="s">
        <v>69</v>
      </c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4"/>
      <c r="AT14" s="112" t="s">
        <v>68</v>
      </c>
      <c r="AU14" s="113"/>
      <c r="AV14" s="113"/>
      <c r="AW14" s="113"/>
      <c r="AX14" s="113"/>
      <c r="AY14" s="113"/>
      <c r="AZ14" s="113"/>
      <c r="BA14" s="113"/>
      <c r="BB14" s="113"/>
      <c r="BC14" s="128"/>
    </row>
    <row r="15" spans="1:55" s="25" customFormat="1" ht="13.5" customHeight="1">
      <c r="A15" s="99"/>
      <c r="B15" s="89"/>
      <c r="C15" s="89"/>
      <c r="D15" s="89"/>
      <c r="E15" s="89"/>
      <c r="F15" s="89"/>
      <c r="G15" s="89"/>
      <c r="H15" s="89"/>
      <c r="I15" s="100"/>
      <c r="J15" s="107"/>
      <c r="K15" s="91"/>
      <c r="L15" s="91"/>
      <c r="M15" s="91"/>
      <c r="N15" s="91"/>
      <c r="O15" s="91"/>
      <c r="P15" s="91"/>
      <c r="Q15" s="108"/>
      <c r="R15" s="115"/>
      <c r="S15" s="93"/>
      <c r="T15" s="93"/>
      <c r="U15" s="116"/>
      <c r="V15" s="123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124"/>
      <c r="AT15" s="115"/>
      <c r="AU15" s="93"/>
      <c r="AV15" s="93"/>
      <c r="AW15" s="93"/>
      <c r="AX15" s="93"/>
      <c r="AY15" s="93"/>
      <c r="AZ15" s="93"/>
      <c r="BA15" s="93"/>
      <c r="BB15" s="93"/>
      <c r="BC15" s="129"/>
    </row>
    <row r="16" spans="1:55" s="25" customFormat="1" ht="13.5" customHeight="1">
      <c r="A16" s="101"/>
      <c r="B16" s="102"/>
      <c r="C16" s="102"/>
      <c r="D16" s="102"/>
      <c r="E16" s="102"/>
      <c r="F16" s="102"/>
      <c r="G16" s="102"/>
      <c r="H16" s="102"/>
      <c r="I16" s="103"/>
      <c r="J16" s="109"/>
      <c r="K16" s="110"/>
      <c r="L16" s="110"/>
      <c r="M16" s="110"/>
      <c r="N16" s="110"/>
      <c r="O16" s="110"/>
      <c r="P16" s="110"/>
      <c r="Q16" s="111"/>
      <c r="R16" s="117"/>
      <c r="S16" s="118"/>
      <c r="T16" s="118"/>
      <c r="U16" s="119"/>
      <c r="V16" s="155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56"/>
      <c r="AT16" s="117"/>
      <c r="AU16" s="118"/>
      <c r="AV16" s="118"/>
      <c r="AW16" s="118"/>
      <c r="AX16" s="118"/>
      <c r="AY16" s="118"/>
      <c r="AZ16" s="118"/>
      <c r="BA16" s="118"/>
      <c r="BB16" s="118"/>
      <c r="BC16" s="130"/>
    </row>
    <row r="17" spans="1:55" s="25" customFormat="1" ht="13.5" customHeight="1">
      <c r="A17" s="96"/>
      <c r="B17" s="97"/>
      <c r="C17" s="97"/>
      <c r="D17" s="97"/>
      <c r="E17" s="97"/>
      <c r="F17" s="97"/>
      <c r="G17" s="97"/>
      <c r="H17" s="97"/>
      <c r="I17" s="98"/>
      <c r="J17" s="104"/>
      <c r="K17" s="105"/>
      <c r="L17" s="105"/>
      <c r="M17" s="105"/>
      <c r="N17" s="105"/>
      <c r="O17" s="105"/>
      <c r="P17" s="105"/>
      <c r="Q17" s="106"/>
      <c r="R17" s="148"/>
      <c r="S17" s="113"/>
      <c r="T17" s="113"/>
      <c r="U17" s="114"/>
      <c r="V17" s="12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1"/>
      <c r="AT17" s="112"/>
      <c r="AU17" s="113"/>
      <c r="AV17" s="113"/>
      <c r="AW17" s="113"/>
      <c r="AX17" s="113"/>
      <c r="AY17" s="113"/>
      <c r="AZ17" s="113"/>
      <c r="BA17" s="113"/>
      <c r="BB17" s="113"/>
      <c r="BC17" s="128"/>
    </row>
    <row r="18" spans="1:55" s="25" customFormat="1" ht="13.5" customHeight="1">
      <c r="A18" s="99"/>
      <c r="B18" s="89"/>
      <c r="C18" s="89"/>
      <c r="D18" s="89"/>
      <c r="E18" s="89"/>
      <c r="F18" s="89"/>
      <c r="G18" s="89"/>
      <c r="H18" s="89"/>
      <c r="I18" s="100"/>
      <c r="J18" s="107"/>
      <c r="K18" s="91"/>
      <c r="L18" s="91"/>
      <c r="M18" s="91"/>
      <c r="N18" s="91"/>
      <c r="O18" s="91"/>
      <c r="P18" s="91"/>
      <c r="Q18" s="108"/>
      <c r="R18" s="115"/>
      <c r="S18" s="93"/>
      <c r="T18" s="93"/>
      <c r="U18" s="116"/>
      <c r="V18" s="142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143"/>
      <c r="AT18" s="115"/>
      <c r="AU18" s="93"/>
      <c r="AV18" s="93"/>
      <c r="AW18" s="93"/>
      <c r="AX18" s="93"/>
      <c r="AY18" s="93"/>
      <c r="AZ18" s="93"/>
      <c r="BA18" s="93"/>
      <c r="BB18" s="93"/>
      <c r="BC18" s="129"/>
    </row>
    <row r="19" spans="1:55" s="25" customFormat="1" ht="13.5" customHeight="1">
      <c r="A19" s="101"/>
      <c r="B19" s="102"/>
      <c r="C19" s="102"/>
      <c r="D19" s="102"/>
      <c r="E19" s="102"/>
      <c r="F19" s="102"/>
      <c r="G19" s="102"/>
      <c r="H19" s="102"/>
      <c r="I19" s="103"/>
      <c r="J19" s="109"/>
      <c r="K19" s="110"/>
      <c r="L19" s="110"/>
      <c r="M19" s="110"/>
      <c r="N19" s="110"/>
      <c r="O19" s="110"/>
      <c r="P19" s="110"/>
      <c r="Q19" s="111"/>
      <c r="R19" s="117"/>
      <c r="S19" s="118"/>
      <c r="T19" s="118"/>
      <c r="U19" s="119"/>
      <c r="V19" s="149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1"/>
      <c r="AT19" s="117"/>
      <c r="AU19" s="118"/>
      <c r="AV19" s="118"/>
      <c r="AW19" s="118"/>
      <c r="AX19" s="118"/>
      <c r="AY19" s="118"/>
      <c r="AZ19" s="118"/>
      <c r="BA19" s="118"/>
      <c r="BB19" s="118"/>
      <c r="BC19" s="130"/>
    </row>
    <row r="20" spans="1:55" s="25" customFormat="1" ht="13.5" customHeight="1">
      <c r="A20" s="96"/>
      <c r="B20" s="97"/>
      <c r="C20" s="97"/>
      <c r="D20" s="97"/>
      <c r="E20" s="97"/>
      <c r="F20" s="97"/>
      <c r="G20" s="97"/>
      <c r="H20" s="97"/>
      <c r="I20" s="98"/>
      <c r="J20" s="104"/>
      <c r="K20" s="105"/>
      <c r="L20" s="105"/>
      <c r="M20" s="105"/>
      <c r="N20" s="105"/>
      <c r="O20" s="105"/>
      <c r="P20" s="105"/>
      <c r="Q20" s="106"/>
      <c r="R20" s="148"/>
      <c r="S20" s="113"/>
      <c r="T20" s="113"/>
      <c r="U20" s="114"/>
      <c r="V20" s="12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1"/>
      <c r="AT20" s="112"/>
      <c r="AU20" s="113"/>
      <c r="AV20" s="113"/>
      <c r="AW20" s="113"/>
      <c r="AX20" s="113"/>
      <c r="AY20" s="113"/>
      <c r="AZ20" s="113"/>
      <c r="BA20" s="113"/>
      <c r="BB20" s="113"/>
      <c r="BC20" s="128"/>
    </row>
    <row r="21" spans="1:55" s="25" customFormat="1" ht="13.5" customHeight="1">
      <c r="A21" s="99"/>
      <c r="B21" s="89"/>
      <c r="C21" s="89"/>
      <c r="D21" s="89"/>
      <c r="E21" s="89"/>
      <c r="F21" s="89"/>
      <c r="G21" s="89"/>
      <c r="H21" s="89"/>
      <c r="I21" s="100"/>
      <c r="J21" s="107"/>
      <c r="K21" s="91"/>
      <c r="L21" s="91"/>
      <c r="M21" s="91"/>
      <c r="N21" s="91"/>
      <c r="O21" s="91"/>
      <c r="P21" s="91"/>
      <c r="Q21" s="108"/>
      <c r="R21" s="115"/>
      <c r="S21" s="93"/>
      <c r="T21" s="93"/>
      <c r="U21" s="116"/>
      <c r="V21" s="142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143"/>
      <c r="AT21" s="115"/>
      <c r="AU21" s="93"/>
      <c r="AV21" s="93"/>
      <c r="AW21" s="93"/>
      <c r="AX21" s="93"/>
      <c r="AY21" s="93"/>
      <c r="AZ21" s="93"/>
      <c r="BA21" s="93"/>
      <c r="BB21" s="93"/>
      <c r="BC21" s="129"/>
    </row>
    <row r="22" spans="1:55" s="25" customFormat="1" ht="13.5" customHeight="1">
      <c r="A22" s="101"/>
      <c r="B22" s="102"/>
      <c r="C22" s="102"/>
      <c r="D22" s="102"/>
      <c r="E22" s="102"/>
      <c r="F22" s="102"/>
      <c r="G22" s="102"/>
      <c r="H22" s="102"/>
      <c r="I22" s="103"/>
      <c r="J22" s="109"/>
      <c r="K22" s="110"/>
      <c r="L22" s="110"/>
      <c r="M22" s="110"/>
      <c r="N22" s="110"/>
      <c r="O22" s="110"/>
      <c r="P22" s="110"/>
      <c r="Q22" s="111"/>
      <c r="R22" s="117"/>
      <c r="S22" s="118"/>
      <c r="T22" s="118"/>
      <c r="U22" s="119"/>
      <c r="V22" s="149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1"/>
      <c r="AT22" s="117"/>
      <c r="AU22" s="118"/>
      <c r="AV22" s="118"/>
      <c r="AW22" s="118"/>
      <c r="AX22" s="118"/>
      <c r="AY22" s="118"/>
      <c r="AZ22" s="118"/>
      <c r="BA22" s="118"/>
      <c r="BB22" s="118"/>
      <c r="BC22" s="130"/>
    </row>
    <row r="23" spans="1:55" s="25" customFormat="1" ht="13.5" customHeight="1">
      <c r="A23" s="96"/>
      <c r="B23" s="97"/>
      <c r="C23" s="97"/>
      <c r="D23" s="97"/>
      <c r="E23" s="97"/>
      <c r="F23" s="97"/>
      <c r="G23" s="97"/>
      <c r="H23" s="97"/>
      <c r="I23" s="98"/>
      <c r="J23" s="104"/>
      <c r="K23" s="105"/>
      <c r="L23" s="105"/>
      <c r="M23" s="105"/>
      <c r="N23" s="105"/>
      <c r="O23" s="105"/>
      <c r="P23" s="105"/>
      <c r="Q23" s="106"/>
      <c r="R23" s="148"/>
      <c r="S23" s="113"/>
      <c r="T23" s="113"/>
      <c r="U23" s="114"/>
      <c r="V23" s="12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1"/>
      <c r="AT23" s="112"/>
      <c r="AU23" s="113"/>
      <c r="AV23" s="113"/>
      <c r="AW23" s="113"/>
      <c r="AX23" s="113"/>
      <c r="AY23" s="113"/>
      <c r="AZ23" s="113"/>
      <c r="BA23" s="113"/>
      <c r="BB23" s="113"/>
      <c r="BC23" s="128"/>
    </row>
    <row r="24" spans="1:55" s="25" customFormat="1" ht="13.5" customHeight="1">
      <c r="A24" s="99"/>
      <c r="B24" s="89"/>
      <c r="C24" s="89"/>
      <c r="D24" s="89"/>
      <c r="E24" s="89"/>
      <c r="F24" s="89"/>
      <c r="G24" s="89"/>
      <c r="H24" s="89"/>
      <c r="I24" s="100"/>
      <c r="J24" s="107"/>
      <c r="K24" s="91"/>
      <c r="L24" s="91"/>
      <c r="M24" s="91"/>
      <c r="N24" s="91"/>
      <c r="O24" s="91"/>
      <c r="P24" s="91"/>
      <c r="Q24" s="108"/>
      <c r="R24" s="115"/>
      <c r="S24" s="93"/>
      <c r="T24" s="93"/>
      <c r="U24" s="116"/>
      <c r="V24" s="142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143"/>
      <c r="AT24" s="115"/>
      <c r="AU24" s="93"/>
      <c r="AV24" s="93"/>
      <c r="AW24" s="93"/>
      <c r="AX24" s="93"/>
      <c r="AY24" s="93"/>
      <c r="AZ24" s="93"/>
      <c r="BA24" s="93"/>
      <c r="BB24" s="93"/>
      <c r="BC24" s="129"/>
    </row>
    <row r="25" spans="1:55" s="25" customFormat="1" ht="13.5" customHeight="1">
      <c r="A25" s="101"/>
      <c r="B25" s="102"/>
      <c r="C25" s="102"/>
      <c r="D25" s="102"/>
      <c r="E25" s="102"/>
      <c r="F25" s="102"/>
      <c r="G25" s="102"/>
      <c r="H25" s="102"/>
      <c r="I25" s="103"/>
      <c r="J25" s="109"/>
      <c r="K25" s="110"/>
      <c r="L25" s="110"/>
      <c r="M25" s="110"/>
      <c r="N25" s="110"/>
      <c r="O25" s="110"/>
      <c r="P25" s="110"/>
      <c r="Q25" s="111"/>
      <c r="R25" s="117"/>
      <c r="S25" s="118"/>
      <c r="T25" s="118"/>
      <c r="U25" s="119"/>
      <c r="V25" s="149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1"/>
      <c r="AT25" s="117"/>
      <c r="AU25" s="118"/>
      <c r="AV25" s="118"/>
      <c r="AW25" s="118"/>
      <c r="AX25" s="118"/>
      <c r="AY25" s="118"/>
      <c r="AZ25" s="118"/>
      <c r="BA25" s="118"/>
      <c r="BB25" s="118"/>
      <c r="BC25" s="130"/>
    </row>
    <row r="26" spans="1:55" s="25" customFormat="1" ht="13.5" customHeight="1">
      <c r="A26" s="96"/>
      <c r="B26" s="97"/>
      <c r="C26" s="97"/>
      <c r="D26" s="97"/>
      <c r="E26" s="97"/>
      <c r="F26" s="97"/>
      <c r="G26" s="97"/>
      <c r="H26" s="97"/>
      <c r="I26" s="98"/>
      <c r="J26" s="104"/>
      <c r="K26" s="105"/>
      <c r="L26" s="105"/>
      <c r="M26" s="105"/>
      <c r="N26" s="105"/>
      <c r="O26" s="105"/>
      <c r="P26" s="105"/>
      <c r="Q26" s="106"/>
      <c r="R26" s="112"/>
      <c r="S26" s="113"/>
      <c r="T26" s="113"/>
      <c r="U26" s="114"/>
      <c r="V26" s="120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2"/>
      <c r="AT26" s="112"/>
      <c r="AU26" s="113"/>
      <c r="AV26" s="113"/>
      <c r="AW26" s="113"/>
      <c r="AX26" s="113"/>
      <c r="AY26" s="113"/>
      <c r="AZ26" s="113"/>
      <c r="BA26" s="113"/>
      <c r="BB26" s="113"/>
      <c r="BC26" s="128"/>
    </row>
    <row r="27" spans="1:55" s="25" customFormat="1" ht="13.5" customHeight="1">
      <c r="A27" s="99"/>
      <c r="B27" s="89"/>
      <c r="C27" s="89"/>
      <c r="D27" s="89"/>
      <c r="E27" s="89"/>
      <c r="F27" s="89"/>
      <c r="G27" s="89"/>
      <c r="H27" s="89"/>
      <c r="I27" s="100"/>
      <c r="J27" s="107"/>
      <c r="K27" s="91"/>
      <c r="L27" s="91"/>
      <c r="M27" s="91"/>
      <c r="N27" s="91"/>
      <c r="O27" s="91"/>
      <c r="P27" s="91"/>
      <c r="Q27" s="108"/>
      <c r="R27" s="115"/>
      <c r="S27" s="93"/>
      <c r="T27" s="93"/>
      <c r="U27" s="116"/>
      <c r="V27" s="123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124"/>
      <c r="AT27" s="115"/>
      <c r="AU27" s="93"/>
      <c r="AV27" s="93"/>
      <c r="AW27" s="93"/>
      <c r="AX27" s="93"/>
      <c r="AY27" s="93"/>
      <c r="AZ27" s="93"/>
      <c r="BA27" s="93"/>
      <c r="BB27" s="93"/>
      <c r="BC27" s="129"/>
    </row>
    <row r="28" spans="1:55" s="25" customFormat="1" ht="13.5" customHeight="1">
      <c r="A28" s="101"/>
      <c r="B28" s="102"/>
      <c r="C28" s="102"/>
      <c r="D28" s="102"/>
      <c r="E28" s="102"/>
      <c r="F28" s="102"/>
      <c r="G28" s="102"/>
      <c r="H28" s="102"/>
      <c r="I28" s="103"/>
      <c r="J28" s="109"/>
      <c r="K28" s="110"/>
      <c r="L28" s="110"/>
      <c r="M28" s="110"/>
      <c r="N28" s="110"/>
      <c r="O28" s="110"/>
      <c r="P28" s="110"/>
      <c r="Q28" s="111"/>
      <c r="R28" s="117"/>
      <c r="S28" s="118"/>
      <c r="T28" s="118"/>
      <c r="U28" s="119"/>
      <c r="V28" s="125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7"/>
      <c r="AT28" s="117"/>
      <c r="AU28" s="118"/>
      <c r="AV28" s="118"/>
      <c r="AW28" s="118"/>
      <c r="AX28" s="118"/>
      <c r="AY28" s="118"/>
      <c r="AZ28" s="118"/>
      <c r="BA28" s="118"/>
      <c r="BB28" s="118"/>
      <c r="BC28" s="130"/>
    </row>
    <row r="29" spans="1:55" s="25" customFormat="1" ht="13.5" customHeight="1">
      <c r="A29" s="96"/>
      <c r="B29" s="97"/>
      <c r="C29" s="97"/>
      <c r="D29" s="97"/>
      <c r="E29" s="97"/>
      <c r="F29" s="97"/>
      <c r="G29" s="97"/>
      <c r="H29" s="97"/>
      <c r="I29" s="98"/>
      <c r="J29" s="104"/>
      <c r="K29" s="105"/>
      <c r="L29" s="105"/>
      <c r="M29" s="105"/>
      <c r="N29" s="105"/>
      <c r="O29" s="105"/>
      <c r="P29" s="105"/>
      <c r="Q29" s="106"/>
      <c r="R29" s="112"/>
      <c r="S29" s="113"/>
      <c r="T29" s="113"/>
      <c r="U29" s="114"/>
      <c r="V29" s="12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1"/>
      <c r="AT29" s="112"/>
      <c r="AU29" s="113"/>
      <c r="AV29" s="113"/>
      <c r="AW29" s="113"/>
      <c r="AX29" s="113"/>
      <c r="AY29" s="113"/>
      <c r="AZ29" s="113"/>
      <c r="BA29" s="113"/>
      <c r="BB29" s="113"/>
      <c r="BC29" s="128"/>
    </row>
    <row r="30" spans="1:55" s="25" customFormat="1" ht="13.5" customHeight="1">
      <c r="A30" s="99"/>
      <c r="B30" s="89"/>
      <c r="C30" s="89"/>
      <c r="D30" s="89"/>
      <c r="E30" s="89"/>
      <c r="F30" s="89"/>
      <c r="G30" s="89"/>
      <c r="H30" s="89"/>
      <c r="I30" s="100"/>
      <c r="J30" s="107"/>
      <c r="K30" s="91"/>
      <c r="L30" s="91"/>
      <c r="M30" s="91"/>
      <c r="N30" s="91"/>
      <c r="O30" s="91"/>
      <c r="P30" s="91"/>
      <c r="Q30" s="108"/>
      <c r="R30" s="115"/>
      <c r="S30" s="93"/>
      <c r="T30" s="93"/>
      <c r="U30" s="116"/>
      <c r="V30" s="142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143"/>
      <c r="AT30" s="115"/>
      <c r="AU30" s="93"/>
      <c r="AV30" s="93"/>
      <c r="AW30" s="93"/>
      <c r="AX30" s="93"/>
      <c r="AY30" s="93"/>
      <c r="AZ30" s="93"/>
      <c r="BA30" s="93"/>
      <c r="BB30" s="93"/>
      <c r="BC30" s="129"/>
    </row>
    <row r="31" spans="1:55" s="25" customFormat="1" ht="13.5" customHeight="1" thickBot="1">
      <c r="A31" s="131"/>
      <c r="B31" s="132"/>
      <c r="C31" s="132"/>
      <c r="D31" s="132"/>
      <c r="E31" s="132"/>
      <c r="F31" s="132"/>
      <c r="G31" s="132"/>
      <c r="H31" s="132"/>
      <c r="I31" s="133"/>
      <c r="J31" s="134"/>
      <c r="K31" s="135"/>
      <c r="L31" s="135"/>
      <c r="M31" s="135"/>
      <c r="N31" s="135"/>
      <c r="O31" s="135"/>
      <c r="P31" s="135"/>
      <c r="Q31" s="136"/>
      <c r="R31" s="137"/>
      <c r="S31" s="138"/>
      <c r="T31" s="138"/>
      <c r="U31" s="139"/>
      <c r="V31" s="144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6"/>
      <c r="AT31" s="137"/>
      <c r="AU31" s="138"/>
      <c r="AV31" s="138"/>
      <c r="AW31" s="138"/>
      <c r="AX31" s="138"/>
      <c r="AY31" s="138"/>
      <c r="AZ31" s="138"/>
      <c r="BA31" s="138"/>
      <c r="BB31" s="138"/>
      <c r="BC31" s="147"/>
    </row>
    <row r="32" spans="1:55" s="25" customFormat="1" ht="13.5" customHeight="1">
      <c r="A32" s="88"/>
      <c r="B32" s="89"/>
      <c r="C32" s="89"/>
      <c r="D32" s="89"/>
      <c r="E32" s="89"/>
      <c r="F32" s="89"/>
      <c r="G32" s="89"/>
      <c r="H32" s="89"/>
      <c r="I32" s="89"/>
      <c r="J32" s="90"/>
      <c r="K32" s="91"/>
      <c r="L32" s="91"/>
      <c r="M32" s="91"/>
      <c r="N32" s="91"/>
      <c r="O32" s="91"/>
      <c r="P32" s="91"/>
      <c r="Q32" s="91"/>
      <c r="R32" s="92"/>
      <c r="S32" s="93"/>
      <c r="T32" s="93"/>
      <c r="U32" s="93"/>
      <c r="V32" s="94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2"/>
      <c r="AU32" s="93"/>
      <c r="AV32" s="93"/>
      <c r="AW32" s="93"/>
      <c r="AX32" s="93"/>
      <c r="AY32" s="93"/>
      <c r="AZ32" s="93"/>
      <c r="BA32" s="93"/>
      <c r="BB32" s="93"/>
      <c r="BC32" s="93"/>
    </row>
  </sheetData>
  <mergeCells count="6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1:I13"/>
    <mergeCell ref="J11:Q13"/>
    <mergeCell ref="R11:U13"/>
    <mergeCell ref="V11:AS13"/>
    <mergeCell ref="AT11:BC13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32:I32"/>
    <mergeCell ref="J32:Q32"/>
    <mergeCell ref="R32:U32"/>
    <mergeCell ref="V32:AS32"/>
    <mergeCell ref="AT32:BC32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58"/>
  <sheetViews>
    <sheetView showGridLines="0" tabSelected="1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6" customWidth="1"/>
    <col min="2" max="27" width="2.625" style="36"/>
    <col min="28" max="28" width="2.625" style="36" customWidth="1"/>
    <col min="29" max="41" width="2.625" style="36"/>
    <col min="42" max="43" width="2.625" style="36" customWidth="1"/>
    <col min="44" max="51" width="2.625" style="36"/>
    <col min="52" max="53" width="2.625" style="36" customWidth="1"/>
    <col min="54" max="54" width="2.75" style="36" customWidth="1"/>
    <col min="55" max="55" width="2.375" style="36" customWidth="1"/>
    <col min="56" max="56" width="3.125" style="36" hidden="1" customWidth="1"/>
    <col min="57" max="58" width="2.625" style="36" hidden="1" customWidth="1"/>
    <col min="59" max="16384" width="2.625" style="36"/>
  </cols>
  <sheetData>
    <row r="1" spans="1:55" ht="13.5" customHeight="1">
      <c r="A1" s="206" t="s">
        <v>0</v>
      </c>
      <c r="B1" s="175"/>
      <c r="C1" s="175"/>
      <c r="D1" s="175"/>
      <c r="E1" s="175"/>
      <c r="F1" s="176"/>
      <c r="G1" s="176"/>
      <c r="H1" s="176"/>
      <c r="I1" s="207"/>
      <c r="J1" s="208" t="s">
        <v>1</v>
      </c>
      <c r="K1" s="175"/>
      <c r="L1" s="175"/>
      <c r="M1" s="175"/>
      <c r="N1" s="175"/>
      <c r="O1" s="176"/>
      <c r="P1" s="176"/>
      <c r="Q1" s="176"/>
      <c r="R1" s="209" t="str">
        <f>表紙!S12</f>
        <v>画面レイアウト設計書</v>
      </c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1"/>
      <c r="AJ1" s="212" t="s">
        <v>2</v>
      </c>
      <c r="AK1" s="213"/>
      <c r="AL1" s="213"/>
      <c r="AM1" s="213"/>
      <c r="AN1" s="213"/>
      <c r="AO1" s="214" t="s">
        <v>3</v>
      </c>
      <c r="AP1" s="213"/>
      <c r="AQ1" s="213"/>
      <c r="AR1" s="213"/>
      <c r="AS1" s="213"/>
      <c r="AT1" s="214" t="s">
        <v>4</v>
      </c>
      <c r="AU1" s="213"/>
      <c r="AV1" s="213"/>
      <c r="AW1" s="213"/>
      <c r="AX1" s="213"/>
      <c r="AY1" s="175" t="s">
        <v>5</v>
      </c>
      <c r="AZ1" s="176"/>
      <c r="BA1" s="176"/>
      <c r="BB1" s="176"/>
      <c r="BC1" s="177"/>
    </row>
    <row r="2" spans="1:55" ht="13.5" customHeight="1">
      <c r="A2" s="280" t="str">
        <f>表紙!O10</f>
        <v>13期12月対応</v>
      </c>
      <c r="B2" s="179"/>
      <c r="C2" s="179"/>
      <c r="D2" s="179"/>
      <c r="E2" s="179"/>
      <c r="F2" s="180"/>
      <c r="G2" s="180"/>
      <c r="H2" s="180"/>
      <c r="I2" s="181"/>
      <c r="J2" s="186" t="str">
        <f>表紙!O9</f>
        <v>LMS学習管理システム</v>
      </c>
      <c r="K2" s="179"/>
      <c r="L2" s="179"/>
      <c r="M2" s="179"/>
      <c r="N2" s="179"/>
      <c r="O2" s="180"/>
      <c r="P2" s="180"/>
      <c r="Q2" s="187"/>
      <c r="R2" s="190" t="str">
        <f ca="1">RIGHT(CELL("filename",A1),LEN(CELL("filename",A1))-FIND("]",CELL("filename",A1)))</f>
        <v>成果物登録管理画面（管理者権限）</v>
      </c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2"/>
      <c r="AJ2" s="281" t="s">
        <v>36</v>
      </c>
      <c r="AK2" s="197"/>
      <c r="AL2" s="197"/>
      <c r="AM2" s="197"/>
      <c r="AN2" s="197"/>
      <c r="AO2" s="200">
        <v>43766</v>
      </c>
      <c r="AP2" s="197"/>
      <c r="AQ2" s="282"/>
      <c r="AR2" s="197"/>
      <c r="AS2" s="197"/>
      <c r="AT2" s="281" t="s">
        <v>36</v>
      </c>
      <c r="AU2" s="197"/>
      <c r="AV2" s="282"/>
      <c r="AW2" s="197"/>
      <c r="AX2" s="197"/>
      <c r="AY2" s="201">
        <v>43774</v>
      </c>
      <c r="AZ2" s="202"/>
      <c r="BA2" s="202"/>
      <c r="BB2" s="283"/>
      <c r="BC2" s="203"/>
    </row>
    <row r="3" spans="1:55" ht="13.5" customHeight="1" thickBot="1">
      <c r="A3" s="182"/>
      <c r="B3" s="183"/>
      <c r="C3" s="183"/>
      <c r="D3" s="183"/>
      <c r="E3" s="183"/>
      <c r="F3" s="184"/>
      <c r="G3" s="184"/>
      <c r="H3" s="184"/>
      <c r="I3" s="185"/>
      <c r="J3" s="188"/>
      <c r="K3" s="183"/>
      <c r="L3" s="183"/>
      <c r="M3" s="183"/>
      <c r="N3" s="183"/>
      <c r="O3" s="184"/>
      <c r="P3" s="184"/>
      <c r="Q3" s="189"/>
      <c r="R3" s="193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5"/>
      <c r="AJ3" s="198"/>
      <c r="AK3" s="199"/>
      <c r="AL3" s="199"/>
      <c r="AM3" s="199"/>
      <c r="AN3" s="199"/>
      <c r="AO3" s="199"/>
      <c r="AP3" s="199"/>
      <c r="AQ3" s="199"/>
      <c r="AR3" s="199"/>
      <c r="AS3" s="199"/>
      <c r="AT3" s="198"/>
      <c r="AU3" s="199"/>
      <c r="AV3" s="199"/>
      <c r="AW3" s="199"/>
      <c r="AX3" s="199"/>
      <c r="AY3" s="204"/>
      <c r="AZ3" s="204"/>
      <c r="BA3" s="204"/>
      <c r="BB3" s="204"/>
      <c r="BC3" s="205"/>
    </row>
    <row r="4" spans="1:55" ht="13.5" customHeight="1"/>
    <row r="5" spans="1:55" ht="13.5" customHeight="1">
      <c r="A5" s="31"/>
      <c r="B5" s="30" t="s">
        <v>20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spans="1:55" ht="13.5" customHeight="1">
      <c r="A6" s="31"/>
      <c r="B6" s="37"/>
      <c r="C6" s="38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9"/>
      <c r="AA6" s="37"/>
      <c r="AB6" s="37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1"/>
    </row>
    <row r="7" spans="1:55" ht="13.5" customHeight="1">
      <c r="A7" s="31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1"/>
    </row>
    <row r="8" spans="1:55" ht="13.5" customHeight="1">
      <c r="A8" s="31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1"/>
    </row>
    <row r="9" spans="1:55" ht="13.5" customHeight="1">
      <c r="A9" s="31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1"/>
    </row>
    <row r="10" spans="1:55" ht="13.5" customHeight="1">
      <c r="A10" s="31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1"/>
    </row>
    <row r="11" spans="1:55" ht="13.5" customHeight="1">
      <c r="A11" s="31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1"/>
    </row>
    <row r="12" spans="1:55" ht="13.5" customHeight="1">
      <c r="A12" s="31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1"/>
    </row>
    <row r="13" spans="1:55" ht="13.5" customHeight="1">
      <c r="A13" s="31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1"/>
    </row>
    <row r="14" spans="1:55" ht="13.5" customHeight="1">
      <c r="A14" s="31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1"/>
    </row>
    <row r="15" spans="1:55" ht="13.5" customHeight="1">
      <c r="A15" s="31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1"/>
    </row>
    <row r="16" spans="1:55" ht="13.5" customHeight="1">
      <c r="A16" s="31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1"/>
    </row>
    <row r="17" spans="1:55" ht="13.5" customHeight="1">
      <c r="A17" s="31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1"/>
    </row>
    <row r="18" spans="1:55" ht="13.5" customHeight="1">
      <c r="A18" s="31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1"/>
    </row>
    <row r="19" spans="1:55" ht="13.5" customHeight="1">
      <c r="A19" s="31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1"/>
    </row>
    <row r="20" spans="1:55" ht="13.5" customHeight="1">
      <c r="A20" s="31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1"/>
    </row>
    <row r="21" spans="1:55" ht="13.5" customHeight="1">
      <c r="A21" s="31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1"/>
    </row>
    <row r="22" spans="1:55" ht="13.5" customHeight="1">
      <c r="A22" s="31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1"/>
    </row>
    <row r="23" spans="1:55" ht="13.5" customHeight="1">
      <c r="A23" s="31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1"/>
    </row>
    <row r="24" spans="1:55" ht="13.5" customHeight="1">
      <c r="A24" s="31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1"/>
    </row>
    <row r="25" spans="1:55" ht="13.5" customHeight="1">
      <c r="A25" s="31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1"/>
    </row>
    <row r="26" spans="1:55" ht="13.5" customHeight="1">
      <c r="A26" s="31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1"/>
    </row>
    <row r="27" spans="1:55" ht="13.5" customHeight="1">
      <c r="A27" s="31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1"/>
    </row>
    <row r="28" spans="1:55" ht="13.5" customHeight="1">
      <c r="A28" s="31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1"/>
    </row>
    <row r="29" spans="1:55" ht="13.5" customHeight="1">
      <c r="A29" s="3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1"/>
    </row>
    <row r="30" spans="1:55" ht="13.5" customHeight="1">
      <c r="A30" s="31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1"/>
    </row>
    <row r="31" spans="1:55" ht="13.5" customHeight="1">
      <c r="A31" s="31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1"/>
    </row>
    <row r="32" spans="1:5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spans="1:5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spans="1:55">
      <c r="A34" s="31"/>
      <c r="B34" s="30" t="s">
        <v>32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9"/>
      <c r="BC34" s="31"/>
    </row>
    <row r="35" spans="1:55">
      <c r="A35" s="31"/>
      <c r="B35" s="241" t="s">
        <v>17</v>
      </c>
      <c r="C35" s="243"/>
      <c r="D35" s="267" t="s">
        <v>26</v>
      </c>
      <c r="E35" s="268"/>
      <c r="F35" s="268"/>
      <c r="G35" s="268"/>
      <c r="H35" s="268"/>
      <c r="I35" s="268"/>
      <c r="J35" s="268"/>
      <c r="K35" s="268"/>
      <c r="L35" s="269"/>
      <c r="M35" s="273" t="s">
        <v>21</v>
      </c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5"/>
      <c r="AF35" s="241" t="s">
        <v>18</v>
      </c>
      <c r="AG35" s="242"/>
      <c r="AH35" s="242"/>
      <c r="AI35" s="242"/>
      <c r="AJ35" s="242"/>
      <c r="AK35" s="242"/>
      <c r="AL35" s="242"/>
      <c r="AM35" s="242"/>
      <c r="AN35" s="242"/>
      <c r="AO35" s="242"/>
      <c r="AP35" s="242"/>
      <c r="AQ35" s="242"/>
      <c r="AR35" s="242"/>
      <c r="AS35" s="242"/>
      <c r="AT35" s="242"/>
      <c r="AU35" s="242"/>
      <c r="AV35" s="242"/>
      <c r="AW35" s="242"/>
      <c r="AX35" s="242"/>
      <c r="AY35" s="242"/>
      <c r="AZ35" s="242"/>
      <c r="BA35" s="242"/>
      <c r="BB35" s="243"/>
      <c r="BC35" s="31"/>
    </row>
    <row r="36" spans="1:55">
      <c r="A36" s="31"/>
      <c r="B36" s="244"/>
      <c r="C36" s="246"/>
      <c r="D36" s="270"/>
      <c r="E36" s="271"/>
      <c r="F36" s="271"/>
      <c r="G36" s="271"/>
      <c r="H36" s="271"/>
      <c r="I36" s="271"/>
      <c r="J36" s="271"/>
      <c r="K36" s="271"/>
      <c r="L36" s="272"/>
      <c r="M36" s="273" t="s">
        <v>31</v>
      </c>
      <c r="N36" s="274"/>
      <c r="O36" s="274"/>
      <c r="P36" s="274"/>
      <c r="Q36" s="274"/>
      <c r="R36" s="274"/>
      <c r="S36" s="274"/>
      <c r="T36" s="274"/>
      <c r="U36" s="274"/>
      <c r="V36" s="275"/>
      <c r="W36" s="273" t="s">
        <v>28</v>
      </c>
      <c r="X36" s="274"/>
      <c r="Y36" s="274"/>
      <c r="Z36" s="274"/>
      <c r="AA36" s="274"/>
      <c r="AB36" s="274"/>
      <c r="AC36" s="274"/>
      <c r="AD36" s="274"/>
      <c r="AE36" s="275"/>
      <c r="AF36" s="244"/>
      <c r="AG36" s="245"/>
      <c r="AH36" s="245"/>
      <c r="AI36" s="245"/>
      <c r="AJ36" s="245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/>
      <c r="AV36" s="245"/>
      <c r="AW36" s="245"/>
      <c r="AX36" s="245"/>
      <c r="AY36" s="245"/>
      <c r="AZ36" s="245"/>
      <c r="BA36" s="245"/>
      <c r="BB36" s="246"/>
      <c r="BC36" s="31"/>
    </row>
    <row r="37" spans="1:55">
      <c r="A37" s="31"/>
      <c r="B37" s="60" t="s">
        <v>38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3"/>
      <c r="BC37" s="31"/>
    </row>
    <row r="38" spans="1:55">
      <c r="A38" s="31"/>
      <c r="B38" s="262">
        <v>1</v>
      </c>
      <c r="C38" s="263"/>
      <c r="D38" s="264" t="s">
        <v>37</v>
      </c>
      <c r="E38" s="265"/>
      <c r="F38" s="265"/>
      <c r="G38" s="265"/>
      <c r="H38" s="265"/>
      <c r="I38" s="265"/>
      <c r="J38" s="265"/>
      <c r="K38" s="265"/>
      <c r="L38" s="266"/>
      <c r="M38" s="250" t="s">
        <v>29</v>
      </c>
      <c r="N38" s="251"/>
      <c r="O38" s="251"/>
      <c r="P38" s="251"/>
      <c r="Q38" s="251"/>
      <c r="R38" s="251"/>
      <c r="S38" s="251"/>
      <c r="T38" s="251"/>
      <c r="U38" s="251"/>
      <c r="V38" s="252"/>
      <c r="W38" s="253" t="s">
        <v>29</v>
      </c>
      <c r="X38" s="254"/>
      <c r="Y38" s="254"/>
      <c r="Z38" s="254"/>
      <c r="AA38" s="254"/>
      <c r="AB38" s="254"/>
      <c r="AC38" s="254"/>
      <c r="AD38" s="254"/>
      <c r="AE38" s="255"/>
      <c r="AF38" s="33" t="s">
        <v>50</v>
      </c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27"/>
      <c r="BC38" s="31"/>
    </row>
    <row r="39" spans="1:55">
      <c r="A39" s="31"/>
      <c r="B39" s="262">
        <v>2</v>
      </c>
      <c r="C39" s="263"/>
      <c r="D39" s="247" t="s">
        <v>39</v>
      </c>
      <c r="E39" s="248"/>
      <c r="F39" s="248"/>
      <c r="G39" s="248"/>
      <c r="H39" s="248"/>
      <c r="I39" s="248"/>
      <c r="J39" s="248"/>
      <c r="K39" s="248"/>
      <c r="L39" s="249"/>
      <c r="M39" s="250" t="s">
        <v>29</v>
      </c>
      <c r="N39" s="251"/>
      <c r="O39" s="251"/>
      <c r="P39" s="251"/>
      <c r="Q39" s="251"/>
      <c r="R39" s="251"/>
      <c r="S39" s="251"/>
      <c r="T39" s="251"/>
      <c r="U39" s="251"/>
      <c r="V39" s="252"/>
      <c r="W39" s="253" t="s">
        <v>29</v>
      </c>
      <c r="X39" s="254"/>
      <c r="Y39" s="254"/>
      <c r="Z39" s="254"/>
      <c r="AA39" s="254"/>
      <c r="AB39" s="254"/>
      <c r="AC39" s="254"/>
      <c r="AD39" s="254"/>
      <c r="AE39" s="255"/>
      <c r="AF39" s="33" t="s">
        <v>51</v>
      </c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5"/>
      <c r="BC39" s="31"/>
    </row>
    <row r="40" spans="1:55" ht="21.6" customHeight="1">
      <c r="A40" s="31"/>
      <c r="B40" s="262">
        <v>3</v>
      </c>
      <c r="C40" s="263"/>
      <c r="D40" s="276" t="s">
        <v>65</v>
      </c>
      <c r="E40" s="265"/>
      <c r="F40" s="265"/>
      <c r="G40" s="265"/>
      <c r="H40" s="265"/>
      <c r="I40" s="265"/>
      <c r="J40" s="265"/>
      <c r="K40" s="265"/>
      <c r="L40" s="266"/>
      <c r="M40" s="250" t="s">
        <v>29</v>
      </c>
      <c r="N40" s="251"/>
      <c r="O40" s="251"/>
      <c r="P40" s="251"/>
      <c r="Q40" s="251"/>
      <c r="R40" s="251"/>
      <c r="S40" s="251"/>
      <c r="T40" s="251"/>
      <c r="U40" s="251"/>
      <c r="V40" s="252"/>
      <c r="W40" s="253" t="s">
        <v>29</v>
      </c>
      <c r="X40" s="254"/>
      <c r="Y40" s="254"/>
      <c r="Z40" s="254"/>
      <c r="AA40" s="254"/>
      <c r="AB40" s="254"/>
      <c r="AC40" s="254"/>
      <c r="AD40" s="254"/>
      <c r="AE40" s="255"/>
      <c r="AF40" s="66" t="s">
        <v>66</v>
      </c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7"/>
      <c r="BC40" s="31"/>
    </row>
    <row r="41" spans="1:55">
      <c r="A41" s="31"/>
      <c r="B41" s="40"/>
      <c r="C41" s="40"/>
      <c r="D41" s="32"/>
      <c r="E41" s="32"/>
      <c r="F41" s="32"/>
      <c r="G41" s="32"/>
      <c r="H41" s="32"/>
      <c r="I41" s="32"/>
      <c r="J41" s="32"/>
      <c r="K41" s="32"/>
      <c r="L41" s="32"/>
      <c r="M41" s="41"/>
      <c r="N41" s="41"/>
      <c r="O41" s="41"/>
      <c r="P41" s="41"/>
      <c r="Q41" s="41"/>
      <c r="R41" s="41"/>
      <c r="S41" s="41"/>
      <c r="T41" s="41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31"/>
    </row>
    <row r="43" spans="1:55">
      <c r="B43" s="284" t="s">
        <v>40</v>
      </c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  <c r="AD43" s="284"/>
      <c r="AE43" s="284"/>
      <c r="AF43" s="284"/>
      <c r="AG43" s="284"/>
      <c r="AH43" s="284"/>
      <c r="AI43" s="284"/>
      <c r="AJ43" s="284"/>
      <c r="AK43" s="284"/>
      <c r="AL43" s="284"/>
      <c r="AM43" s="284"/>
      <c r="AN43" s="284"/>
      <c r="AO43" s="284"/>
      <c r="AP43" s="284"/>
      <c r="AQ43" s="284"/>
      <c r="AR43" s="284"/>
      <c r="AS43" s="284"/>
      <c r="AT43" s="284"/>
      <c r="AU43" s="284"/>
      <c r="AV43" s="284"/>
      <c r="AW43" s="284"/>
      <c r="AX43" s="284"/>
      <c r="AY43" s="284"/>
      <c r="AZ43" s="284"/>
      <c r="BA43" s="284"/>
      <c r="BB43" s="284"/>
    </row>
    <row r="44" spans="1:55"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84"/>
      <c r="AB44" s="284"/>
      <c r="AC44" s="284"/>
      <c r="AD44" s="284"/>
      <c r="AE44" s="284"/>
      <c r="AF44" s="284"/>
      <c r="AG44" s="284"/>
      <c r="AH44" s="284"/>
      <c r="AI44" s="284"/>
      <c r="AJ44" s="284"/>
      <c r="AK44" s="284"/>
      <c r="AL44" s="284"/>
      <c r="AM44" s="284"/>
      <c r="AN44" s="284"/>
      <c r="AO44" s="284"/>
      <c r="AP44" s="284"/>
      <c r="AQ44" s="284"/>
      <c r="AR44" s="284"/>
      <c r="AS44" s="284"/>
      <c r="AT44" s="284"/>
      <c r="AU44" s="284"/>
      <c r="AV44" s="284"/>
      <c r="AW44" s="284"/>
      <c r="AX44" s="284"/>
      <c r="AY44" s="284"/>
      <c r="AZ44" s="284"/>
      <c r="BA44" s="284"/>
      <c r="BB44" s="284"/>
    </row>
    <row r="45" spans="1:55">
      <c r="B45" s="42" t="s">
        <v>27</v>
      </c>
    </row>
    <row r="46" spans="1:55">
      <c r="B46" s="290" t="s">
        <v>17</v>
      </c>
      <c r="C46" s="290"/>
      <c r="D46" s="291" t="s">
        <v>26</v>
      </c>
      <c r="E46" s="291"/>
      <c r="F46" s="291"/>
      <c r="G46" s="291"/>
      <c r="H46" s="291"/>
      <c r="I46" s="291"/>
      <c r="J46" s="277" t="s">
        <v>25</v>
      </c>
      <c r="K46" s="278"/>
      <c r="L46" s="278"/>
      <c r="M46" s="278"/>
      <c r="N46" s="278"/>
      <c r="O46" s="279"/>
      <c r="P46" s="277" t="s">
        <v>30</v>
      </c>
      <c r="Q46" s="278"/>
      <c r="R46" s="278"/>
      <c r="S46" s="278"/>
      <c r="T46" s="278"/>
      <c r="U46" s="279"/>
      <c r="V46" s="277" t="s">
        <v>24</v>
      </c>
      <c r="W46" s="279"/>
      <c r="X46" s="277" t="s">
        <v>23</v>
      </c>
      <c r="Y46" s="278"/>
      <c r="Z46" s="279"/>
      <c r="AA46" s="277" t="s">
        <v>41</v>
      </c>
      <c r="AB46" s="278"/>
      <c r="AC46" s="279"/>
      <c r="AD46" s="277" t="s">
        <v>42</v>
      </c>
      <c r="AE46" s="278"/>
      <c r="AF46" s="279"/>
      <c r="AG46" s="285" t="s">
        <v>22</v>
      </c>
      <c r="AH46" s="286"/>
      <c r="AI46" s="286"/>
      <c r="AJ46" s="286"/>
      <c r="AK46" s="286"/>
      <c r="AL46" s="286"/>
      <c r="AM46" s="286"/>
      <c r="AN46" s="286"/>
      <c r="AO46" s="286"/>
      <c r="AP46" s="287"/>
      <c r="AQ46" s="277" t="s">
        <v>18</v>
      </c>
      <c r="AR46" s="278"/>
      <c r="AS46" s="278"/>
      <c r="AT46" s="278"/>
      <c r="AU46" s="278"/>
      <c r="AV46" s="278"/>
      <c r="AW46" s="278"/>
      <c r="AX46" s="278"/>
      <c r="AY46" s="278"/>
      <c r="AZ46" s="278"/>
      <c r="BA46" s="278"/>
      <c r="BB46" s="279"/>
    </row>
    <row r="47" spans="1:55">
      <c r="B47" s="288" t="s">
        <v>38</v>
      </c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  <c r="AN47" s="289"/>
      <c r="AO47" s="289"/>
      <c r="AP47" s="289"/>
      <c r="AQ47" s="289"/>
      <c r="AR47" s="289"/>
      <c r="AS47" s="289"/>
      <c r="AT47" s="289"/>
      <c r="AU47" s="289"/>
      <c r="AV47" s="289"/>
      <c r="AW47" s="289"/>
      <c r="AX47" s="289"/>
      <c r="AY47" s="289"/>
      <c r="AZ47" s="289"/>
      <c r="BA47" s="289"/>
      <c r="BB47" s="43"/>
    </row>
    <row r="48" spans="1:55">
      <c r="B48" s="227">
        <v>1</v>
      </c>
      <c r="C48" s="229"/>
      <c r="D48" s="230" t="s">
        <v>37</v>
      </c>
      <c r="E48" s="231"/>
      <c r="F48" s="231"/>
      <c r="G48" s="231"/>
      <c r="H48" s="231"/>
      <c r="I48" s="232"/>
      <c r="J48" s="222" t="s">
        <v>49</v>
      </c>
      <c r="K48" s="223"/>
      <c r="L48" s="223"/>
      <c r="M48" s="223"/>
      <c r="N48" s="223"/>
      <c r="O48" s="224"/>
      <c r="P48" s="222" t="s">
        <v>50</v>
      </c>
      <c r="Q48" s="223"/>
      <c r="R48" s="223"/>
      <c r="S48" s="223"/>
      <c r="T48" s="223"/>
      <c r="U48" s="224"/>
      <c r="V48" s="227" t="s">
        <v>53</v>
      </c>
      <c r="W48" s="229"/>
      <c r="X48" s="227" t="s">
        <v>29</v>
      </c>
      <c r="Y48" s="228"/>
      <c r="Z48" s="229"/>
      <c r="AA48" s="227" t="s">
        <v>29</v>
      </c>
      <c r="AB48" s="228"/>
      <c r="AC48" s="229"/>
      <c r="AD48" s="227" t="s">
        <v>29</v>
      </c>
      <c r="AE48" s="228"/>
      <c r="AF48" s="229"/>
      <c r="AG48" s="230" t="s">
        <v>29</v>
      </c>
      <c r="AH48" s="231"/>
      <c r="AI48" s="231"/>
      <c r="AJ48" s="231"/>
      <c r="AK48" s="231"/>
      <c r="AL48" s="231"/>
      <c r="AM48" s="231"/>
      <c r="AN48" s="231"/>
      <c r="AO48" s="231"/>
      <c r="AP48" s="232"/>
      <c r="AQ48" s="222"/>
      <c r="AR48" s="223"/>
      <c r="AS48" s="223"/>
      <c r="AT48" s="223"/>
      <c r="AU48" s="223"/>
      <c r="AV48" s="223"/>
      <c r="AW48" s="223"/>
      <c r="AX48" s="223"/>
      <c r="AY48" s="223"/>
      <c r="AZ48" s="223"/>
      <c r="BA48" s="223"/>
      <c r="BB48" s="224"/>
    </row>
    <row r="49" spans="1:55">
      <c r="B49" s="225">
        <v>2</v>
      </c>
      <c r="C49" s="226"/>
      <c r="D49" s="49" t="s">
        <v>39</v>
      </c>
      <c r="E49" s="50"/>
      <c r="F49" s="50"/>
      <c r="G49" s="50"/>
      <c r="H49" s="50"/>
      <c r="I49" s="51"/>
      <c r="J49" s="256" t="s">
        <v>52</v>
      </c>
      <c r="K49" s="257"/>
      <c r="L49" s="257"/>
      <c r="M49" s="257"/>
      <c r="N49" s="257"/>
      <c r="O49" s="258"/>
      <c r="P49" s="222" t="s">
        <v>60</v>
      </c>
      <c r="Q49" s="223"/>
      <c r="R49" s="223"/>
      <c r="S49" s="223"/>
      <c r="T49" s="223"/>
      <c r="U49" s="224"/>
      <c r="V49" s="225" t="s">
        <v>53</v>
      </c>
      <c r="W49" s="226"/>
      <c r="X49" s="227" t="s">
        <v>29</v>
      </c>
      <c r="Y49" s="228"/>
      <c r="Z49" s="229"/>
      <c r="AA49" s="227" t="s">
        <v>29</v>
      </c>
      <c r="AB49" s="228"/>
      <c r="AC49" s="229"/>
      <c r="AD49" s="227" t="s">
        <v>29</v>
      </c>
      <c r="AE49" s="228"/>
      <c r="AF49" s="229"/>
      <c r="AG49" s="259" t="s">
        <v>29</v>
      </c>
      <c r="AH49" s="260"/>
      <c r="AI49" s="260"/>
      <c r="AJ49" s="260"/>
      <c r="AK49" s="260"/>
      <c r="AL49" s="260"/>
      <c r="AM49" s="260"/>
      <c r="AN49" s="260"/>
      <c r="AO49" s="260"/>
      <c r="AP49" s="261"/>
      <c r="AQ49" s="55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7"/>
    </row>
    <row r="50" spans="1:55" ht="21.6" customHeight="1">
      <c r="B50" s="227">
        <v>3</v>
      </c>
      <c r="C50" s="229"/>
      <c r="D50" s="238" t="s">
        <v>63</v>
      </c>
      <c r="E50" s="239"/>
      <c r="F50" s="239"/>
      <c r="G50" s="239"/>
      <c r="H50" s="239"/>
      <c r="I50" s="240"/>
      <c r="J50" s="222" t="s">
        <v>62</v>
      </c>
      <c r="K50" s="223"/>
      <c r="L50" s="223"/>
      <c r="M50" s="223"/>
      <c r="N50" s="223"/>
      <c r="O50" s="224"/>
      <c r="P50" s="222" t="s">
        <v>60</v>
      </c>
      <c r="Q50" s="223"/>
      <c r="R50" s="223"/>
      <c r="S50" s="223"/>
      <c r="T50" s="223"/>
      <c r="U50" s="224"/>
      <c r="V50" s="225" t="s">
        <v>53</v>
      </c>
      <c r="W50" s="226"/>
      <c r="X50" s="227" t="s">
        <v>29</v>
      </c>
      <c r="Y50" s="228"/>
      <c r="Z50" s="229"/>
      <c r="AA50" s="227" t="s">
        <v>29</v>
      </c>
      <c r="AB50" s="228"/>
      <c r="AC50" s="229"/>
      <c r="AD50" s="227" t="s">
        <v>29</v>
      </c>
      <c r="AE50" s="228"/>
      <c r="AF50" s="229"/>
      <c r="AG50" s="230" t="s">
        <v>29</v>
      </c>
      <c r="AH50" s="231"/>
      <c r="AI50" s="231"/>
      <c r="AJ50" s="231"/>
      <c r="AK50" s="231"/>
      <c r="AL50" s="231"/>
      <c r="AM50" s="231"/>
      <c r="AN50" s="231"/>
      <c r="AO50" s="231"/>
      <c r="AP50" s="232"/>
      <c r="AQ50" s="52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4"/>
    </row>
    <row r="51" spans="1:55">
      <c r="B51" s="227">
        <v>4</v>
      </c>
      <c r="C51" s="229"/>
      <c r="D51" s="230" t="s">
        <v>33</v>
      </c>
      <c r="E51" s="231"/>
      <c r="F51" s="231"/>
      <c r="G51" s="231"/>
      <c r="H51" s="231"/>
      <c r="I51" s="232"/>
      <c r="J51" s="222" t="s">
        <v>29</v>
      </c>
      <c r="K51" s="223"/>
      <c r="L51" s="223"/>
      <c r="M51" s="223"/>
      <c r="N51" s="223"/>
      <c r="O51" s="224"/>
      <c r="P51" s="222" t="s">
        <v>43</v>
      </c>
      <c r="Q51" s="223"/>
      <c r="R51" s="223"/>
      <c r="S51" s="223"/>
      <c r="T51" s="223"/>
      <c r="U51" s="224"/>
      <c r="V51" s="227" t="s">
        <v>29</v>
      </c>
      <c r="W51" s="229"/>
      <c r="X51" s="227" t="s">
        <v>29</v>
      </c>
      <c r="Y51" s="228"/>
      <c r="Z51" s="229"/>
      <c r="AA51" s="227" t="s">
        <v>29</v>
      </c>
      <c r="AB51" s="228"/>
      <c r="AC51" s="229"/>
      <c r="AD51" s="227" t="s">
        <v>29</v>
      </c>
      <c r="AE51" s="228"/>
      <c r="AF51" s="229"/>
      <c r="AG51" s="230" t="s">
        <v>29</v>
      </c>
      <c r="AH51" s="231"/>
      <c r="AI51" s="231"/>
      <c r="AJ51" s="231"/>
      <c r="AK51" s="231"/>
      <c r="AL51" s="231"/>
      <c r="AM51" s="231"/>
      <c r="AN51" s="231"/>
      <c r="AO51" s="231"/>
      <c r="AP51" s="232"/>
      <c r="AQ51" s="222" t="s">
        <v>64</v>
      </c>
      <c r="AR51" s="223"/>
      <c r="AS51" s="223"/>
      <c r="AT51" s="223"/>
      <c r="AU51" s="223"/>
      <c r="AV51" s="223"/>
      <c r="AW51" s="223"/>
      <c r="AX51" s="223"/>
      <c r="AY51" s="223"/>
      <c r="AZ51" s="223"/>
      <c r="BA51" s="223"/>
      <c r="BB51" s="224"/>
    </row>
    <row r="53" spans="1:55">
      <c r="B53" s="44"/>
      <c r="C53" s="44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</row>
    <row r="54" spans="1:55">
      <c r="A54" s="64"/>
      <c r="B54" s="65" t="s">
        <v>44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47"/>
      <c r="BC54" s="64"/>
    </row>
    <row r="55" spans="1:55">
      <c r="A55" s="64"/>
      <c r="B55" s="234" t="s">
        <v>17</v>
      </c>
      <c r="C55" s="234"/>
      <c r="D55" s="234" t="s">
        <v>45</v>
      </c>
      <c r="E55" s="234"/>
      <c r="F55" s="234"/>
      <c r="G55" s="234"/>
      <c r="H55" s="234"/>
      <c r="I55" s="234"/>
      <c r="J55" s="234"/>
      <c r="K55" s="234"/>
      <c r="L55" s="234"/>
      <c r="M55" s="234" t="s">
        <v>46</v>
      </c>
      <c r="N55" s="234"/>
      <c r="O55" s="234"/>
      <c r="P55" s="234"/>
      <c r="Q55" s="234"/>
      <c r="R55" s="234"/>
      <c r="S55" s="234"/>
      <c r="T55" s="234"/>
      <c r="U55" s="234"/>
      <c r="V55" s="234"/>
      <c r="W55" s="234" t="s">
        <v>47</v>
      </c>
      <c r="X55" s="234"/>
      <c r="Y55" s="234"/>
      <c r="Z55" s="234"/>
      <c r="AA55" s="234"/>
      <c r="AB55" s="234"/>
      <c r="AC55" s="234"/>
      <c r="AD55" s="234"/>
      <c r="AE55" s="234"/>
      <c r="AF55" s="235" t="s">
        <v>48</v>
      </c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7"/>
      <c r="BC55" s="47"/>
    </row>
    <row r="56" spans="1:55">
      <c r="B56" s="233">
        <v>1</v>
      </c>
      <c r="C56" s="233"/>
      <c r="D56" s="219" t="s">
        <v>54</v>
      </c>
      <c r="E56" s="220"/>
      <c r="F56" s="220"/>
      <c r="G56" s="220"/>
      <c r="H56" s="220"/>
      <c r="I56" s="220"/>
      <c r="J56" s="220"/>
      <c r="K56" s="220"/>
      <c r="L56" s="221"/>
      <c r="M56" s="215" t="s">
        <v>56</v>
      </c>
      <c r="N56" s="216"/>
      <c r="O56" s="216"/>
      <c r="P56" s="216"/>
      <c r="Q56" s="216"/>
      <c r="R56" s="216"/>
      <c r="S56" s="216"/>
      <c r="T56" s="216"/>
      <c r="U56" s="216"/>
      <c r="V56" s="217"/>
      <c r="W56" s="218" t="s">
        <v>55</v>
      </c>
      <c r="X56" s="218"/>
      <c r="Y56" s="218"/>
      <c r="Z56" s="218"/>
      <c r="AA56" s="218"/>
      <c r="AB56" s="218"/>
      <c r="AC56" s="218"/>
      <c r="AD56" s="218"/>
      <c r="AE56" s="218"/>
      <c r="AF56" s="215"/>
      <c r="AG56" s="216"/>
      <c r="AH56" s="216"/>
      <c r="AI56" s="216"/>
      <c r="AJ56" s="216"/>
      <c r="AK56" s="216"/>
      <c r="AL56" s="216"/>
      <c r="AM56" s="216"/>
      <c r="AN56" s="216"/>
      <c r="AO56" s="216"/>
      <c r="AP56" s="216"/>
      <c r="AQ56" s="216"/>
      <c r="AR56" s="216"/>
      <c r="AS56" s="216"/>
      <c r="AT56" s="216"/>
      <c r="AU56" s="216"/>
      <c r="AV56" s="216"/>
      <c r="AW56" s="216"/>
      <c r="AX56" s="216"/>
      <c r="AY56" s="216"/>
      <c r="AZ56" s="216"/>
      <c r="BA56" s="216"/>
      <c r="BB56" s="217"/>
    </row>
    <row r="57" spans="1:55">
      <c r="A57" s="64"/>
      <c r="B57" s="233">
        <v>2</v>
      </c>
      <c r="C57" s="233"/>
      <c r="D57" s="219" t="s">
        <v>57</v>
      </c>
      <c r="E57" s="220"/>
      <c r="F57" s="220"/>
      <c r="G57" s="220"/>
      <c r="H57" s="220"/>
      <c r="I57" s="220"/>
      <c r="J57" s="220"/>
      <c r="K57" s="220"/>
      <c r="L57" s="221"/>
      <c r="M57" s="215" t="s">
        <v>56</v>
      </c>
      <c r="N57" s="216"/>
      <c r="O57" s="216"/>
      <c r="P57" s="216"/>
      <c r="Q57" s="216"/>
      <c r="R57" s="216"/>
      <c r="S57" s="216"/>
      <c r="T57" s="216"/>
      <c r="U57" s="216"/>
      <c r="V57" s="217"/>
      <c r="W57" s="218" t="s">
        <v>58</v>
      </c>
      <c r="X57" s="218"/>
      <c r="Y57" s="218"/>
      <c r="Z57" s="218"/>
      <c r="AA57" s="218"/>
      <c r="AB57" s="218"/>
      <c r="AC57" s="218"/>
      <c r="AD57" s="218"/>
      <c r="AE57" s="218"/>
      <c r="AF57" s="215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  <c r="AU57" s="216"/>
      <c r="AV57" s="216"/>
      <c r="AW57" s="216"/>
      <c r="AX57" s="216"/>
      <c r="AY57" s="216"/>
      <c r="AZ57" s="216"/>
      <c r="BA57" s="216"/>
      <c r="BB57" s="217"/>
      <c r="BC57" s="48"/>
    </row>
    <row r="58" spans="1:55">
      <c r="A58" s="64"/>
      <c r="B58" s="233">
        <v>3</v>
      </c>
      <c r="C58" s="233"/>
      <c r="D58" s="219" t="s">
        <v>70</v>
      </c>
      <c r="E58" s="220"/>
      <c r="F58" s="220"/>
      <c r="G58" s="220"/>
      <c r="H58" s="220"/>
      <c r="I58" s="220"/>
      <c r="J58" s="220"/>
      <c r="K58" s="220"/>
      <c r="L58" s="221"/>
      <c r="M58" s="215" t="s">
        <v>56</v>
      </c>
      <c r="N58" s="216"/>
      <c r="O58" s="216"/>
      <c r="P58" s="216"/>
      <c r="Q58" s="216"/>
      <c r="R58" s="216"/>
      <c r="S58" s="216"/>
      <c r="T58" s="216"/>
      <c r="U58" s="216"/>
      <c r="V58" s="217"/>
      <c r="W58" s="218" t="s">
        <v>71</v>
      </c>
      <c r="X58" s="218"/>
      <c r="Y58" s="218"/>
      <c r="Z58" s="218"/>
      <c r="AA58" s="218"/>
      <c r="AB58" s="218"/>
      <c r="AC58" s="218"/>
      <c r="AD58" s="218"/>
      <c r="AE58" s="218"/>
      <c r="AF58" s="215"/>
      <c r="AG58" s="216"/>
      <c r="AH58" s="216"/>
      <c r="AI58" s="216"/>
      <c r="AJ58" s="216"/>
      <c r="AK58" s="216"/>
      <c r="AL58" s="216"/>
      <c r="AM58" s="216"/>
      <c r="AN58" s="216"/>
      <c r="AO58" s="216"/>
      <c r="AP58" s="216"/>
      <c r="AQ58" s="216"/>
      <c r="AR58" s="216"/>
      <c r="AS58" s="216"/>
      <c r="AT58" s="216"/>
      <c r="AU58" s="216"/>
      <c r="AV58" s="216"/>
      <c r="AW58" s="216"/>
      <c r="AX58" s="216"/>
      <c r="AY58" s="216"/>
      <c r="AZ58" s="216"/>
      <c r="BA58" s="216"/>
      <c r="BB58" s="217"/>
      <c r="BC58" s="48"/>
    </row>
  </sheetData>
  <mergeCells count="101">
    <mergeCell ref="B47:BA47"/>
    <mergeCell ref="B48:C48"/>
    <mergeCell ref="D48:I48"/>
    <mergeCell ref="J48:O48"/>
    <mergeCell ref="P48:U48"/>
    <mergeCell ref="V48:W48"/>
    <mergeCell ref="B46:C46"/>
    <mergeCell ref="D46:I46"/>
    <mergeCell ref="J46:O46"/>
    <mergeCell ref="P46:U46"/>
    <mergeCell ref="V46:W46"/>
    <mergeCell ref="X46:Z46"/>
    <mergeCell ref="AA46:AC46"/>
    <mergeCell ref="B40:C40"/>
    <mergeCell ref="D40:L40"/>
    <mergeCell ref="M40:V40"/>
    <mergeCell ref="W40:AE40"/>
    <mergeCell ref="B39:C39"/>
    <mergeCell ref="AD46:AF4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35:C36"/>
    <mergeCell ref="B43:BB44"/>
    <mergeCell ref="AG46:AP46"/>
    <mergeCell ref="AQ46:BB46"/>
    <mergeCell ref="AF35:BB36"/>
    <mergeCell ref="D39:L39"/>
    <mergeCell ref="M39:V39"/>
    <mergeCell ref="W39:AE39"/>
    <mergeCell ref="B49:C49"/>
    <mergeCell ref="J49:O49"/>
    <mergeCell ref="P49:U49"/>
    <mergeCell ref="V49:W49"/>
    <mergeCell ref="X49:Z49"/>
    <mergeCell ref="AA49:AC49"/>
    <mergeCell ref="AD49:AF49"/>
    <mergeCell ref="AG49:AP49"/>
    <mergeCell ref="X48:Z48"/>
    <mergeCell ref="AA48:AC48"/>
    <mergeCell ref="AD48:AF48"/>
    <mergeCell ref="AG48:AP48"/>
    <mergeCell ref="B38:C38"/>
    <mergeCell ref="D38:L38"/>
    <mergeCell ref="M38:V38"/>
    <mergeCell ref="W38:AE38"/>
    <mergeCell ref="D35:L36"/>
    <mergeCell ref="M35:AE35"/>
    <mergeCell ref="M36:V36"/>
    <mergeCell ref="W36:AE36"/>
    <mergeCell ref="B58:C58"/>
    <mergeCell ref="B57:C57"/>
    <mergeCell ref="B56:C56"/>
    <mergeCell ref="B55:C55"/>
    <mergeCell ref="B50:C50"/>
    <mergeCell ref="D55:L55"/>
    <mergeCell ref="M55:V55"/>
    <mergeCell ref="W55:AE55"/>
    <mergeCell ref="AF55:BB55"/>
    <mergeCell ref="D56:L56"/>
    <mergeCell ref="M56:V56"/>
    <mergeCell ref="W56:AE56"/>
    <mergeCell ref="AF56:BB56"/>
    <mergeCell ref="D57:L57"/>
    <mergeCell ref="B51:C51"/>
    <mergeCell ref="D51:I51"/>
    <mergeCell ref="J51:O51"/>
    <mergeCell ref="P51:U51"/>
    <mergeCell ref="V51:W51"/>
    <mergeCell ref="X51:Z51"/>
    <mergeCell ref="AA51:AC51"/>
    <mergeCell ref="AD51:AF51"/>
    <mergeCell ref="AG51:AP51"/>
    <mergeCell ref="D50:I50"/>
    <mergeCell ref="M57:V57"/>
    <mergeCell ref="W57:AE57"/>
    <mergeCell ref="AF57:BB57"/>
    <mergeCell ref="D58:L58"/>
    <mergeCell ref="M58:V58"/>
    <mergeCell ref="W58:AE58"/>
    <mergeCell ref="AF58:BB58"/>
    <mergeCell ref="AQ48:BB48"/>
    <mergeCell ref="AQ51:BB51"/>
    <mergeCell ref="J50:O50"/>
    <mergeCell ref="P50:U50"/>
    <mergeCell ref="V50:W50"/>
    <mergeCell ref="X50:Z50"/>
    <mergeCell ref="AA50:AC50"/>
    <mergeCell ref="AD50:AF50"/>
    <mergeCell ref="AG50:AP50"/>
  </mergeCells>
  <phoneticPr fontId="1"/>
  <pageMargins left="0.23622047244094491" right="0.23622047244094491" top="0.55118110236220474" bottom="0.74803149606299213" header="0.31496062992125984" footer="0.31496062992125984"/>
  <pageSetup paperSize="9" scale="47" orientation="landscape" r:id="rId1"/>
  <headerFoot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成果物登録管理画面（管理者権限）</vt:lpstr>
      <vt:lpstr>更新履歴!Print_Area</vt:lpstr>
      <vt:lpstr>'成果物登録管理画面（管理者権限）'!Print_Area</vt:lpstr>
      <vt:lpstr>'成果物登録管理画面（管理者権限）'!Print_Titles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2020-01-14T04:54:32Z</dcterms:modified>
</cp:coreProperties>
</file>