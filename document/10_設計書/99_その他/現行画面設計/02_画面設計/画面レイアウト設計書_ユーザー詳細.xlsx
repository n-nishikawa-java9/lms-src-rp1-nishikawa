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.4sss.info\02_社内開発\【開発】新LMS\12_13期課題対応\20_基本設計\02.01月対応分\02_画面設計\"/>
    </mc:Choice>
  </mc:AlternateContent>
  <xr:revisionPtr revIDLastSave="0" documentId="13_ncr:1_{EA7FCE01-BB9D-43F2-A4A6-F407C1211C7B}" xr6:coauthVersionLast="45" xr6:coauthVersionMax="45" xr10:uidLastSave="{00000000-0000-0000-0000-000000000000}"/>
  <bookViews>
    <workbookView xWindow="-20610" yWindow="-120" windowWidth="20730" windowHeight="11160" tabRatio="843" xr2:uid="{00000000-000D-0000-FFFF-FFFF00000000}"/>
  </bookViews>
  <sheets>
    <sheet name="表紙" sheetId="35" r:id="rId1"/>
    <sheet name="更新履歴" sheetId="36" r:id="rId2"/>
    <sheet name="ユーザー詳細_受講生（受講生権限）" sheetId="1" r:id="rId3"/>
    <sheet name="ユーザー詳細_受講生(講師権限)" sheetId="34" r:id="rId4"/>
    <sheet name="ユーザー詳細_受講生(企業担当者権限)" sheetId="25" r:id="rId5"/>
    <sheet name="ユーザー詳細_受講生(育成担当者権限)" sheetId="37" r:id="rId6"/>
    <sheet name="ユーザー詳細_受講生(管理者権限）" sheetId="10" r:id="rId7"/>
    <sheet name="ユーザー詳細_講師(管理者権限) " sheetId="17" r:id="rId8"/>
    <sheet name="ユーザー詳細_企業担当者(管理者権限)" sheetId="5" r:id="rId9"/>
    <sheet name="ユーザー詳細_企業担当者(企業担当者権限・育成担当者権限)" sheetId="23" r:id="rId10"/>
    <sheet name="ユーザー詳細_管理者(管理者権限)" sheetId="18" r:id="rId11"/>
    <sheet name="ユーザー詳細_育成担当者(管理者権限)" sheetId="19" r:id="rId12"/>
    <sheet name="ユーザー詳細_育成担当者(企業担当者権限)" sheetId="38" r:id="rId13"/>
    <sheet name="ユーザー詳細_育成担当者(育成担当者権限)" sheetId="22" r:id="rId14"/>
  </sheets>
  <externalReferences>
    <externalReference r:id="rId15"/>
    <externalReference r:id="rId16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5">#REF!</definedName>
    <definedName name="Excel_BuiltIn_Print_Area_3">#REF!</definedName>
    <definedName name="Excel_BuiltIn_Print_Area_3_3" localSheetId="5">#REF!</definedName>
    <definedName name="Excel_BuiltIn_Print_Area_3_3">#REF!</definedName>
    <definedName name="Excel_BuiltIn_Print_Area_3_4" localSheetId="5">#REF!</definedName>
    <definedName name="Excel_BuiltIn_Print_Area_3_4">#REF!</definedName>
    <definedName name="Excel_BuiltIn_Print_Titles_3" localSheetId="5">#REF!</definedName>
    <definedName name="Excel_BuiltIn_Print_Titles_3">#REF!</definedName>
    <definedName name="Excel_BuiltIn_Print_Titles_3_3" localSheetId="5">#REF!</definedName>
    <definedName name="Excel_BuiltIn_Print_Titles_3_3">#REF!</definedName>
    <definedName name="Excel_BuiltIn_Print_Titles_3_4" localSheetId="5">#REF!</definedName>
    <definedName name="Excel_BuiltIn_Print_Titles_3_4">#REF!</definedName>
    <definedName name="Excel_BuiltIn_Print_Titles_6" localSheetId="5">#REF!</definedName>
    <definedName name="Excel_BuiltIn_Print_Titles_6">#REF!</definedName>
    <definedName name="Excel_BuiltIn_Print_Titles_6_3" localSheetId="5">#REF!</definedName>
    <definedName name="Excel_BuiltIn_Print_Titles_6_3">#REF!</definedName>
    <definedName name="Excel_BuiltIn_Print_Titles_6_4" localSheetId="5">#REF!</definedName>
    <definedName name="Excel_BuiltIn_Print_Titles_6_4">#REF!</definedName>
    <definedName name="Excel_BuiltIn_Print_Titles_7" localSheetId="5">[1]SW!#REF!</definedName>
    <definedName name="Excel_BuiltIn_Print_Titles_7">[1]SW!#REF!</definedName>
    <definedName name="Excel_BuiltIn_Print_Titles_7_3" localSheetId="5">[2]SW!#REF!</definedName>
    <definedName name="Excel_BuiltIn_Print_Titles_7_3">[2]SW!#REF!</definedName>
    <definedName name="Excel_BuiltIn_Print_Titles_7_4" localSheetId="5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3">'ユーザー詳細_育成担当者(育成担当者権限)'!$A$1:$AX$41</definedName>
    <definedName name="_xlnm.Print_Area" localSheetId="11">'ユーザー詳細_育成担当者(管理者権限)'!$A$1:$AX$74</definedName>
    <definedName name="_xlnm.Print_Area" localSheetId="12">'ユーザー詳細_育成担当者(企業担当者権限)'!$A$1:$AX$41</definedName>
    <definedName name="_xlnm.Print_Area" localSheetId="10">'ユーザー詳細_管理者(管理者権限)'!$A$1:$AX$74</definedName>
    <definedName name="_xlnm.Print_Area" localSheetId="8">'ユーザー詳細_企業担当者(管理者権限)'!$A$1:$AX$74</definedName>
    <definedName name="_xlnm.Print_Area" localSheetId="9">'ユーザー詳細_企業担当者(企業担当者権限・育成担当者権限)'!$A$1:$AX$41</definedName>
    <definedName name="_xlnm.Print_Area" localSheetId="7">'ユーザー詳細_講師(管理者権限) '!$A$1:$AX$74</definedName>
    <definedName name="_xlnm.Print_Area" localSheetId="5">'ユーザー詳細_受講生(育成担当者権限)'!$A$1:$BC$127</definedName>
    <definedName name="_xlnm.Print_Area" localSheetId="6">'ユーザー詳細_受講生(管理者権限）'!$A$1:$BC$278</definedName>
    <definedName name="_xlnm.Print_Area" localSheetId="4">'ユーザー詳細_受講生(企業担当者権限)'!$A$1:$BC$128</definedName>
    <definedName name="_xlnm.Print_Area" localSheetId="3">'ユーザー詳細_受講生(講師権限)'!$A$1:$AX$295</definedName>
    <definedName name="_xlnm.Print_Area" localSheetId="2">'ユーザー詳細_受講生（受講生権限）'!$A$1:$AX$167</definedName>
    <definedName name="_xlnm.Print_Area" localSheetId="1">更新履歴!$A$1:$BC$41</definedName>
    <definedName name="_xlnm.Print_Titles" localSheetId="13">'ユーザー詳細_育成担当者(育成担当者権限)'!$1:$4</definedName>
    <definedName name="_xlnm.Print_Titles" localSheetId="11">'ユーザー詳細_育成担当者(管理者権限)'!$1:$4</definedName>
    <definedName name="_xlnm.Print_Titles" localSheetId="12">'ユーザー詳細_育成担当者(企業担当者権限)'!$1:$4</definedName>
    <definedName name="_xlnm.Print_Titles" localSheetId="10">'ユーザー詳細_管理者(管理者権限)'!$1:$4</definedName>
    <definedName name="_xlnm.Print_Titles" localSheetId="8">'ユーザー詳細_企業担当者(管理者権限)'!$1:$4</definedName>
    <definedName name="_xlnm.Print_Titles" localSheetId="9">'ユーザー詳細_企業担当者(企業担当者権限・育成担当者権限)'!$1:$4</definedName>
    <definedName name="_xlnm.Print_Titles" localSheetId="7">'ユーザー詳細_講師(管理者権限) '!$1:$4</definedName>
    <definedName name="_xlnm.Print_Titles" localSheetId="5">'ユーザー詳細_受講生(育成担当者権限)'!$1:$4</definedName>
    <definedName name="_xlnm.Print_Titles" localSheetId="6">'ユーザー詳細_受講生(管理者権限）'!$1:$4</definedName>
    <definedName name="_xlnm.Print_Titles" localSheetId="4">'ユーザー詳細_受講生(企業担当者権限)'!$1:$4</definedName>
    <definedName name="_xlnm.Print_Titles" localSheetId="3">'ユーザー詳細_受講生(講師権限)'!$1:$4</definedName>
    <definedName name="_xlnm.Print_Titles" localSheetId="2">'ユーザー詳細_受講生（受講生権限）'!$1:$4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22" l="1"/>
  <c r="A2" i="38"/>
  <c r="A2" i="19"/>
  <c r="A2" i="18"/>
  <c r="A2" i="23"/>
  <c r="A2" i="5"/>
  <c r="A2" i="17"/>
  <c r="A2" i="34"/>
  <c r="A2" i="1"/>
  <c r="U2" i="38" l="1"/>
  <c r="J2" i="10" l="1"/>
  <c r="A2" i="10"/>
  <c r="J2" i="37"/>
  <c r="A2" i="37"/>
  <c r="J2" i="25"/>
  <c r="A2" i="25"/>
  <c r="J2" i="36"/>
  <c r="A2" i="36"/>
  <c r="AA17" i="35" l="1"/>
  <c r="R2" i="37" l="1"/>
  <c r="R2" i="10"/>
  <c r="R2" i="25" l="1"/>
  <c r="X17" i="35" l="1"/>
  <c r="R1" i="36" l="1"/>
  <c r="U2" i="34" l="1"/>
  <c r="U2" i="23"/>
  <c r="U2" i="22"/>
  <c r="U2" i="19"/>
  <c r="U2" i="18"/>
  <c r="U2" i="17"/>
  <c r="U2" i="5"/>
  <c r="U2" i="1"/>
</calcChain>
</file>

<file path=xl/sharedStrings.xml><?xml version="1.0" encoding="utf-8"?>
<sst xmlns="http://schemas.openxmlformats.org/spreadsheetml/2006/main" count="1947" uniqueCount="385">
  <si>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</si>
  <si>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</si>
  <si>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</si>
  <si>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</si>
  <si>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</si>
  <si>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</si>
  <si>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画面イメージ</t>
    <rPh sb="0" eb="2">
      <t>ガメン</t>
    </rPh>
    <phoneticPr fontId="5"/>
  </si>
  <si>
    <t>出力仕様</t>
    <rPh sb="0" eb="2">
      <t>シュツリョク</t>
    </rPh>
    <rPh sb="2" eb="4">
      <t>シヨウ</t>
    </rPh>
    <phoneticPr fontId="5"/>
  </si>
  <si>
    <t>No</t>
    <phoneticPr fontId="5"/>
  </si>
  <si>
    <t>項目名</t>
    <rPh sb="0" eb="2">
      <t>コウモク</t>
    </rPh>
    <rPh sb="2" eb="3">
      <t>メイ</t>
    </rPh>
    <phoneticPr fontId="5"/>
  </si>
  <si>
    <t>データ元</t>
    <rPh sb="3" eb="4">
      <t>モト</t>
    </rPh>
    <phoneticPr fontId="5"/>
  </si>
  <si>
    <t>一覧</t>
    <rPh sb="0" eb="2">
      <t>イチラン</t>
    </rPh>
    <phoneticPr fontId="5"/>
  </si>
  <si>
    <t>備考</t>
    <rPh sb="0" eb="2">
      <t>ビコウ</t>
    </rPh>
    <phoneticPr fontId="5"/>
  </si>
  <si>
    <t>テーブル名</t>
    <rPh sb="4" eb="5">
      <t>メイ</t>
    </rPh>
    <phoneticPr fontId="5"/>
  </si>
  <si>
    <t>フィールド</t>
    <phoneticPr fontId="5"/>
  </si>
  <si>
    <t>入力仕様</t>
    <rPh sb="0" eb="2">
      <t>ニュウリョク</t>
    </rPh>
    <rPh sb="2" eb="4">
      <t>シヨウ</t>
    </rPh>
    <phoneticPr fontId="5"/>
  </si>
  <si>
    <t>物理名</t>
    <rPh sb="0" eb="2">
      <t>ブツリ</t>
    </rPh>
    <rPh sb="2" eb="3">
      <t>メイ</t>
    </rPh>
    <phoneticPr fontId="5"/>
  </si>
  <si>
    <t>コントロール</t>
    <phoneticPr fontId="5"/>
  </si>
  <si>
    <t>必須</t>
    <rPh sb="0" eb="2">
      <t>ヒッス</t>
    </rPh>
    <phoneticPr fontId="5"/>
  </si>
  <si>
    <t>桁数</t>
    <rPh sb="0" eb="2">
      <t>ケタスウ</t>
    </rPh>
    <phoneticPr fontId="5"/>
  </si>
  <si>
    <t>最大値</t>
    <rPh sb="0" eb="3">
      <t>サイダイチ</t>
    </rPh>
    <phoneticPr fontId="5"/>
  </si>
  <si>
    <t>最小値</t>
    <rPh sb="0" eb="3">
      <t>サイショウチ</t>
    </rPh>
    <phoneticPr fontId="5"/>
  </si>
  <si>
    <t>属性</t>
    <rPh sb="0" eb="2">
      <t>ゾクセイ</t>
    </rPh>
    <phoneticPr fontId="5"/>
  </si>
  <si>
    <t>その他 仕様</t>
    <rPh sb="2" eb="3">
      <t>タ</t>
    </rPh>
    <rPh sb="4" eb="6">
      <t>シヨウ</t>
    </rPh>
    <phoneticPr fontId="5"/>
  </si>
  <si>
    <t>テンプレート
ファイル形式</t>
    <rPh sb="11" eb="13">
      <t>ケイシキ</t>
    </rPh>
    <phoneticPr fontId="5"/>
  </si>
  <si>
    <t>出力タイプ</t>
    <rPh sb="0" eb="2">
      <t>シュツリョク</t>
    </rPh>
    <phoneticPr fontId="5"/>
  </si>
  <si>
    <t>出力ファイル名</t>
    <rPh sb="0" eb="2">
      <t>シュツリョク</t>
    </rPh>
    <rPh sb="6" eb="7">
      <t>メイ</t>
    </rPh>
    <phoneticPr fontId="5"/>
  </si>
  <si>
    <t>出力シート名</t>
    <rPh sb="0" eb="2">
      <t>シュツリョク</t>
    </rPh>
    <rPh sb="5" eb="6">
      <t>メイ</t>
    </rPh>
    <phoneticPr fontId="5"/>
  </si>
  <si>
    <t>出力項目</t>
    <rPh sb="0" eb="2">
      <t>シュツリョク</t>
    </rPh>
    <rPh sb="2" eb="4">
      <t>コウモク</t>
    </rPh>
    <phoneticPr fontId="5"/>
  </si>
  <si>
    <t>審査者</t>
    <rPh sb="0" eb="2">
      <t>シンサ</t>
    </rPh>
    <rPh sb="2" eb="3">
      <t>シャ</t>
    </rPh>
    <phoneticPr fontId="5"/>
  </si>
  <si>
    <t>LMS学習管理システム</t>
    <rPh sb="3" eb="5">
      <t>ガクシュウ</t>
    </rPh>
    <rPh sb="5" eb="7">
      <t>カンリ</t>
    </rPh>
    <phoneticPr fontId="5"/>
  </si>
  <si>
    <t>画面設計書</t>
    <rPh sb="0" eb="2">
      <t>ガメン</t>
    </rPh>
    <rPh sb="2" eb="5">
      <t>セッケイショ</t>
    </rPh>
    <phoneticPr fontId="5"/>
  </si>
  <si>
    <t>寺岡</t>
    <rPh sb="0" eb="2">
      <t>テラオカ</t>
    </rPh>
    <phoneticPr fontId="5"/>
  </si>
  <si>
    <t>user_name</t>
    <phoneticPr fontId="5"/>
  </si>
  <si>
    <t>ユーザー名</t>
    <rPh sb="4" eb="5">
      <t>メイ</t>
    </rPh>
    <phoneticPr fontId="5"/>
  </si>
  <si>
    <t>企業名</t>
    <rPh sb="0" eb="2">
      <t>キギョウ</t>
    </rPh>
    <rPh sb="2" eb="3">
      <t>メイ</t>
    </rPh>
    <phoneticPr fontId="5"/>
  </si>
  <si>
    <t>company_name</t>
    <phoneticPr fontId="5"/>
  </si>
  <si>
    <t>course_name</t>
    <phoneticPr fontId="5"/>
  </si>
  <si>
    <t>コース名</t>
    <rPh sb="3" eb="4">
      <t>メイ</t>
    </rPh>
    <phoneticPr fontId="5"/>
  </si>
  <si>
    <t>非表示</t>
    <rPh sb="0" eb="3">
      <t>ヒヒョウジ</t>
    </rPh>
    <phoneticPr fontId="5"/>
  </si>
  <si>
    <t>course_id</t>
    <phoneticPr fontId="5"/>
  </si>
  <si>
    <t>コースID</t>
    <phoneticPr fontId="5"/>
  </si>
  <si>
    <t>place_name</t>
    <phoneticPr fontId="5"/>
  </si>
  <si>
    <t>会場名</t>
    <rPh sb="0" eb="2">
      <t>カイジョウ</t>
    </rPh>
    <rPh sb="2" eb="3">
      <t>メイ</t>
    </rPh>
    <phoneticPr fontId="5"/>
  </si>
  <si>
    <t>place_note</t>
    <phoneticPr fontId="5"/>
  </si>
  <si>
    <t>place_description</t>
    <phoneticPr fontId="5"/>
  </si>
  <si>
    <t>備考</t>
    <rPh sb="0" eb="2">
      <t>ビコウ</t>
    </rPh>
    <phoneticPr fontId="5"/>
  </si>
  <si>
    <t>会場詳細</t>
    <rPh sb="0" eb="2">
      <t>カイジョウ</t>
    </rPh>
    <rPh sb="2" eb="4">
      <t>ショウサイ</t>
    </rPh>
    <phoneticPr fontId="5"/>
  </si>
  <si>
    <t>研修を通じてどのようになって欲しいか</t>
    <phoneticPr fontId="5"/>
  </si>
  <si>
    <t>hope_via_traning</t>
    <phoneticPr fontId="5"/>
  </si>
  <si>
    <t>programming_experience</t>
    <phoneticPr fontId="5"/>
  </si>
  <si>
    <t>プログラム経験</t>
    <rPh sb="5" eb="7">
      <t>ケイケン</t>
    </rPh>
    <phoneticPr fontId="5"/>
  </si>
  <si>
    <t>0=なし、1=あり</t>
    <phoneticPr fontId="5"/>
  </si>
  <si>
    <t>exam_name</t>
    <phoneticPr fontId="5"/>
  </si>
  <si>
    <t>試験名</t>
    <rPh sb="0" eb="2">
      <t>シケン</t>
    </rPh>
    <rPh sb="2" eb="3">
      <t>メイ</t>
    </rPh>
    <phoneticPr fontId="5"/>
  </si>
  <si>
    <t>first_create_date</t>
    <phoneticPr fontId="5"/>
  </si>
  <si>
    <t>t_exam_result</t>
    <phoneticPr fontId="5"/>
  </si>
  <si>
    <t>初回作成日時</t>
    <rPh sb="0" eb="2">
      <t>ショカイ</t>
    </rPh>
    <rPh sb="2" eb="4">
      <t>サクセイ</t>
    </rPh>
    <rPh sb="4" eb="6">
      <t>ニチジ</t>
    </rPh>
    <phoneticPr fontId="5"/>
  </si>
  <si>
    <t>yyyy年M月d日、試験実施日付</t>
    <phoneticPr fontId="5"/>
  </si>
  <si>
    <t>0.0点、(点数 / 問題数) * 100</t>
    <rPh sb="3" eb="4">
      <t>テン</t>
    </rPh>
    <rPh sb="6" eb="8">
      <t>テンスウ</t>
    </rPh>
    <rPh sb="11" eb="13">
      <t>モンダイ</t>
    </rPh>
    <rPh sb="13" eb="14">
      <t>スウ</t>
    </rPh>
    <phoneticPr fontId="5"/>
  </si>
  <si>
    <t>m_question</t>
    <phoneticPr fontId="5"/>
  </si>
  <si>
    <t>score</t>
    <phoneticPr fontId="5"/>
  </si>
  <si>
    <t>平均点</t>
    <rPh sb="0" eb="3">
      <t>ヘイキンテン</t>
    </rPh>
    <phoneticPr fontId="5"/>
  </si>
  <si>
    <t>◆『パスワード変更する』押下時</t>
    <rPh sb="7" eb="9">
      <t>ヘンコウ</t>
    </rPh>
    <rPh sb="12" eb="14">
      <t>オウカ</t>
    </rPh>
    <rPh sb="14" eb="15">
      <t>ジ</t>
    </rPh>
    <phoneticPr fontId="5"/>
  </si>
  <si>
    <t>その他　入力仕様</t>
    <rPh sb="2" eb="3">
      <t>タ</t>
    </rPh>
    <rPh sb="4" eb="6">
      <t>ニュウリョク</t>
    </rPh>
    <rPh sb="6" eb="8">
      <t>シヨウ</t>
    </rPh>
    <phoneticPr fontId="5"/>
  </si>
  <si>
    <t>No</t>
  </si>
  <si>
    <t>項目名</t>
    <rPh sb="0" eb="3">
      <t>コウモクメイ</t>
    </rPh>
    <phoneticPr fontId="5"/>
  </si>
  <si>
    <t>エラー条件</t>
    <rPh sb="3" eb="5">
      <t>ジョウケン</t>
    </rPh>
    <phoneticPr fontId="5"/>
  </si>
  <si>
    <t>挙動</t>
    <rPh sb="0" eb="2">
      <t>キョドウ</t>
    </rPh>
    <phoneticPr fontId="5"/>
  </si>
  <si>
    <t>エラー文</t>
    <rPh sb="3" eb="4">
      <t>ブン</t>
    </rPh>
    <phoneticPr fontId="5"/>
  </si>
  <si>
    <t>不正操作</t>
    <rPh sb="0" eb="2">
      <t>フセイ</t>
    </rPh>
    <rPh sb="2" eb="4">
      <t>ソウサ</t>
    </rPh>
    <phoneticPr fontId="5"/>
  </si>
  <si>
    <t>ボタンを複数回押した場合</t>
    <rPh sb="4" eb="7">
      <t>フクスウカイ</t>
    </rPh>
    <rPh sb="7" eb="8">
      <t>オ</t>
    </rPh>
    <rPh sb="10" eb="12">
      <t>バアイ</t>
    </rPh>
    <phoneticPr fontId="5"/>
  </si>
  <si>
    <t>不正アクセス画面に遷移する。</t>
    <rPh sb="0" eb="2">
      <t>フセイ</t>
    </rPh>
    <rPh sb="6" eb="8">
      <t>ガメン</t>
    </rPh>
    <rPh sb="9" eb="11">
      <t>センイ</t>
    </rPh>
    <phoneticPr fontId="5"/>
  </si>
  <si>
    <t>-</t>
    <phoneticPr fontId="5"/>
  </si>
  <si>
    <t>ブラウザバックの後、ボタンをもう一度押した場合</t>
    <rPh sb="8" eb="9">
      <t>アト</t>
    </rPh>
    <rPh sb="16" eb="18">
      <t>イチド</t>
    </rPh>
    <rPh sb="18" eb="19">
      <t>オ</t>
    </rPh>
    <rPh sb="21" eb="23">
      <t>バアイ</t>
    </rPh>
    <phoneticPr fontId="5"/>
  </si>
  <si>
    <t>試験ID</t>
    <rPh sb="0" eb="2">
      <t>シケン</t>
    </rPh>
    <phoneticPr fontId="5"/>
  </si>
  <si>
    <t>パラメーター"examId"がnullの場合</t>
    <rPh sb="20" eb="22">
      <t>バアイ</t>
    </rPh>
    <phoneticPr fontId="5"/>
  </si>
  <si>
    <t>試験セクションID</t>
    <rPh sb="0" eb="2">
      <t>シケン</t>
    </rPh>
    <phoneticPr fontId="5"/>
  </si>
  <si>
    <t>LMSユーザーID</t>
    <phoneticPr fontId="5"/>
  </si>
  <si>
    <t>日報提出ID</t>
    <rPh sb="0" eb="2">
      <t>ニッポウ</t>
    </rPh>
    <rPh sb="2" eb="4">
      <t>テイシュツ</t>
    </rPh>
    <phoneticPr fontId="5"/>
  </si>
  <si>
    <t>パラメーター"dailyReportSubmitId"が数値でない場合</t>
    <phoneticPr fontId="5"/>
  </si>
  <si>
    <t>パラメーター"dailyReportSubmitId"に紐付くデータがnullの場合</t>
    <phoneticPr fontId="5"/>
  </si>
  <si>
    <t>パラメーター"dailyReportSubmitId"に紐付くlmsUserIdがログインしているユーザーのlmsUserIdと一致しない場合</t>
    <phoneticPr fontId="5"/>
  </si>
  <si>
    <t>◆『ダウンロード』押下時</t>
    <rPh sb="9" eb="11">
      <t>オウカ</t>
    </rPh>
    <rPh sb="11" eb="12">
      <t>ジ</t>
    </rPh>
    <phoneticPr fontId="5"/>
  </si>
  <si>
    <t>評価レポート結果ID</t>
    <rPh sb="0" eb="2">
      <t>ヒョウカ</t>
    </rPh>
    <rPh sb="6" eb="8">
      <t>ケッカ</t>
    </rPh>
    <phoneticPr fontId="5"/>
  </si>
  <si>
    <t>パラメーター"evReportResultId"から検索したデータがnullの場合</t>
    <phoneticPr fontId="5"/>
  </si>
  <si>
    <t>企業ID</t>
    <rPh sb="0" eb="2">
      <t>キギョウ</t>
    </rPh>
    <phoneticPr fontId="5"/>
  </si>
  <si>
    <t>パラメーター"evReportResultId"に紐付くデータのtUserCompanyIdがログインしているユーザーのcompanyIdと一致しない場合</t>
    <rPh sb="25" eb="26">
      <t>ヒモ</t>
    </rPh>
    <rPh sb="26" eb="27">
      <t>ヅ</t>
    </rPh>
    <phoneticPr fontId="5"/>
  </si>
  <si>
    <t>公開フラグ</t>
    <rPh sb="0" eb="2">
      <t>コウカイ</t>
    </rPh>
    <phoneticPr fontId="5"/>
  </si>
  <si>
    <t>publishedFlgが１でない場合(評価レポートが公開されていない場合)</t>
    <phoneticPr fontId="5"/>
  </si>
  <si>
    <t>パスワード変更する</t>
    <rPh sb="5" eb="7">
      <t>ヘンコウ</t>
    </rPh>
    <phoneticPr fontId="5"/>
  </si>
  <si>
    <t>-</t>
    <phoneticPr fontId="5"/>
  </si>
  <si>
    <t>送信ボタン</t>
    <rPh sb="0" eb="2">
      <t>ソウシン</t>
    </rPh>
    <phoneticPr fontId="5"/>
  </si>
  <si>
    <t>-</t>
    <phoneticPr fontId="5"/>
  </si>
  <si>
    <t>詳細</t>
    <rPh sb="0" eb="2">
      <t>ショウサイ</t>
    </rPh>
    <phoneticPr fontId="5"/>
  </si>
  <si>
    <t>ダウンロード</t>
    <phoneticPr fontId="5"/>
  </si>
  <si>
    <t>日付</t>
    <phoneticPr fontId="5"/>
  </si>
  <si>
    <t>date</t>
    <phoneticPr fontId="5"/>
  </si>
  <si>
    <t>t_daily_report_submit</t>
    <phoneticPr fontId="5"/>
  </si>
  <si>
    <t>yyyy年M月d日</t>
    <phoneticPr fontId="5"/>
  </si>
  <si>
    <t>/dailyReport/download</t>
    <phoneticPr fontId="5"/>
  </si>
  <si>
    <t>/dailyReport/detail</t>
    <phoneticPr fontId="5"/>
  </si>
  <si>
    <t>/exam/resultDetail/</t>
    <phoneticPr fontId="5"/>
  </si>
  <si>
    <t>t_daily_report_submit</t>
    <phoneticPr fontId="5"/>
  </si>
  <si>
    <t>reportName</t>
    <phoneticPr fontId="5"/>
  </si>
  <si>
    <t>日報名</t>
    <rPh sb="0" eb="2">
      <t>ニッポウ</t>
    </rPh>
    <rPh sb="2" eb="3">
      <t>メイ</t>
    </rPh>
    <phoneticPr fontId="5"/>
  </si>
  <si>
    <t>初回作成日時</t>
    <phoneticPr fontId="5"/>
  </si>
  <si>
    <t>first_create_date</t>
    <phoneticPr fontId="5"/>
  </si>
  <si>
    <t>yyyy年M月d日 H時mm分、最新コメント登録日時</t>
    <phoneticPr fontId="5"/>
  </si>
  <si>
    <t>コメント数</t>
    <rPh sb="4" eb="5">
      <t>スウ</t>
    </rPh>
    <phoneticPr fontId="5"/>
  </si>
  <si>
    <t>提出したレポートに紐付くフィードバックコメントの数</t>
    <rPh sb="0" eb="2">
      <t>テイシュツ</t>
    </rPh>
    <rPh sb="9" eb="10">
      <t>ヒモ</t>
    </rPh>
    <rPh sb="10" eb="11">
      <t>ヅ</t>
    </rPh>
    <rPh sb="24" eb="25">
      <t>カズ</t>
    </rPh>
    <phoneticPr fontId="5"/>
  </si>
  <si>
    <t>excel</t>
    <phoneticPr fontId="5"/>
  </si>
  <si>
    <t>{ファイル名}_{日付}_{企業名}_{ユーザー名}.xlsx</t>
    <phoneticPr fontId="5"/>
  </si>
  <si>
    <t>・ダウンロード機能</t>
    <rPh sb="7" eb="9">
      <t>キノウ</t>
    </rPh>
    <phoneticPr fontId="5"/>
  </si>
  <si>
    <t>◆『詳細（レポート）』押下時</t>
    <rPh sb="2" eb="4">
      <t>ショウサイ</t>
    </rPh>
    <rPh sb="11" eb="13">
      <t>オウカ</t>
    </rPh>
    <rPh sb="13" eb="14">
      <t>ジ</t>
    </rPh>
    <phoneticPr fontId="5"/>
  </si>
  <si>
    <t>◆『詳細（試験）』押下時</t>
    <rPh sb="2" eb="4">
      <t>ショウサイ</t>
    </rPh>
    <rPh sb="9" eb="11">
      <t>オウカ</t>
    </rPh>
    <rPh sb="11" eb="12">
      <t>ジ</t>
    </rPh>
    <phoneticPr fontId="5"/>
  </si>
  <si>
    <t>パラメーター"examId"が整数の場合</t>
    <rPh sb="15" eb="17">
      <t>セイスウ</t>
    </rPh>
    <rPh sb="18" eb="20">
      <t>バアイ</t>
    </rPh>
    <phoneticPr fontId="5"/>
  </si>
  <si>
    <t>パラメーター"lmsUserId"がnullの場合</t>
    <phoneticPr fontId="5"/>
  </si>
  <si>
    <t>パラメーター"lmsUserId"が整数の場合</t>
    <phoneticPr fontId="5"/>
  </si>
  <si>
    <t>パラメーター"examSectionId"がnullの場合</t>
    <phoneticPr fontId="5"/>
  </si>
  <si>
    <t>パラメーター"examSectionId"が整数の場合</t>
    <phoneticPr fontId="5"/>
  </si>
  <si>
    <t>ダウンロード機能</t>
    <rPh sb="6" eb="8">
      <t>キノウ</t>
    </rPh>
    <phoneticPr fontId="5"/>
  </si>
  <si>
    <t>◆『削除する』押下時</t>
    <rPh sb="2" eb="4">
      <t>サクジョ</t>
    </rPh>
    <rPh sb="7" eb="9">
      <t>オウカ</t>
    </rPh>
    <rPh sb="9" eb="10">
      <t>ジ</t>
    </rPh>
    <phoneticPr fontId="5"/>
  </si>
  <si>
    <t>◆『変更』押下時</t>
    <rPh sb="2" eb="4">
      <t>ヘンコウ</t>
    </rPh>
    <rPh sb="5" eb="7">
      <t>オウカ</t>
    </rPh>
    <rPh sb="7" eb="8">
      <t>ジ</t>
    </rPh>
    <phoneticPr fontId="5"/>
  </si>
  <si>
    <t>hidden</t>
    <phoneticPr fontId="5"/>
  </si>
  <si>
    <t>削除する</t>
    <rPh sb="0" eb="2">
      <t>サクジョ</t>
    </rPh>
    <phoneticPr fontId="5"/>
  </si>
  <si>
    <t>-</t>
    <phoneticPr fontId="5"/>
  </si>
  <si>
    <t>ログインID</t>
    <phoneticPr fontId="5"/>
  </si>
  <si>
    <t>loginId</t>
    <phoneticPr fontId="5"/>
  </si>
  <si>
    <t>リンク</t>
    <phoneticPr fontId="5"/>
  </si>
  <si>
    <t>ロール</t>
    <phoneticPr fontId="5"/>
  </si>
  <si>
    <t>0の場合「なし」、1の場合「あり」、それ以外の場合「※登録されていません」と表示される。</t>
    <rPh sb="2" eb="4">
      <t>バアイ</t>
    </rPh>
    <rPh sb="11" eb="13">
      <t>バアイ</t>
    </rPh>
    <rPh sb="20" eb="22">
      <t>イガイ</t>
    </rPh>
    <rPh sb="23" eb="25">
      <t>バアイ</t>
    </rPh>
    <rPh sb="38" eb="40">
      <t>ヒョウジ</t>
    </rPh>
    <phoneticPr fontId="5"/>
  </si>
  <si>
    <t>-</t>
    <phoneticPr fontId="5"/>
  </si>
  <si>
    <t>◆『登録する』押下時</t>
    <rPh sb="2" eb="4">
      <t>トウロク</t>
    </rPh>
    <rPh sb="7" eb="9">
      <t>オウカ</t>
    </rPh>
    <rPh sb="9" eb="10">
      <t>ジ</t>
    </rPh>
    <phoneticPr fontId="5"/>
  </si>
  <si>
    <t>◆『パスワード再発行』押下時</t>
    <rPh sb="11" eb="13">
      <t>オウカ</t>
    </rPh>
    <rPh sb="13" eb="14">
      <t>ジ</t>
    </rPh>
    <phoneticPr fontId="5"/>
  </si>
  <si>
    <t>/user/update</t>
    <phoneticPr fontId="5"/>
  </si>
  <si>
    <t>変更</t>
    <rPh sb="0" eb="2">
      <t>ヘンコウ</t>
    </rPh>
    <phoneticPr fontId="5"/>
  </si>
  <si>
    <t>/user/changePassword/reissue</t>
    <phoneticPr fontId="5"/>
  </si>
  <si>
    <t>パスワード再発行</t>
    <rPh sb="5" eb="8">
      <t>サイハッコウ</t>
    </rPh>
    <phoneticPr fontId="5"/>
  </si>
  <si>
    <t>登録する</t>
    <rPh sb="0" eb="2">
      <t>トウロク</t>
    </rPh>
    <phoneticPr fontId="5"/>
  </si>
  <si>
    <t>◆『修正する』押下時</t>
    <rPh sb="2" eb="4">
      <t>シュウセイ</t>
    </rPh>
    <rPh sb="7" eb="9">
      <t>オウカ</t>
    </rPh>
    <rPh sb="9" eb="10">
      <t>ジ</t>
    </rPh>
    <phoneticPr fontId="5"/>
  </si>
  <si>
    <t>修正する</t>
    <rPh sb="0" eb="2">
      <t>シュウセイ</t>
    </rPh>
    <phoneticPr fontId="5"/>
  </si>
  <si>
    <t>評価する</t>
    <rPh sb="0" eb="2">
      <t>ヒョウカ</t>
    </rPh>
    <phoneticPr fontId="5"/>
  </si>
  <si>
    <t>◆『評価する』押下時</t>
    <rPh sb="2" eb="4">
      <t>ヒョウカ</t>
    </rPh>
    <rPh sb="7" eb="9">
      <t>オウカ</t>
    </rPh>
    <rPh sb="9" eb="10">
      <t>ジ</t>
    </rPh>
    <phoneticPr fontId="5"/>
  </si>
  <si>
    <t>/evReport/download</t>
    <phoneticPr fontId="5"/>
  </si>
  <si>
    <t>◆『ダウンロード(評価レポート)』押下時</t>
    <rPh sb="9" eb="11">
      <t>ヒョウカ</t>
    </rPh>
    <rPh sb="17" eb="19">
      <t>オウカ</t>
    </rPh>
    <rPh sb="19" eb="20">
      <t>ジ</t>
    </rPh>
    <phoneticPr fontId="5"/>
  </si>
  <si>
    <t>◆『詳細(レポート)』押下時</t>
    <rPh sb="2" eb="4">
      <t>ショウサイ</t>
    </rPh>
    <rPh sb="11" eb="13">
      <t>オウカ</t>
    </rPh>
    <rPh sb="13" eb="14">
      <t>ジ</t>
    </rPh>
    <phoneticPr fontId="5"/>
  </si>
  <si>
    <t>◆『ダウンロード(レポート)』押下時</t>
    <rPh sb="15" eb="17">
      <t>オウカ</t>
    </rPh>
    <rPh sb="17" eb="18">
      <t>ジ</t>
    </rPh>
    <phoneticPr fontId="5"/>
  </si>
  <si>
    <t>◆『ダウンロード(面談記録)』押下時</t>
    <rPh sb="9" eb="11">
      <t>メンダン</t>
    </rPh>
    <rPh sb="11" eb="13">
      <t>キロク</t>
    </rPh>
    <rPh sb="15" eb="17">
      <t>オウカ</t>
    </rPh>
    <rPh sb="17" eb="18">
      <t>ジ</t>
    </rPh>
    <phoneticPr fontId="5"/>
  </si>
  <si>
    <t>◆『詳細(試験)』押下時</t>
    <rPh sb="2" eb="4">
      <t>ショウサイ</t>
    </rPh>
    <rPh sb="5" eb="7">
      <t>シケン</t>
    </rPh>
    <rPh sb="9" eb="11">
      <t>オウカ</t>
    </rPh>
    <rPh sb="11" eb="12">
      <t>ジ</t>
    </rPh>
    <phoneticPr fontId="5"/>
  </si>
  <si>
    <t>日報提出ID</t>
    <phoneticPr fontId="5"/>
  </si>
  <si>
    <t>最終フィードバック日時</t>
    <rPh sb="0" eb="2">
      <t>サイシュウ</t>
    </rPh>
    <rPh sb="9" eb="11">
      <t>ニチジ</t>
    </rPh>
    <phoneticPr fontId="5"/>
  </si>
  <si>
    <t>日付</t>
    <rPh sb="0" eb="2">
      <t>ヒヅケ</t>
    </rPh>
    <phoneticPr fontId="5"/>
  </si>
  <si>
    <t>place_description</t>
    <phoneticPr fontId="5"/>
  </si>
  <si>
    <t>course_name</t>
    <phoneticPr fontId="5"/>
  </si>
  <si>
    <t>user_name</t>
    <phoneticPr fontId="5"/>
  </si>
  <si>
    <t>course_id</t>
    <phoneticPr fontId="5"/>
  </si>
  <si>
    <t>ロールが空でない場合</t>
    <rPh sb="4" eb="5">
      <t>カラ</t>
    </rPh>
    <rPh sb="8" eb="10">
      <t>バアイ</t>
    </rPh>
    <phoneticPr fontId="5"/>
  </si>
  <si>
    <t>LMSユーザーIDと一致するデータが無い場合(LMSユーザーIDと一致するデータがnullの場合)</t>
    <rPh sb="18" eb="19">
      <t>ナ</t>
    </rPh>
    <rPh sb="33" eb="35">
      <t>イッチ</t>
    </rPh>
    <rPh sb="46" eb="48">
      <t>バアイ</t>
    </rPh>
    <phoneticPr fontId="5"/>
  </si>
  <si>
    <t>ログインIDが空の場合</t>
    <rPh sb="7" eb="8">
      <t>カラ</t>
    </rPh>
    <rPh sb="9" eb="11">
      <t>バアイ</t>
    </rPh>
    <phoneticPr fontId="5"/>
  </si>
  <si>
    <t>ログインユーザーが管理者の場合かつログインIDと一致するデータが無い場合(ログインユーザーが管理者の場合かつログインIDと一致するデータがnullの場合)</t>
    <rPh sb="9" eb="12">
      <t>カンリシャ</t>
    </rPh>
    <rPh sb="13" eb="15">
      <t>バアイ</t>
    </rPh>
    <rPh sb="24" eb="26">
      <t>イッチ</t>
    </rPh>
    <rPh sb="32" eb="33">
      <t>ナ</t>
    </rPh>
    <rPh sb="34" eb="36">
      <t>バアイ</t>
    </rPh>
    <phoneticPr fontId="5"/>
  </si>
  <si>
    <t>ロール
ログインID</t>
    <phoneticPr fontId="5"/>
  </si>
  <si>
    <t>不正エラー画面に遷移する。</t>
    <rPh sb="0" eb="2">
      <t>フセイ</t>
    </rPh>
    <rPh sb="5" eb="7">
      <t>ガメン</t>
    </rPh>
    <rPh sb="8" eb="10">
      <t>センイ</t>
    </rPh>
    <phoneticPr fontId="5"/>
  </si>
  <si>
    <t>コースIDが整数でない場合</t>
    <rPh sb="6" eb="8">
      <t>セイスウ</t>
    </rPh>
    <rPh sb="11" eb="13">
      <t>バアイ</t>
    </rPh>
    <phoneticPr fontId="5"/>
  </si>
  <si>
    <t>面談ID</t>
    <rPh sb="0" eb="2">
      <t>メンダン</t>
    </rPh>
    <phoneticPr fontId="5"/>
  </si>
  <si>
    <t>面談IDが整数でない場合</t>
    <rPh sb="0" eb="2">
      <t>メンダン</t>
    </rPh>
    <rPh sb="5" eb="7">
      <t>セイスウ</t>
    </rPh>
    <rPh sb="10" eb="12">
      <t>バアイ</t>
    </rPh>
    <phoneticPr fontId="5"/>
  </si>
  <si>
    <t>LMSユーザーIDが整数でない場合</t>
    <rPh sb="10" eb="12">
      <t>セイスウ</t>
    </rPh>
    <rPh sb="15" eb="17">
      <t>バアイ</t>
    </rPh>
    <phoneticPr fontId="5"/>
  </si>
  <si>
    <t>LMSユーザーIDが整数の場合かつLMSユーザーIDと一致するデータが無い場合(LMSユーザーIDが整数の場合かつLMSユーザーIDと一致するデータがnullの場合)</t>
    <rPh sb="35" eb="36">
      <t>ナ</t>
    </rPh>
    <rPh sb="53" eb="55">
      <t>バアイ</t>
    </rPh>
    <rPh sb="67" eb="69">
      <t>イッチ</t>
    </rPh>
    <rPh sb="80" eb="82">
      <t>バアイ</t>
    </rPh>
    <phoneticPr fontId="5"/>
  </si>
  <si>
    <t>LMSユーザーIDが整数の場合かつLMSユーザーIDと一致するデータが無い場合かつ対象の詳細のロールが受講生でない場合(LMSユーザーIDが整数の場合かつLMSユーザーIDと一致するデータがnullの場合かつ対象の詳細のロールが受講生でない場合)</t>
    <rPh sb="41" eb="43">
      <t>タイショウ</t>
    </rPh>
    <rPh sb="44" eb="46">
      <t>ショウサイ</t>
    </rPh>
    <rPh sb="51" eb="54">
      <t>ジュコウセイ</t>
    </rPh>
    <rPh sb="57" eb="59">
      <t>バアイ</t>
    </rPh>
    <phoneticPr fontId="5"/>
  </si>
  <si>
    <t>評価レポート結果IDが存在しない場合</t>
    <phoneticPr fontId="5"/>
  </si>
  <si>
    <t>試験IDが存在しない場合</t>
    <rPh sb="0" eb="2">
      <t>シケン</t>
    </rPh>
    <rPh sb="5" eb="7">
      <t>ソンザイ</t>
    </rPh>
    <rPh sb="10" eb="12">
      <t>バアイ</t>
    </rPh>
    <phoneticPr fontId="5"/>
  </si>
  <si>
    <t>試験・セクション紐付けIDが存在しない場合</t>
    <rPh sb="14" eb="16">
      <t>ソンザイ</t>
    </rPh>
    <rPh sb="19" eb="21">
      <t>バアイ</t>
    </rPh>
    <phoneticPr fontId="5"/>
  </si>
  <si>
    <t>LMSユーザーIDが存在しない場合</t>
    <rPh sb="10" eb="12">
      <t>ソンザイ</t>
    </rPh>
    <rPh sb="15" eb="17">
      <t>バアイ</t>
    </rPh>
    <phoneticPr fontId="5"/>
  </si>
  <si>
    <t>試験IDが整数でない場合</t>
    <rPh sb="0" eb="2">
      <t>シケン</t>
    </rPh>
    <rPh sb="5" eb="7">
      <t>セイスウ</t>
    </rPh>
    <rPh sb="10" eb="12">
      <t>バアイ</t>
    </rPh>
    <phoneticPr fontId="5"/>
  </si>
  <si>
    <t>試験・セクション紐付けIDが整数でない場合</t>
    <phoneticPr fontId="5"/>
  </si>
  <si>
    <t>日報提出IDと一致するデータが無い場合(日報提出IDと一致するデータがnullの場合)</t>
    <rPh sb="7" eb="9">
      <t>イッチ</t>
    </rPh>
    <rPh sb="15" eb="16">
      <t>ナ</t>
    </rPh>
    <rPh sb="17" eb="19">
      <t>バアイ</t>
    </rPh>
    <phoneticPr fontId="5"/>
  </si>
  <si>
    <t>日報提出IDが整数でない場合</t>
    <rPh sb="7" eb="9">
      <t>セイスウ</t>
    </rPh>
    <rPh sb="12" eb="14">
      <t>バアイ</t>
    </rPh>
    <phoneticPr fontId="5"/>
  </si>
  <si>
    <t>日報ID</t>
    <rPh sb="0" eb="2">
      <t>ニッポウ</t>
    </rPh>
    <phoneticPr fontId="5"/>
  </si>
  <si>
    <t>日報IDが整数でない場合</t>
    <rPh sb="0" eb="2">
      <t>ニッポウ</t>
    </rPh>
    <rPh sb="5" eb="7">
      <t>セイスウ</t>
    </rPh>
    <rPh sb="10" eb="12">
      <t>バアイ</t>
    </rPh>
    <phoneticPr fontId="5"/>
  </si>
  <si>
    <t>日報提出IDと一致するデータが無い場合(日報提出IDと一致するデータがnullの場合)</t>
    <rPh sb="0" eb="2">
      <t>ニッポウ</t>
    </rPh>
    <rPh sb="2" eb="4">
      <t>テイシュツ</t>
    </rPh>
    <rPh sb="7" eb="9">
      <t>イッチ</t>
    </rPh>
    <rPh sb="15" eb="16">
      <t>ナ</t>
    </rPh>
    <rPh sb="17" eb="19">
      <t>バアイ</t>
    </rPh>
    <phoneticPr fontId="5"/>
  </si>
  <si>
    <t>No</t>
    <phoneticPr fontId="5"/>
  </si>
  <si>
    <t>日報名_日付_企業名_ユーザー名</t>
    <rPh sb="0" eb="2">
      <t>ニッポウ</t>
    </rPh>
    <rPh sb="2" eb="3">
      <t>メイ</t>
    </rPh>
    <rPh sb="4" eb="6">
      <t>ヒヅケ</t>
    </rPh>
    <rPh sb="7" eb="9">
      <t>キギョウ</t>
    </rPh>
    <rPh sb="9" eb="10">
      <t>メイ</t>
    </rPh>
    <rPh sb="15" eb="16">
      <t>メイ</t>
    </rPh>
    <phoneticPr fontId="5"/>
  </si>
  <si>
    <t>place_note</t>
    <phoneticPr fontId="5"/>
  </si>
  <si>
    <t>place_name</t>
    <phoneticPr fontId="5"/>
  </si>
  <si>
    <t>-</t>
    <phoneticPr fontId="5"/>
  </si>
  <si>
    <t>リンク</t>
    <phoneticPr fontId="5"/>
  </si>
  <si>
    <t>◆『パスワード再発行』押下時</t>
    <rPh sb="7" eb="10">
      <t>サイハッコウ</t>
    </rPh>
    <rPh sb="11" eb="13">
      <t>オウカ</t>
    </rPh>
    <rPh sb="13" eb="14">
      <t>ジ</t>
    </rPh>
    <phoneticPr fontId="5"/>
  </si>
  <si>
    <t>パスワード再発行</t>
    <phoneticPr fontId="5"/>
  </si>
  <si>
    <t>user_name</t>
    <phoneticPr fontId="5"/>
  </si>
  <si>
    <t>place_description</t>
    <phoneticPr fontId="5"/>
  </si>
  <si>
    <t>lmsUserId</t>
    <phoneticPr fontId="5"/>
  </si>
  <si>
    <t>ログインID</t>
    <phoneticPr fontId="5"/>
  </si>
  <si>
    <t>LMSユーザーIDと一致するデータが無い場合(LMSユーザーIDと一致するデータがnullの場合)</t>
    <rPh sb="10" eb="12">
      <t>イッチ</t>
    </rPh>
    <rPh sb="18" eb="19">
      <t>ナ</t>
    </rPh>
    <rPh sb="20" eb="22">
      <t>バアイ</t>
    </rPh>
    <phoneticPr fontId="5"/>
  </si>
  <si>
    <t>ログインユーザーが管理者かつログインIDと一致するデータが無い場合(ログインユーザーが管理者かつログインIDと一致するデータがnullの場合)</t>
    <rPh sb="9" eb="12">
      <t>カンリシャ</t>
    </rPh>
    <rPh sb="21" eb="23">
      <t>イッチ</t>
    </rPh>
    <rPh sb="29" eb="30">
      <t>ナ</t>
    </rPh>
    <rPh sb="31" eb="33">
      <t>バアイ</t>
    </rPh>
    <phoneticPr fontId="5"/>
  </si>
  <si>
    <t>リンク</t>
    <phoneticPr fontId="5"/>
  </si>
  <si>
    <t>lms_user_id</t>
    <phoneticPr fontId="5"/>
  </si>
  <si>
    <t>login_id</t>
    <phoneticPr fontId="5"/>
  </si>
  <si>
    <t>company_name</t>
    <phoneticPr fontId="5"/>
  </si>
  <si>
    <t>mail_address</t>
    <phoneticPr fontId="5"/>
  </si>
  <si>
    <t>メールアドレス</t>
    <phoneticPr fontId="5"/>
  </si>
  <si>
    <t>企業名</t>
    <rPh sb="0" eb="2">
      <t>キギョウ</t>
    </rPh>
    <rPh sb="2" eb="3">
      <t>メイ</t>
    </rPh>
    <phoneticPr fontId="5"/>
  </si>
  <si>
    <t>No</t>
    <phoneticPr fontId="5"/>
  </si>
  <si>
    <t>評価レポート名【デモ】_企業名_ユーザー名</t>
    <rPh sb="0" eb="2">
      <t>ヒョウカ</t>
    </rPh>
    <rPh sb="6" eb="7">
      <t>メイ</t>
    </rPh>
    <rPh sb="12" eb="14">
      <t>キギョウ</t>
    </rPh>
    <rPh sb="14" eb="15">
      <t>メイ</t>
    </rPh>
    <rPh sb="20" eb="21">
      <t>メイ</t>
    </rPh>
    <phoneticPr fontId="5"/>
  </si>
  <si>
    <t>評価レポート結果IDが存在しない場合</t>
    <rPh sb="11" eb="13">
      <t>ソンザイ</t>
    </rPh>
    <rPh sb="16" eb="18">
      <t>バアイ</t>
    </rPh>
    <phoneticPr fontId="5"/>
  </si>
  <si>
    <t>評価レポート結果IDが整数でない場合</t>
    <rPh sb="11" eb="13">
      <t>セイスウ</t>
    </rPh>
    <rPh sb="16" eb="18">
      <t>バアイ</t>
    </rPh>
    <phoneticPr fontId="5"/>
  </si>
  <si>
    <t>公開されていない場合(公開フラグが1でない場合)</t>
    <rPh sb="0" eb="2">
      <t>コウカイ</t>
    </rPh>
    <rPh sb="8" eb="10">
      <t>バアイ</t>
    </rPh>
    <rPh sb="11" eb="13">
      <t>コウカイ</t>
    </rPh>
    <rPh sb="21" eb="23">
      <t>バアイ</t>
    </rPh>
    <phoneticPr fontId="5"/>
  </si>
  <si>
    <t>ログインユーザーの企業と、評価レポートのユーザーの企業が一致しない場合</t>
    <rPh sb="9" eb="11">
      <t>キギョウ</t>
    </rPh>
    <rPh sb="13" eb="15">
      <t>ヒョウカ</t>
    </rPh>
    <rPh sb="25" eb="27">
      <t>キギョウ</t>
    </rPh>
    <rPh sb="28" eb="30">
      <t>イッチ</t>
    </rPh>
    <rPh sb="33" eb="35">
      <t>バアイ</t>
    </rPh>
    <phoneticPr fontId="5"/>
  </si>
  <si>
    <t>評価レポートIDと一致するデータが無い場合(評価レポートIDと一致するデータがnullの場合)</t>
    <rPh sb="0" eb="2">
      <t>ヒョウカ</t>
    </rPh>
    <rPh sb="9" eb="11">
      <t>イッチ</t>
    </rPh>
    <rPh sb="17" eb="18">
      <t>ナ</t>
    </rPh>
    <rPh sb="19" eb="21">
      <t>バアイ</t>
    </rPh>
    <phoneticPr fontId="5"/>
  </si>
  <si>
    <t>試験・セクション紐付けIDが存在しない場合</t>
    <phoneticPr fontId="5"/>
  </si>
  <si>
    <t>試験IDが存在しない場合</t>
    <phoneticPr fontId="5"/>
  </si>
  <si>
    <t>試験・セクション紐付けIDが整数でない場合</t>
    <phoneticPr fontId="5"/>
  </si>
  <si>
    <t>日報提出IDと一致するデータが無い場合(日報提出IDがnullの場合)</t>
    <rPh sb="7" eb="9">
      <t>イッチ</t>
    </rPh>
    <rPh sb="15" eb="16">
      <t>ナ</t>
    </rPh>
    <rPh sb="17" eb="19">
      <t>バアイ</t>
    </rPh>
    <rPh sb="20" eb="22">
      <t>ニッポウ</t>
    </rPh>
    <rPh sb="22" eb="24">
      <t>テイシュツ</t>
    </rPh>
    <rPh sb="32" eb="34">
      <t>バアイ</t>
    </rPh>
    <phoneticPr fontId="5"/>
  </si>
  <si>
    <t>週報_20171031_株式会社Aシステム_testtest</t>
    <phoneticPr fontId="5"/>
  </si>
  <si>
    <t>日報提出IDが整数でない場合</t>
    <rPh sb="0" eb="2">
      <t>ニッポウ</t>
    </rPh>
    <rPh sb="2" eb="4">
      <t>テイシュツ</t>
    </rPh>
    <rPh sb="7" eb="9">
      <t>セイスウ</t>
    </rPh>
    <rPh sb="12" eb="14">
      <t>バアイ</t>
    </rPh>
    <phoneticPr fontId="5"/>
  </si>
  <si>
    <t>髙野</t>
    <rPh sb="0" eb="2">
      <t>タカノ</t>
    </rPh>
    <phoneticPr fontId="5"/>
  </si>
  <si>
    <t>No</t>
    <phoneticPr fontId="5"/>
  </si>
  <si>
    <t>コントロール</t>
    <phoneticPr fontId="5"/>
  </si>
  <si>
    <t>-</t>
    <phoneticPr fontId="5"/>
  </si>
  <si>
    <t>No</t>
    <phoneticPr fontId="5"/>
  </si>
  <si>
    <t>コントロール</t>
    <phoneticPr fontId="5"/>
  </si>
  <si>
    <t>-</t>
    <phoneticPr fontId="5"/>
  </si>
  <si>
    <t>/user/changePassword/reissue</t>
    <phoneticPr fontId="5"/>
  </si>
  <si>
    <t>ログインID</t>
    <phoneticPr fontId="5"/>
  </si>
  <si>
    <t>ロール
ログインID</t>
    <phoneticPr fontId="5"/>
  </si>
  <si>
    <t>No</t>
    <phoneticPr fontId="5"/>
  </si>
  <si>
    <t>コントロール</t>
    <phoneticPr fontId="5"/>
  </si>
  <si>
    <t>LMSユーザーID</t>
    <phoneticPr fontId="5"/>
  </si>
  <si>
    <t>lmsUserId</t>
    <phoneticPr fontId="5"/>
  </si>
  <si>
    <t>hidden</t>
    <phoneticPr fontId="5"/>
  </si>
  <si>
    <t>-</t>
    <phoneticPr fontId="5"/>
  </si>
  <si>
    <t>/meeting/regist</t>
    <phoneticPr fontId="5"/>
  </si>
  <si>
    <t>/meeting/update</t>
    <phoneticPr fontId="5"/>
  </si>
  <si>
    <t>/meeting/delete/complete</t>
    <phoneticPr fontId="5"/>
  </si>
  <si>
    <t>ダウンロード</t>
    <phoneticPr fontId="5"/>
  </si>
  <si>
    <t>/meeting/download</t>
    <phoneticPr fontId="5"/>
  </si>
  <si>
    <t>コースID</t>
    <phoneticPr fontId="5"/>
  </si>
  <si>
    <t>/evReport/result/regist</t>
    <phoneticPr fontId="5"/>
  </si>
  <si>
    <t>LMSユーザーID</t>
    <phoneticPr fontId="5"/>
  </si>
  <si>
    <t>ロール</t>
    <phoneticPr fontId="5"/>
  </si>
  <si>
    <t>-</t>
    <phoneticPr fontId="5"/>
  </si>
  <si>
    <t>/evReport/download</t>
    <phoneticPr fontId="5"/>
  </si>
  <si>
    <t>評価レポート結果IDが整数でない場合</t>
    <phoneticPr fontId="5"/>
  </si>
  <si>
    <t>評価レポート結果IDが存在しない場合</t>
    <phoneticPr fontId="5"/>
  </si>
  <si>
    <t>/exam/resultDetail/</t>
    <phoneticPr fontId="5"/>
  </si>
  <si>
    <t>試験・セクション紐付けID</t>
    <phoneticPr fontId="5"/>
  </si>
  <si>
    <t>試験・セクション紐付けIDが整数でない場合</t>
    <phoneticPr fontId="5"/>
  </si>
  <si>
    <t>LMSユーザーID</t>
    <phoneticPr fontId="5"/>
  </si>
  <si>
    <t>LMSユーザーIDが整数でない場合</t>
    <phoneticPr fontId="5"/>
  </si>
  <si>
    <t>No</t>
    <phoneticPr fontId="5"/>
  </si>
  <si>
    <t>コントロール</t>
    <phoneticPr fontId="5"/>
  </si>
  <si>
    <t>-</t>
    <phoneticPr fontId="5"/>
  </si>
  <si>
    <t>dailyReport/detail</t>
    <phoneticPr fontId="5"/>
  </si>
  <si>
    <t>日報提出ID</t>
    <phoneticPr fontId="5"/>
  </si>
  <si>
    <t>ダウンロード</t>
    <phoneticPr fontId="5"/>
  </si>
  <si>
    <t>/ticket/detail/</t>
    <phoneticPr fontId="5"/>
  </si>
  <si>
    <t>Excel</t>
    <phoneticPr fontId="5"/>
  </si>
  <si>
    <t>LMS学習管理システム</t>
    <phoneticPr fontId="5"/>
  </si>
  <si>
    <t>画面レイアウト設計書</t>
    <rPh sb="0" eb="2">
      <t>ガメン</t>
    </rPh>
    <rPh sb="7" eb="10">
      <t>セッケイショ</t>
    </rPh>
    <phoneticPr fontId="62"/>
  </si>
  <si>
    <t>承認者</t>
    <rPh sb="0" eb="3">
      <t>ショウニンシャ</t>
    </rPh>
    <phoneticPr fontId="5"/>
  </si>
  <si>
    <t>プロジェクト名</t>
    <rPh sb="6" eb="7">
      <t>メイ</t>
    </rPh>
    <phoneticPr fontId="36"/>
  </si>
  <si>
    <t>システム名</t>
    <rPh sb="4" eb="5">
      <t>メイ</t>
    </rPh>
    <phoneticPr fontId="36"/>
  </si>
  <si>
    <t>作成者</t>
    <rPh sb="0" eb="3">
      <t>サクセイシャ</t>
    </rPh>
    <phoneticPr fontId="36"/>
  </si>
  <si>
    <t>作成日</t>
    <rPh sb="0" eb="3">
      <t>サクセイビ</t>
    </rPh>
    <phoneticPr fontId="36"/>
  </si>
  <si>
    <t>更新者</t>
    <rPh sb="0" eb="3">
      <t>コウシンシャ</t>
    </rPh>
    <phoneticPr fontId="36"/>
  </si>
  <si>
    <t>更新日</t>
    <rPh sb="0" eb="3">
      <t>コウシンビ</t>
    </rPh>
    <phoneticPr fontId="36"/>
  </si>
  <si>
    <t>更新履歴</t>
    <phoneticPr fontId="62"/>
  </si>
  <si>
    <t>本松</t>
    <rPh sb="0" eb="2">
      <t>ホンマツ</t>
    </rPh>
    <phoneticPr fontId="62"/>
  </si>
  <si>
    <t>バージョン</t>
    <phoneticPr fontId="62"/>
  </si>
  <si>
    <t>日付</t>
    <rPh sb="0" eb="2">
      <t>ヒヅケ</t>
    </rPh>
    <phoneticPr fontId="62"/>
  </si>
  <si>
    <t>章番号</t>
    <rPh sb="0" eb="3">
      <t>ショウバンゴウ</t>
    </rPh>
    <phoneticPr fontId="62"/>
  </si>
  <si>
    <t>内容</t>
    <rPh sb="0" eb="2">
      <t>ナイヨウ</t>
    </rPh>
    <phoneticPr fontId="62"/>
  </si>
  <si>
    <t>作成者 / 更新者</t>
    <rPh sb="0" eb="3">
      <t>サクセイシャ</t>
    </rPh>
    <rPh sb="6" eb="9">
      <t>コウシンシャ</t>
    </rPh>
    <phoneticPr fontId="62"/>
  </si>
  <si>
    <t>全て</t>
    <rPh sb="0" eb="1">
      <t>スベ</t>
    </rPh>
    <phoneticPr fontId="62"/>
  </si>
  <si>
    <t>新規作成</t>
    <rPh sb="0" eb="2">
      <t>シンキ</t>
    </rPh>
    <rPh sb="2" eb="4">
      <t>サクセイ</t>
    </rPh>
    <phoneticPr fontId="62"/>
  </si>
  <si>
    <t>本松</t>
    <rPh sb="0" eb="2">
      <t>ホンマツ</t>
    </rPh>
    <phoneticPr fontId="5"/>
  </si>
  <si>
    <t>/lms/exam/resultDetail/</t>
    <phoneticPr fontId="5"/>
  </si>
  <si>
    <t>試験IDが整数でない場合</t>
    <phoneticPr fontId="5"/>
  </si>
  <si>
    <t>評価レポート結果ID</t>
    <phoneticPr fontId="5"/>
  </si>
  <si>
    <t>Excel</t>
    <phoneticPr fontId="5"/>
  </si>
  <si>
    <t>/lms/dailyReport/download/</t>
    <phoneticPr fontId="5"/>
  </si>
  <si>
    <t>日報提出IDと一致するデータが無い場合(日報提出IDがnullの場合)</t>
    <phoneticPr fontId="5"/>
  </si>
  <si>
    <t>必須</t>
    <rPh sb="0" eb="2">
      <t>ヒッス</t>
    </rPh>
    <phoneticPr fontId="5"/>
  </si>
  <si>
    <t>桁数</t>
    <rPh sb="0" eb="2">
      <t>ケタスウ</t>
    </rPh>
    <phoneticPr fontId="5"/>
  </si>
  <si>
    <t>最大値</t>
    <rPh sb="0" eb="2">
      <t>サイダイ</t>
    </rPh>
    <rPh sb="2" eb="3">
      <t>チ</t>
    </rPh>
    <phoneticPr fontId="5"/>
  </si>
  <si>
    <t>備考</t>
    <rPh sb="0" eb="2">
      <t>ビコウ</t>
    </rPh>
    <phoneticPr fontId="5"/>
  </si>
  <si>
    <t>-</t>
    <phoneticPr fontId="5"/>
  </si>
  <si>
    <t>-</t>
    <phoneticPr fontId="5"/>
  </si>
  <si>
    <t>ダウンロード</t>
    <phoneticPr fontId="5"/>
  </si>
  <si>
    <t>/lms/evReport/download/</t>
    <phoneticPr fontId="5"/>
  </si>
  <si>
    <t>試験ID</t>
    <phoneticPr fontId="5"/>
  </si>
  <si>
    <t>試験・セクション紐付けID</t>
    <phoneticPr fontId="5"/>
  </si>
  <si>
    <t>LMSユーザーID</t>
    <phoneticPr fontId="5"/>
  </si>
  <si>
    <t>不正アクセス画面に遷移する。</t>
    <phoneticPr fontId="5"/>
  </si>
  <si>
    <t>不正アクセス画面に遷移する。</t>
    <phoneticPr fontId="5"/>
  </si>
  <si>
    <t>テンプレートファイル形式</t>
    <rPh sb="10" eb="12">
      <t>ケイシキ</t>
    </rPh>
    <phoneticPr fontId="5"/>
  </si>
  <si>
    <t>/lms/dailyReport/detail/</t>
    <phoneticPr fontId="5"/>
  </si>
  <si>
    <t>-</t>
    <phoneticPr fontId="5"/>
  </si>
  <si>
    <t>○</t>
    <phoneticPr fontId="5"/>
  </si>
  <si>
    <t>○</t>
    <phoneticPr fontId="5"/>
  </si>
  <si>
    <t>○</t>
    <phoneticPr fontId="5"/>
  </si>
  <si>
    <t>subsidy_category_name</t>
    <phoneticPr fontId="5"/>
  </si>
  <si>
    <t>・ユーザー詳細画面_受講生(管理者権限）シートを参照</t>
    <rPh sb="24" eb="26">
      <t>サンショウ</t>
    </rPh>
    <phoneticPr fontId="5"/>
  </si>
  <si>
    <t>○</t>
    <phoneticPr fontId="5"/>
  </si>
  <si>
    <t>ロール</t>
    <phoneticPr fontId="5"/>
  </si>
  <si>
    <t>/user/update</t>
    <phoneticPr fontId="5"/>
  </si>
  <si>
    <t>/meeting/regist</t>
    <phoneticPr fontId="5"/>
  </si>
  <si>
    <t>/meeting/update</t>
    <phoneticPr fontId="5"/>
  </si>
  <si>
    <t>/meeting/delete/complete</t>
    <phoneticPr fontId="5"/>
  </si>
  <si>
    <t>ダウンロード</t>
    <phoneticPr fontId="5"/>
  </si>
  <si>
    <t>/meeting/download</t>
    <phoneticPr fontId="5"/>
  </si>
  <si>
    <t>コースID</t>
    <phoneticPr fontId="5"/>
  </si>
  <si>
    <t>/evReport/result/regist</t>
    <phoneticPr fontId="5"/>
  </si>
  <si>
    <t>評価レポート結果IDが整数でない場合</t>
    <phoneticPr fontId="5"/>
  </si>
  <si>
    <t>/exam/resultDetail/</t>
    <phoneticPr fontId="5"/>
  </si>
  <si>
    <t>/ticket/detail/</t>
    <phoneticPr fontId="5"/>
  </si>
  <si>
    <t>フィールド</t>
    <phoneticPr fontId="5"/>
  </si>
  <si>
    <t>company_name</t>
    <phoneticPr fontId="5"/>
  </si>
  <si>
    <t>place_name</t>
    <phoneticPr fontId="5"/>
  </si>
  <si>
    <t>place_note</t>
    <phoneticPr fontId="5"/>
  </si>
  <si>
    <t>会場詳細</t>
    <phoneticPr fontId="5"/>
  </si>
  <si>
    <t>研修を通じてどのようになって欲しいか</t>
    <phoneticPr fontId="5"/>
  </si>
  <si>
    <t>hope_via_traning</t>
    <phoneticPr fontId="5"/>
  </si>
  <si>
    <t>プログラム経験</t>
    <phoneticPr fontId="5"/>
  </si>
  <si>
    <t>programming_experience</t>
    <phoneticPr fontId="5"/>
  </si>
  <si>
    <t>lms_user_id</t>
    <phoneticPr fontId="5"/>
  </si>
  <si>
    <t>login_id</t>
    <phoneticPr fontId="5"/>
  </si>
  <si>
    <t>初回作成日時</t>
    <phoneticPr fontId="5"/>
  </si>
  <si>
    <t>yyyy年M月d日</t>
    <phoneticPr fontId="5"/>
  </si>
  <si>
    <t>面談ID</t>
    <phoneticPr fontId="5"/>
  </si>
  <si>
    <t>meeting_id</t>
    <phoneticPr fontId="5"/>
  </si>
  <si>
    <t>日報名</t>
    <phoneticPr fontId="5"/>
  </si>
  <si>
    <t>report_name</t>
    <phoneticPr fontId="5"/>
  </si>
  <si>
    <t>評価レポートID</t>
    <phoneticPr fontId="5"/>
  </si>
  <si>
    <t>ev_report_id</t>
    <phoneticPr fontId="5"/>
  </si>
  <si>
    <t>ev_report_result_id</t>
    <phoneticPr fontId="5"/>
  </si>
  <si>
    <t>exam_name</t>
    <phoneticPr fontId="5"/>
  </si>
  <si>
    <t>0.0、(得点/問題数)*100</t>
    <phoneticPr fontId="5"/>
  </si>
  <si>
    <t>exam_id</t>
    <phoneticPr fontId="5"/>
  </si>
  <si>
    <t>exam_section_id</t>
    <phoneticPr fontId="5"/>
  </si>
  <si>
    <t>date</t>
    <phoneticPr fontId="5"/>
  </si>
  <si>
    <t>fb_count</t>
    <phoneticPr fontId="5"/>
  </si>
  <si>
    <t>lastFeedbackDate</t>
    <phoneticPr fontId="5"/>
  </si>
  <si>
    <t>yyyy年M月d日 H時mm分</t>
    <phoneticPr fontId="5"/>
  </si>
  <si>
    <t>daily_report_submit_id</t>
    <phoneticPr fontId="5"/>
  </si>
  <si>
    <t>日報ID</t>
    <phoneticPr fontId="5"/>
  </si>
  <si>
    <t>daily_report_id</t>
    <phoneticPr fontId="5"/>
  </si>
  <si>
    <t>dailyReport/detail</t>
    <phoneticPr fontId="5"/>
  </si>
  <si>
    <t>m_subsidy_category</t>
    <phoneticPr fontId="5"/>
  </si>
  <si>
    <t>原</t>
    <rPh sb="0" eb="1">
      <t>ハラ</t>
    </rPh>
    <phoneticPr fontId="5"/>
  </si>
  <si>
    <t>画面レイアウト設計書</t>
  </si>
  <si>
    <t>未登録の場合：※登録されていません。</t>
    <rPh sb="0" eb="3">
      <t>ミトウロク</t>
    </rPh>
    <rPh sb="4" eb="6">
      <t>バアイ</t>
    </rPh>
    <rPh sb="8" eb="10">
      <t>トウロク</t>
    </rPh>
    <phoneticPr fontId="5"/>
  </si>
  <si>
    <t>受講生のみ表示</t>
    <rPh sb="0" eb="2">
      <t>ジュコウ</t>
    </rPh>
    <rPh sb="2" eb="3">
      <t>セイ</t>
    </rPh>
    <rPh sb="5" eb="7">
      <t>ヒョウジ</t>
    </rPh>
    <phoneticPr fontId="5"/>
  </si>
  <si>
    <t>使用する助成金</t>
    <rPh sb="0" eb="2">
      <t>シヨウ</t>
    </rPh>
    <rPh sb="4" eb="7">
      <t>ジョセイキン</t>
    </rPh>
    <phoneticPr fontId="5"/>
  </si>
  <si>
    <t>【助成金書類DL機能のユーザビリティ向上 案件対応】
ユーザー詳細_受講生(企業担当者権限・育成担当者権限)
ユーザー詳細_受講生(管理者権限）</t>
    <phoneticPr fontId="5"/>
  </si>
  <si>
    <t>育成担当者(企業担当者権限・育成担当者権限)</t>
    <phoneticPr fontId="5"/>
  </si>
  <si>
    <t>髙橋大</t>
    <rPh sb="0" eb="2">
      <t>タカハシ</t>
    </rPh>
    <rPh sb="2" eb="3">
      <t>ダイ</t>
    </rPh>
    <phoneticPr fontId="5"/>
  </si>
  <si>
    <t>全て</t>
    <rPh sb="0" eb="1">
      <t>スベ</t>
    </rPh>
    <phoneticPr fontId="5"/>
  </si>
  <si>
    <t>ヘッダーカラーと1行目空行を全シート粒度合わせ</t>
    <rPh sb="9" eb="11">
      <t>ギョウメ</t>
    </rPh>
    <rPh sb="11" eb="13">
      <t>クウギョウ</t>
    </rPh>
    <rPh sb="14" eb="15">
      <t>ゼン</t>
    </rPh>
    <rPh sb="18" eb="20">
      <t>リュウド</t>
    </rPh>
    <rPh sb="20" eb="21">
      <t>ア</t>
    </rPh>
    <phoneticPr fontId="5"/>
  </si>
  <si>
    <t>【13期12月対応】
・ユーザー詳細_育成担当者(企業担当者権限・育成担当者権限)
　1.ユーザー詳細_育成担当者(育成担当者権限)
　2.ユーザー詳細_育成担当者(企業担当者権限)
　上記2つにシート分け
・ユーザー詳細_育成担当者(企業担当者権限)
　画面イメージ修正</t>
    <rPh sb="93" eb="95">
      <t>ジョウキ</t>
    </rPh>
    <rPh sb="101" eb="102">
      <t>ワ</t>
    </rPh>
    <rPh sb="128" eb="130">
      <t>ガメン</t>
    </rPh>
    <rPh sb="134" eb="136">
      <t>シュウセイ</t>
    </rPh>
    <phoneticPr fontId="5"/>
  </si>
  <si>
    <t>13期12月対応</t>
    <phoneticPr fontId="5"/>
  </si>
  <si>
    <t>成果物名</t>
    <rPh sb="0" eb="3">
      <t>セイカブツ</t>
    </rPh>
    <rPh sb="3" eb="4">
      <t>メイ</t>
    </rPh>
    <phoneticPr fontId="5"/>
  </si>
  <si>
    <t>yyyy年M月d日、成果物登録日付</t>
    <rPh sb="10" eb="13">
      <t>セイカブツ</t>
    </rPh>
    <rPh sb="13" eb="15">
      <t>トウロク</t>
    </rPh>
    <rPh sb="15" eb="17">
      <t>ヒヅケ</t>
    </rPh>
    <phoneticPr fontId="5"/>
  </si>
  <si>
    <t>t_deliverables_section</t>
    <phoneticPr fontId="5"/>
  </si>
  <si>
    <t>採点</t>
    <rPh sb="0" eb="2">
      <t>サイテン</t>
    </rPh>
    <phoneticPr fontId="5"/>
  </si>
  <si>
    <t>t_deliverables_result</t>
    <phoneticPr fontId="5"/>
  </si>
  <si>
    <t>m_deliverables</t>
    <phoneticPr fontId="5"/>
  </si>
  <si>
    <t>フィードバック</t>
    <phoneticPr fontId="5"/>
  </si>
  <si>
    <t>feedback</t>
    <phoneticPr fontId="5"/>
  </si>
  <si>
    <t>◆『表示（成果物）』押下時</t>
    <rPh sb="2" eb="4">
      <t>ヒョウジ</t>
    </rPh>
    <rPh sb="5" eb="8">
      <t>セイカブツ</t>
    </rPh>
    <rPh sb="10" eb="12">
      <t>オウカ</t>
    </rPh>
    <rPh sb="12" eb="13">
      <t>ジ</t>
    </rPh>
    <phoneticPr fontId="5"/>
  </si>
  <si>
    <t>表示</t>
    <rPh sb="0" eb="2">
      <t>ヒョウジ</t>
    </rPh>
    <phoneticPr fontId="5"/>
  </si>
  <si>
    <t>表示ボタン</t>
    <rPh sb="0" eb="2">
      <t>ヒョウジ</t>
    </rPh>
    <phoneticPr fontId="5"/>
  </si>
  <si>
    <t>フィードバックコメントをダイヤログに表示する</t>
    <rPh sb="18" eb="20">
      <t>ヒョウジ</t>
    </rPh>
    <phoneticPr fontId="5"/>
  </si>
  <si>
    <t>◆『表示(成果物)』押下時</t>
    <rPh sb="2" eb="4">
      <t>ヒョウジ</t>
    </rPh>
    <rPh sb="5" eb="8">
      <t>セイカブツ</t>
    </rPh>
    <rPh sb="10" eb="12">
      <t>オウカ</t>
    </rPh>
    <rPh sb="12" eb="13">
      <t>ジ</t>
    </rPh>
    <phoneticPr fontId="5"/>
  </si>
  <si>
    <t>フィードバックコメントをダイヤログに表示する</t>
    <phoneticPr fontId="5"/>
  </si>
  <si>
    <t>谷口</t>
    <rPh sb="0" eb="2">
      <t>タニグチ</t>
    </rPh>
    <phoneticPr fontId="5"/>
  </si>
  <si>
    <t>谷口</t>
    <rPh sb="0" eb="2">
      <t>タニグチ</t>
    </rPh>
    <phoneticPr fontId="5"/>
  </si>
  <si>
    <t>谷口</t>
    <rPh sb="0" eb="2">
      <t>タニグチ</t>
    </rPh>
    <phoneticPr fontId="5"/>
  </si>
  <si>
    <t>ユーザー詳細_受講生</t>
    <rPh sb="4" eb="6">
      <t>ショウサイ</t>
    </rPh>
    <rPh sb="7" eb="10">
      <t>ジュコウセイ</t>
    </rPh>
    <phoneticPr fontId="5"/>
  </si>
  <si>
    <t>成果物の項目を追加</t>
    <rPh sb="0" eb="3">
      <t>セイカブツ</t>
    </rPh>
    <rPh sb="4" eb="6">
      <t>コウモク</t>
    </rPh>
    <rPh sb="7" eb="9">
      <t>ツイカ</t>
    </rPh>
    <phoneticPr fontId="5"/>
  </si>
  <si>
    <t>m_deliverables</t>
    <phoneticPr fontId="5"/>
  </si>
  <si>
    <t>t_deliverables_result</t>
    <phoneticPr fontId="5"/>
  </si>
  <si>
    <t>採点</t>
    <phoneticPr fontId="5"/>
  </si>
  <si>
    <t>deliverables_name</t>
    <phoneticPr fontId="5"/>
  </si>
  <si>
    <t>score</t>
    <phoneticPr fontId="5"/>
  </si>
  <si>
    <t>非表示</t>
    <rPh sb="0" eb="3">
      <t>ヒヒョウジ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</si>
</sst>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</numFmts>
  <fonts count="83"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1"/>
      <name val="メイリオ"/>
      <family val="3"/>
      <charset val="128"/>
    </font>
    <font>
      <b/>
      <sz val="11"/>
      <name val="メイリオ"/>
      <family val="3"/>
      <charset val="128"/>
    </font>
    <font>
      <sz val="14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4"/>
      <color rgb="FFFF0000"/>
      <name val="メイリオ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0">
    <xf numFmtId="0" fontId="0" fillId="0" borderId="0">
      <alignment vertical="center"/>
    </xf>
    <xf numFmtId="0" fontId="8" fillId="3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5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9" fillId="9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9" fillId="11" borderId="0" applyNumberFormat="0" applyBorder="0" applyProtection="0">
      <alignment vertical="center"/>
    </xf>
    <xf numFmtId="0" fontId="9" fillId="9" borderId="0" applyNumberFormat="0" applyBorder="0" applyProtection="0">
      <alignment vertical="center"/>
    </xf>
    <xf numFmtId="0" fontId="9" fillId="7" borderId="0" applyNumberFormat="0" applyBorder="0" applyProtection="0">
      <alignment vertical="center"/>
    </xf>
    <xf numFmtId="0" fontId="9" fillId="11" borderId="0" applyNumberFormat="0" applyBorder="0" applyProtection="0">
      <alignment vertical="center"/>
    </xf>
    <xf numFmtId="0" fontId="8" fillId="12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13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2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9" fillId="8" borderId="0" applyNumberFormat="0" applyBorder="0" applyProtection="0">
      <alignment vertical="center"/>
    </xf>
    <xf numFmtId="0" fontId="9" fillId="15" borderId="0" applyNumberFormat="0" applyBorder="0" applyProtection="0">
      <alignment vertical="center"/>
    </xf>
    <xf numFmtId="0" fontId="9" fillId="5" borderId="0" applyNumberFormat="0" applyBorder="0" applyProtection="0">
      <alignment vertical="center"/>
    </xf>
    <xf numFmtId="0" fontId="9" fillId="8" borderId="0" applyNumberFormat="0" applyBorder="0" applyProtection="0">
      <alignment vertical="center"/>
    </xf>
    <xf numFmtId="0" fontId="9" fillId="12" borderId="0" applyNumberFormat="0" applyBorder="0" applyProtection="0">
      <alignment vertical="center"/>
    </xf>
    <xf numFmtId="0" fontId="9" fillId="16" borderId="0" applyNumberFormat="0" applyBorder="0" applyProtection="0">
      <alignment vertical="center"/>
    </xf>
    <xf numFmtId="0" fontId="10" fillId="17" borderId="0" applyNumberFormat="0" applyBorder="0" applyProtection="0">
      <alignment vertical="center"/>
    </xf>
    <xf numFmtId="0" fontId="10" fillId="10" borderId="0" applyNumberFormat="0" applyBorder="0" applyProtection="0">
      <alignment vertical="center"/>
    </xf>
    <xf numFmtId="0" fontId="10" fillId="13" borderId="0" applyNumberFormat="0" applyBorder="0" applyProtection="0">
      <alignment vertical="center"/>
    </xf>
    <xf numFmtId="0" fontId="10" fillId="18" borderId="0" applyNumberFormat="0" applyBorder="0" applyProtection="0">
      <alignment vertical="center"/>
    </xf>
    <xf numFmtId="0" fontId="10" fillId="19" borderId="0" applyNumberFormat="0" applyBorder="0" applyProtection="0">
      <alignment vertical="center"/>
    </xf>
    <xf numFmtId="0" fontId="10" fillId="20" borderId="0" applyNumberFormat="0" applyBorder="0" applyProtection="0">
      <alignment vertical="center"/>
    </xf>
    <xf numFmtId="0" fontId="11" fillId="19" borderId="0" applyNumberFormat="0" applyBorder="0" applyProtection="0">
      <alignment vertical="center"/>
    </xf>
    <xf numFmtId="0" fontId="11" fillId="15" borderId="0" applyNumberFormat="0" applyBorder="0" applyProtection="0">
      <alignment vertical="center"/>
    </xf>
    <xf numFmtId="0" fontId="11" fillId="5" borderId="0" applyNumberFormat="0" applyBorder="0" applyProtection="0">
      <alignment vertical="center"/>
    </xf>
    <xf numFmtId="0" fontId="11" fillId="21" borderId="0" applyNumberFormat="0" applyBorder="0" applyProtection="0">
      <alignment vertical="center"/>
    </xf>
    <xf numFmtId="0" fontId="11" fillId="19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0" fillId="22" borderId="0" applyNumberFormat="0" applyBorder="0" applyProtection="0">
      <alignment vertical="center"/>
    </xf>
    <xf numFmtId="0" fontId="10" fillId="23" borderId="0" applyNumberFormat="0" applyBorder="0" applyProtection="0">
      <alignment vertical="center"/>
    </xf>
    <xf numFmtId="0" fontId="10" fillId="24" borderId="0" applyNumberFormat="0" applyBorder="0" applyProtection="0">
      <alignment vertical="center"/>
    </xf>
    <xf numFmtId="0" fontId="10" fillId="18" borderId="0" applyNumberFormat="0" applyBorder="0" applyProtection="0">
      <alignment vertical="center"/>
    </xf>
    <xf numFmtId="0" fontId="10" fillId="19" borderId="0" applyNumberFormat="0" applyBorder="0" applyProtection="0">
      <alignment vertical="center"/>
    </xf>
    <xf numFmtId="0" fontId="10" fillId="15" borderId="0" applyNumberFormat="0" applyBorder="0" applyProtection="0">
      <alignment vertical="center"/>
    </xf>
    <xf numFmtId="4" fontId="12" fillId="25" borderId="0" applyNumberFormat="0" applyBorder="0" applyAlignment="0" applyProtection="0">
      <alignment horizontal="left"/>
    </xf>
    <xf numFmtId="0" fontId="13" fillId="4" borderId="0" applyNumberFormat="0" applyBorder="0" applyProtection="0">
      <alignment vertical="center"/>
    </xf>
    <xf numFmtId="0" fontId="14" fillId="21" borderId="19" applyNumberFormat="0" applyProtection="0">
      <alignment vertical="center"/>
    </xf>
    <xf numFmtId="0" fontId="15" fillId="26" borderId="20" applyNumberFormat="0" applyProtection="0">
      <alignment vertical="center"/>
    </xf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7" fillId="0" borderId="4" applyFont="0"/>
    <xf numFmtId="0" fontId="18" fillId="0" borderId="0" applyNumberFormat="0" applyFill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20" fillId="0" borderId="21" applyNumberFormat="0" applyFill="0" applyProtection="0">
      <alignment vertical="center"/>
    </xf>
    <xf numFmtId="0" fontId="21" fillId="0" borderId="22" applyNumberFormat="0" applyFill="0" applyProtection="0">
      <alignment vertical="center"/>
    </xf>
    <xf numFmtId="0" fontId="22" fillId="0" borderId="23" applyNumberFormat="0" applyFill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3" fillId="0" borderId="0" applyBorder="0"/>
    <xf numFmtId="0" fontId="24" fillId="8" borderId="19" applyNumberFormat="0" applyProtection="0">
      <alignment vertical="center"/>
    </xf>
    <xf numFmtId="0" fontId="23" fillId="0" borderId="0"/>
    <xf numFmtId="0" fontId="25" fillId="0" borderId="24" applyNumberFormat="0" applyFill="0" applyProtection="0">
      <alignment vertical="center"/>
    </xf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6" fillId="16" borderId="0" applyNumberFormat="0" applyBorder="0" applyProtection="0">
      <alignment vertical="center"/>
    </xf>
    <xf numFmtId="15" fontId="16" fillId="0" borderId="0"/>
    <xf numFmtId="0" fontId="17" fillId="11" borderId="25" applyNumberFormat="0" applyProtection="0">
      <alignment vertical="center"/>
    </xf>
    <xf numFmtId="0" fontId="27" fillId="21" borderId="26" applyNumberFormat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9" fillId="0" borderId="27" applyNumberFormat="0" applyFill="0" applyProtection="0">
      <alignment vertical="center"/>
    </xf>
    <xf numFmtId="0" fontId="30" fillId="0" borderId="0" applyNumberFormat="0" applyFill="0" applyBorder="0" applyProtection="0">
      <alignment vertical="center"/>
    </xf>
    <xf numFmtId="0" fontId="11" fillId="19" borderId="0" applyNumberFormat="0" applyBorder="0" applyProtection="0">
      <alignment vertical="center"/>
    </xf>
    <xf numFmtId="0" fontId="11" fillId="15" borderId="0" applyNumberFormat="0" applyBorder="0" applyProtection="0">
      <alignment vertical="center"/>
    </xf>
    <xf numFmtId="0" fontId="11" fillId="5" borderId="0" applyNumberFormat="0" applyBorder="0" applyProtection="0">
      <alignment vertical="center"/>
    </xf>
    <xf numFmtId="0" fontId="11" fillId="27" borderId="0" applyNumberFormat="0" applyBorder="0" applyProtection="0">
      <alignment vertical="center"/>
    </xf>
    <xf numFmtId="0" fontId="11" fillId="19" borderId="0" applyNumberFormat="0" applyBorder="0" applyProtection="0">
      <alignment vertical="center"/>
    </xf>
    <xf numFmtId="0" fontId="11" fillId="15" borderId="0" applyNumberFormat="0" applyBorder="0" applyProtection="0">
      <alignment vertical="center"/>
    </xf>
    <xf numFmtId="0" fontId="31" fillId="0" borderId="0" applyNumberFormat="0" applyFill="0" applyBorder="0" applyProtection="0">
      <alignment vertical="center"/>
    </xf>
    <xf numFmtId="0" fontId="32" fillId="26" borderId="20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horizontal="left"/>
    </xf>
    <xf numFmtId="0" fontId="33" fillId="16" borderId="0" applyNumberFormat="0" applyBorder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Border="0" applyAlignment="0"/>
    <xf numFmtId="0" fontId="17" fillId="11" borderId="25" applyNumberFormat="0" applyProtection="0">
      <alignment vertical="center"/>
    </xf>
    <xf numFmtId="0" fontId="37" fillId="0" borderId="24" applyNumberFormat="0" applyFill="0" applyProtection="0">
      <alignment vertical="center"/>
    </xf>
    <xf numFmtId="0" fontId="38" fillId="6" borderId="0" applyNumberFormat="0" applyBorder="0" applyProtection="0">
      <alignment vertical="center"/>
    </xf>
    <xf numFmtId="0" fontId="39" fillId="9" borderId="19" applyNumberFormat="0" applyProtection="0">
      <alignment vertical="center"/>
    </xf>
    <xf numFmtId="0" fontId="40" fillId="0" borderId="0" applyNumberFormat="0" applyFill="0" applyBorder="0" applyProtection="0">
      <alignment vertical="center"/>
    </xf>
    <xf numFmtId="38" fontId="17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41" fillId="0" borderId="28" applyNumberFormat="0" applyFill="0" applyProtection="0">
      <alignment vertical="center"/>
    </xf>
    <xf numFmtId="0" fontId="42" fillId="0" borderId="22" applyNumberFormat="0" applyFill="0" applyProtection="0">
      <alignment vertical="center"/>
    </xf>
    <xf numFmtId="0" fontId="43" fillId="0" borderId="29" applyNumberFormat="0" applyFill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30" applyNumberFormat="0" applyFill="0" applyProtection="0">
      <alignment vertical="center"/>
    </xf>
    <xf numFmtId="0" fontId="45" fillId="9" borderId="26" applyNumberFormat="0" applyProtection="0">
      <alignment vertical="center"/>
    </xf>
    <xf numFmtId="0" fontId="36" fillId="0" borderId="0" applyFill="0" applyBorder="0">
      <alignment horizontal="left"/>
    </xf>
    <xf numFmtId="0" fontId="46" fillId="0" borderId="0" applyNumberFormat="0" applyFill="0" applyBorder="0" applyProtection="0">
      <alignment vertical="center"/>
    </xf>
    <xf numFmtId="0" fontId="47" fillId="4" borderId="19" applyNumberForma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7" fillId="0" borderId="0"/>
    <xf numFmtId="0" fontId="17" fillId="0" borderId="0"/>
    <xf numFmtId="0" fontId="48" fillId="0" borderId="0">
      <alignment vertical="center"/>
    </xf>
    <xf numFmtId="0" fontId="17" fillId="0" borderId="0">
      <alignment vertical="center"/>
    </xf>
    <xf numFmtId="0" fontId="4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50" fillId="0" borderId="0"/>
    <xf numFmtId="0" fontId="51" fillId="28" borderId="0" applyNumberFormat="0" applyBorder="0" applyProtection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14" fillId="21" borderId="91" applyNumberFormat="0" applyProtection="0">
      <alignment vertical="center"/>
    </xf>
    <xf numFmtId="0" fontId="24" fillId="8" borderId="91" applyNumberFormat="0" applyProtection="0">
      <alignment vertical="center"/>
    </xf>
    <xf numFmtId="0" fontId="17" fillId="11" borderId="92" applyNumberFormat="0" applyProtection="0">
      <alignment vertical="center"/>
    </xf>
    <xf numFmtId="0" fontId="27" fillId="21" borderId="93" applyNumberFormat="0" applyProtection="0">
      <alignment vertical="center"/>
    </xf>
    <xf numFmtId="0" fontId="29" fillId="0" borderId="94" applyNumberFormat="0" applyFill="0" applyProtection="0">
      <alignment vertical="center"/>
    </xf>
    <xf numFmtId="0" fontId="17" fillId="11" borderId="92" applyNumberFormat="0" applyProtection="0">
      <alignment vertical="center"/>
    </xf>
    <xf numFmtId="0" fontId="39" fillId="9" borderId="91" applyNumberFormat="0" applyProtection="0">
      <alignment vertical="center"/>
    </xf>
    <xf numFmtId="0" fontId="44" fillId="0" borderId="95" applyNumberFormat="0" applyFill="0" applyProtection="0">
      <alignment vertical="center"/>
    </xf>
    <xf numFmtId="0" fontId="45" fillId="9" borderId="93" applyNumberFormat="0" applyProtection="0">
      <alignment vertical="center"/>
    </xf>
    <xf numFmtId="0" fontId="47" fillId="4" borderId="91" applyNumberFormat="0" applyProtection="0">
      <alignment vertical="center"/>
    </xf>
    <xf numFmtId="38" fontId="17" fillId="0" borderId="0" applyFont="0" applyFill="0" applyBorder="0" applyAlignment="0" applyProtection="0"/>
  </cellStyleXfs>
  <cellXfs count="71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6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4" xfId="0" applyFont="1" applyBorder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53" fillId="0" borderId="0" xfId="0" applyFont="1" applyFill="1" applyBorder="1">
      <alignment vertical="center"/>
    </xf>
    <xf numFmtId="0" fontId="52" fillId="0" borderId="0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left" vertical="center" wrapText="1"/>
    </xf>
    <xf numFmtId="0" fontId="53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3" fillId="0" borderId="11" xfId="0" applyFont="1" applyFill="1" applyBorder="1">
      <alignment vertical="center"/>
    </xf>
    <xf numFmtId="0" fontId="52" fillId="0" borderId="11" xfId="0" applyFont="1" applyFill="1" applyBorder="1" applyAlignment="1">
      <alignment horizontal="center" vertical="center"/>
    </xf>
    <xf numFmtId="0" fontId="52" fillId="0" borderId="11" xfId="0" applyFont="1" applyFill="1" applyBorder="1" applyAlignment="1">
      <alignment horizontal="left" vertical="center" wrapText="1"/>
    </xf>
    <xf numFmtId="0" fontId="52" fillId="0" borderId="11" xfId="0" applyFont="1" applyFill="1" applyBorder="1" applyAlignment="1">
      <alignment vertical="center" wrapText="1"/>
    </xf>
    <xf numFmtId="0" fontId="52" fillId="0" borderId="11" xfId="0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 wrapText="1"/>
    </xf>
    <xf numFmtId="0" fontId="56" fillId="0" borderId="0" xfId="0" applyFont="1" applyFill="1" applyBorder="1">
      <alignment vertical="center"/>
    </xf>
    <xf numFmtId="0" fontId="54" fillId="0" borderId="0" xfId="0" applyFont="1" applyBorder="1">
      <alignment vertical="center"/>
    </xf>
    <xf numFmtId="0" fontId="55" fillId="0" borderId="0" xfId="0" applyFont="1" applyFill="1" applyBorder="1">
      <alignment vertical="center"/>
    </xf>
    <xf numFmtId="0" fontId="54" fillId="0" borderId="0" xfId="0" applyFont="1" applyFill="1" applyBorder="1">
      <alignment vertical="center"/>
    </xf>
    <xf numFmtId="0" fontId="4" fillId="0" borderId="13" xfId="0" applyFont="1" applyFill="1" applyBorder="1">
      <alignment vertical="center"/>
    </xf>
    <xf numFmtId="0" fontId="52" fillId="0" borderId="0" xfId="0" applyFont="1" applyFill="1" applyBorder="1" applyAlignment="1">
      <alignment horizontal="left" vertical="center"/>
    </xf>
    <xf numFmtId="0" fontId="4" fillId="0" borderId="14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16" xfId="0" applyFont="1" applyFill="1" applyBorder="1" applyAlignment="1">
      <alignment vertical="center"/>
    </xf>
    <xf numFmtId="0" fontId="57" fillId="0" borderId="0" xfId="0" applyFont="1" applyBorder="1">
      <alignment vertical="center"/>
    </xf>
    <xf numFmtId="0" fontId="4" fillId="0" borderId="10" xfId="0" applyFont="1" applyFill="1" applyBorder="1">
      <alignment vertical="center"/>
    </xf>
    <xf numFmtId="0" fontId="4" fillId="0" borderId="12" xfId="0" applyFont="1" applyFill="1" applyBorder="1">
      <alignment vertical="center"/>
    </xf>
    <xf numFmtId="0" fontId="52" fillId="0" borderId="0" xfId="0" applyFont="1" applyFill="1" applyBorder="1" applyAlignment="1">
      <alignment horizontal="left" vertical="center" wrapText="1"/>
    </xf>
    <xf numFmtId="0" fontId="52" fillId="0" borderId="0" xfId="0" applyFont="1" applyFill="1" applyBorder="1" applyAlignment="1">
      <alignment horizontal="center" vertical="center" wrapText="1"/>
    </xf>
    <xf numFmtId="0" fontId="4" fillId="0" borderId="16" xfId="0" applyFont="1" applyFill="1" applyBorder="1">
      <alignment vertical="center"/>
    </xf>
    <xf numFmtId="0" fontId="4" fillId="0" borderId="0" xfId="0" applyFont="1" applyFill="1" applyBorder="1" applyAlignment="1">
      <alignment vertical="center"/>
    </xf>
    <xf numFmtId="0" fontId="58" fillId="0" borderId="13" xfId="0" applyFont="1" applyFill="1" applyBorder="1">
      <alignment vertical="center"/>
    </xf>
    <xf numFmtId="0" fontId="58" fillId="0" borderId="0" xfId="0" applyFont="1" applyFill="1" applyBorder="1" applyAlignment="1">
      <alignment horizontal="center" vertical="center"/>
    </xf>
    <xf numFmtId="0" fontId="58" fillId="0" borderId="0" xfId="0" applyFont="1" applyFill="1" applyBorder="1" applyAlignment="1">
      <alignment vertical="center" wrapText="1"/>
    </xf>
    <xf numFmtId="0" fontId="58" fillId="0" borderId="0" xfId="0" applyFont="1" applyFill="1" applyBorder="1" applyAlignment="1">
      <alignment horizontal="left" vertical="center" wrapText="1"/>
    </xf>
    <xf numFmtId="0" fontId="58" fillId="0" borderId="14" xfId="0" applyFont="1" applyFill="1" applyBorder="1">
      <alignment vertical="center"/>
    </xf>
    <xf numFmtId="0" fontId="58" fillId="0" borderId="0" xfId="0" applyFont="1" applyFill="1" applyBorder="1">
      <alignment vertical="center"/>
    </xf>
    <xf numFmtId="0" fontId="58" fillId="0" borderId="15" xfId="0" applyFont="1" applyFill="1" applyBorder="1">
      <alignment vertical="center"/>
    </xf>
    <xf numFmtId="0" fontId="58" fillId="0" borderId="16" xfId="0" applyFont="1" applyFill="1" applyBorder="1" applyAlignment="1">
      <alignment horizontal="center" vertical="center"/>
    </xf>
    <xf numFmtId="0" fontId="58" fillId="0" borderId="16" xfId="0" applyFont="1" applyFill="1" applyBorder="1" applyAlignment="1">
      <alignment vertical="center" wrapText="1"/>
    </xf>
    <xf numFmtId="0" fontId="58" fillId="0" borderId="16" xfId="0" applyFont="1" applyFill="1" applyBorder="1" applyAlignment="1">
      <alignment horizontal="left" vertical="center" wrapText="1"/>
    </xf>
    <xf numFmtId="0" fontId="58" fillId="0" borderId="17" xfId="0" applyFont="1" applyFill="1" applyBorder="1">
      <alignment vertical="center"/>
    </xf>
    <xf numFmtId="0" fontId="4" fillId="0" borderId="0" xfId="0" applyFont="1" applyFill="1" applyBorder="1" applyAlignment="1">
      <alignment vertical="center"/>
    </xf>
    <xf numFmtId="0" fontId="17" fillId="32" borderId="0" xfId="127" applyFont="1" applyFill="1"/>
    <xf numFmtId="0" fontId="17" fillId="32" borderId="58" xfId="127" applyFont="1" applyFill="1" applyBorder="1"/>
    <xf numFmtId="0" fontId="17" fillId="32" borderId="59" xfId="127" applyFont="1" applyFill="1" applyBorder="1"/>
    <xf numFmtId="0" fontId="17" fillId="32" borderId="60" xfId="127" applyFont="1" applyFill="1" applyBorder="1"/>
    <xf numFmtId="0" fontId="17" fillId="32" borderId="61" xfId="127" applyFont="1" applyFill="1" applyBorder="1"/>
    <xf numFmtId="0" fontId="17" fillId="32" borderId="62" xfId="127" applyFont="1" applyFill="1" applyBorder="1"/>
    <xf numFmtId="0" fontId="17" fillId="32" borderId="0" xfId="127" applyFont="1" applyFill="1" applyBorder="1"/>
    <xf numFmtId="0" fontId="17" fillId="32" borderId="63" xfId="127" applyFont="1" applyFill="1" applyBorder="1"/>
    <xf numFmtId="0" fontId="17" fillId="32" borderId="64" xfId="127" applyFont="1" applyFill="1" applyBorder="1"/>
    <xf numFmtId="0" fontId="17" fillId="32" borderId="65" xfId="127" applyFont="1" applyFill="1" applyBorder="1"/>
    <xf numFmtId="0" fontId="63" fillId="32" borderId="0" xfId="127" applyFont="1" applyFill="1" applyAlignment="1"/>
    <xf numFmtId="58" fontId="63" fillId="32" borderId="0" xfId="127" applyNumberFormat="1" applyFont="1" applyFill="1" applyAlignment="1">
      <alignment horizontal="center"/>
    </xf>
    <xf numFmtId="179" fontId="63" fillId="32" borderId="0" xfId="127" applyNumberFormat="1" applyFont="1" applyFill="1" applyAlignment="1">
      <alignment horizontal="left"/>
    </xf>
    <xf numFmtId="31" fontId="63" fillId="32" borderId="0" xfId="127" applyNumberFormat="1" applyFont="1" applyFill="1" applyAlignment="1">
      <alignment horizontal="center"/>
    </xf>
    <xf numFmtId="0" fontId="64" fillId="32" borderId="0" xfId="127" applyFont="1" applyFill="1"/>
    <xf numFmtId="0" fontId="17" fillId="32" borderId="41" xfId="127" applyFont="1" applyFill="1" applyBorder="1"/>
    <xf numFmtId="31" fontId="17" fillId="32" borderId="68" xfId="127" applyNumberFormat="1" applyFont="1" applyFill="1" applyBorder="1" applyAlignment="1"/>
    <xf numFmtId="0" fontId="17" fillId="32" borderId="69" xfId="127" applyFont="1" applyFill="1" applyBorder="1" applyAlignment="1"/>
    <xf numFmtId="0" fontId="17" fillId="32" borderId="70" xfId="127" applyFont="1" applyFill="1" applyBorder="1" applyAlignment="1"/>
    <xf numFmtId="0" fontId="17" fillId="32" borderId="42" xfId="127" applyFont="1" applyFill="1" applyBorder="1"/>
    <xf numFmtId="0" fontId="17" fillId="32" borderId="34" xfId="127" applyFont="1" applyFill="1" applyBorder="1"/>
    <xf numFmtId="0" fontId="17" fillId="32" borderId="32" xfId="127" applyFont="1" applyFill="1" applyBorder="1"/>
    <xf numFmtId="0" fontId="17" fillId="32" borderId="33" xfId="127" applyFont="1" applyFill="1" applyBorder="1"/>
    <xf numFmtId="0" fontId="66" fillId="32" borderId="0" xfId="127" applyFont="1" applyFill="1"/>
    <xf numFmtId="0" fontId="17" fillId="32" borderId="0" xfId="127" applyFont="1" applyFill="1" applyAlignment="1">
      <alignment horizontal="right"/>
    </xf>
    <xf numFmtId="0" fontId="67" fillId="0" borderId="0" xfId="128" applyFont="1" applyAlignment="1">
      <alignment horizontal="left" vertical="center"/>
    </xf>
    <xf numFmtId="0" fontId="68" fillId="32" borderId="0" xfId="127" applyFont="1" applyFill="1" applyBorder="1" applyAlignment="1">
      <alignment horizontal="center" vertical="center"/>
    </xf>
    <xf numFmtId="0" fontId="68" fillId="32" borderId="0" xfId="127" applyFont="1" applyFill="1" applyBorder="1" applyAlignment="1">
      <alignment horizontal="center"/>
    </xf>
    <xf numFmtId="0" fontId="68" fillId="32" borderId="0" xfId="127" applyFont="1" applyFill="1" applyBorder="1" applyAlignment="1"/>
    <xf numFmtId="0" fontId="68" fillId="32" borderId="0" xfId="127" applyFont="1" applyFill="1" applyBorder="1" applyAlignment="1">
      <alignment vertical="center"/>
    </xf>
    <xf numFmtId="0" fontId="68" fillId="32" borderId="0" xfId="127" applyFont="1" applyFill="1" applyBorder="1"/>
    <xf numFmtId="0" fontId="68" fillId="32" borderId="0" xfId="127" applyFont="1" applyFill="1"/>
    <xf numFmtId="0" fontId="67" fillId="0" borderId="0" xfId="128" applyFont="1"/>
    <xf numFmtId="0" fontId="17" fillId="0" borderId="0" xfId="128" applyFont="1"/>
    <xf numFmtId="0" fontId="69" fillId="0" borderId="0" xfId="0" applyFont="1" applyBorder="1">
      <alignment vertical="center"/>
    </xf>
    <xf numFmtId="0" fontId="70" fillId="0" borderId="0" xfId="0" applyFont="1" applyFill="1" applyBorder="1">
      <alignment vertical="center"/>
    </xf>
    <xf numFmtId="0" fontId="48" fillId="0" borderId="0" xfId="0" applyFont="1" applyBorder="1">
      <alignment vertical="center"/>
    </xf>
    <xf numFmtId="0" fontId="71" fillId="0" borderId="0" xfId="0" applyFont="1" applyBorder="1">
      <alignment vertical="center"/>
    </xf>
    <xf numFmtId="0" fontId="74" fillId="0" borderId="0" xfId="0" applyFont="1" applyFill="1" applyBorder="1">
      <alignment vertical="center"/>
    </xf>
    <xf numFmtId="0" fontId="71" fillId="0" borderId="0" xfId="0" applyFont="1" applyBorder="1" applyAlignment="1">
      <alignment horizontal="left" vertical="center"/>
    </xf>
    <xf numFmtId="0" fontId="71" fillId="0" borderId="0" xfId="0" applyFont="1" applyFill="1" applyBorder="1" applyAlignment="1">
      <alignment horizontal="left" vertical="center"/>
    </xf>
    <xf numFmtId="0" fontId="74" fillId="0" borderId="0" xfId="0" applyFont="1" applyFill="1" applyBorder="1" applyAlignment="1">
      <alignment horizontal="center" vertical="center" wrapText="1"/>
    </xf>
    <xf numFmtId="0" fontId="71" fillId="0" borderId="0" xfId="0" applyFont="1" applyBorder="1">
      <alignment vertical="center"/>
    </xf>
    <xf numFmtId="0" fontId="74" fillId="0" borderId="0" xfId="0" applyFont="1" applyFill="1" applyBorder="1" applyAlignment="1">
      <alignment horizontal="left" vertical="center" wrapText="1"/>
    </xf>
    <xf numFmtId="0" fontId="71" fillId="0" borderId="0" xfId="0" applyFont="1" applyFill="1" applyBorder="1" applyAlignment="1">
      <alignment horizontal="center" vertical="center"/>
    </xf>
    <xf numFmtId="0" fontId="71" fillId="0" borderId="0" xfId="0" applyFont="1">
      <alignment vertical="center"/>
    </xf>
    <xf numFmtId="0" fontId="71" fillId="0" borderId="0" xfId="0" applyFont="1" applyBorder="1" applyAlignment="1">
      <alignment horizontal="center" vertical="center"/>
    </xf>
    <xf numFmtId="0" fontId="74" fillId="0" borderId="0" xfId="0" applyFont="1" applyFill="1" applyBorder="1" applyAlignment="1">
      <alignment horizontal="left" vertical="center"/>
    </xf>
    <xf numFmtId="0" fontId="74" fillId="0" borderId="0" xfId="0" applyFont="1" applyFill="1" applyBorder="1" applyAlignment="1">
      <alignment horizontal="center" vertical="center"/>
    </xf>
    <xf numFmtId="0" fontId="71" fillId="0" borderId="0" xfId="0" applyFont="1" applyFill="1" applyBorder="1">
      <alignment vertical="center"/>
    </xf>
    <xf numFmtId="0" fontId="71" fillId="0" borderId="0" xfId="0" applyFont="1" applyFill="1">
      <alignment vertical="center"/>
    </xf>
    <xf numFmtId="0" fontId="4" fillId="0" borderId="106" xfId="0" applyFont="1" applyBorder="1">
      <alignment vertical="center"/>
    </xf>
    <xf numFmtId="0" fontId="4" fillId="0" borderId="107" xfId="0" applyFont="1" applyBorder="1">
      <alignment vertical="center"/>
    </xf>
    <xf numFmtId="0" fontId="4" fillId="0" borderId="0" xfId="0" applyFont="1" applyFill="1" applyBorder="1" applyAlignment="1">
      <alignment vertical="center"/>
    </xf>
    <xf numFmtId="0" fontId="70" fillId="0" borderId="0" xfId="0" applyFont="1" applyBorder="1">
      <alignment vertical="center"/>
    </xf>
    <xf numFmtId="0" fontId="75" fillId="0" borderId="0" xfId="0" applyFont="1" applyBorder="1">
      <alignment vertical="center"/>
    </xf>
    <xf numFmtId="0" fontId="71" fillId="0" borderId="103" xfId="0" applyFont="1" applyBorder="1" applyAlignment="1">
      <alignment horizontal="center" vertical="center"/>
    </xf>
    <xf numFmtId="0" fontId="71" fillId="0" borderId="105" xfId="0" applyFont="1" applyBorder="1" applyAlignment="1">
      <alignment horizontal="center" vertical="center"/>
    </xf>
    <xf numFmtId="0" fontId="52" fillId="0" borderId="0" xfId="0" applyFont="1" applyBorder="1">
      <alignment vertical="center"/>
    </xf>
    <xf numFmtId="0" fontId="74" fillId="0" borderId="103" xfId="0" applyFont="1" applyBorder="1" applyAlignment="1">
      <alignment horizontal="left" vertical="center"/>
    </xf>
    <xf numFmtId="0" fontId="74" fillId="0" borderId="104" xfId="0" applyFont="1" applyBorder="1" applyAlignment="1">
      <alignment horizontal="left" vertical="center"/>
    </xf>
    <xf numFmtId="0" fontId="74" fillId="0" borderId="105" xfId="0" applyFont="1" applyBorder="1" applyAlignment="1">
      <alignment horizontal="left" vertical="center"/>
    </xf>
    <xf numFmtId="0" fontId="74" fillId="29" borderId="103" xfId="0" applyFont="1" applyFill="1" applyBorder="1" applyAlignment="1">
      <alignment horizontal="left" vertical="center"/>
    </xf>
    <xf numFmtId="0" fontId="74" fillId="29" borderId="104" xfId="0" applyFont="1" applyFill="1" applyBorder="1" applyAlignment="1">
      <alignment horizontal="left" vertical="center"/>
    </xf>
    <xf numFmtId="0" fontId="74" fillId="29" borderId="105" xfId="0" applyFont="1" applyFill="1" applyBorder="1" applyAlignment="1">
      <alignment horizontal="left" vertical="center"/>
    </xf>
    <xf numFmtId="0" fontId="4" fillId="34" borderId="0" xfId="0" applyFont="1" applyFill="1" applyBorder="1">
      <alignment vertical="center"/>
    </xf>
    <xf numFmtId="0" fontId="52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74" fillId="0" borderId="0" xfId="0" applyFont="1" applyFill="1" applyBorder="1" applyAlignment="1">
      <alignment horizontal="left" vertical="center" wrapText="1"/>
    </xf>
    <xf numFmtId="0" fontId="74" fillId="0" borderId="0" xfId="0" applyFont="1" applyFill="1" applyBorder="1" applyAlignment="1">
      <alignment horizontal="center" vertical="center" wrapText="1"/>
    </xf>
    <xf numFmtId="0" fontId="80" fillId="0" borderId="0" xfId="0" applyFont="1" applyFill="1" applyBorder="1">
      <alignment vertical="center"/>
    </xf>
    <xf numFmtId="0" fontId="81" fillId="0" borderId="0" xfId="0" applyFont="1" applyBorder="1">
      <alignment vertical="center"/>
    </xf>
    <xf numFmtId="0" fontId="17" fillId="32" borderId="0" xfId="127" applyFont="1" applyFill="1" applyAlignment="1">
      <alignment horizontal="center" vertical="center"/>
    </xf>
    <xf numFmtId="0" fontId="59" fillId="32" borderId="0" xfId="127" applyFont="1" applyFill="1" applyBorder="1" applyAlignment="1">
      <alignment horizontal="center" shrinkToFit="1"/>
    </xf>
    <xf numFmtId="0" fontId="60" fillId="32" borderId="0" xfId="127" applyFont="1" applyFill="1" applyBorder="1" applyAlignment="1">
      <alignment horizontal="center" shrinkToFit="1"/>
    </xf>
    <xf numFmtId="0" fontId="61" fillId="32" borderId="0" xfId="127" applyFont="1" applyFill="1" applyBorder="1" applyAlignment="1">
      <alignment horizontal="center"/>
    </xf>
    <xf numFmtId="58" fontId="63" fillId="32" borderId="0" xfId="127" applyNumberFormat="1" applyFont="1" applyFill="1" applyAlignment="1">
      <alignment horizontal="center"/>
    </xf>
    <xf numFmtId="31" fontId="63" fillId="32" borderId="0" xfId="127" applyNumberFormat="1" applyFont="1" applyFill="1" applyAlignment="1">
      <alignment horizontal="center"/>
    </xf>
    <xf numFmtId="0" fontId="17" fillId="32" borderId="18" xfId="127" applyFont="1" applyFill="1" applyBorder="1" applyAlignment="1">
      <alignment horizontal="center"/>
    </xf>
    <xf numFmtId="0" fontId="17" fillId="32" borderId="66" xfId="127" applyFont="1" applyFill="1" applyBorder="1" applyAlignment="1">
      <alignment horizontal="center"/>
    </xf>
    <xf numFmtId="0" fontId="17" fillId="32" borderId="67" xfId="127" applyFont="1" applyFill="1" applyBorder="1" applyAlignment="1">
      <alignment horizontal="center"/>
    </xf>
    <xf numFmtId="31" fontId="65" fillId="32" borderId="18" xfId="127" applyNumberFormat="1" applyFont="1" applyFill="1" applyBorder="1" applyAlignment="1">
      <alignment horizontal="center"/>
    </xf>
    <xf numFmtId="31" fontId="65" fillId="32" borderId="66" xfId="127" applyNumberFormat="1" applyFont="1" applyFill="1" applyBorder="1" applyAlignment="1">
      <alignment horizontal="center"/>
    </xf>
    <xf numFmtId="31" fontId="65" fillId="32" borderId="67" xfId="127" applyNumberFormat="1" applyFont="1" applyFill="1" applyBorder="1" applyAlignment="1">
      <alignment horizontal="center"/>
    </xf>
    <xf numFmtId="180" fontId="67" fillId="0" borderId="0" xfId="128" applyNumberFormat="1" applyFont="1" applyFill="1" applyBorder="1" applyAlignment="1">
      <alignment horizontal="center" vertical="center"/>
    </xf>
    <xf numFmtId="180" fontId="17" fillId="0" borderId="0" xfId="107" applyNumberFormat="1" applyFont="1" applyFill="1" applyBorder="1" applyAlignment="1">
      <alignment horizontal="center" vertical="center"/>
    </xf>
    <xf numFmtId="14" fontId="67" fillId="0" borderId="0" xfId="128" applyNumberFormat="1" applyFont="1" applyFill="1" applyBorder="1" applyAlignment="1">
      <alignment horizontal="center" vertical="center"/>
    </xf>
    <xf numFmtId="14" fontId="17" fillId="0" borderId="0" xfId="107" applyNumberFormat="1" applyFont="1" applyFill="1" applyBorder="1" applyAlignment="1">
      <alignment horizontal="center" vertical="center"/>
    </xf>
    <xf numFmtId="0" fontId="67" fillId="0" borderId="0" xfId="128" applyFont="1" applyFill="1" applyBorder="1" applyAlignment="1">
      <alignment horizontal="center" vertical="center"/>
    </xf>
    <xf numFmtId="0" fontId="17" fillId="0" borderId="0" xfId="107" applyFont="1" applyFill="1" applyBorder="1" applyAlignment="1">
      <alignment horizontal="center" vertical="center"/>
    </xf>
    <xf numFmtId="0" fontId="67" fillId="0" borderId="0" xfId="128" applyFont="1" applyFill="1" applyBorder="1" applyAlignment="1">
      <alignment vertical="center" wrapText="1"/>
    </xf>
    <xf numFmtId="0" fontId="17" fillId="0" borderId="0" xfId="107" applyFont="1" applyFill="1" applyBorder="1" applyAlignment="1">
      <alignment vertical="center" wrapText="1"/>
    </xf>
    <xf numFmtId="180" fontId="67" fillId="0" borderId="78" xfId="128" applyNumberFormat="1" applyFont="1" applyFill="1" applyBorder="1" applyAlignment="1">
      <alignment horizontal="center" vertical="center"/>
    </xf>
    <xf numFmtId="180" fontId="17" fillId="0" borderId="69" xfId="107" applyNumberFormat="1" applyFont="1" applyFill="1" applyBorder="1" applyAlignment="1">
      <alignment horizontal="center" vertical="center"/>
    </xf>
    <xf numFmtId="180" fontId="17" fillId="0" borderId="70" xfId="107" applyNumberFormat="1" applyFont="1" applyFill="1" applyBorder="1" applyAlignment="1">
      <alignment horizontal="center" vertical="center"/>
    </xf>
    <xf numFmtId="180" fontId="17" fillId="0" borderId="13" xfId="107" applyNumberFormat="1" applyFont="1" applyFill="1" applyBorder="1" applyAlignment="1">
      <alignment horizontal="center" vertical="center"/>
    </xf>
    <xf numFmtId="180" fontId="17" fillId="0" borderId="42" xfId="107" applyNumberFormat="1" applyFont="1" applyFill="1" applyBorder="1" applyAlignment="1">
      <alignment horizontal="center" vertical="center"/>
    </xf>
    <xf numFmtId="180" fontId="17" fillId="0" borderId="31" xfId="107" applyNumberFormat="1" applyFont="1" applyFill="1" applyBorder="1" applyAlignment="1">
      <alignment horizontal="center" vertical="center"/>
    </xf>
    <xf numFmtId="180" fontId="17" fillId="0" borderId="32" xfId="107" applyNumberFormat="1" applyFont="1" applyFill="1" applyBorder="1" applyAlignment="1">
      <alignment horizontal="center" vertical="center"/>
    </xf>
    <xf numFmtId="180" fontId="17" fillId="0" borderId="33" xfId="107" applyNumberFormat="1" applyFont="1" applyFill="1" applyBorder="1" applyAlignment="1">
      <alignment horizontal="center" vertical="center"/>
    </xf>
    <xf numFmtId="14" fontId="67" fillId="0" borderId="68" xfId="128" applyNumberFormat="1" applyFont="1" applyFill="1" applyBorder="1" applyAlignment="1">
      <alignment horizontal="center" vertical="center"/>
    </xf>
    <xf numFmtId="14" fontId="17" fillId="0" borderId="69" xfId="107" applyNumberFormat="1" applyFont="1" applyFill="1" applyBorder="1" applyAlignment="1">
      <alignment horizontal="center" vertical="center"/>
    </xf>
    <xf numFmtId="14" fontId="17" fillId="0" borderId="70" xfId="107" applyNumberFormat="1" applyFont="1" applyFill="1" applyBorder="1" applyAlignment="1">
      <alignment horizontal="center" vertical="center"/>
    </xf>
    <xf numFmtId="14" fontId="17" fillId="0" borderId="41" xfId="107" applyNumberFormat="1" applyFont="1" applyFill="1" applyBorder="1" applyAlignment="1">
      <alignment horizontal="center" vertical="center"/>
    </xf>
    <xf numFmtId="14" fontId="17" fillId="0" borderId="42" xfId="107" applyNumberFormat="1" applyFont="1" applyFill="1" applyBorder="1" applyAlignment="1">
      <alignment horizontal="center" vertical="center"/>
    </xf>
    <xf numFmtId="14" fontId="17" fillId="0" borderId="34" xfId="107" applyNumberFormat="1" applyFont="1" applyFill="1" applyBorder="1" applyAlignment="1">
      <alignment horizontal="center" vertical="center"/>
    </xf>
    <xf numFmtId="14" fontId="17" fillId="0" borderId="32" xfId="107" applyNumberFormat="1" applyFont="1" applyFill="1" applyBorder="1" applyAlignment="1">
      <alignment horizontal="center" vertical="center"/>
    </xf>
    <xf numFmtId="14" fontId="17" fillId="0" borderId="33" xfId="107" applyNumberFormat="1" applyFont="1" applyFill="1" applyBorder="1" applyAlignment="1">
      <alignment horizontal="center" vertical="center"/>
    </xf>
    <xf numFmtId="0" fontId="67" fillId="0" borderId="68" xfId="128" applyFont="1" applyFill="1" applyBorder="1" applyAlignment="1">
      <alignment horizontal="center" vertical="center"/>
    </xf>
    <xf numFmtId="0" fontId="17" fillId="0" borderId="69" xfId="107" applyFont="1" applyFill="1" applyBorder="1" applyAlignment="1">
      <alignment horizontal="center" vertical="center"/>
    </xf>
    <xf numFmtId="0" fontId="17" fillId="0" borderId="70" xfId="107" applyFont="1" applyFill="1" applyBorder="1" applyAlignment="1">
      <alignment horizontal="center" vertical="center"/>
    </xf>
    <xf numFmtId="0" fontId="17" fillId="0" borderId="41" xfId="107" applyFont="1" applyFill="1" applyBorder="1" applyAlignment="1">
      <alignment horizontal="center" vertical="center"/>
    </xf>
    <xf numFmtId="0" fontId="17" fillId="0" borderId="42" xfId="107" applyFont="1" applyFill="1" applyBorder="1" applyAlignment="1">
      <alignment horizontal="center" vertical="center"/>
    </xf>
    <xf numFmtId="0" fontId="17" fillId="0" borderId="34" xfId="107" applyFont="1" applyFill="1" applyBorder="1" applyAlignment="1">
      <alignment horizontal="center" vertical="center"/>
    </xf>
    <xf numFmtId="0" fontId="17" fillId="0" borderId="32" xfId="107" applyFont="1" applyFill="1" applyBorder="1" applyAlignment="1">
      <alignment horizontal="center" vertical="center"/>
    </xf>
    <xf numFmtId="0" fontId="17" fillId="0" borderId="33" xfId="107" applyFont="1" applyFill="1" applyBorder="1" applyAlignment="1">
      <alignment horizontal="center" vertical="center"/>
    </xf>
    <xf numFmtId="0" fontId="67" fillId="0" borderId="68" xfId="128" applyFont="1" applyFill="1" applyBorder="1" applyAlignment="1">
      <alignment vertical="center" wrapText="1"/>
    </xf>
    <xf numFmtId="0" fontId="67" fillId="0" borderId="69" xfId="128" applyFont="1" applyFill="1" applyBorder="1" applyAlignment="1">
      <alignment vertical="center" wrapText="1"/>
    </xf>
    <xf numFmtId="0" fontId="67" fillId="0" borderId="70" xfId="128" applyFont="1" applyFill="1" applyBorder="1" applyAlignment="1">
      <alignment vertical="center" wrapText="1"/>
    </xf>
    <xf numFmtId="0" fontId="67" fillId="0" borderId="41" xfId="128" applyFont="1" applyFill="1" applyBorder="1" applyAlignment="1">
      <alignment vertical="center" wrapText="1"/>
    </xf>
    <xf numFmtId="0" fontId="67" fillId="0" borderId="42" xfId="128" applyFont="1" applyFill="1" applyBorder="1" applyAlignment="1">
      <alignment vertical="center" wrapText="1"/>
    </xf>
    <xf numFmtId="0" fontId="67" fillId="0" borderId="34" xfId="128" applyFont="1" applyFill="1" applyBorder="1" applyAlignment="1">
      <alignment vertical="center" wrapText="1"/>
    </xf>
    <xf numFmtId="0" fontId="67" fillId="0" borderId="32" xfId="128" applyFont="1" applyFill="1" applyBorder="1" applyAlignment="1">
      <alignment vertical="center" wrapText="1"/>
    </xf>
    <xf numFmtId="0" fontId="67" fillId="0" borderId="33" xfId="128" applyFont="1" applyFill="1" applyBorder="1" applyAlignment="1">
      <alignment vertical="center" wrapText="1"/>
    </xf>
    <xf numFmtId="0" fontId="17" fillId="0" borderId="81" xfId="107" applyFont="1" applyFill="1" applyBorder="1" applyAlignment="1">
      <alignment horizontal="center" vertical="center"/>
    </xf>
    <xf numFmtId="0" fontId="17" fillId="0" borderId="14" xfId="107" applyFont="1" applyFill="1" applyBorder="1" applyAlignment="1">
      <alignment horizontal="center" vertical="center"/>
    </xf>
    <xf numFmtId="0" fontId="17" fillId="0" borderId="35" xfId="107" applyFont="1" applyFill="1" applyBorder="1" applyAlignment="1">
      <alignment horizontal="center" vertical="center"/>
    </xf>
    <xf numFmtId="180" fontId="17" fillId="0" borderId="15" xfId="107" applyNumberFormat="1" applyFont="1" applyFill="1" applyBorder="1" applyAlignment="1">
      <alignment horizontal="center" vertical="center"/>
    </xf>
    <xf numFmtId="180" fontId="17" fillId="0" borderId="16" xfId="107" applyNumberFormat="1" applyFont="1" applyFill="1" applyBorder="1" applyAlignment="1">
      <alignment horizontal="center" vertical="center"/>
    </xf>
    <xf numFmtId="180" fontId="17" fillId="0" borderId="47" xfId="107" applyNumberFormat="1" applyFont="1" applyFill="1" applyBorder="1" applyAlignment="1">
      <alignment horizontal="center" vertical="center"/>
    </xf>
    <xf numFmtId="14" fontId="17" fillId="0" borderId="46" xfId="107" applyNumberFormat="1" applyFont="1" applyFill="1" applyBorder="1" applyAlignment="1">
      <alignment horizontal="center" vertical="center"/>
    </xf>
    <xf numFmtId="14" fontId="17" fillId="0" borderId="16" xfId="107" applyNumberFormat="1" applyFont="1" applyFill="1" applyBorder="1" applyAlignment="1">
      <alignment horizontal="center" vertical="center"/>
    </xf>
    <xf numFmtId="14" fontId="17" fillId="0" borderId="47" xfId="107" applyNumberFormat="1" applyFont="1" applyFill="1" applyBorder="1" applyAlignment="1">
      <alignment horizontal="center" vertical="center"/>
    </xf>
    <xf numFmtId="0" fontId="17" fillId="0" borderId="46" xfId="107" applyFont="1" applyFill="1" applyBorder="1" applyAlignment="1">
      <alignment horizontal="center" vertical="center"/>
    </xf>
    <xf numFmtId="0" fontId="17" fillId="0" borderId="16" xfId="107" applyFont="1" applyFill="1" applyBorder="1" applyAlignment="1">
      <alignment horizontal="center" vertical="center"/>
    </xf>
    <xf numFmtId="0" fontId="17" fillId="0" borderId="47" xfId="107" applyFont="1" applyFill="1" applyBorder="1" applyAlignment="1">
      <alignment horizontal="center" vertical="center"/>
    </xf>
    <xf numFmtId="0" fontId="17" fillId="0" borderId="69" xfId="107" applyFont="1" applyFill="1" applyBorder="1" applyAlignment="1">
      <alignment vertical="center" wrapText="1"/>
    </xf>
    <xf numFmtId="0" fontId="17" fillId="0" borderId="70" xfId="107" applyFont="1" applyFill="1" applyBorder="1" applyAlignment="1">
      <alignment vertical="center" wrapText="1"/>
    </xf>
    <xf numFmtId="0" fontId="17" fillId="0" borderId="41" xfId="107" applyFont="1" applyFill="1" applyBorder="1" applyAlignment="1">
      <alignment vertical="center" wrapText="1"/>
    </xf>
    <xf numFmtId="0" fontId="17" fillId="0" borderId="42" xfId="107" applyFont="1" applyFill="1" applyBorder="1" applyAlignment="1">
      <alignment vertical="center" wrapText="1"/>
    </xf>
    <xf numFmtId="0" fontId="17" fillId="0" borderId="46" xfId="107" applyFont="1" applyFill="1" applyBorder="1" applyAlignment="1">
      <alignment vertical="center" wrapText="1"/>
    </xf>
    <xf numFmtId="0" fontId="17" fillId="0" borderId="16" xfId="107" applyFont="1" applyFill="1" applyBorder="1" applyAlignment="1">
      <alignment vertical="center" wrapText="1"/>
    </xf>
    <xf numFmtId="0" fontId="17" fillId="0" borderId="47" xfId="107" applyFont="1" applyFill="1" applyBorder="1" applyAlignment="1">
      <alignment vertical="center" wrapText="1"/>
    </xf>
    <xf numFmtId="0" fontId="17" fillId="0" borderId="17" xfId="107" applyFont="1" applyFill="1" applyBorder="1" applyAlignment="1">
      <alignment horizontal="center" vertical="center"/>
    </xf>
    <xf numFmtId="0" fontId="67" fillId="0" borderId="68" xfId="128" applyFont="1" applyFill="1" applyBorder="1" applyAlignment="1">
      <alignment horizontal="center" vertical="center" wrapText="1"/>
    </xf>
    <xf numFmtId="0" fontId="17" fillId="0" borderId="34" xfId="107" applyFont="1" applyFill="1" applyBorder="1" applyAlignment="1">
      <alignment vertical="center" wrapText="1"/>
    </xf>
    <xf numFmtId="0" fontId="17" fillId="0" borderId="32" xfId="107" applyFont="1" applyFill="1" applyBorder="1" applyAlignment="1">
      <alignment vertical="center" wrapText="1"/>
    </xf>
    <xf numFmtId="0" fontId="17" fillId="0" borderId="33" xfId="107" applyFont="1" applyFill="1" applyBorder="1" applyAlignment="1">
      <alignment vertical="center" wrapText="1"/>
    </xf>
    <xf numFmtId="180" fontId="77" fillId="0" borderId="78" xfId="128" applyNumberFormat="1" applyFont="1" applyFill="1" applyBorder="1" applyAlignment="1">
      <alignment horizontal="center" vertical="center"/>
    </xf>
    <xf numFmtId="180" fontId="78" fillId="0" borderId="69" xfId="107" applyNumberFormat="1" applyFont="1" applyFill="1" applyBorder="1" applyAlignment="1">
      <alignment horizontal="center" vertical="center"/>
    </xf>
    <xf numFmtId="180" fontId="78" fillId="0" borderId="70" xfId="107" applyNumberFormat="1" applyFont="1" applyFill="1" applyBorder="1" applyAlignment="1">
      <alignment horizontal="center" vertical="center"/>
    </xf>
    <xf numFmtId="180" fontId="78" fillId="0" borderId="13" xfId="107" applyNumberFormat="1" applyFont="1" applyFill="1" applyBorder="1" applyAlignment="1">
      <alignment horizontal="center" vertical="center"/>
    </xf>
    <xf numFmtId="180" fontId="78" fillId="0" borderId="0" xfId="107" applyNumberFormat="1" applyFont="1" applyFill="1" applyBorder="1" applyAlignment="1">
      <alignment horizontal="center" vertical="center"/>
    </xf>
    <xf numFmtId="180" fontId="78" fillId="0" borderId="42" xfId="107" applyNumberFormat="1" applyFont="1" applyFill="1" applyBorder="1" applyAlignment="1">
      <alignment horizontal="center" vertical="center"/>
    </xf>
    <xf numFmtId="180" fontId="78" fillId="0" borderId="31" xfId="107" applyNumberFormat="1" applyFont="1" applyFill="1" applyBorder="1" applyAlignment="1">
      <alignment horizontal="center" vertical="center"/>
    </xf>
    <xf numFmtId="180" fontId="78" fillId="0" borderId="32" xfId="107" applyNumberFormat="1" applyFont="1" applyFill="1" applyBorder="1" applyAlignment="1">
      <alignment horizontal="center" vertical="center"/>
    </xf>
    <xf numFmtId="180" fontId="78" fillId="0" borderId="33" xfId="107" applyNumberFormat="1" applyFont="1" applyFill="1" applyBorder="1" applyAlignment="1">
      <alignment horizontal="center" vertical="center"/>
    </xf>
    <xf numFmtId="14" fontId="77" fillId="0" borderId="68" xfId="128" applyNumberFormat="1" applyFont="1" applyFill="1" applyBorder="1" applyAlignment="1">
      <alignment horizontal="center" vertical="center"/>
    </xf>
    <xf numFmtId="14" fontId="78" fillId="0" borderId="69" xfId="107" applyNumberFormat="1" applyFont="1" applyFill="1" applyBorder="1" applyAlignment="1">
      <alignment horizontal="center" vertical="center"/>
    </xf>
    <xf numFmtId="14" fontId="78" fillId="0" borderId="70" xfId="107" applyNumberFormat="1" applyFont="1" applyFill="1" applyBorder="1" applyAlignment="1">
      <alignment horizontal="center" vertical="center"/>
    </xf>
    <xf numFmtId="14" fontId="78" fillId="0" borderId="41" xfId="107" applyNumberFormat="1" applyFont="1" applyFill="1" applyBorder="1" applyAlignment="1">
      <alignment horizontal="center" vertical="center"/>
    </xf>
    <xf numFmtId="14" fontId="78" fillId="0" borderId="0" xfId="107" applyNumberFormat="1" applyFont="1" applyFill="1" applyBorder="1" applyAlignment="1">
      <alignment horizontal="center" vertical="center"/>
    </xf>
    <xf numFmtId="14" fontId="78" fillId="0" borderId="42" xfId="107" applyNumberFormat="1" applyFont="1" applyFill="1" applyBorder="1" applyAlignment="1">
      <alignment horizontal="center" vertical="center"/>
    </xf>
    <xf numFmtId="14" fontId="78" fillId="0" borderId="34" xfId="107" applyNumberFormat="1" applyFont="1" applyFill="1" applyBorder="1" applyAlignment="1">
      <alignment horizontal="center" vertical="center"/>
    </xf>
    <xf numFmtId="14" fontId="78" fillId="0" borderId="32" xfId="107" applyNumberFormat="1" applyFont="1" applyFill="1" applyBorder="1" applyAlignment="1">
      <alignment horizontal="center" vertical="center"/>
    </xf>
    <xf numFmtId="14" fontId="78" fillId="0" borderId="33" xfId="107" applyNumberFormat="1" applyFont="1" applyFill="1" applyBorder="1" applyAlignment="1">
      <alignment horizontal="center" vertical="center"/>
    </xf>
    <xf numFmtId="0" fontId="77" fillId="0" borderId="68" xfId="128" applyFont="1" applyFill="1" applyBorder="1" applyAlignment="1">
      <alignment horizontal="center" vertical="center" wrapText="1"/>
    </xf>
    <xf numFmtId="0" fontId="78" fillId="0" borderId="69" xfId="107" applyFont="1" applyFill="1" applyBorder="1" applyAlignment="1">
      <alignment horizontal="center" vertical="center"/>
    </xf>
    <xf numFmtId="0" fontId="78" fillId="0" borderId="70" xfId="107" applyFont="1" applyFill="1" applyBorder="1" applyAlignment="1">
      <alignment horizontal="center" vertical="center"/>
    </xf>
    <xf numFmtId="0" fontId="78" fillId="0" borderId="41" xfId="107" applyFont="1" applyFill="1" applyBorder="1" applyAlignment="1">
      <alignment horizontal="center" vertical="center"/>
    </xf>
    <xf numFmtId="0" fontId="78" fillId="0" borderId="0" xfId="107" applyFont="1" applyFill="1" applyBorder="1" applyAlignment="1">
      <alignment horizontal="center" vertical="center"/>
    </xf>
    <xf numFmtId="0" fontId="78" fillId="0" borderId="42" xfId="107" applyFont="1" applyFill="1" applyBorder="1" applyAlignment="1">
      <alignment horizontal="center" vertical="center"/>
    </xf>
    <xf numFmtId="0" fontId="78" fillId="0" borderId="34" xfId="107" applyFont="1" applyFill="1" applyBorder="1" applyAlignment="1">
      <alignment horizontal="center" vertical="center"/>
    </xf>
    <xf numFmtId="0" fontId="78" fillId="0" borderId="32" xfId="107" applyFont="1" applyFill="1" applyBorder="1" applyAlignment="1">
      <alignment horizontal="center" vertical="center"/>
    </xf>
    <xf numFmtId="0" fontId="78" fillId="0" borderId="33" xfId="107" applyFont="1" applyFill="1" applyBorder="1" applyAlignment="1">
      <alignment horizontal="center" vertical="center"/>
    </xf>
    <xf numFmtId="0" fontId="77" fillId="0" borderId="68" xfId="128" applyFont="1" applyFill="1" applyBorder="1" applyAlignment="1">
      <alignment vertical="center" wrapText="1"/>
    </xf>
    <xf numFmtId="0" fontId="78" fillId="0" borderId="69" xfId="107" applyFont="1" applyFill="1" applyBorder="1" applyAlignment="1">
      <alignment vertical="center" wrapText="1"/>
    </xf>
    <xf numFmtId="0" fontId="78" fillId="0" borderId="70" xfId="107" applyFont="1" applyFill="1" applyBorder="1" applyAlignment="1">
      <alignment vertical="center" wrapText="1"/>
    </xf>
    <xf numFmtId="0" fontId="78" fillId="0" borderId="41" xfId="107" applyFont="1" applyFill="1" applyBorder="1" applyAlignment="1">
      <alignment vertical="center" wrapText="1"/>
    </xf>
    <xf numFmtId="0" fontId="78" fillId="0" borderId="0" xfId="107" applyFont="1" applyFill="1" applyBorder="1" applyAlignment="1">
      <alignment vertical="center" wrapText="1"/>
    </xf>
    <xf numFmtId="0" fontId="78" fillId="0" borderId="42" xfId="107" applyFont="1" applyFill="1" applyBorder="1" applyAlignment="1">
      <alignment vertical="center" wrapText="1"/>
    </xf>
    <xf numFmtId="0" fontId="78" fillId="0" borderId="34" xfId="107" applyFont="1" applyFill="1" applyBorder="1" applyAlignment="1">
      <alignment vertical="center" wrapText="1"/>
    </xf>
    <xf numFmtId="0" fontId="78" fillId="0" borderId="32" xfId="107" applyFont="1" applyFill="1" applyBorder="1" applyAlignment="1">
      <alignment vertical="center" wrapText="1"/>
    </xf>
    <xf numFmtId="0" fontId="78" fillId="0" borderId="33" xfId="107" applyFont="1" applyFill="1" applyBorder="1" applyAlignment="1">
      <alignment vertical="center" wrapText="1"/>
    </xf>
    <xf numFmtId="0" fontId="77" fillId="0" borderId="68" xfId="128" applyFont="1" applyFill="1" applyBorder="1" applyAlignment="1">
      <alignment horizontal="center" vertical="center"/>
    </xf>
    <xf numFmtId="0" fontId="78" fillId="0" borderId="81" xfId="107" applyFont="1" applyFill="1" applyBorder="1" applyAlignment="1">
      <alignment horizontal="center" vertical="center"/>
    </xf>
    <xf numFmtId="0" fontId="78" fillId="0" borderId="14" xfId="107" applyFont="1" applyFill="1" applyBorder="1" applyAlignment="1">
      <alignment horizontal="center" vertical="center"/>
    </xf>
    <xf numFmtId="0" fontId="78" fillId="0" borderId="35" xfId="107" applyFont="1" applyFill="1" applyBorder="1" applyAlignment="1">
      <alignment horizontal="center" vertical="center"/>
    </xf>
    <xf numFmtId="180" fontId="67" fillId="0" borderId="13" xfId="128" applyNumberFormat="1" applyFont="1" applyFill="1" applyBorder="1" applyAlignment="1">
      <alignment horizontal="center" vertical="center"/>
    </xf>
    <xf numFmtId="14" fontId="67" fillId="0" borderId="41" xfId="128" applyNumberFormat="1" applyFont="1" applyFill="1" applyBorder="1" applyAlignment="1">
      <alignment horizontal="center" vertical="center"/>
    </xf>
    <xf numFmtId="0" fontId="67" fillId="0" borderId="41" xfId="128" applyFont="1" applyFill="1" applyBorder="1" applyAlignment="1">
      <alignment horizontal="center" vertical="center"/>
    </xf>
    <xf numFmtId="0" fontId="67" fillId="0" borderId="109" xfId="128" applyFont="1" applyFill="1" applyBorder="1" applyAlignment="1">
      <alignment vertical="center" wrapText="1"/>
    </xf>
    <xf numFmtId="0" fontId="17" fillId="0" borderId="110" xfId="107" applyFont="1" applyFill="1" applyBorder="1" applyAlignment="1">
      <alignment vertical="center" wrapText="1"/>
    </xf>
    <xf numFmtId="0" fontId="17" fillId="0" borderId="111" xfId="107" applyFont="1" applyFill="1" applyBorder="1" applyAlignment="1">
      <alignment vertical="center" wrapText="1"/>
    </xf>
    <xf numFmtId="0" fontId="17" fillId="0" borderId="103" xfId="107" applyFont="1" applyFill="1" applyBorder="1" applyAlignment="1">
      <alignment vertical="center" wrapText="1"/>
    </xf>
    <xf numFmtId="0" fontId="17" fillId="0" borderId="104" xfId="107" applyFont="1" applyFill="1" applyBorder="1" applyAlignment="1">
      <alignment vertical="center" wrapText="1"/>
    </xf>
    <xf numFmtId="0" fontId="17" fillId="0" borderId="105" xfId="107" applyFont="1" applyFill="1" applyBorder="1" applyAlignment="1">
      <alignment vertical="center" wrapText="1"/>
    </xf>
    <xf numFmtId="180" fontId="77" fillId="0" borderId="13" xfId="128" applyNumberFormat="1" applyFont="1" applyFill="1" applyBorder="1" applyAlignment="1">
      <alignment horizontal="center" vertical="center"/>
    </xf>
    <xf numFmtId="14" fontId="77" fillId="0" borderId="41" xfId="128" applyNumberFormat="1" applyFont="1" applyFill="1" applyBorder="1" applyAlignment="1">
      <alignment horizontal="center" vertical="center"/>
    </xf>
    <xf numFmtId="0" fontId="77" fillId="0" borderId="41" xfId="128" applyFont="1" applyFill="1" applyBorder="1" applyAlignment="1">
      <alignment horizontal="center" vertical="center"/>
    </xf>
    <xf numFmtId="0" fontId="77" fillId="0" borderId="41" xfId="128" applyFont="1" applyFill="1" applyBorder="1" applyAlignment="1">
      <alignment vertical="center" wrapText="1"/>
    </xf>
    <xf numFmtId="0" fontId="67" fillId="33" borderId="10" xfId="128" applyFont="1" applyFill="1" applyBorder="1" applyAlignment="1">
      <alignment horizontal="center" vertical="center"/>
    </xf>
    <xf numFmtId="0" fontId="17" fillId="33" borderId="11" xfId="107" applyFont="1" applyFill="1" applyBorder="1" applyAlignment="1">
      <alignment horizontal="center" vertical="center"/>
    </xf>
    <xf numFmtId="0" fontId="17" fillId="33" borderId="85" xfId="107" applyFont="1" applyFill="1" applyBorder="1" applyAlignment="1">
      <alignment horizontal="center" vertical="center"/>
    </xf>
    <xf numFmtId="0" fontId="17" fillId="33" borderId="13" xfId="107" applyFont="1" applyFill="1" applyBorder="1" applyAlignment="1">
      <alignment horizontal="center" vertical="center"/>
    </xf>
    <xf numFmtId="0" fontId="17" fillId="33" borderId="0" xfId="107" applyFont="1" applyFill="1" applyBorder="1" applyAlignment="1">
      <alignment horizontal="center" vertical="center"/>
    </xf>
    <xf numFmtId="0" fontId="17" fillId="33" borderId="42" xfId="107" applyFont="1" applyFill="1" applyBorder="1" applyAlignment="1">
      <alignment horizontal="center" vertical="center"/>
    </xf>
    <xf numFmtId="0" fontId="17" fillId="33" borderId="87" xfId="107" applyFont="1" applyFill="1" applyBorder="1" applyAlignment="1">
      <alignment horizontal="center" vertical="center"/>
    </xf>
    <xf numFmtId="0" fontId="17" fillId="33" borderId="64" xfId="107" applyFont="1" applyFill="1" applyBorder="1" applyAlignment="1">
      <alignment horizontal="center" vertical="center"/>
    </xf>
    <xf numFmtId="0" fontId="17" fillId="33" borderId="88" xfId="107" applyFont="1" applyFill="1" applyBorder="1" applyAlignment="1">
      <alignment horizontal="center" vertical="center"/>
    </xf>
    <xf numFmtId="0" fontId="67" fillId="33" borderId="86" xfId="128" applyFont="1" applyFill="1" applyBorder="1" applyAlignment="1">
      <alignment horizontal="center" vertical="center"/>
    </xf>
    <xf numFmtId="0" fontId="17" fillId="33" borderId="41" xfId="107" applyFont="1" applyFill="1" applyBorder="1" applyAlignment="1">
      <alignment horizontal="center" vertical="center"/>
    </xf>
    <xf numFmtId="0" fontId="17" fillId="33" borderId="89" xfId="107" applyFont="1" applyFill="1" applyBorder="1" applyAlignment="1">
      <alignment horizontal="center" vertical="center"/>
    </xf>
    <xf numFmtId="0" fontId="17" fillId="33" borderId="12" xfId="107" applyFont="1" applyFill="1" applyBorder="1" applyAlignment="1">
      <alignment horizontal="center" vertical="center"/>
    </xf>
    <xf numFmtId="0" fontId="17" fillId="33" borderId="14" xfId="107" applyFont="1" applyFill="1" applyBorder="1" applyAlignment="1">
      <alignment horizontal="center" vertical="center"/>
    </xf>
    <xf numFmtId="0" fontId="17" fillId="33" borderId="90" xfId="107" applyFont="1" applyFill="1" applyBorder="1" applyAlignment="1">
      <alignment horizontal="center" vertical="center"/>
    </xf>
    <xf numFmtId="0" fontId="17" fillId="33" borderId="72" xfId="128" applyFont="1" applyFill="1" applyBorder="1" applyAlignment="1">
      <alignment horizontal="center" vertical="center"/>
    </xf>
    <xf numFmtId="0" fontId="17" fillId="0" borderId="72" xfId="107" applyFont="1" applyBorder="1" applyAlignment="1">
      <alignment horizontal="center" vertical="center"/>
    </xf>
    <xf numFmtId="0" fontId="17" fillId="0" borderId="77" xfId="107" applyFont="1" applyBorder="1" applyAlignment="1">
      <alignment horizontal="center" vertical="center"/>
    </xf>
    <xf numFmtId="0" fontId="0" fillId="0" borderId="78" xfId="128" applyFont="1" applyBorder="1" applyAlignment="1">
      <alignment horizontal="center" vertical="center" wrapText="1"/>
    </xf>
    <xf numFmtId="0" fontId="17" fillId="0" borderId="69" xfId="128" applyFont="1" applyBorder="1" applyAlignment="1">
      <alignment horizontal="center" vertical="center" wrapText="1"/>
    </xf>
    <xf numFmtId="0" fontId="17" fillId="0" borderId="69" xfId="107" applyFont="1" applyBorder="1" applyAlignment="1">
      <alignment horizontal="center" vertical="center" wrapText="1"/>
    </xf>
    <xf numFmtId="0" fontId="17" fillId="0" borderId="70" xfId="107" applyFont="1" applyBorder="1" applyAlignment="1">
      <alignment horizontal="center" vertical="center" wrapText="1"/>
    </xf>
    <xf numFmtId="0" fontId="17" fillId="0" borderId="15" xfId="128" applyFont="1" applyBorder="1" applyAlignment="1">
      <alignment horizontal="center" vertical="center" wrapText="1"/>
    </xf>
    <xf numFmtId="0" fontId="17" fillId="0" borderId="16" xfId="128" applyFont="1" applyBorder="1" applyAlignment="1">
      <alignment horizontal="center" vertical="center" wrapText="1"/>
    </xf>
    <xf numFmtId="0" fontId="17" fillId="0" borderId="16" xfId="107" applyFont="1" applyBorder="1" applyAlignment="1">
      <alignment horizontal="center" vertical="center" wrapText="1"/>
    </xf>
    <xf numFmtId="0" fontId="17" fillId="0" borderId="47" xfId="107" applyFont="1" applyBorder="1" applyAlignment="1">
      <alignment horizontal="center" vertical="center" wrapText="1"/>
    </xf>
    <xf numFmtId="0" fontId="17" fillId="0" borderId="68" xfId="128" applyFont="1" applyBorder="1" applyAlignment="1">
      <alignment horizontal="center" vertical="center" wrapText="1"/>
    </xf>
    <xf numFmtId="0" fontId="17" fillId="0" borderId="79" xfId="107" applyFont="1" applyBorder="1" applyAlignment="1">
      <alignment horizontal="center" vertical="center" wrapText="1"/>
    </xf>
    <xf numFmtId="0" fontId="17" fillId="0" borderId="46" xfId="128" applyFont="1" applyBorder="1" applyAlignment="1">
      <alignment horizontal="center" vertical="center" wrapText="1"/>
    </xf>
    <xf numFmtId="0" fontId="17" fillId="0" borderId="82" xfId="107" applyFont="1" applyBorder="1" applyAlignment="1">
      <alignment horizontal="center" vertical="center" wrapText="1"/>
    </xf>
    <xf numFmtId="0" fontId="50" fillId="0" borderId="61" xfId="128" applyFont="1" applyBorder="1" applyAlignment="1">
      <alignment horizontal="center" vertical="center"/>
    </xf>
    <xf numFmtId="0" fontId="50" fillId="0" borderId="0" xfId="107" applyFont="1" applyAlignment="1">
      <alignment horizontal="center" vertical="center"/>
    </xf>
    <xf numFmtId="0" fontId="50" fillId="0" borderId="62" xfId="107" applyFont="1" applyBorder="1" applyAlignment="1">
      <alignment horizontal="center" vertical="center"/>
    </xf>
    <xf numFmtId="0" fontId="50" fillId="0" borderId="83" xfId="107" applyFont="1" applyBorder="1" applyAlignment="1">
      <alignment horizontal="center" vertical="center"/>
    </xf>
    <xf numFmtId="0" fontId="50" fillId="0" borderId="16" xfId="107" applyFont="1" applyBorder="1" applyAlignment="1">
      <alignment horizontal="center" vertical="center"/>
    </xf>
    <xf numFmtId="0" fontId="50" fillId="0" borderId="82" xfId="107" applyFont="1" applyBorder="1" applyAlignment="1">
      <alignment horizontal="center" vertical="center"/>
    </xf>
    <xf numFmtId="0" fontId="0" fillId="0" borderId="70" xfId="128" applyFont="1" applyBorder="1" applyAlignment="1">
      <alignment horizontal="center" vertical="center"/>
    </xf>
    <xf numFmtId="0" fontId="17" fillId="0" borderId="80" xfId="107" applyFont="1" applyBorder="1" applyAlignment="1">
      <alignment horizontal="center" vertical="center"/>
    </xf>
    <xf numFmtId="0" fontId="17" fillId="0" borderId="47" xfId="107" applyFont="1" applyBorder="1" applyAlignment="1">
      <alignment horizontal="center" vertical="center"/>
    </xf>
    <xf numFmtId="0" fontId="17" fillId="0" borderId="84" xfId="107" applyFont="1" applyBorder="1" applyAlignment="1">
      <alignment horizontal="center" vertical="center"/>
    </xf>
    <xf numFmtId="14" fontId="17" fillId="0" borderId="80" xfId="128" applyNumberFormat="1" applyFont="1" applyBorder="1" applyAlignment="1">
      <alignment horizontal="center" vertical="center"/>
    </xf>
    <xf numFmtId="14" fontId="17" fillId="0" borderId="69" xfId="128" applyNumberFormat="1" applyFont="1" applyBorder="1" applyAlignment="1">
      <alignment horizontal="center" vertical="center"/>
    </xf>
    <xf numFmtId="0" fontId="17" fillId="0" borderId="69" xfId="107" applyFont="1" applyBorder="1" applyAlignment="1">
      <alignment horizontal="center" vertical="center"/>
    </xf>
    <xf numFmtId="0" fontId="17" fillId="0" borderId="81" xfId="107" applyFont="1" applyBorder="1" applyAlignment="1">
      <alignment horizontal="center" vertical="center"/>
    </xf>
    <xf numFmtId="0" fontId="17" fillId="0" borderId="16" xfId="107" applyFont="1" applyBorder="1" applyAlignment="1">
      <alignment horizontal="center" vertical="center"/>
    </xf>
    <xf numFmtId="0" fontId="17" fillId="0" borderId="17" xfId="107" applyFont="1" applyBorder="1" applyAlignment="1">
      <alignment horizontal="center" vertical="center"/>
    </xf>
    <xf numFmtId="0" fontId="17" fillId="36" borderId="71" xfId="128" applyFont="1" applyFill="1" applyBorder="1" applyAlignment="1">
      <alignment horizontal="center" vertical="center"/>
    </xf>
    <xf numFmtId="0" fontId="17" fillId="36" borderId="72" xfId="128" applyFont="1" applyFill="1" applyBorder="1" applyAlignment="1">
      <alignment horizontal="center" vertical="center"/>
    </xf>
    <xf numFmtId="0" fontId="17" fillId="36" borderId="72" xfId="107" applyFont="1" applyFill="1" applyBorder="1" applyAlignment="1">
      <alignment horizontal="center" vertical="center"/>
    </xf>
    <xf numFmtId="0" fontId="17" fillId="36" borderId="73" xfId="107" applyFont="1" applyFill="1" applyBorder="1" applyAlignment="1">
      <alignment horizontal="center" vertical="center"/>
    </xf>
    <xf numFmtId="0" fontId="17" fillId="33" borderId="74" xfId="128" applyFont="1" applyFill="1" applyBorder="1" applyAlignment="1">
      <alignment horizontal="center" vertical="center"/>
    </xf>
    <xf numFmtId="0" fontId="50" fillId="0" borderId="75" xfId="128" applyFont="1" applyBorder="1" applyAlignment="1">
      <alignment horizontal="center" vertical="center" wrapText="1"/>
    </xf>
    <xf numFmtId="0" fontId="50" fillId="0" borderId="72" xfId="107" applyFont="1" applyBorder="1" applyAlignment="1">
      <alignment horizontal="center" vertical="center"/>
    </xf>
    <xf numFmtId="0" fontId="50" fillId="0" borderId="76" xfId="107" applyFont="1" applyBorder="1" applyAlignment="1">
      <alignment horizontal="center" vertical="center"/>
    </xf>
    <xf numFmtId="0" fontId="17" fillId="33" borderId="73" xfId="128" applyFont="1" applyFill="1" applyBorder="1" applyAlignment="1">
      <alignment horizontal="center" vertical="center"/>
    </xf>
    <xf numFmtId="0" fontId="17" fillId="0" borderId="2" xfId="107" applyFont="1" applyBorder="1" applyAlignment="1">
      <alignment horizontal="center" vertical="center"/>
    </xf>
    <xf numFmtId="0" fontId="17" fillId="33" borderId="2" xfId="128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52" fillId="0" borderId="5" xfId="0" applyFont="1" applyFill="1" applyBorder="1" applyAlignment="1">
      <alignment horizontal="center" vertical="center"/>
    </xf>
    <xf numFmtId="0" fontId="52" fillId="0" borderId="5" xfId="0" applyFont="1" applyFill="1" applyBorder="1" applyAlignment="1">
      <alignment horizontal="left" vertical="center" wrapText="1"/>
    </xf>
    <xf numFmtId="0" fontId="52" fillId="0" borderId="5" xfId="0" applyFont="1" applyFill="1" applyBorder="1" applyAlignment="1">
      <alignment vertical="center" wrapText="1"/>
    </xf>
    <xf numFmtId="0" fontId="52" fillId="0" borderId="36" xfId="0" applyFont="1" applyFill="1" applyBorder="1" applyAlignment="1">
      <alignment horizontal="left" vertical="center" wrapText="1"/>
    </xf>
    <xf numFmtId="0" fontId="52" fillId="0" borderId="37" xfId="0" applyFont="1" applyFill="1" applyBorder="1" applyAlignment="1">
      <alignment horizontal="left" vertical="center" wrapText="1"/>
    </xf>
    <xf numFmtId="0" fontId="52" fillId="0" borderId="38" xfId="0" applyFont="1" applyFill="1" applyBorder="1" applyAlignment="1">
      <alignment horizontal="left" vertical="center" wrapText="1"/>
    </xf>
    <xf numFmtId="0" fontId="52" fillId="0" borderId="34" xfId="0" applyFont="1" applyFill="1" applyBorder="1" applyAlignment="1">
      <alignment horizontal="left" vertical="center" wrapText="1"/>
    </xf>
    <xf numFmtId="0" fontId="52" fillId="0" borderId="32" xfId="0" applyFont="1" applyFill="1" applyBorder="1" applyAlignment="1">
      <alignment horizontal="left" vertical="center" wrapText="1"/>
    </xf>
    <xf numFmtId="0" fontId="52" fillId="0" borderId="33" xfId="0" applyFont="1" applyFill="1" applyBorder="1" applyAlignment="1">
      <alignment horizontal="left" vertical="center" wrapText="1"/>
    </xf>
    <xf numFmtId="0" fontId="53" fillId="2" borderId="5" xfId="0" applyFont="1" applyFill="1" applyBorder="1" applyAlignment="1">
      <alignment horizontal="center" vertical="center"/>
    </xf>
    <xf numFmtId="0" fontId="53" fillId="2" borderId="5" xfId="109" applyFont="1" applyFill="1" applyBorder="1" applyAlignment="1">
      <alignment horizontal="center" vertical="center"/>
    </xf>
    <xf numFmtId="0" fontId="52" fillId="31" borderId="5" xfId="0" applyFont="1" applyFill="1" applyBorder="1" applyAlignment="1">
      <alignment horizontal="left" vertical="center"/>
    </xf>
    <xf numFmtId="0" fontId="52" fillId="31" borderId="18" xfId="0" applyFont="1" applyFill="1" applyBorder="1" applyAlignment="1">
      <alignment horizontal="left" vertical="center"/>
    </xf>
    <xf numFmtId="0" fontId="52" fillId="31" borderId="39" xfId="0" applyFont="1" applyFill="1" applyBorder="1" applyAlignment="1">
      <alignment horizontal="left" vertical="center"/>
    </xf>
    <xf numFmtId="0" fontId="52" fillId="31" borderId="40" xfId="0" applyFont="1" applyFill="1" applyBorder="1" applyAlignment="1">
      <alignment horizontal="left" vertical="center"/>
    </xf>
    <xf numFmtId="0" fontId="4" fillId="31" borderId="18" xfId="0" applyFont="1" applyFill="1" applyBorder="1" applyAlignment="1">
      <alignment horizontal="center" vertical="center"/>
    </xf>
    <xf numFmtId="0" fontId="4" fillId="31" borderId="39" xfId="0" applyFont="1" applyFill="1" applyBorder="1" applyAlignment="1">
      <alignment horizontal="center" vertical="center"/>
    </xf>
    <xf numFmtId="0" fontId="4" fillId="31" borderId="40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31" borderId="5" xfId="0" applyFont="1" applyFill="1" applyBorder="1" applyAlignment="1">
      <alignment horizontal="center" vertical="center"/>
    </xf>
    <xf numFmtId="0" fontId="4" fillId="30" borderId="5" xfId="0" applyFont="1" applyFill="1" applyBorder="1" applyAlignment="1">
      <alignment horizontal="center" vertical="center"/>
    </xf>
    <xf numFmtId="0" fontId="4" fillId="36" borderId="2" xfId="0" applyFont="1" applyFill="1" applyBorder="1" applyAlignment="1">
      <alignment horizontal="center" vertical="center"/>
    </xf>
    <xf numFmtId="0" fontId="4" fillId="36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31" borderId="18" xfId="0" applyFont="1" applyFill="1" applyBorder="1" applyAlignment="1">
      <alignment horizontal="center" vertical="center"/>
    </xf>
    <xf numFmtId="0" fontId="52" fillId="31" borderId="39" xfId="0" applyFont="1" applyFill="1" applyBorder="1" applyAlignment="1">
      <alignment horizontal="center" vertical="center"/>
    </xf>
    <xf numFmtId="0" fontId="52" fillId="31" borderId="40" xfId="0" applyFont="1" applyFill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58" fillId="0" borderId="18" xfId="0" applyFont="1" applyBorder="1" applyAlignment="1">
      <alignment horizontal="left" vertical="center"/>
    </xf>
    <xf numFmtId="0" fontId="58" fillId="0" borderId="39" xfId="0" applyFont="1" applyBorder="1" applyAlignment="1">
      <alignment horizontal="left" vertical="center"/>
    </xf>
    <xf numFmtId="0" fontId="58" fillId="0" borderId="40" xfId="0" applyFont="1" applyBorder="1" applyAlignment="1">
      <alignment horizontal="left" vertical="center"/>
    </xf>
    <xf numFmtId="0" fontId="58" fillId="0" borderId="18" xfId="0" applyFont="1" applyFill="1" applyBorder="1" applyAlignment="1">
      <alignment horizontal="left" vertical="center"/>
    </xf>
    <xf numFmtId="0" fontId="58" fillId="0" borderId="39" xfId="0" applyFont="1" applyFill="1" applyBorder="1" applyAlignment="1">
      <alignment horizontal="left" vertical="center"/>
    </xf>
    <xf numFmtId="0" fontId="58" fillId="0" borderId="40" xfId="0" applyFont="1" applyFill="1" applyBorder="1" applyAlignment="1">
      <alignment horizontal="left" vertical="center"/>
    </xf>
    <xf numFmtId="0" fontId="58" fillId="0" borderId="18" xfId="0" applyFont="1" applyFill="1" applyBorder="1" applyAlignment="1">
      <alignment horizontal="center" vertical="center"/>
    </xf>
    <xf numFmtId="0" fontId="58" fillId="0" borderId="39" xfId="0" applyFont="1" applyFill="1" applyBorder="1" applyAlignment="1">
      <alignment horizontal="center" vertical="center"/>
    </xf>
    <xf numFmtId="0" fontId="58" fillId="0" borderId="40" xfId="0" applyFont="1" applyFill="1" applyBorder="1" applyAlignment="1">
      <alignment horizontal="center" vertical="center"/>
    </xf>
    <xf numFmtId="0" fontId="52" fillId="0" borderId="41" xfId="0" applyFont="1" applyFill="1" applyBorder="1" applyAlignment="1">
      <alignment horizontal="left" vertical="center" wrapText="1"/>
    </xf>
    <xf numFmtId="0" fontId="52" fillId="0" borderId="0" xfId="0" applyFont="1" applyFill="1" applyBorder="1" applyAlignment="1">
      <alignment horizontal="left" vertical="center" wrapText="1"/>
    </xf>
    <xf numFmtId="0" fontId="52" fillId="0" borderId="42" xfId="0" applyFont="1" applyFill="1" applyBorder="1" applyAlignment="1">
      <alignment horizontal="left" vertical="center" wrapText="1"/>
    </xf>
    <xf numFmtId="0" fontId="53" fillId="0" borderId="5" xfId="0" applyFont="1" applyFill="1" applyBorder="1" applyAlignment="1">
      <alignment horizontal="center" vertical="center"/>
    </xf>
    <xf numFmtId="0" fontId="53" fillId="0" borderId="5" xfId="0" applyFont="1" applyFill="1" applyBorder="1" applyAlignment="1">
      <alignment horizontal="left" vertical="center"/>
    </xf>
    <xf numFmtId="0" fontId="54" fillId="0" borderId="5" xfId="0" applyFont="1" applyBorder="1" applyAlignment="1">
      <alignment horizontal="center" vertical="center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31" borderId="36" xfId="0" applyFont="1" applyFill="1" applyBorder="1" applyAlignment="1">
      <alignment horizontal="center" vertical="center"/>
    </xf>
    <xf numFmtId="0" fontId="4" fillId="31" borderId="37" xfId="0" applyFont="1" applyFill="1" applyBorder="1" applyAlignment="1">
      <alignment horizontal="center" vertical="center"/>
    </xf>
    <xf numFmtId="0" fontId="4" fillId="31" borderId="38" xfId="0" applyFont="1" applyFill="1" applyBorder="1" applyAlignment="1">
      <alignment horizontal="center" vertical="center"/>
    </xf>
    <xf numFmtId="0" fontId="4" fillId="31" borderId="34" xfId="0" applyFont="1" applyFill="1" applyBorder="1" applyAlignment="1">
      <alignment horizontal="center" vertical="center"/>
    </xf>
    <xf numFmtId="0" fontId="4" fillId="31" borderId="32" xfId="0" applyFont="1" applyFill="1" applyBorder="1" applyAlignment="1">
      <alignment horizontal="center" vertical="center"/>
    </xf>
    <xf numFmtId="0" fontId="4" fillId="31" borderId="3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31" borderId="5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53" fillId="0" borderId="5" xfId="0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52" fillId="0" borderId="5" xfId="0" applyFont="1" applyFill="1" applyBorder="1" applyAlignment="1">
      <alignment horizontal="center" vertical="center" wrapText="1"/>
    </xf>
    <xf numFmtId="0" fontId="52" fillId="37" borderId="5" xfId="0" applyFont="1" applyFill="1" applyBorder="1" applyAlignment="1">
      <alignment horizontal="left" vertical="center" wrapText="1"/>
    </xf>
    <xf numFmtId="0" fontId="58" fillId="0" borderId="5" xfId="0" applyFont="1" applyFill="1" applyBorder="1" applyAlignment="1">
      <alignment horizontal="left" vertical="center" wrapText="1"/>
    </xf>
    <xf numFmtId="14" fontId="4" fillId="0" borderId="6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52" fillId="0" borderId="55" xfId="0" applyFont="1" applyFill="1" applyBorder="1" applyAlignment="1">
      <alignment horizontal="left" vertical="center" wrapText="1"/>
    </xf>
    <xf numFmtId="0" fontId="52" fillId="0" borderId="56" xfId="0" applyFont="1" applyFill="1" applyBorder="1" applyAlignment="1">
      <alignment horizontal="left" vertical="center" wrapText="1"/>
    </xf>
    <xf numFmtId="0" fontId="52" fillId="0" borderId="57" xfId="0" applyFont="1" applyFill="1" applyBorder="1" applyAlignment="1">
      <alignment horizontal="left" vertical="center" wrapText="1"/>
    </xf>
    <xf numFmtId="0" fontId="52" fillId="31" borderId="55" xfId="0" applyFont="1" applyFill="1" applyBorder="1" applyAlignment="1">
      <alignment horizontal="left" vertical="center" wrapText="1"/>
    </xf>
    <xf numFmtId="0" fontId="52" fillId="31" borderId="56" xfId="0" applyFont="1" applyFill="1" applyBorder="1" applyAlignment="1">
      <alignment horizontal="left" vertical="center" wrapText="1"/>
    </xf>
    <xf numFmtId="0" fontId="52" fillId="31" borderId="57" xfId="0" applyFont="1" applyFill="1" applyBorder="1" applyAlignment="1">
      <alignment horizontal="left" vertical="center" wrapText="1"/>
    </xf>
    <xf numFmtId="0" fontId="52" fillId="31" borderId="41" xfId="0" applyFont="1" applyFill="1" applyBorder="1" applyAlignment="1">
      <alignment horizontal="left" vertical="center" wrapText="1"/>
    </xf>
    <xf numFmtId="0" fontId="52" fillId="31" borderId="0" xfId="0" applyFont="1" applyFill="1" applyBorder="1" applyAlignment="1">
      <alignment horizontal="left" vertical="center" wrapText="1"/>
    </xf>
    <xf numFmtId="0" fontId="52" fillId="31" borderId="42" xfId="0" applyFont="1" applyFill="1" applyBorder="1" applyAlignment="1">
      <alignment horizontal="left" vertical="center" wrapText="1"/>
    </xf>
    <xf numFmtId="0" fontId="52" fillId="31" borderId="34" xfId="0" applyFont="1" applyFill="1" applyBorder="1" applyAlignment="1">
      <alignment horizontal="left" vertical="center" wrapText="1"/>
    </xf>
    <xf numFmtId="0" fontId="52" fillId="31" borderId="32" xfId="0" applyFont="1" applyFill="1" applyBorder="1" applyAlignment="1">
      <alignment horizontal="left" vertical="center" wrapText="1"/>
    </xf>
    <xf numFmtId="0" fontId="52" fillId="31" borderId="33" xfId="0" applyFont="1" applyFill="1" applyBorder="1" applyAlignment="1">
      <alignment horizontal="left" vertical="center" wrapText="1"/>
    </xf>
    <xf numFmtId="0" fontId="52" fillId="0" borderId="55" xfId="0" applyFont="1" applyFill="1" applyBorder="1" applyAlignment="1">
      <alignment horizontal="center" vertical="center" wrapText="1"/>
    </xf>
    <xf numFmtId="0" fontId="52" fillId="0" borderId="56" xfId="0" applyFont="1" applyFill="1" applyBorder="1" applyAlignment="1">
      <alignment horizontal="center" vertical="center" wrapText="1"/>
    </xf>
    <xf numFmtId="0" fontId="52" fillId="0" borderId="57" xfId="0" applyFont="1" applyFill="1" applyBorder="1" applyAlignment="1">
      <alignment horizontal="center" vertical="center" wrapText="1"/>
    </xf>
    <xf numFmtId="0" fontId="52" fillId="0" borderId="41" xfId="0" applyFont="1" applyFill="1" applyBorder="1" applyAlignment="1">
      <alignment horizontal="center" vertical="center" wrapText="1"/>
    </xf>
    <xf numFmtId="0" fontId="52" fillId="0" borderId="0" xfId="0" applyFont="1" applyFill="1" applyBorder="1" applyAlignment="1">
      <alignment horizontal="center" vertical="center" wrapText="1"/>
    </xf>
    <xf numFmtId="0" fontId="52" fillId="0" borderId="42" xfId="0" applyFont="1" applyFill="1" applyBorder="1" applyAlignment="1">
      <alignment horizontal="center" vertical="center" wrapText="1"/>
    </xf>
    <xf numFmtId="0" fontId="52" fillId="0" borderId="34" xfId="0" applyFont="1" applyFill="1" applyBorder="1" applyAlignment="1">
      <alignment horizontal="center" vertical="center" wrapText="1"/>
    </xf>
    <xf numFmtId="0" fontId="52" fillId="0" borderId="32" xfId="0" applyFont="1" applyFill="1" applyBorder="1" applyAlignment="1">
      <alignment horizontal="center" vertical="center" wrapText="1"/>
    </xf>
    <xf numFmtId="0" fontId="52" fillId="0" borderId="33" xfId="0" applyFont="1" applyFill="1" applyBorder="1" applyAlignment="1">
      <alignment horizontal="center" vertical="center" wrapText="1"/>
    </xf>
    <xf numFmtId="0" fontId="52" fillId="2" borderId="5" xfId="0" applyFont="1" applyFill="1" applyBorder="1" applyAlignment="1">
      <alignment horizontal="center" vertical="center"/>
    </xf>
    <xf numFmtId="0" fontId="52" fillId="2" borderId="5" xfId="109" applyFont="1" applyFill="1" applyBorder="1" applyAlignment="1">
      <alignment horizontal="center" vertical="center"/>
    </xf>
    <xf numFmtId="0" fontId="52" fillId="31" borderId="5" xfId="0" applyFont="1" applyFill="1" applyBorder="1" applyAlignment="1">
      <alignment vertical="center" wrapText="1"/>
    </xf>
    <xf numFmtId="0" fontId="52" fillId="0" borderId="55" xfId="0" applyFont="1" applyFill="1" applyBorder="1" applyAlignment="1">
      <alignment horizontal="center" vertical="center"/>
    </xf>
    <xf numFmtId="0" fontId="52" fillId="0" borderId="57" xfId="0" applyFont="1" applyFill="1" applyBorder="1" applyAlignment="1">
      <alignment horizontal="center" vertical="center"/>
    </xf>
    <xf numFmtId="0" fontId="52" fillId="0" borderId="41" xfId="0" applyFont="1" applyFill="1" applyBorder="1" applyAlignment="1">
      <alignment horizontal="center" vertical="center"/>
    </xf>
    <xf numFmtId="0" fontId="52" fillId="0" borderId="42" xfId="0" applyFont="1" applyFill="1" applyBorder="1" applyAlignment="1">
      <alignment horizontal="center" vertical="center"/>
    </xf>
    <xf numFmtId="0" fontId="52" fillId="0" borderId="34" xfId="0" applyFont="1" applyFill="1" applyBorder="1" applyAlignment="1">
      <alignment horizontal="center" vertical="center"/>
    </xf>
    <xf numFmtId="0" fontId="52" fillId="0" borderId="33" xfId="0" applyFont="1" applyFill="1" applyBorder="1" applyAlignment="1">
      <alignment horizontal="center" vertical="center"/>
    </xf>
    <xf numFmtId="0" fontId="52" fillId="31" borderId="5" xfId="0" applyFont="1" applyFill="1" applyBorder="1" applyAlignment="1">
      <alignment horizontal="left" vertical="center" wrapText="1"/>
    </xf>
    <xf numFmtId="0" fontId="4" fillId="0" borderId="55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4" fillId="0" borderId="56" xfId="0" applyFont="1" applyBorder="1" applyAlignment="1">
      <alignment horizontal="left" vertical="center"/>
    </xf>
    <xf numFmtId="0" fontId="4" fillId="0" borderId="57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31" borderId="55" xfId="0" applyFont="1" applyFill="1" applyBorder="1" applyAlignment="1">
      <alignment horizontal="left" vertical="center"/>
    </xf>
    <xf numFmtId="0" fontId="4" fillId="31" borderId="56" xfId="0" applyFont="1" applyFill="1" applyBorder="1" applyAlignment="1">
      <alignment horizontal="left" vertical="center"/>
    </xf>
    <xf numFmtId="0" fontId="4" fillId="31" borderId="57" xfId="0" applyFont="1" applyFill="1" applyBorder="1" applyAlignment="1">
      <alignment horizontal="left" vertical="center"/>
    </xf>
    <xf numFmtId="0" fontId="4" fillId="31" borderId="41" xfId="0" applyFont="1" applyFill="1" applyBorder="1" applyAlignment="1">
      <alignment horizontal="left" vertical="center"/>
    </xf>
    <xf numFmtId="0" fontId="4" fillId="31" borderId="0" xfId="0" applyFont="1" applyFill="1" applyBorder="1" applyAlignment="1">
      <alignment horizontal="left" vertical="center"/>
    </xf>
    <xf numFmtId="0" fontId="4" fillId="31" borderId="42" xfId="0" applyFont="1" applyFill="1" applyBorder="1" applyAlignment="1">
      <alignment horizontal="left" vertical="center"/>
    </xf>
    <xf numFmtId="0" fontId="4" fillId="31" borderId="34" xfId="0" applyFont="1" applyFill="1" applyBorder="1" applyAlignment="1">
      <alignment horizontal="left" vertical="center"/>
    </xf>
    <xf numFmtId="0" fontId="4" fillId="31" borderId="32" xfId="0" applyFont="1" applyFill="1" applyBorder="1" applyAlignment="1">
      <alignment horizontal="left" vertical="center"/>
    </xf>
    <xf numFmtId="0" fontId="4" fillId="31" borderId="33" xfId="0" applyFont="1" applyFill="1" applyBorder="1" applyAlignment="1">
      <alignment horizontal="left" vertical="center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55" xfId="0" applyFont="1" applyFill="1" applyBorder="1" applyAlignment="1">
      <alignment horizontal="left" vertical="center"/>
    </xf>
    <xf numFmtId="0" fontId="4" fillId="0" borderId="56" xfId="0" applyFont="1" applyFill="1" applyBorder="1" applyAlignment="1">
      <alignment horizontal="left" vertical="center"/>
    </xf>
    <xf numFmtId="0" fontId="4" fillId="0" borderId="57" xfId="0" applyFont="1" applyFill="1" applyBorder="1" applyAlignment="1">
      <alignment horizontal="left" vertical="center"/>
    </xf>
    <xf numFmtId="0" fontId="4" fillId="0" borderId="4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42" xfId="0" applyFont="1" applyFill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/>
    </xf>
    <xf numFmtId="0" fontId="4" fillId="0" borderId="32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72" fillId="34" borderId="68" xfId="0" applyFont="1" applyFill="1" applyBorder="1" applyAlignment="1">
      <alignment horizontal="center" vertical="center"/>
    </xf>
    <xf numFmtId="0" fontId="72" fillId="34" borderId="70" xfId="0" applyFont="1" applyFill="1" applyBorder="1" applyAlignment="1">
      <alignment horizontal="center" vertical="center"/>
    </xf>
    <xf numFmtId="0" fontId="17" fillId="33" borderId="71" xfId="128" applyFont="1" applyFill="1" applyBorder="1" applyAlignment="1">
      <alignment horizontal="center" vertical="center"/>
    </xf>
    <xf numFmtId="0" fontId="17" fillId="0" borderId="73" xfId="107" applyFont="1" applyBorder="1" applyAlignment="1">
      <alignment horizontal="center" vertical="center"/>
    </xf>
    <xf numFmtId="0" fontId="17" fillId="33" borderId="86" xfId="128" applyFont="1" applyFill="1" applyBorder="1" applyAlignment="1">
      <alignment horizontal="center" vertical="center"/>
    </xf>
    <xf numFmtId="0" fontId="17" fillId="33" borderId="11" xfId="128" applyFont="1" applyFill="1" applyBorder="1" applyAlignment="1">
      <alignment horizontal="center" vertical="center"/>
    </xf>
    <xf numFmtId="0" fontId="17" fillId="33" borderId="12" xfId="128" applyFont="1" applyFill="1" applyBorder="1" applyAlignment="1">
      <alignment horizontal="center" vertical="center"/>
    </xf>
    <xf numFmtId="0" fontId="76" fillId="0" borderId="61" xfId="128" applyFont="1" applyBorder="1" applyAlignment="1">
      <alignment horizontal="center" vertical="center"/>
    </xf>
    <xf numFmtId="0" fontId="76" fillId="0" borderId="0" xfId="107" applyFont="1" applyAlignment="1">
      <alignment horizontal="center" vertical="center"/>
    </xf>
    <xf numFmtId="0" fontId="76" fillId="0" borderId="62" xfId="107" applyFont="1" applyBorder="1" applyAlignment="1">
      <alignment horizontal="center" vertical="center"/>
    </xf>
    <xf numFmtId="0" fontId="76" fillId="0" borderId="83" xfId="107" applyFont="1" applyBorder="1" applyAlignment="1">
      <alignment horizontal="center" vertical="center"/>
    </xf>
    <xf numFmtId="0" fontId="76" fillId="0" borderId="16" xfId="107" applyFont="1" applyBorder="1" applyAlignment="1">
      <alignment horizontal="center" vertical="center"/>
    </xf>
    <xf numFmtId="0" fontId="76" fillId="0" borderId="82" xfId="107" applyFont="1" applyBorder="1" applyAlignment="1">
      <alignment horizontal="center" vertical="center"/>
    </xf>
    <xf numFmtId="0" fontId="71" fillId="34" borderId="18" xfId="0" applyFont="1" applyFill="1" applyBorder="1" applyAlignment="1">
      <alignment horizontal="center" vertical="center"/>
    </xf>
    <xf numFmtId="0" fontId="71" fillId="34" borderId="67" xfId="0" applyFont="1" applyFill="1" applyBorder="1" applyAlignment="1">
      <alignment horizontal="center" vertical="center"/>
    </xf>
    <xf numFmtId="0" fontId="71" fillId="34" borderId="66" xfId="0" applyFont="1" applyFill="1" applyBorder="1" applyAlignment="1">
      <alignment horizontal="center" vertical="center"/>
    </xf>
    <xf numFmtId="0" fontId="73" fillId="35" borderId="101" xfId="109" applyFont="1" applyFill="1" applyBorder="1" applyAlignment="1">
      <alignment horizontal="center" vertical="center"/>
    </xf>
    <xf numFmtId="0" fontId="73" fillId="35" borderId="100" xfId="109" applyFont="1" applyFill="1" applyBorder="1" applyAlignment="1">
      <alignment horizontal="center" vertical="center"/>
    </xf>
    <xf numFmtId="0" fontId="73" fillId="35" borderId="102" xfId="109" applyFont="1" applyFill="1" applyBorder="1" applyAlignment="1">
      <alignment horizontal="center" vertical="center"/>
    </xf>
    <xf numFmtId="0" fontId="74" fillId="0" borderId="96" xfId="0" applyFont="1" applyFill="1" applyBorder="1" applyAlignment="1">
      <alignment horizontal="left" vertical="center" wrapText="1"/>
    </xf>
    <xf numFmtId="0" fontId="74" fillId="0" borderId="97" xfId="0" applyFont="1" applyFill="1" applyBorder="1" applyAlignment="1">
      <alignment horizontal="left" vertical="center" wrapText="1"/>
    </xf>
    <xf numFmtId="0" fontId="74" fillId="0" borderId="98" xfId="0" applyFont="1" applyFill="1" applyBorder="1" applyAlignment="1">
      <alignment horizontal="left" vertical="center" wrapText="1"/>
    </xf>
    <xf numFmtId="0" fontId="74" fillId="0" borderId="101" xfId="0" applyFont="1" applyFill="1" applyBorder="1" applyAlignment="1">
      <alignment horizontal="left" vertical="center" wrapText="1"/>
    </xf>
    <xf numFmtId="0" fontId="74" fillId="0" borderId="100" xfId="0" applyFont="1" applyFill="1" applyBorder="1" applyAlignment="1">
      <alignment horizontal="left" vertical="center" wrapText="1"/>
    </xf>
    <xf numFmtId="0" fontId="74" fillId="0" borderId="102" xfId="0" applyFont="1" applyFill="1" applyBorder="1" applyAlignment="1">
      <alignment horizontal="left" vertical="center" wrapText="1"/>
    </xf>
    <xf numFmtId="0" fontId="74" fillId="0" borderId="41" xfId="0" applyFont="1" applyFill="1" applyBorder="1" applyAlignment="1">
      <alignment horizontal="left" vertical="center" wrapText="1"/>
    </xf>
    <xf numFmtId="0" fontId="74" fillId="0" borderId="0" xfId="0" applyFont="1" applyFill="1" applyBorder="1" applyAlignment="1">
      <alignment horizontal="left" vertical="center" wrapText="1"/>
    </xf>
    <xf numFmtId="0" fontId="74" fillId="0" borderId="42" xfId="0" applyFont="1" applyFill="1" applyBorder="1" applyAlignment="1">
      <alignment horizontal="left" vertical="center" wrapText="1"/>
    </xf>
    <xf numFmtId="0" fontId="74" fillId="0" borderId="103" xfId="0" applyFont="1" applyFill="1" applyBorder="1" applyAlignment="1">
      <alignment horizontal="left" vertical="center" wrapText="1"/>
    </xf>
    <xf numFmtId="0" fontId="74" fillId="0" borderId="104" xfId="0" applyFont="1" applyFill="1" applyBorder="1" applyAlignment="1">
      <alignment horizontal="left" vertical="center" wrapText="1"/>
    </xf>
    <xf numFmtId="0" fontId="74" fillId="0" borderId="105" xfId="0" applyFont="1" applyFill="1" applyBorder="1" applyAlignment="1">
      <alignment horizontal="left" vertical="center" wrapText="1"/>
    </xf>
    <xf numFmtId="0" fontId="74" fillId="0" borderId="101" xfId="0" applyFont="1" applyFill="1" applyBorder="1" applyAlignment="1">
      <alignment horizontal="center" vertical="center" wrapText="1"/>
    </xf>
    <xf numFmtId="0" fontId="74" fillId="0" borderId="100" xfId="0" applyFont="1" applyFill="1" applyBorder="1" applyAlignment="1">
      <alignment horizontal="center" vertical="center" wrapText="1"/>
    </xf>
    <xf numFmtId="0" fontId="74" fillId="0" borderId="102" xfId="0" applyFont="1" applyFill="1" applyBorder="1" applyAlignment="1">
      <alignment horizontal="center" vertical="center" wrapText="1"/>
    </xf>
    <xf numFmtId="0" fontId="74" fillId="0" borderId="41" xfId="0" applyFont="1" applyFill="1" applyBorder="1" applyAlignment="1">
      <alignment horizontal="center" vertical="center" wrapText="1"/>
    </xf>
    <xf numFmtId="0" fontId="74" fillId="0" borderId="0" xfId="0" applyFont="1" applyFill="1" applyBorder="1" applyAlignment="1">
      <alignment horizontal="center" vertical="center" wrapText="1"/>
    </xf>
    <xf numFmtId="0" fontId="74" fillId="0" borderId="42" xfId="0" applyFont="1" applyFill="1" applyBorder="1" applyAlignment="1">
      <alignment horizontal="center" vertical="center" wrapText="1"/>
    </xf>
    <xf numFmtId="0" fontId="74" fillId="0" borderId="103" xfId="0" applyFont="1" applyFill="1" applyBorder="1" applyAlignment="1">
      <alignment horizontal="center" vertical="center" wrapText="1"/>
    </xf>
    <xf numFmtId="0" fontId="74" fillId="0" borderId="104" xfId="0" applyFont="1" applyFill="1" applyBorder="1" applyAlignment="1">
      <alignment horizontal="center" vertical="center" wrapText="1"/>
    </xf>
    <xf numFmtId="0" fontId="74" fillId="0" borderId="105" xfId="0" applyFont="1" applyFill="1" applyBorder="1" applyAlignment="1">
      <alignment horizontal="center" vertical="center" wrapText="1"/>
    </xf>
    <xf numFmtId="0" fontId="71" fillId="0" borderId="18" xfId="0" applyFont="1" applyBorder="1" applyAlignment="1">
      <alignment horizontal="center" vertical="center"/>
    </xf>
    <xf numFmtId="0" fontId="71" fillId="0" borderId="66" xfId="0" applyFont="1" applyBorder="1" applyAlignment="1">
      <alignment horizontal="center" vertical="center"/>
    </xf>
    <xf numFmtId="0" fontId="71" fillId="0" borderId="67" xfId="0" applyFont="1" applyBorder="1" applyAlignment="1">
      <alignment horizontal="center" vertical="center"/>
    </xf>
    <xf numFmtId="0" fontId="71" fillId="29" borderId="18" xfId="0" applyFont="1" applyFill="1" applyBorder="1" applyAlignment="1">
      <alignment horizontal="center" vertical="center"/>
    </xf>
    <xf numFmtId="0" fontId="71" fillId="29" borderId="66" xfId="0" applyFont="1" applyFill="1" applyBorder="1" applyAlignment="1">
      <alignment horizontal="center" vertical="center"/>
    </xf>
    <xf numFmtId="0" fontId="71" fillId="29" borderId="67" xfId="0" applyFont="1" applyFill="1" applyBorder="1" applyAlignment="1">
      <alignment horizontal="center" vertical="center"/>
    </xf>
    <xf numFmtId="0" fontId="71" fillId="0" borderId="18" xfId="0" applyFont="1" applyFill="1" applyBorder="1" applyAlignment="1">
      <alignment horizontal="left" vertical="center"/>
    </xf>
    <xf numFmtId="0" fontId="71" fillId="0" borderId="66" xfId="0" applyFont="1" applyFill="1" applyBorder="1" applyAlignment="1">
      <alignment horizontal="left" vertical="center"/>
    </xf>
    <xf numFmtId="0" fontId="71" fillId="0" borderId="67" xfId="0" applyFont="1" applyFill="1" applyBorder="1" applyAlignment="1">
      <alignment horizontal="left" vertical="center"/>
    </xf>
    <xf numFmtId="0" fontId="72" fillId="34" borderId="101" xfId="0" applyFont="1" applyFill="1" applyBorder="1" applyAlignment="1">
      <alignment horizontal="center" vertical="center"/>
    </xf>
    <xf numFmtId="0" fontId="72" fillId="34" borderId="100" xfId="0" applyFont="1" applyFill="1" applyBorder="1" applyAlignment="1">
      <alignment horizontal="center" vertical="center"/>
    </xf>
    <xf numFmtId="0" fontId="72" fillId="34" borderId="102" xfId="0" applyFont="1" applyFill="1" applyBorder="1" applyAlignment="1">
      <alignment horizontal="center" vertical="center"/>
    </xf>
    <xf numFmtId="0" fontId="71" fillId="0" borderId="106" xfId="0" applyFont="1" applyFill="1" applyBorder="1" applyAlignment="1">
      <alignment horizontal="left" vertical="center"/>
    </xf>
    <xf numFmtId="0" fontId="71" fillId="0" borderId="107" xfId="0" applyFont="1" applyFill="1" applyBorder="1" applyAlignment="1">
      <alignment horizontal="left" vertical="center"/>
    </xf>
    <xf numFmtId="0" fontId="71" fillId="0" borderId="108" xfId="0" applyFont="1" applyFill="1" applyBorder="1" applyAlignment="1">
      <alignment horizontal="left" vertical="center"/>
    </xf>
    <xf numFmtId="0" fontId="71" fillId="29" borderId="106" xfId="0" applyFont="1" applyFill="1" applyBorder="1" applyAlignment="1">
      <alignment horizontal="center" vertical="center"/>
    </xf>
    <xf numFmtId="0" fontId="71" fillId="29" borderId="107" xfId="0" applyFont="1" applyFill="1" applyBorder="1" applyAlignment="1">
      <alignment horizontal="center" vertical="center"/>
    </xf>
    <xf numFmtId="0" fontId="71" fillId="29" borderId="108" xfId="0" applyFont="1" applyFill="1" applyBorder="1" applyAlignment="1">
      <alignment horizontal="center" vertical="center"/>
    </xf>
    <xf numFmtId="0" fontId="74" fillId="0" borderId="109" xfId="0" applyFont="1" applyFill="1" applyBorder="1" applyAlignment="1">
      <alignment horizontal="left" vertical="center" wrapText="1"/>
    </xf>
    <xf numFmtId="0" fontId="74" fillId="0" borderId="110" xfId="0" applyFont="1" applyFill="1" applyBorder="1" applyAlignment="1">
      <alignment horizontal="left" vertical="center" wrapText="1"/>
    </xf>
    <xf numFmtId="0" fontId="74" fillId="0" borderId="111" xfId="0" applyFont="1" applyFill="1" applyBorder="1" applyAlignment="1">
      <alignment horizontal="left" vertical="center" wrapText="1"/>
    </xf>
    <xf numFmtId="0" fontId="74" fillId="0" borderId="109" xfId="0" applyFont="1" applyFill="1" applyBorder="1" applyAlignment="1">
      <alignment horizontal="center" vertical="center" wrapText="1"/>
    </xf>
    <xf numFmtId="0" fontId="74" fillId="0" borderId="110" xfId="0" applyFont="1" applyFill="1" applyBorder="1" applyAlignment="1">
      <alignment horizontal="center" vertical="center" wrapText="1"/>
    </xf>
    <xf numFmtId="0" fontId="74" fillId="0" borderId="111" xfId="0" applyFont="1" applyFill="1" applyBorder="1" applyAlignment="1">
      <alignment horizontal="center" vertical="center" wrapText="1"/>
    </xf>
    <xf numFmtId="0" fontId="71" fillId="0" borderId="112" xfId="0" applyFont="1" applyBorder="1" applyAlignment="1">
      <alignment horizontal="center" vertical="center"/>
    </xf>
    <xf numFmtId="0" fontId="71" fillId="0" borderId="113" xfId="0" applyFont="1" applyBorder="1" applyAlignment="1">
      <alignment horizontal="center" vertical="center"/>
    </xf>
    <xf numFmtId="0" fontId="71" fillId="0" borderId="114" xfId="0" applyFont="1" applyBorder="1" applyAlignment="1">
      <alignment horizontal="center" vertical="center"/>
    </xf>
    <xf numFmtId="0" fontId="71" fillId="29" borderId="112" xfId="0" applyFont="1" applyFill="1" applyBorder="1" applyAlignment="1">
      <alignment horizontal="center" vertical="center"/>
    </xf>
    <xf numFmtId="0" fontId="71" fillId="29" borderId="113" xfId="0" applyFont="1" applyFill="1" applyBorder="1" applyAlignment="1">
      <alignment horizontal="center" vertical="center"/>
    </xf>
    <xf numFmtId="0" fontId="71" fillId="29" borderId="114" xfId="0" applyFont="1" applyFill="1" applyBorder="1" applyAlignment="1">
      <alignment horizontal="center" vertical="center"/>
    </xf>
    <xf numFmtId="0" fontId="71" fillId="34" borderId="106" xfId="0" applyFont="1" applyFill="1" applyBorder="1" applyAlignment="1">
      <alignment horizontal="center" vertical="center"/>
    </xf>
    <xf numFmtId="0" fontId="71" fillId="34" borderId="107" xfId="0" applyFont="1" applyFill="1" applyBorder="1" applyAlignment="1">
      <alignment horizontal="center" vertical="center"/>
    </xf>
    <xf numFmtId="0" fontId="71" fillId="34" borderId="108" xfId="0" applyFont="1" applyFill="1" applyBorder="1" applyAlignment="1">
      <alignment horizontal="center" vertical="center"/>
    </xf>
    <xf numFmtId="0" fontId="74" fillId="0" borderId="5" xfId="0" applyFont="1" applyFill="1" applyBorder="1" applyAlignment="1">
      <alignment horizontal="left" vertical="center" wrapText="1"/>
    </xf>
    <xf numFmtId="0" fontId="71" fillId="29" borderId="101" xfId="0" applyFont="1" applyFill="1" applyBorder="1" applyAlignment="1">
      <alignment horizontal="left" vertical="center"/>
    </xf>
    <xf numFmtId="0" fontId="71" fillId="29" borderId="100" xfId="0" applyFont="1" applyFill="1" applyBorder="1" applyAlignment="1">
      <alignment horizontal="left" vertical="center"/>
    </xf>
    <xf numFmtId="0" fontId="71" fillId="29" borderId="102" xfId="0" applyFont="1" applyFill="1" applyBorder="1" applyAlignment="1">
      <alignment horizontal="left" vertical="center"/>
    </xf>
    <xf numFmtId="0" fontId="71" fillId="29" borderId="103" xfId="0" applyFont="1" applyFill="1" applyBorder="1" applyAlignment="1">
      <alignment horizontal="left" vertical="center"/>
    </xf>
    <xf numFmtId="0" fontId="71" fillId="29" borderId="104" xfId="0" applyFont="1" applyFill="1" applyBorder="1" applyAlignment="1">
      <alignment horizontal="left" vertical="center"/>
    </xf>
    <xf numFmtId="0" fontId="71" fillId="29" borderId="105" xfId="0" applyFont="1" applyFill="1" applyBorder="1" applyAlignment="1">
      <alignment horizontal="left" vertical="center"/>
    </xf>
    <xf numFmtId="0" fontId="71" fillId="34" borderId="5" xfId="0" applyFont="1" applyFill="1" applyBorder="1" applyAlignment="1">
      <alignment horizontal="center" vertical="center"/>
    </xf>
    <xf numFmtId="0" fontId="74" fillId="0" borderId="5" xfId="0" applyFont="1" applyFill="1" applyBorder="1" applyAlignment="1">
      <alignment horizontal="center" vertical="center"/>
    </xf>
    <xf numFmtId="0" fontId="71" fillId="0" borderId="106" xfId="0" applyFont="1" applyBorder="1" applyAlignment="1">
      <alignment horizontal="center" vertical="center"/>
    </xf>
    <xf numFmtId="0" fontId="71" fillId="0" borderId="107" xfId="0" applyFont="1" applyBorder="1" applyAlignment="1">
      <alignment horizontal="center" vertical="center"/>
    </xf>
    <xf numFmtId="0" fontId="71" fillId="0" borderId="108" xfId="0" applyFont="1" applyBorder="1" applyAlignment="1">
      <alignment horizontal="center" vertical="center"/>
    </xf>
    <xf numFmtId="0" fontId="71" fillId="0" borderId="106" xfId="0" applyFont="1" applyBorder="1" applyAlignment="1">
      <alignment horizontal="left" vertical="center"/>
    </xf>
    <xf numFmtId="0" fontId="71" fillId="0" borderId="107" xfId="0" applyFont="1" applyBorder="1" applyAlignment="1">
      <alignment horizontal="left" vertical="center"/>
    </xf>
    <xf numFmtId="0" fontId="71" fillId="0" borderId="108" xfId="0" applyFont="1" applyBorder="1" applyAlignment="1">
      <alignment horizontal="left" vertical="center"/>
    </xf>
    <xf numFmtId="0" fontId="71" fillId="34" borderId="5" xfId="0" applyFont="1" applyFill="1" applyBorder="1" applyAlignment="1">
      <alignment horizontal="center" vertical="center" wrapText="1"/>
    </xf>
    <xf numFmtId="0" fontId="71" fillId="0" borderId="5" xfId="0" applyFont="1" applyBorder="1" applyAlignment="1">
      <alignment horizontal="center" vertical="center"/>
    </xf>
    <xf numFmtId="0" fontId="71" fillId="29" borderId="101" xfId="0" applyFont="1" applyFill="1" applyBorder="1" applyAlignment="1">
      <alignment horizontal="left" vertical="center" wrapText="1"/>
    </xf>
    <xf numFmtId="0" fontId="71" fillId="29" borderId="100" xfId="0" applyFont="1" applyFill="1" applyBorder="1" applyAlignment="1">
      <alignment horizontal="left" vertical="center" wrapText="1"/>
    </xf>
    <xf numFmtId="0" fontId="71" fillId="29" borderId="102" xfId="0" applyFont="1" applyFill="1" applyBorder="1" applyAlignment="1">
      <alignment horizontal="left" vertical="center" wrapText="1"/>
    </xf>
    <xf numFmtId="0" fontId="71" fillId="29" borderId="103" xfId="0" applyFont="1" applyFill="1" applyBorder="1" applyAlignment="1">
      <alignment horizontal="left" vertical="center" wrapText="1"/>
    </xf>
    <xf numFmtId="0" fontId="71" fillId="29" borderId="104" xfId="0" applyFont="1" applyFill="1" applyBorder="1" applyAlignment="1">
      <alignment horizontal="left" vertical="center" wrapText="1"/>
    </xf>
    <xf numFmtId="0" fontId="71" fillId="29" borderId="105" xfId="0" applyFont="1" applyFill="1" applyBorder="1" applyAlignment="1">
      <alignment horizontal="left" vertical="center" wrapText="1"/>
    </xf>
    <xf numFmtId="0" fontId="71" fillId="0" borderId="101" xfId="0" applyFont="1" applyBorder="1" applyAlignment="1">
      <alignment horizontal="left" vertical="center"/>
    </xf>
    <xf numFmtId="0" fontId="71" fillId="0" borderId="100" xfId="0" applyFont="1" applyBorder="1" applyAlignment="1">
      <alignment horizontal="left" vertical="center"/>
    </xf>
    <xf numFmtId="0" fontId="71" fillId="0" borderId="102" xfId="0" applyFont="1" applyBorder="1" applyAlignment="1">
      <alignment horizontal="left" vertical="center"/>
    </xf>
    <xf numFmtId="0" fontId="71" fillId="0" borderId="103" xfId="0" applyFont="1" applyBorder="1" applyAlignment="1">
      <alignment horizontal="left" vertical="center"/>
    </xf>
    <xf numFmtId="0" fontId="71" fillId="0" borderId="104" xfId="0" applyFont="1" applyBorder="1" applyAlignment="1">
      <alignment horizontal="left" vertical="center"/>
    </xf>
    <xf numFmtId="0" fontId="71" fillId="0" borderId="105" xfId="0" applyFont="1" applyBorder="1" applyAlignment="1">
      <alignment horizontal="left" vertical="center"/>
    </xf>
    <xf numFmtId="0" fontId="71" fillId="0" borderId="101" xfId="0" applyFont="1" applyBorder="1" applyAlignment="1">
      <alignment horizontal="center" vertical="center"/>
    </xf>
    <xf numFmtId="0" fontId="71" fillId="0" borderId="102" xfId="0" applyFont="1" applyBorder="1" applyAlignment="1">
      <alignment horizontal="center" vertical="center"/>
    </xf>
    <xf numFmtId="0" fontId="71" fillId="0" borderId="103" xfId="0" applyFont="1" applyBorder="1" applyAlignment="1">
      <alignment horizontal="center" vertical="center"/>
    </xf>
    <xf numFmtId="0" fontId="71" fillId="0" borderId="105" xfId="0" applyFont="1" applyBorder="1" applyAlignment="1">
      <alignment horizontal="center" vertical="center"/>
    </xf>
    <xf numFmtId="0" fontId="74" fillId="0" borderId="96" xfId="0" applyFont="1" applyFill="1" applyBorder="1" applyAlignment="1">
      <alignment horizontal="center" vertical="center"/>
    </xf>
    <xf numFmtId="0" fontId="74" fillId="0" borderId="99" xfId="0" applyFont="1" applyFill="1" applyBorder="1" applyAlignment="1">
      <alignment vertical="center" wrapText="1"/>
    </xf>
    <xf numFmtId="0" fontId="71" fillId="0" borderId="112" xfId="0" applyFont="1" applyBorder="1" applyAlignment="1">
      <alignment horizontal="left" vertical="center"/>
    </xf>
    <xf numFmtId="0" fontId="71" fillId="0" borderId="113" xfId="0" applyFont="1" applyBorder="1" applyAlignment="1">
      <alignment horizontal="left" vertical="center"/>
    </xf>
    <xf numFmtId="0" fontId="71" fillId="0" borderId="114" xfId="0" applyFont="1" applyBorder="1" applyAlignment="1">
      <alignment horizontal="left" vertical="center"/>
    </xf>
    <xf numFmtId="0" fontId="71" fillId="0" borderId="109" xfId="0" applyFont="1" applyBorder="1" applyAlignment="1">
      <alignment horizontal="center" vertical="center"/>
    </xf>
    <xf numFmtId="0" fontId="71" fillId="0" borderId="111" xfId="0" applyFont="1" applyBorder="1" applyAlignment="1">
      <alignment horizontal="center" vertical="center"/>
    </xf>
    <xf numFmtId="0" fontId="71" fillId="29" borderId="109" xfId="0" applyFont="1" applyFill="1" applyBorder="1" applyAlignment="1">
      <alignment horizontal="left" vertical="center" wrapText="1"/>
    </xf>
    <xf numFmtId="0" fontId="71" fillId="29" borderId="110" xfId="0" applyFont="1" applyFill="1" applyBorder="1" applyAlignment="1">
      <alignment horizontal="left" vertical="center" wrapText="1"/>
    </xf>
    <xf numFmtId="0" fontId="71" fillId="29" borderId="111" xfId="0" applyFont="1" applyFill="1" applyBorder="1" applyAlignment="1">
      <alignment horizontal="left" vertical="center" wrapText="1"/>
    </xf>
    <xf numFmtId="0" fontId="71" fillId="0" borderId="109" xfId="0" applyFont="1" applyBorder="1" applyAlignment="1">
      <alignment horizontal="left" vertical="center"/>
    </xf>
    <xf numFmtId="0" fontId="71" fillId="0" borderId="110" xfId="0" applyFont="1" applyBorder="1" applyAlignment="1">
      <alignment horizontal="left" vertical="center"/>
    </xf>
    <xf numFmtId="0" fontId="71" fillId="0" borderId="111" xfId="0" applyFont="1" applyBorder="1" applyAlignment="1">
      <alignment horizontal="left" vertical="center"/>
    </xf>
    <xf numFmtId="0" fontId="71" fillId="29" borderId="109" xfId="0" applyFont="1" applyFill="1" applyBorder="1" applyAlignment="1">
      <alignment horizontal="left" vertical="center"/>
    </xf>
    <xf numFmtId="0" fontId="71" fillId="29" borderId="110" xfId="0" applyFont="1" applyFill="1" applyBorder="1" applyAlignment="1">
      <alignment horizontal="left" vertical="center"/>
    </xf>
    <xf numFmtId="0" fontId="71" fillId="29" borderId="111" xfId="0" applyFont="1" applyFill="1" applyBorder="1" applyAlignment="1">
      <alignment horizontal="left" vertical="center"/>
    </xf>
    <xf numFmtId="0" fontId="74" fillId="0" borderId="68" xfId="0" applyFont="1" applyFill="1" applyBorder="1" applyAlignment="1">
      <alignment horizontal="left" vertical="center" wrapText="1"/>
    </xf>
    <xf numFmtId="0" fontId="74" fillId="0" borderId="69" xfId="0" applyFont="1" applyFill="1" applyBorder="1" applyAlignment="1">
      <alignment horizontal="left" vertical="center" wrapText="1"/>
    </xf>
    <xf numFmtId="0" fontId="74" fillId="0" borderId="70" xfId="0" applyFont="1" applyFill="1" applyBorder="1" applyAlignment="1">
      <alignment horizontal="left" vertical="center" wrapText="1"/>
    </xf>
    <xf numFmtId="0" fontId="74" fillId="0" borderId="34" xfId="0" applyFont="1" applyFill="1" applyBorder="1" applyAlignment="1">
      <alignment horizontal="left" vertical="center" wrapText="1"/>
    </xf>
    <xf numFmtId="0" fontId="74" fillId="0" borderId="32" xfId="0" applyFont="1" applyFill="1" applyBorder="1" applyAlignment="1">
      <alignment horizontal="left" vertical="center" wrapText="1"/>
    </xf>
    <xf numFmtId="0" fontId="74" fillId="0" borderId="33" xfId="0" applyFont="1" applyFill="1" applyBorder="1" applyAlignment="1">
      <alignment horizontal="left" vertical="center" wrapText="1"/>
    </xf>
    <xf numFmtId="0" fontId="71" fillId="29" borderId="5" xfId="0" applyFont="1" applyFill="1" applyBorder="1" applyAlignment="1">
      <alignment horizontal="center" vertical="center"/>
    </xf>
    <xf numFmtId="0" fontId="71" fillId="29" borderId="106" xfId="0" applyFont="1" applyFill="1" applyBorder="1" applyAlignment="1">
      <alignment horizontal="left" vertical="center"/>
    </xf>
    <xf numFmtId="0" fontId="71" fillId="29" borderId="107" xfId="0" applyFont="1" applyFill="1" applyBorder="1" applyAlignment="1">
      <alignment horizontal="left" vertical="center"/>
    </xf>
    <xf numFmtId="0" fontId="74" fillId="0" borderId="106" xfId="0" applyFont="1" applyFill="1" applyBorder="1" applyAlignment="1">
      <alignment horizontal="left" vertical="center" wrapText="1"/>
    </xf>
    <xf numFmtId="0" fontId="74" fillId="0" borderId="107" xfId="0" applyFont="1" applyFill="1" applyBorder="1" applyAlignment="1">
      <alignment horizontal="left" vertical="center" wrapText="1"/>
    </xf>
    <xf numFmtId="0" fontId="74" fillId="0" borderId="108" xfId="0" applyFont="1" applyFill="1" applyBorder="1" applyAlignment="1">
      <alignment horizontal="left" vertical="center" wrapText="1"/>
    </xf>
    <xf numFmtId="0" fontId="3" fillId="0" borderId="70" xfId="128" applyFont="1" applyBorder="1" applyAlignment="1">
      <alignment horizontal="center" vertical="center"/>
    </xf>
    <xf numFmtId="0" fontId="71" fillId="0" borderId="109" xfId="0" applyFont="1" applyFill="1" applyBorder="1" applyAlignment="1">
      <alignment horizontal="center" vertical="center"/>
    </xf>
    <xf numFmtId="0" fontId="71" fillId="0" borderId="110" xfId="0" applyFont="1" applyFill="1" applyBorder="1" applyAlignment="1">
      <alignment horizontal="center" vertical="center"/>
    </xf>
    <xf numFmtId="0" fontId="71" fillId="0" borderId="111" xfId="0" applyFont="1" applyFill="1" applyBorder="1" applyAlignment="1">
      <alignment horizontal="center" vertical="center"/>
    </xf>
    <xf numFmtId="0" fontId="71" fillId="0" borderId="103" xfId="0" applyFont="1" applyFill="1" applyBorder="1" applyAlignment="1">
      <alignment horizontal="center" vertical="center"/>
    </xf>
    <xf numFmtId="0" fontId="71" fillId="0" borderId="104" xfId="0" applyFont="1" applyFill="1" applyBorder="1" applyAlignment="1">
      <alignment horizontal="center" vertical="center"/>
    </xf>
    <xf numFmtId="0" fontId="71" fillId="0" borderId="105" xfId="0" applyFont="1" applyFill="1" applyBorder="1" applyAlignment="1">
      <alignment horizontal="center" vertical="center"/>
    </xf>
    <xf numFmtId="0" fontId="71" fillId="0" borderId="18" xfId="0" applyFont="1" applyBorder="1" applyAlignment="1">
      <alignment horizontal="left" vertical="center"/>
    </xf>
    <xf numFmtId="0" fontId="71" fillId="0" borderId="66" xfId="0" applyFont="1" applyBorder="1" applyAlignment="1">
      <alignment horizontal="left" vertical="center"/>
    </xf>
    <xf numFmtId="0" fontId="71" fillId="0" borderId="67" xfId="0" applyFont="1" applyBorder="1" applyAlignment="1">
      <alignment horizontal="left" vertical="center"/>
    </xf>
    <xf numFmtId="0" fontId="71" fillId="34" borderId="109" xfId="0" applyFont="1" applyFill="1" applyBorder="1" applyAlignment="1">
      <alignment horizontal="center" vertical="center"/>
    </xf>
    <xf numFmtId="0" fontId="71" fillId="34" borderId="110" xfId="0" applyFont="1" applyFill="1" applyBorder="1" applyAlignment="1">
      <alignment horizontal="center" vertical="center"/>
    </xf>
    <xf numFmtId="0" fontId="71" fillId="34" borderId="111" xfId="0" applyFont="1" applyFill="1" applyBorder="1" applyAlignment="1">
      <alignment horizontal="center" vertical="center"/>
    </xf>
    <xf numFmtId="0" fontId="74" fillId="37" borderId="99" xfId="0" applyFont="1" applyFill="1" applyBorder="1" applyAlignment="1">
      <alignment vertical="center" wrapText="1"/>
    </xf>
    <xf numFmtId="0" fontId="74" fillId="37" borderId="96" xfId="0" applyFont="1" applyFill="1" applyBorder="1" applyAlignment="1">
      <alignment horizontal="left" vertical="center" wrapText="1"/>
    </xf>
    <xf numFmtId="0" fontId="74" fillId="37" borderId="97" xfId="0" applyFont="1" applyFill="1" applyBorder="1" applyAlignment="1">
      <alignment horizontal="left" vertical="center" wrapText="1"/>
    </xf>
    <xf numFmtId="0" fontId="74" fillId="37" borderId="98" xfId="0" applyFont="1" applyFill="1" applyBorder="1" applyAlignment="1">
      <alignment horizontal="left" vertical="center" wrapText="1"/>
    </xf>
    <xf numFmtId="0" fontId="74" fillId="0" borderId="5" xfId="0" applyFont="1" applyFill="1" applyBorder="1" applyAlignment="1">
      <alignment horizontal="center" vertical="center" wrapText="1"/>
    </xf>
    <xf numFmtId="0" fontId="82" fillId="0" borderId="5" xfId="0" applyFont="1" applyFill="1" applyBorder="1" applyAlignment="1">
      <alignment horizontal="center" vertical="center" wrapText="1"/>
    </xf>
    <xf numFmtId="14" fontId="0" fillId="0" borderId="70" xfId="128" applyNumberFormat="1" applyFont="1" applyBorder="1" applyAlignment="1">
      <alignment horizontal="center" vertical="center"/>
    </xf>
    <xf numFmtId="0" fontId="71" fillId="34" borderId="103" xfId="0" applyFont="1" applyFill="1" applyBorder="1" applyAlignment="1">
      <alignment horizontal="center" vertical="center"/>
    </xf>
    <xf numFmtId="0" fontId="71" fillId="34" borderId="104" xfId="0" applyFont="1" applyFill="1" applyBorder="1" applyAlignment="1">
      <alignment horizontal="center" vertical="center"/>
    </xf>
    <xf numFmtId="0" fontId="71" fillId="34" borderId="105" xfId="0" applyFont="1" applyFill="1" applyBorder="1" applyAlignment="1">
      <alignment horizontal="center" vertical="center"/>
    </xf>
    <xf numFmtId="0" fontId="74" fillId="0" borderId="109" xfId="0" applyFont="1" applyBorder="1" applyAlignment="1">
      <alignment horizontal="left" vertical="top" wrapText="1"/>
    </xf>
    <xf numFmtId="0" fontId="74" fillId="0" borderId="110" xfId="0" applyFont="1" applyBorder="1" applyAlignment="1">
      <alignment horizontal="left" vertical="top" wrapText="1"/>
    </xf>
    <xf numFmtId="0" fontId="74" fillId="0" borderId="111" xfId="0" applyFont="1" applyBorder="1" applyAlignment="1">
      <alignment horizontal="left" vertical="top" wrapText="1"/>
    </xf>
    <xf numFmtId="0" fontId="74" fillId="29" borderId="106" xfId="0" applyFont="1" applyFill="1" applyBorder="1" applyAlignment="1">
      <alignment horizontal="center" vertical="center"/>
    </xf>
    <xf numFmtId="0" fontId="74" fillId="29" borderId="107" xfId="0" applyFont="1" applyFill="1" applyBorder="1" applyAlignment="1">
      <alignment horizontal="center" vertical="center"/>
    </xf>
    <xf numFmtId="0" fontId="74" fillId="29" borderId="108" xfId="0" applyFont="1" applyFill="1" applyBorder="1" applyAlignment="1">
      <alignment horizontal="center" vertical="center"/>
    </xf>
    <xf numFmtId="0" fontId="74" fillId="29" borderId="109" xfId="0" applyFont="1" applyFill="1" applyBorder="1" applyAlignment="1">
      <alignment horizontal="left" vertical="center"/>
    </xf>
    <xf numFmtId="0" fontId="74" fillId="29" borderId="110" xfId="0" applyFont="1" applyFill="1" applyBorder="1" applyAlignment="1">
      <alignment horizontal="left" vertical="center"/>
    </xf>
    <xf numFmtId="0" fontId="74" fillId="29" borderId="111" xfId="0" applyFont="1" applyFill="1" applyBorder="1" applyAlignment="1">
      <alignment horizontal="left" vertical="center"/>
    </xf>
    <xf numFmtId="0" fontId="74" fillId="0" borderId="106" xfId="0" applyFont="1" applyBorder="1" applyAlignment="1">
      <alignment horizontal="left" vertical="center"/>
    </xf>
    <xf numFmtId="0" fontId="74" fillId="0" borderId="107" xfId="0" applyFont="1" applyBorder="1" applyAlignment="1">
      <alignment horizontal="left" vertical="center"/>
    </xf>
    <xf numFmtId="0" fontId="74" fillId="0" borderId="108" xfId="0" applyFont="1" applyBorder="1" applyAlignment="1">
      <alignment horizontal="left" vertical="center"/>
    </xf>
    <xf numFmtId="0" fontId="71" fillId="0" borderId="109" xfId="0" applyFont="1" applyFill="1" applyBorder="1" applyAlignment="1">
      <alignment horizontal="left" vertical="center"/>
    </xf>
    <xf numFmtId="0" fontId="71" fillId="0" borderId="110" xfId="0" applyFont="1" applyFill="1" applyBorder="1" applyAlignment="1">
      <alignment horizontal="left" vertical="center"/>
    </xf>
    <xf numFmtId="0" fontId="71" fillId="0" borderId="111" xfId="0" applyFont="1" applyFill="1" applyBorder="1" applyAlignment="1">
      <alignment horizontal="left" vertical="center"/>
    </xf>
    <xf numFmtId="0" fontId="71" fillId="0" borderId="103" xfId="0" applyFont="1" applyFill="1" applyBorder="1" applyAlignment="1">
      <alignment horizontal="left" vertical="center"/>
    </xf>
    <xf numFmtId="0" fontId="71" fillId="0" borderId="104" xfId="0" applyFont="1" applyFill="1" applyBorder="1" applyAlignment="1">
      <alignment horizontal="left" vertical="center"/>
    </xf>
    <xf numFmtId="0" fontId="71" fillId="0" borderId="105" xfId="0" applyFont="1" applyFill="1" applyBorder="1" applyAlignment="1">
      <alignment horizontal="left" vertical="center"/>
    </xf>
    <xf numFmtId="0" fontId="4" fillId="0" borderId="106" xfId="0" applyFont="1" applyBorder="1">
      <alignment vertical="center"/>
    </xf>
    <xf numFmtId="0" fontId="4" fillId="0" borderId="107" xfId="0" applyFont="1" applyBorder="1">
      <alignment vertical="center"/>
    </xf>
    <xf numFmtId="0" fontId="4" fillId="0" borderId="108" xfId="0" applyFont="1" applyBorder="1">
      <alignment vertical="center"/>
    </xf>
    <xf numFmtId="0" fontId="71" fillId="0" borderId="109" xfId="0" applyFont="1" applyBorder="1" applyAlignment="1">
      <alignment horizontal="left" vertical="top" wrapText="1"/>
    </xf>
    <xf numFmtId="0" fontId="71" fillId="0" borderId="110" xfId="0" applyFont="1" applyBorder="1" applyAlignment="1">
      <alignment horizontal="left" vertical="top" wrapText="1"/>
    </xf>
    <xf numFmtId="0" fontId="71" fillId="0" borderId="111" xfId="0" applyFont="1" applyBorder="1" applyAlignment="1">
      <alignment horizontal="left" vertical="top" wrapText="1"/>
    </xf>
    <xf numFmtId="0" fontId="71" fillId="0" borderId="103" xfId="0" applyFont="1" applyBorder="1" applyAlignment="1">
      <alignment horizontal="left" vertical="top" wrapText="1"/>
    </xf>
    <xf numFmtId="0" fontId="71" fillId="0" borderId="104" xfId="0" applyFont="1" applyBorder="1" applyAlignment="1">
      <alignment horizontal="left" vertical="top" wrapText="1"/>
    </xf>
    <xf numFmtId="0" fontId="71" fillId="0" borderId="105" xfId="0" applyFont="1" applyBorder="1" applyAlignment="1">
      <alignment horizontal="left" vertical="top" wrapText="1"/>
    </xf>
    <xf numFmtId="0" fontId="71" fillId="31" borderId="109" xfId="0" applyFont="1" applyFill="1" applyBorder="1" applyAlignment="1">
      <alignment horizontal="left" vertical="center"/>
    </xf>
    <xf numFmtId="0" fontId="71" fillId="31" borderId="110" xfId="0" applyFont="1" applyFill="1" applyBorder="1" applyAlignment="1">
      <alignment horizontal="left" vertical="center"/>
    </xf>
    <xf numFmtId="0" fontId="71" fillId="31" borderId="111" xfId="0" applyFont="1" applyFill="1" applyBorder="1" applyAlignment="1">
      <alignment horizontal="left" vertical="center"/>
    </xf>
    <xf numFmtId="0" fontId="71" fillId="31" borderId="103" xfId="0" applyFont="1" applyFill="1" applyBorder="1" applyAlignment="1">
      <alignment horizontal="left" vertical="center"/>
    </xf>
    <xf numFmtId="0" fontId="71" fillId="31" borderId="104" xfId="0" applyFont="1" applyFill="1" applyBorder="1" applyAlignment="1">
      <alignment horizontal="left" vertical="center"/>
    </xf>
    <xf numFmtId="0" fontId="71" fillId="31" borderId="105" xfId="0" applyFont="1" applyFill="1" applyBorder="1" applyAlignment="1">
      <alignment horizontal="left" vertical="center"/>
    </xf>
    <xf numFmtId="0" fontId="74" fillId="0" borderId="109" xfId="0" applyFont="1" applyFill="1" applyBorder="1" applyAlignment="1">
      <alignment horizontal="center" vertical="center"/>
    </xf>
    <xf numFmtId="0" fontId="74" fillId="0" borderId="111" xfId="0" applyFont="1" applyFill="1" applyBorder="1" applyAlignment="1">
      <alignment horizontal="center" vertical="center"/>
    </xf>
    <xf numFmtId="0" fontId="74" fillId="0" borderId="103" xfId="0" applyFont="1" applyFill="1" applyBorder="1" applyAlignment="1">
      <alignment horizontal="center" vertical="center"/>
    </xf>
    <xf numFmtId="0" fontId="74" fillId="0" borderId="105" xfId="0" applyFont="1" applyFill="1" applyBorder="1" applyAlignment="1">
      <alignment horizontal="center" vertical="center"/>
    </xf>
    <xf numFmtId="0" fontId="74" fillId="29" borderId="5" xfId="0" applyFont="1" applyFill="1" applyBorder="1" applyAlignment="1">
      <alignment horizontal="left" vertical="center"/>
    </xf>
    <xf numFmtId="0" fontId="71" fillId="0" borderId="5" xfId="0" applyFont="1" applyBorder="1" applyAlignment="1">
      <alignment horizontal="left" vertical="center"/>
    </xf>
    <xf numFmtId="0" fontId="74" fillId="29" borderId="5" xfId="0" applyFont="1" applyFill="1" applyBorder="1" applyAlignment="1">
      <alignment horizontal="center" vertical="center"/>
    </xf>
    <xf numFmtId="0" fontId="74" fillId="0" borderId="5" xfId="0" applyFont="1" applyBorder="1" applyAlignment="1">
      <alignment horizontal="left" vertical="center"/>
    </xf>
    <xf numFmtId="0" fontId="74" fillId="0" borderId="109" xfId="0" applyFont="1" applyBorder="1" applyAlignment="1">
      <alignment horizontal="left" vertical="center"/>
    </xf>
    <xf numFmtId="0" fontId="74" fillId="0" borderId="110" xfId="0" applyFont="1" applyBorder="1" applyAlignment="1">
      <alignment horizontal="left" vertical="center"/>
    </xf>
    <xf numFmtId="0" fontId="74" fillId="0" borderId="111" xfId="0" applyFont="1" applyBorder="1" applyAlignment="1">
      <alignment horizontal="left" vertical="center"/>
    </xf>
    <xf numFmtId="0" fontId="4" fillId="0" borderId="109" xfId="0" applyFont="1" applyBorder="1">
      <alignment vertical="center"/>
    </xf>
    <xf numFmtId="0" fontId="4" fillId="0" borderId="110" xfId="0" applyFont="1" applyBorder="1">
      <alignment vertical="center"/>
    </xf>
    <xf numFmtId="0" fontId="4" fillId="0" borderId="111" xfId="0" applyFont="1" applyBorder="1">
      <alignment vertical="center"/>
    </xf>
    <xf numFmtId="0" fontId="4" fillId="0" borderId="103" xfId="0" applyFont="1" applyBorder="1">
      <alignment vertical="center"/>
    </xf>
    <xf numFmtId="0" fontId="4" fillId="0" borderId="104" xfId="0" applyFont="1" applyBorder="1">
      <alignment vertical="center"/>
    </xf>
    <xf numFmtId="0" fontId="4" fillId="0" borderId="105" xfId="0" applyFont="1" applyBorder="1">
      <alignment vertical="center"/>
    </xf>
    <xf numFmtId="0" fontId="71" fillId="0" borderId="5" xfId="0" applyFont="1" applyFill="1" applyBorder="1" applyAlignment="1">
      <alignment horizontal="left" vertical="center"/>
    </xf>
    <xf numFmtId="0" fontId="82" fillId="0" borderId="5" xfId="0" applyFont="1" applyBorder="1" applyAlignment="1">
      <alignment horizontal="center" vertical="center"/>
    </xf>
    <xf numFmtId="0" fontId="82" fillId="0" borderId="5" xfId="0" applyFont="1" applyBorder="1" applyAlignment="1">
      <alignment horizontal="left" vertical="center"/>
    </xf>
    <xf numFmtId="0" fontId="82" fillId="29" borderId="5" xfId="0" applyFont="1" applyFill="1" applyBorder="1" applyAlignment="1">
      <alignment horizontal="left" vertical="center"/>
    </xf>
    <xf numFmtId="0" fontId="82" fillId="29" borderId="106" xfId="0" applyFont="1" applyFill="1" applyBorder="1" applyAlignment="1">
      <alignment horizontal="center" vertical="center"/>
    </xf>
    <xf numFmtId="0" fontId="82" fillId="29" borderId="107" xfId="0" applyFont="1" applyFill="1" applyBorder="1" applyAlignment="1">
      <alignment horizontal="center" vertical="center"/>
    </xf>
    <xf numFmtId="0" fontId="82" fillId="29" borderId="108" xfId="0" applyFont="1" applyFill="1" applyBorder="1" applyAlignment="1">
      <alignment horizontal="center" vertical="center"/>
    </xf>
    <xf numFmtId="0" fontId="82" fillId="0" borderId="106" xfId="0" applyFont="1" applyBorder="1" applyAlignment="1">
      <alignment horizontal="center" vertical="center"/>
    </xf>
    <xf numFmtId="0" fontId="82" fillId="0" borderId="108" xfId="0" applyFont="1" applyBorder="1" applyAlignment="1">
      <alignment horizontal="center" vertical="center"/>
    </xf>
    <xf numFmtId="0" fontId="82" fillId="0" borderId="106" xfId="0" applyFont="1" applyBorder="1" applyAlignment="1">
      <alignment horizontal="left" vertical="center"/>
    </xf>
    <xf numFmtId="0" fontId="82" fillId="0" borderId="107" xfId="0" applyFont="1" applyBorder="1" applyAlignment="1">
      <alignment horizontal="left" vertical="center"/>
    </xf>
    <xf numFmtId="0" fontId="82" fillId="0" borderId="108" xfId="0" applyFont="1" applyBorder="1" applyAlignment="1">
      <alignment horizontal="left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52" fillId="0" borderId="50" xfId="0" applyFont="1" applyFill="1" applyBorder="1" applyAlignment="1">
      <alignment horizontal="left" vertical="center" wrapText="1"/>
    </xf>
    <xf numFmtId="0" fontId="52" fillId="0" borderId="51" xfId="0" applyFont="1" applyFill="1" applyBorder="1" applyAlignment="1">
      <alignment horizontal="left" vertical="center" wrapText="1"/>
    </xf>
    <xf numFmtId="0" fontId="52" fillId="0" borderId="52" xfId="0" applyFont="1" applyFill="1" applyBorder="1" applyAlignment="1">
      <alignment horizontal="left" vertical="center" wrapText="1"/>
    </xf>
    <xf numFmtId="0" fontId="52" fillId="31" borderId="50" xfId="0" applyFont="1" applyFill="1" applyBorder="1" applyAlignment="1">
      <alignment horizontal="left" vertical="center" wrapText="1"/>
    </xf>
    <xf numFmtId="0" fontId="52" fillId="31" borderId="51" xfId="0" applyFont="1" applyFill="1" applyBorder="1" applyAlignment="1">
      <alignment horizontal="left" vertical="center" wrapText="1"/>
    </xf>
    <xf numFmtId="0" fontId="52" fillId="31" borderId="52" xfId="0" applyFont="1" applyFill="1" applyBorder="1" applyAlignment="1">
      <alignment horizontal="left" vertical="center" wrapText="1"/>
    </xf>
    <xf numFmtId="0" fontId="52" fillId="0" borderId="50" xfId="0" applyFont="1" applyFill="1" applyBorder="1" applyAlignment="1">
      <alignment horizontal="center" vertical="center" wrapText="1"/>
    </xf>
    <xf numFmtId="0" fontId="52" fillId="0" borderId="51" xfId="0" applyFont="1" applyFill="1" applyBorder="1" applyAlignment="1">
      <alignment horizontal="center" vertical="center" wrapText="1"/>
    </xf>
    <xf numFmtId="0" fontId="52" fillId="0" borderId="52" xfId="0" applyFont="1" applyFill="1" applyBorder="1" applyAlignment="1">
      <alignment horizontal="center" vertical="center" wrapText="1"/>
    </xf>
    <xf numFmtId="0" fontId="4" fillId="36" borderId="74" xfId="0" applyFont="1" applyFill="1" applyBorder="1" applyAlignment="1">
      <alignment horizontal="center" vertical="center"/>
    </xf>
    <xf numFmtId="0" fontId="4" fillId="36" borderId="72" xfId="0" applyFont="1" applyFill="1" applyBorder="1" applyAlignment="1">
      <alignment horizontal="center" vertical="center"/>
    </xf>
    <xf numFmtId="0" fontId="4" fillId="36" borderId="77" xfId="0" applyFont="1" applyFill="1" applyBorder="1" applyAlignment="1">
      <alignment horizontal="center" vertical="center"/>
    </xf>
    <xf numFmtId="0" fontId="79" fillId="0" borderId="5" xfId="0" applyFont="1" applyBorder="1" applyAlignment="1">
      <alignment horizontal="center" vertical="center" wrapText="1"/>
    </xf>
    <xf numFmtId="0" fontId="79" fillId="0" borderId="8" xfId="0" applyFont="1" applyBorder="1" applyAlignment="1">
      <alignment horizontal="center" vertical="center" wrapText="1"/>
    </xf>
    <xf numFmtId="0" fontId="4" fillId="36" borderId="71" xfId="0" applyFont="1" applyFill="1" applyBorder="1" applyAlignment="1">
      <alignment horizontal="center" vertical="center"/>
    </xf>
    <xf numFmtId="0" fontId="4" fillId="36" borderId="73" xfId="0" applyFont="1" applyFill="1" applyBorder="1" applyAlignment="1">
      <alignment horizontal="center" vertical="center"/>
    </xf>
  </cellXfs>
  <cellStyles count="14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アクセント 1 2" xfId="7" xr:uid="{00000000-0005-0000-0000-000006000000}"/>
    <cellStyle name="20% - アクセント 2 2" xfId="8" xr:uid="{00000000-0005-0000-0000-000007000000}"/>
    <cellStyle name="20% - アクセント 3 2" xfId="9" xr:uid="{00000000-0005-0000-0000-000008000000}"/>
    <cellStyle name="20% - アクセント 4 2" xfId="10" xr:uid="{00000000-0005-0000-0000-000009000000}"/>
    <cellStyle name="20% - アクセント 5 2" xfId="11" xr:uid="{00000000-0005-0000-0000-00000A000000}"/>
    <cellStyle name="20% - アクセント 6 2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アクセント 1 2" xfId="19" xr:uid="{00000000-0005-0000-0000-000012000000}"/>
    <cellStyle name="40% - アクセント 2 2" xfId="20" xr:uid="{00000000-0005-0000-0000-000013000000}"/>
    <cellStyle name="40% - アクセント 3 2" xfId="21" xr:uid="{00000000-0005-0000-0000-000014000000}"/>
    <cellStyle name="40% - アクセント 4 2" xfId="22" xr:uid="{00000000-0005-0000-0000-000015000000}"/>
    <cellStyle name="40% - アクセント 5 2" xfId="23" xr:uid="{00000000-0005-0000-0000-000016000000}"/>
    <cellStyle name="40% - アクセント 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アクセント 1 2" xfId="31" xr:uid="{00000000-0005-0000-0000-00001E000000}"/>
    <cellStyle name="60% - アクセント 2 2" xfId="32" xr:uid="{00000000-0005-0000-0000-00001F000000}"/>
    <cellStyle name="60% - アクセント 3 2" xfId="33" xr:uid="{00000000-0005-0000-0000-000020000000}"/>
    <cellStyle name="60% - アクセント 4 2" xfId="34" xr:uid="{00000000-0005-0000-0000-000021000000}"/>
    <cellStyle name="60% - アクセント 5 2" xfId="35" xr:uid="{00000000-0005-0000-0000-000022000000}"/>
    <cellStyle name="60% - アクセント 6 2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ckground" xfId="43" xr:uid="{00000000-0005-0000-0000-00002A000000}"/>
    <cellStyle name="Bad" xfId="44" xr:uid="{00000000-0005-0000-0000-00002B000000}"/>
    <cellStyle name="Calculation" xfId="45" xr:uid="{00000000-0005-0000-0000-00002C000000}"/>
    <cellStyle name="Calculation 2" xfId="129" xr:uid="{00000000-0005-0000-0000-00002D000000}"/>
    <cellStyle name="Check Cell" xfId="46" xr:uid="{00000000-0005-0000-0000-00002E000000}"/>
    <cellStyle name="Comma [0]_FON95-03" xfId="47" xr:uid="{00000000-0005-0000-0000-00002F000000}"/>
    <cellStyle name="Comma_FON95-03" xfId="48" xr:uid="{00000000-0005-0000-0000-000030000000}"/>
    <cellStyle name="Currency [0]_FON95-03" xfId="49" xr:uid="{00000000-0005-0000-0000-000031000000}"/>
    <cellStyle name="Currency_FON95-03" xfId="50" xr:uid="{00000000-0005-0000-0000-000032000000}"/>
    <cellStyle name="date" xfId="51" xr:uid="{00000000-0005-0000-0000-000033000000}"/>
    <cellStyle name="Explanatory Text" xfId="52" xr:uid="{00000000-0005-0000-0000-000034000000}"/>
    <cellStyle name="Good" xfId="53" xr:uid="{00000000-0005-0000-0000-000035000000}"/>
    <cellStyle name="Heading 1" xfId="54" xr:uid="{00000000-0005-0000-0000-000036000000}"/>
    <cellStyle name="Heading 2" xfId="55" xr:uid="{00000000-0005-0000-0000-000037000000}"/>
    <cellStyle name="Heading 3" xfId="56" xr:uid="{00000000-0005-0000-0000-000038000000}"/>
    <cellStyle name="Heading 4" xfId="57" xr:uid="{00000000-0005-0000-0000-000039000000}"/>
    <cellStyle name="IBM(401K)" xfId="58" xr:uid="{00000000-0005-0000-0000-00003A000000}"/>
    <cellStyle name="Input" xfId="59" xr:uid="{00000000-0005-0000-0000-00003B000000}"/>
    <cellStyle name="Input 2" xfId="130" xr:uid="{00000000-0005-0000-0000-00003C000000}"/>
    <cellStyle name="J401K" xfId="60" xr:uid="{00000000-0005-0000-0000-00003D000000}"/>
    <cellStyle name="Linked Cell" xfId="61" xr:uid="{00000000-0005-0000-0000-00003E000000}"/>
    <cellStyle name="Milliers [0]_AR1194" xfId="62" xr:uid="{00000000-0005-0000-0000-00003F000000}"/>
    <cellStyle name="Milliers_AR1194" xfId="63" xr:uid="{00000000-0005-0000-0000-000040000000}"/>
    <cellStyle name="Mon騁aire [0]_AR1194" xfId="64" xr:uid="{00000000-0005-0000-0000-000041000000}"/>
    <cellStyle name="Mon騁aire_AR1194" xfId="65" xr:uid="{00000000-0005-0000-0000-000042000000}"/>
    <cellStyle name="Neutral" xfId="66" xr:uid="{00000000-0005-0000-0000-000043000000}"/>
    <cellStyle name="Normal_AR1194" xfId="67" xr:uid="{00000000-0005-0000-0000-000044000000}"/>
    <cellStyle name="Note" xfId="68" xr:uid="{00000000-0005-0000-0000-000045000000}"/>
    <cellStyle name="Note 2" xfId="131" xr:uid="{00000000-0005-0000-0000-000046000000}"/>
    <cellStyle name="Output" xfId="69" xr:uid="{00000000-0005-0000-0000-000047000000}"/>
    <cellStyle name="Output 2" xfId="132" xr:uid="{00000000-0005-0000-0000-000048000000}"/>
    <cellStyle name="Title" xfId="70" xr:uid="{00000000-0005-0000-0000-000049000000}"/>
    <cellStyle name="Total" xfId="71" xr:uid="{00000000-0005-0000-0000-00004A000000}"/>
    <cellStyle name="Total 2" xfId="133" xr:uid="{00000000-0005-0000-0000-00004B000000}"/>
    <cellStyle name="Warning Text" xfId="72" xr:uid="{00000000-0005-0000-0000-00004C000000}"/>
    <cellStyle name="アクセント 1 2" xfId="73" xr:uid="{00000000-0005-0000-0000-00004D000000}"/>
    <cellStyle name="アクセント 2 2" xfId="74" xr:uid="{00000000-0005-0000-0000-00004E000000}"/>
    <cellStyle name="アクセント 3 2" xfId="75" xr:uid="{00000000-0005-0000-0000-00004F000000}"/>
    <cellStyle name="アクセント 4 2" xfId="76" xr:uid="{00000000-0005-0000-0000-000050000000}"/>
    <cellStyle name="アクセント 5 2" xfId="77" xr:uid="{00000000-0005-0000-0000-000051000000}"/>
    <cellStyle name="アクセント 6 2" xfId="78" xr:uid="{00000000-0005-0000-0000-000052000000}"/>
    <cellStyle name="タイトル 2" xfId="79" xr:uid="{00000000-0005-0000-0000-000053000000}"/>
    <cellStyle name="チェック セル 2" xfId="80" xr:uid="{00000000-0005-0000-0000-000054000000}"/>
    <cellStyle name="データパイロットの数値" xfId="81" xr:uid="{00000000-0005-0000-0000-000055000000}"/>
    <cellStyle name="データパイロットの分類項目" xfId="82" xr:uid="{00000000-0005-0000-0000-000056000000}"/>
    <cellStyle name="どちらでもない 2" xfId="83" xr:uid="{00000000-0005-0000-0000-000057000000}"/>
    <cellStyle name="ハイパーリンク 2" xfId="84" xr:uid="{00000000-0005-0000-0000-000058000000}"/>
    <cellStyle name="ハイパーリンク 3" xfId="85" xr:uid="{00000000-0005-0000-0000-000059000000}"/>
    <cellStyle name="フェンスチャート" xfId="86" xr:uid="{00000000-0005-0000-0000-00005A000000}"/>
    <cellStyle name="メモ 2" xfId="87" xr:uid="{00000000-0005-0000-0000-00005B000000}"/>
    <cellStyle name="メモ 2 2" xfId="134" xr:uid="{00000000-0005-0000-0000-00005C000000}"/>
    <cellStyle name="リンク セル 2" xfId="88" xr:uid="{00000000-0005-0000-0000-00005D000000}"/>
    <cellStyle name="悪い 2" xfId="89" xr:uid="{00000000-0005-0000-0000-00005E000000}"/>
    <cellStyle name="計算 2" xfId="90" xr:uid="{00000000-0005-0000-0000-00005F000000}"/>
    <cellStyle name="計算 2 2" xfId="135" xr:uid="{00000000-0005-0000-0000-000060000000}"/>
    <cellStyle name="警告文 2" xfId="91" xr:uid="{00000000-0005-0000-0000-000061000000}"/>
    <cellStyle name="桁区切り 2" xfId="92" xr:uid="{00000000-0005-0000-0000-000062000000}"/>
    <cellStyle name="桁区切り 2 2" xfId="139" xr:uid="{00000000-0005-0000-0000-000063000000}"/>
    <cellStyle name="桁区切り 3" xfId="93" xr:uid="{00000000-0005-0000-0000-000064000000}"/>
    <cellStyle name="桁区切り 4" xfId="94" xr:uid="{00000000-0005-0000-0000-000065000000}"/>
    <cellStyle name="見出し 1 2" xfId="95" xr:uid="{00000000-0005-0000-0000-000066000000}"/>
    <cellStyle name="見出し 2 2" xfId="96" xr:uid="{00000000-0005-0000-0000-000067000000}"/>
    <cellStyle name="見出し 3 2" xfId="97" xr:uid="{00000000-0005-0000-0000-000068000000}"/>
    <cellStyle name="見出し 4 2" xfId="98" xr:uid="{00000000-0005-0000-0000-000069000000}"/>
    <cellStyle name="集計 2" xfId="99" xr:uid="{00000000-0005-0000-0000-00006A000000}"/>
    <cellStyle name="集計 2 2" xfId="136" xr:uid="{00000000-0005-0000-0000-00006B000000}"/>
    <cellStyle name="出力 2" xfId="100" xr:uid="{00000000-0005-0000-0000-00006C000000}"/>
    <cellStyle name="出力 2 2" xfId="137" xr:uid="{00000000-0005-0000-0000-00006D000000}"/>
    <cellStyle name="状態遷移図" xfId="101" xr:uid="{00000000-0005-0000-0000-00006E000000}"/>
    <cellStyle name="説明文 2" xfId="102" xr:uid="{00000000-0005-0000-0000-00006F000000}"/>
    <cellStyle name="入力 2" xfId="103" xr:uid="{00000000-0005-0000-0000-000070000000}"/>
    <cellStyle name="入力 2 2" xfId="138" xr:uid="{00000000-0005-0000-0000-000071000000}"/>
    <cellStyle name="標準" xfId="0" builtinId="0"/>
    <cellStyle name="標準 10" xfId="104" xr:uid="{00000000-0005-0000-0000-000073000000}"/>
    <cellStyle name="標準 11" xfId="105" xr:uid="{00000000-0005-0000-0000-000074000000}"/>
    <cellStyle name="標準 11 2" xfId="126" xr:uid="{00000000-0005-0000-0000-000075000000}"/>
    <cellStyle name="標準 2" xfId="106" xr:uid="{00000000-0005-0000-0000-000076000000}"/>
    <cellStyle name="標準 2 2" xfId="107" xr:uid="{00000000-0005-0000-0000-000077000000}"/>
    <cellStyle name="標準 2 2 2" xfId="108" xr:uid="{00000000-0005-0000-0000-000078000000}"/>
    <cellStyle name="標準 2 2 3" xfId="109" xr:uid="{00000000-0005-0000-0000-000079000000}"/>
    <cellStyle name="標準 2 3" xfId="110" xr:uid="{00000000-0005-0000-0000-00007A000000}"/>
    <cellStyle name="標準 2 4" xfId="111" xr:uid="{00000000-0005-0000-0000-00007B000000}"/>
    <cellStyle name="標準 2 5" xfId="112" xr:uid="{00000000-0005-0000-0000-00007C000000}"/>
    <cellStyle name="標準 2_デモ／空メールエントリーシステム＿メモ" xfId="113" xr:uid="{00000000-0005-0000-0000-00007D000000}"/>
    <cellStyle name="標準 3" xfId="114" xr:uid="{00000000-0005-0000-0000-00007E000000}"/>
    <cellStyle name="標準 3 2" xfId="115" xr:uid="{00000000-0005-0000-0000-00007F000000}"/>
    <cellStyle name="標準 4" xfId="116" xr:uid="{00000000-0005-0000-0000-000080000000}"/>
    <cellStyle name="標準 4 2" xfId="117" xr:uid="{00000000-0005-0000-0000-000081000000}"/>
    <cellStyle name="標準 5" xfId="118" xr:uid="{00000000-0005-0000-0000-000082000000}"/>
    <cellStyle name="標準 5 2" xfId="119" xr:uid="{00000000-0005-0000-0000-000083000000}"/>
    <cellStyle name="標準 6" xfId="120" xr:uid="{00000000-0005-0000-0000-000084000000}"/>
    <cellStyle name="標準 7" xfId="121" xr:uid="{00000000-0005-0000-0000-000085000000}"/>
    <cellStyle name="標準 8" xfId="122" xr:uid="{00000000-0005-0000-0000-000086000000}"/>
    <cellStyle name="標準 9" xfId="123" xr:uid="{00000000-0005-0000-0000-000087000000}"/>
    <cellStyle name="標準_開発計画_110720_v11" xfId="128" xr:uid="{00000000-0005-0000-0000-000088000000}"/>
    <cellStyle name="標準_朝日生命_バースデーキャンペーン_DB設計書_080415_社内_情報活用セミナー_Createテキストデータ設計書_081107-2" xfId="127" xr:uid="{00000000-0005-0000-0000-000089000000}"/>
    <cellStyle name="未定義" xfId="124" xr:uid="{00000000-0005-0000-0000-00008A000000}"/>
    <cellStyle name="良い 2" xfId="125" xr:uid="{00000000-0005-0000-0000-00008B000000}"/>
  </cellStyles>
  <dxfs count="0"/>
  <tableStyles count="0" defaultTableStyle="TableStyleMedium2" defaultPivotStyle="PivotStyleLight16"/>
  <colors>
    <mruColors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937</xdr:colOff>
      <xdr:row>6</xdr:row>
      <xdr:rowOff>1</xdr:rowOff>
    </xdr:from>
    <xdr:to>
      <xdr:col>47</xdr:col>
      <xdr:colOff>16816</xdr:colOff>
      <xdr:row>36</xdr:row>
      <xdr:rowOff>133360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51BB251B-A2A4-4167-AFED-ED7E22DABD17}"/>
            </a:ext>
          </a:extLst>
        </xdr:cNvPr>
        <xdr:cNvGrpSpPr/>
      </xdr:nvGrpSpPr>
      <xdr:grpSpPr>
        <a:xfrm>
          <a:off x="601012" y="1066801"/>
          <a:ext cx="8816979" cy="5276859"/>
          <a:chOff x="547589" y="1076740"/>
          <a:chExt cx="8033442" cy="5353658"/>
        </a:xfrm>
      </xdr:grpSpPr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pSpPr/>
        </xdr:nvGrpSpPr>
        <xdr:grpSpPr>
          <a:xfrm>
            <a:off x="547589" y="1076740"/>
            <a:ext cx="8033442" cy="5353658"/>
            <a:chOff x="580713" y="1223597"/>
            <a:chExt cx="8733964" cy="5188929"/>
          </a:xfrm>
        </xdr:grpSpPr>
        <xdr:pic>
          <xdr:nvPicPr>
            <xdr:cNvPr id="5" name="図 4" descr="ユーザー詳細１.PNG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593482" y="1223597"/>
              <a:ext cx="8721195" cy="3087773"/>
            </a:xfrm>
            <a:prstGeom prst="rect">
              <a:avLst/>
            </a:prstGeom>
          </xdr:spPr>
        </xdr:pic>
        <xdr:pic>
          <xdr:nvPicPr>
            <xdr:cNvPr id="7" name="図 6" descr="キャプチャ2.PNG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580713" y="4296402"/>
              <a:ext cx="8726677" cy="2116124"/>
            </a:xfrm>
            <a:prstGeom prst="rect">
              <a:avLst/>
            </a:prstGeom>
          </xdr:spPr>
        </xdr:pic>
      </xdr:grpSp>
      <xdr:pic>
        <xdr:nvPicPr>
          <xdr:cNvPr id="19" name="図 18">
            <a:extLst>
              <a:ext uri="{FF2B5EF4-FFF2-40B4-BE49-F238E27FC236}">
                <a16:creationId xmlns:a16="http://schemas.microsoft.com/office/drawing/2014/main" id="{EC03F19B-D3D5-4C7D-A0CC-00D3A9F7AFB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73501" y="5114589"/>
            <a:ext cx="7217961" cy="113184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6</xdr:col>
      <xdr:colOff>28575</xdr:colOff>
      <xdr:row>24</xdr:row>
      <xdr:rowOff>47625</xdr:rowOff>
    </xdr:from>
    <xdr:to>
      <xdr:col>43</xdr:col>
      <xdr:colOff>85725</xdr:colOff>
      <xdr:row>29</xdr:row>
      <xdr:rowOff>9525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28725" y="4371975"/>
          <a:ext cx="7458075" cy="81915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140806</xdr:colOff>
      <xdr:row>21</xdr:row>
      <xdr:rowOff>33131</xdr:rowOff>
    </xdr:from>
    <xdr:to>
      <xdr:col>49</xdr:col>
      <xdr:colOff>50804</xdr:colOff>
      <xdr:row>24</xdr:row>
      <xdr:rowOff>66263</xdr:rowOff>
    </xdr:to>
    <xdr:sp macro="" textlink="">
      <xdr:nvSpPr>
        <xdr:cNvPr id="14" name="フリーフォーム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6700632" y="3892827"/>
          <a:ext cx="3090520" cy="554936"/>
        </a:xfrm>
        <a:custGeom>
          <a:avLst/>
          <a:gdLst>
            <a:gd name="connsiteX0" fmla="*/ 0 w 2849217"/>
            <a:gd name="connsiteY0" fmla="*/ 62121 h 372717"/>
            <a:gd name="connsiteX1" fmla="*/ 18195 w 2849217"/>
            <a:gd name="connsiteY1" fmla="*/ 18195 h 372717"/>
            <a:gd name="connsiteX2" fmla="*/ 62121 w 2849217"/>
            <a:gd name="connsiteY2" fmla="*/ 0 h 372717"/>
            <a:gd name="connsiteX3" fmla="*/ 2787096 w 2849217"/>
            <a:gd name="connsiteY3" fmla="*/ 0 h 372717"/>
            <a:gd name="connsiteX4" fmla="*/ 2831022 w 2849217"/>
            <a:gd name="connsiteY4" fmla="*/ 18195 h 372717"/>
            <a:gd name="connsiteX5" fmla="*/ 2849217 w 2849217"/>
            <a:gd name="connsiteY5" fmla="*/ 62121 h 372717"/>
            <a:gd name="connsiteX6" fmla="*/ 2849217 w 2849217"/>
            <a:gd name="connsiteY6" fmla="*/ 310596 h 372717"/>
            <a:gd name="connsiteX7" fmla="*/ 2831022 w 2849217"/>
            <a:gd name="connsiteY7" fmla="*/ 354522 h 372717"/>
            <a:gd name="connsiteX8" fmla="*/ 2787096 w 2849217"/>
            <a:gd name="connsiteY8" fmla="*/ 372717 h 372717"/>
            <a:gd name="connsiteX9" fmla="*/ 62121 w 2849217"/>
            <a:gd name="connsiteY9" fmla="*/ 372717 h 372717"/>
            <a:gd name="connsiteX10" fmla="*/ 18195 w 2849217"/>
            <a:gd name="connsiteY10" fmla="*/ 354522 h 372717"/>
            <a:gd name="connsiteX11" fmla="*/ 0 w 2849217"/>
            <a:gd name="connsiteY11" fmla="*/ 310596 h 372717"/>
            <a:gd name="connsiteX12" fmla="*/ 0 w 2849217"/>
            <a:gd name="connsiteY12" fmla="*/ 62121 h 372717"/>
            <a:gd name="connsiteX0" fmla="*/ 0 w 3147118"/>
            <a:gd name="connsiteY0" fmla="*/ 62121 h 472109"/>
            <a:gd name="connsiteX1" fmla="*/ 18195 w 3147118"/>
            <a:gd name="connsiteY1" fmla="*/ 18195 h 472109"/>
            <a:gd name="connsiteX2" fmla="*/ 62121 w 3147118"/>
            <a:gd name="connsiteY2" fmla="*/ 0 h 472109"/>
            <a:gd name="connsiteX3" fmla="*/ 2787096 w 3147118"/>
            <a:gd name="connsiteY3" fmla="*/ 0 h 472109"/>
            <a:gd name="connsiteX4" fmla="*/ 2831022 w 3147118"/>
            <a:gd name="connsiteY4" fmla="*/ 18195 h 472109"/>
            <a:gd name="connsiteX5" fmla="*/ 2849217 w 3147118"/>
            <a:gd name="connsiteY5" fmla="*/ 62121 h 472109"/>
            <a:gd name="connsiteX6" fmla="*/ 2849217 w 3147118"/>
            <a:gd name="connsiteY6" fmla="*/ 310596 h 472109"/>
            <a:gd name="connsiteX7" fmla="*/ 2831022 w 3147118"/>
            <a:gd name="connsiteY7" fmla="*/ 354522 h 472109"/>
            <a:gd name="connsiteX8" fmla="*/ 2787096 w 3147118"/>
            <a:gd name="connsiteY8" fmla="*/ 372717 h 472109"/>
            <a:gd name="connsiteX9" fmla="*/ 480391 w 3147118"/>
            <a:gd name="connsiteY9" fmla="*/ 472109 h 472109"/>
            <a:gd name="connsiteX10" fmla="*/ 62121 w 3147118"/>
            <a:gd name="connsiteY10" fmla="*/ 372717 h 472109"/>
            <a:gd name="connsiteX11" fmla="*/ 18195 w 3147118"/>
            <a:gd name="connsiteY11" fmla="*/ 354522 h 472109"/>
            <a:gd name="connsiteX12" fmla="*/ 0 w 3147118"/>
            <a:gd name="connsiteY12" fmla="*/ 310596 h 472109"/>
            <a:gd name="connsiteX13" fmla="*/ 0 w 3147118"/>
            <a:gd name="connsiteY13" fmla="*/ 62121 h 472109"/>
            <a:gd name="connsiteX0" fmla="*/ 0 w 3090520"/>
            <a:gd name="connsiteY0" fmla="*/ 62121 h 472109"/>
            <a:gd name="connsiteX1" fmla="*/ 18195 w 3090520"/>
            <a:gd name="connsiteY1" fmla="*/ 18195 h 472109"/>
            <a:gd name="connsiteX2" fmla="*/ 62121 w 3090520"/>
            <a:gd name="connsiteY2" fmla="*/ 0 h 472109"/>
            <a:gd name="connsiteX3" fmla="*/ 2787096 w 3090520"/>
            <a:gd name="connsiteY3" fmla="*/ 0 h 472109"/>
            <a:gd name="connsiteX4" fmla="*/ 2831022 w 3090520"/>
            <a:gd name="connsiteY4" fmla="*/ 18195 h 472109"/>
            <a:gd name="connsiteX5" fmla="*/ 2849217 w 3090520"/>
            <a:gd name="connsiteY5" fmla="*/ 62121 h 472109"/>
            <a:gd name="connsiteX6" fmla="*/ 2849217 w 3090520"/>
            <a:gd name="connsiteY6" fmla="*/ 310596 h 472109"/>
            <a:gd name="connsiteX7" fmla="*/ 2831022 w 3090520"/>
            <a:gd name="connsiteY7" fmla="*/ 354522 h 472109"/>
            <a:gd name="connsiteX8" fmla="*/ 2787096 w 3090520"/>
            <a:gd name="connsiteY8" fmla="*/ 372717 h 472109"/>
            <a:gd name="connsiteX9" fmla="*/ 1010477 w 3090520"/>
            <a:gd name="connsiteY9" fmla="*/ 389283 h 472109"/>
            <a:gd name="connsiteX10" fmla="*/ 480391 w 3090520"/>
            <a:gd name="connsiteY10" fmla="*/ 472109 h 472109"/>
            <a:gd name="connsiteX11" fmla="*/ 62121 w 3090520"/>
            <a:gd name="connsiteY11" fmla="*/ 372717 h 472109"/>
            <a:gd name="connsiteX12" fmla="*/ 18195 w 3090520"/>
            <a:gd name="connsiteY12" fmla="*/ 354522 h 472109"/>
            <a:gd name="connsiteX13" fmla="*/ 0 w 3090520"/>
            <a:gd name="connsiteY13" fmla="*/ 310596 h 472109"/>
            <a:gd name="connsiteX14" fmla="*/ 0 w 3090520"/>
            <a:gd name="connsiteY14" fmla="*/ 62121 h 472109"/>
            <a:gd name="connsiteX0" fmla="*/ 0 w 3090520"/>
            <a:gd name="connsiteY0" fmla="*/ 62121 h 472109"/>
            <a:gd name="connsiteX1" fmla="*/ 18195 w 3090520"/>
            <a:gd name="connsiteY1" fmla="*/ 18195 h 472109"/>
            <a:gd name="connsiteX2" fmla="*/ 62121 w 3090520"/>
            <a:gd name="connsiteY2" fmla="*/ 0 h 472109"/>
            <a:gd name="connsiteX3" fmla="*/ 2787096 w 3090520"/>
            <a:gd name="connsiteY3" fmla="*/ 0 h 472109"/>
            <a:gd name="connsiteX4" fmla="*/ 2831022 w 3090520"/>
            <a:gd name="connsiteY4" fmla="*/ 18195 h 472109"/>
            <a:gd name="connsiteX5" fmla="*/ 2849217 w 3090520"/>
            <a:gd name="connsiteY5" fmla="*/ 62121 h 472109"/>
            <a:gd name="connsiteX6" fmla="*/ 2849217 w 3090520"/>
            <a:gd name="connsiteY6" fmla="*/ 310596 h 472109"/>
            <a:gd name="connsiteX7" fmla="*/ 2831022 w 3090520"/>
            <a:gd name="connsiteY7" fmla="*/ 354522 h 472109"/>
            <a:gd name="connsiteX8" fmla="*/ 2787096 w 3090520"/>
            <a:gd name="connsiteY8" fmla="*/ 372717 h 472109"/>
            <a:gd name="connsiteX9" fmla="*/ 1010477 w 3090520"/>
            <a:gd name="connsiteY9" fmla="*/ 389283 h 472109"/>
            <a:gd name="connsiteX10" fmla="*/ 480391 w 3090520"/>
            <a:gd name="connsiteY10" fmla="*/ 472109 h 472109"/>
            <a:gd name="connsiteX11" fmla="*/ 422412 w 3090520"/>
            <a:gd name="connsiteY11" fmla="*/ 356153 h 472109"/>
            <a:gd name="connsiteX12" fmla="*/ 62121 w 3090520"/>
            <a:gd name="connsiteY12" fmla="*/ 372717 h 472109"/>
            <a:gd name="connsiteX13" fmla="*/ 18195 w 3090520"/>
            <a:gd name="connsiteY13" fmla="*/ 354522 h 472109"/>
            <a:gd name="connsiteX14" fmla="*/ 0 w 3090520"/>
            <a:gd name="connsiteY14" fmla="*/ 310596 h 472109"/>
            <a:gd name="connsiteX15" fmla="*/ 0 w 3090520"/>
            <a:gd name="connsiteY15" fmla="*/ 62121 h 472109"/>
            <a:gd name="connsiteX0" fmla="*/ 0 w 3090520"/>
            <a:gd name="connsiteY0" fmla="*/ 62121 h 472109"/>
            <a:gd name="connsiteX1" fmla="*/ 18195 w 3090520"/>
            <a:gd name="connsiteY1" fmla="*/ 18195 h 472109"/>
            <a:gd name="connsiteX2" fmla="*/ 62121 w 3090520"/>
            <a:gd name="connsiteY2" fmla="*/ 0 h 472109"/>
            <a:gd name="connsiteX3" fmla="*/ 2787096 w 3090520"/>
            <a:gd name="connsiteY3" fmla="*/ 0 h 472109"/>
            <a:gd name="connsiteX4" fmla="*/ 2831022 w 3090520"/>
            <a:gd name="connsiteY4" fmla="*/ 18195 h 472109"/>
            <a:gd name="connsiteX5" fmla="*/ 2849217 w 3090520"/>
            <a:gd name="connsiteY5" fmla="*/ 62121 h 472109"/>
            <a:gd name="connsiteX6" fmla="*/ 2849217 w 3090520"/>
            <a:gd name="connsiteY6" fmla="*/ 310596 h 472109"/>
            <a:gd name="connsiteX7" fmla="*/ 2831022 w 3090520"/>
            <a:gd name="connsiteY7" fmla="*/ 354522 h 472109"/>
            <a:gd name="connsiteX8" fmla="*/ 2787096 w 3090520"/>
            <a:gd name="connsiteY8" fmla="*/ 372717 h 472109"/>
            <a:gd name="connsiteX9" fmla="*/ 1010477 w 3090520"/>
            <a:gd name="connsiteY9" fmla="*/ 389283 h 472109"/>
            <a:gd name="connsiteX10" fmla="*/ 480391 w 3090520"/>
            <a:gd name="connsiteY10" fmla="*/ 472109 h 472109"/>
            <a:gd name="connsiteX11" fmla="*/ 513520 w 3090520"/>
            <a:gd name="connsiteY11" fmla="*/ 372718 h 472109"/>
            <a:gd name="connsiteX12" fmla="*/ 62121 w 3090520"/>
            <a:gd name="connsiteY12" fmla="*/ 372717 h 472109"/>
            <a:gd name="connsiteX13" fmla="*/ 18195 w 3090520"/>
            <a:gd name="connsiteY13" fmla="*/ 354522 h 472109"/>
            <a:gd name="connsiteX14" fmla="*/ 0 w 3090520"/>
            <a:gd name="connsiteY14" fmla="*/ 310596 h 472109"/>
            <a:gd name="connsiteX15" fmla="*/ 0 w 3090520"/>
            <a:gd name="connsiteY15" fmla="*/ 62121 h 472109"/>
            <a:gd name="connsiteX0" fmla="*/ 0 w 3090520"/>
            <a:gd name="connsiteY0" fmla="*/ 62121 h 554936"/>
            <a:gd name="connsiteX1" fmla="*/ 18195 w 3090520"/>
            <a:gd name="connsiteY1" fmla="*/ 18195 h 554936"/>
            <a:gd name="connsiteX2" fmla="*/ 62121 w 3090520"/>
            <a:gd name="connsiteY2" fmla="*/ 0 h 554936"/>
            <a:gd name="connsiteX3" fmla="*/ 2787096 w 3090520"/>
            <a:gd name="connsiteY3" fmla="*/ 0 h 554936"/>
            <a:gd name="connsiteX4" fmla="*/ 2831022 w 3090520"/>
            <a:gd name="connsiteY4" fmla="*/ 18195 h 554936"/>
            <a:gd name="connsiteX5" fmla="*/ 2849217 w 3090520"/>
            <a:gd name="connsiteY5" fmla="*/ 62121 h 554936"/>
            <a:gd name="connsiteX6" fmla="*/ 2849217 w 3090520"/>
            <a:gd name="connsiteY6" fmla="*/ 310596 h 554936"/>
            <a:gd name="connsiteX7" fmla="*/ 2831022 w 3090520"/>
            <a:gd name="connsiteY7" fmla="*/ 354522 h 554936"/>
            <a:gd name="connsiteX8" fmla="*/ 2787096 w 3090520"/>
            <a:gd name="connsiteY8" fmla="*/ 372717 h 554936"/>
            <a:gd name="connsiteX9" fmla="*/ 1010477 w 3090520"/>
            <a:gd name="connsiteY9" fmla="*/ 389283 h 554936"/>
            <a:gd name="connsiteX10" fmla="*/ 389282 w 3090520"/>
            <a:gd name="connsiteY10" fmla="*/ 554936 h 554936"/>
            <a:gd name="connsiteX11" fmla="*/ 513520 w 3090520"/>
            <a:gd name="connsiteY11" fmla="*/ 372718 h 554936"/>
            <a:gd name="connsiteX12" fmla="*/ 62121 w 3090520"/>
            <a:gd name="connsiteY12" fmla="*/ 372717 h 554936"/>
            <a:gd name="connsiteX13" fmla="*/ 18195 w 3090520"/>
            <a:gd name="connsiteY13" fmla="*/ 354522 h 554936"/>
            <a:gd name="connsiteX14" fmla="*/ 0 w 3090520"/>
            <a:gd name="connsiteY14" fmla="*/ 310596 h 554936"/>
            <a:gd name="connsiteX15" fmla="*/ 0 w 3090520"/>
            <a:gd name="connsiteY15" fmla="*/ 62121 h 5549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3090520" h="554936">
              <a:moveTo>
                <a:pt x="0" y="62121"/>
              </a:moveTo>
              <a:cubicBezTo>
                <a:pt x="0" y="45645"/>
                <a:pt x="6545" y="29845"/>
                <a:pt x="18195" y="18195"/>
              </a:cubicBezTo>
              <a:cubicBezTo>
                <a:pt x="29845" y="6545"/>
                <a:pt x="45646" y="0"/>
                <a:pt x="62121" y="0"/>
              </a:cubicBezTo>
              <a:lnTo>
                <a:pt x="2787096" y="0"/>
              </a:lnTo>
              <a:cubicBezTo>
                <a:pt x="2803572" y="0"/>
                <a:pt x="2819372" y="6545"/>
                <a:pt x="2831022" y="18195"/>
              </a:cubicBezTo>
              <a:cubicBezTo>
                <a:pt x="2842672" y="29845"/>
                <a:pt x="2849217" y="45646"/>
                <a:pt x="2849217" y="62121"/>
              </a:cubicBezTo>
              <a:lnTo>
                <a:pt x="2849217" y="310596"/>
              </a:lnTo>
              <a:cubicBezTo>
                <a:pt x="2849217" y="327072"/>
                <a:pt x="2842672" y="342872"/>
                <a:pt x="2831022" y="354522"/>
              </a:cubicBezTo>
              <a:cubicBezTo>
                <a:pt x="2819372" y="366172"/>
                <a:pt x="3090520" y="358641"/>
                <a:pt x="2787096" y="372717"/>
              </a:cubicBezTo>
              <a:lnTo>
                <a:pt x="1010477" y="389283"/>
              </a:lnTo>
              <a:lnTo>
                <a:pt x="389282" y="554936"/>
              </a:lnTo>
              <a:lnTo>
                <a:pt x="513520" y="372718"/>
              </a:lnTo>
              <a:lnTo>
                <a:pt x="62121" y="372717"/>
              </a:lnTo>
              <a:cubicBezTo>
                <a:pt x="45645" y="372717"/>
                <a:pt x="29845" y="366172"/>
                <a:pt x="18195" y="354522"/>
              </a:cubicBezTo>
              <a:cubicBezTo>
                <a:pt x="6545" y="342872"/>
                <a:pt x="0" y="327071"/>
                <a:pt x="0" y="310596"/>
              </a:cubicBezTo>
              <a:lnTo>
                <a:pt x="0" y="62121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試験が無い場合は表示されない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2178</xdr:colOff>
      <xdr:row>35</xdr:row>
      <xdr:rowOff>94918</xdr:rowOff>
    </xdr:from>
    <xdr:to>
      <xdr:col>47</xdr:col>
      <xdr:colOff>13263</xdr:colOff>
      <xdr:row>42</xdr:row>
      <xdr:rowOff>94153</xdr:rowOff>
    </xdr:to>
    <xdr:pic>
      <xdr:nvPicPr>
        <xdr:cNvPr id="20" name="図 19" descr="キャプチャ2.PNG">
          <a:extLst>
            <a:ext uri="{FF2B5EF4-FFF2-40B4-BE49-F238E27FC236}">
              <a16:creationId xmlns:a16="http://schemas.microsoft.com/office/drawing/2014/main" id="{E6FBE6FD-750A-47D1-876D-E54208A379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44382"/>
        <a:stretch/>
      </xdr:blipFill>
      <xdr:spPr>
        <a:xfrm>
          <a:off x="548830" y="6215766"/>
          <a:ext cx="8028650" cy="1216778"/>
        </a:xfrm>
        <a:prstGeom prst="rect">
          <a:avLst/>
        </a:prstGeom>
      </xdr:spPr>
    </xdr:pic>
    <xdr:clientData/>
  </xdr:twoCellAnchor>
  <xdr:twoCellAnchor>
    <xdr:from>
      <xdr:col>5</xdr:col>
      <xdr:colOff>107674</xdr:colOff>
      <xdr:row>35</xdr:row>
      <xdr:rowOff>132522</xdr:rowOff>
    </xdr:from>
    <xdr:to>
      <xdr:col>43</xdr:col>
      <xdr:colOff>102291</xdr:colOff>
      <xdr:row>42</xdr:row>
      <xdr:rowOff>93758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18761" y="6253370"/>
          <a:ext cx="6918878" cy="1178779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34</xdr:col>
      <xdr:colOff>134045</xdr:colOff>
      <xdr:row>42</xdr:row>
      <xdr:rowOff>55034</xdr:rowOff>
    </xdr:from>
    <xdr:to>
      <xdr:col>49</xdr:col>
      <xdr:colOff>22694</xdr:colOff>
      <xdr:row>45</xdr:row>
      <xdr:rowOff>49695</xdr:rowOff>
    </xdr:to>
    <xdr:sp macro="" textlink="">
      <xdr:nvSpPr>
        <xdr:cNvPr id="9" name="フリーフォーム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329436" y="7393425"/>
          <a:ext cx="2621910" cy="516466"/>
        </a:xfrm>
        <a:custGeom>
          <a:avLst/>
          <a:gdLst>
            <a:gd name="connsiteX0" fmla="*/ 0 w 2028825"/>
            <a:gd name="connsiteY0" fmla="*/ 74619 h 733425"/>
            <a:gd name="connsiteX1" fmla="*/ 21855 w 2028825"/>
            <a:gd name="connsiteY1" fmla="*/ 21855 h 733425"/>
            <a:gd name="connsiteX2" fmla="*/ 74619 w 2028825"/>
            <a:gd name="connsiteY2" fmla="*/ 0 h 733425"/>
            <a:gd name="connsiteX3" fmla="*/ 1954206 w 2028825"/>
            <a:gd name="connsiteY3" fmla="*/ 0 h 733425"/>
            <a:gd name="connsiteX4" fmla="*/ 2006970 w 2028825"/>
            <a:gd name="connsiteY4" fmla="*/ 21855 h 733425"/>
            <a:gd name="connsiteX5" fmla="*/ 2028825 w 2028825"/>
            <a:gd name="connsiteY5" fmla="*/ 74619 h 733425"/>
            <a:gd name="connsiteX6" fmla="*/ 2028825 w 2028825"/>
            <a:gd name="connsiteY6" fmla="*/ 658806 h 733425"/>
            <a:gd name="connsiteX7" fmla="*/ 2006970 w 2028825"/>
            <a:gd name="connsiteY7" fmla="*/ 711570 h 733425"/>
            <a:gd name="connsiteX8" fmla="*/ 1954206 w 2028825"/>
            <a:gd name="connsiteY8" fmla="*/ 733425 h 733425"/>
            <a:gd name="connsiteX9" fmla="*/ 74619 w 2028825"/>
            <a:gd name="connsiteY9" fmla="*/ 733425 h 733425"/>
            <a:gd name="connsiteX10" fmla="*/ 21855 w 2028825"/>
            <a:gd name="connsiteY10" fmla="*/ 711570 h 733425"/>
            <a:gd name="connsiteX11" fmla="*/ 0 w 2028825"/>
            <a:gd name="connsiteY11" fmla="*/ 658806 h 733425"/>
            <a:gd name="connsiteX12" fmla="*/ 0 w 2028825"/>
            <a:gd name="connsiteY12" fmla="*/ 74619 h 733425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2144232 w 2218851"/>
            <a:gd name="connsiteY4" fmla="*/ 314325 h 1047750"/>
            <a:gd name="connsiteX5" fmla="*/ 2196996 w 2218851"/>
            <a:gd name="connsiteY5" fmla="*/ 336180 h 1047750"/>
            <a:gd name="connsiteX6" fmla="*/ 2218851 w 2218851"/>
            <a:gd name="connsiteY6" fmla="*/ 388944 h 1047750"/>
            <a:gd name="connsiteX7" fmla="*/ 2218851 w 2218851"/>
            <a:gd name="connsiteY7" fmla="*/ 973131 h 1047750"/>
            <a:gd name="connsiteX8" fmla="*/ 2196996 w 2218851"/>
            <a:gd name="connsiteY8" fmla="*/ 1025895 h 1047750"/>
            <a:gd name="connsiteX9" fmla="*/ 2144232 w 2218851"/>
            <a:gd name="connsiteY9" fmla="*/ 1047750 h 1047750"/>
            <a:gd name="connsiteX10" fmla="*/ 264645 w 2218851"/>
            <a:gd name="connsiteY10" fmla="*/ 1047750 h 1047750"/>
            <a:gd name="connsiteX11" fmla="*/ 211881 w 2218851"/>
            <a:gd name="connsiteY11" fmla="*/ 1025895 h 1047750"/>
            <a:gd name="connsiteX12" fmla="*/ 190026 w 2218851"/>
            <a:gd name="connsiteY12" fmla="*/ 973131 h 1047750"/>
            <a:gd name="connsiteX13" fmla="*/ 190026 w 2218851"/>
            <a:gd name="connsiteY13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3333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2952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638300 w 2028825"/>
            <a:gd name="connsiteY4" fmla="*/ 0 h 1047750"/>
            <a:gd name="connsiteX5" fmla="*/ 1685925 w 2028825"/>
            <a:gd name="connsiteY5" fmla="*/ 295275 h 1047750"/>
            <a:gd name="connsiteX6" fmla="*/ 1954206 w 2028825"/>
            <a:gd name="connsiteY6" fmla="*/ 314325 h 1047750"/>
            <a:gd name="connsiteX7" fmla="*/ 2006970 w 2028825"/>
            <a:gd name="connsiteY7" fmla="*/ 336180 h 1047750"/>
            <a:gd name="connsiteX8" fmla="*/ 2028825 w 2028825"/>
            <a:gd name="connsiteY8" fmla="*/ 388944 h 1047750"/>
            <a:gd name="connsiteX9" fmla="*/ 2028825 w 2028825"/>
            <a:gd name="connsiteY9" fmla="*/ 973131 h 1047750"/>
            <a:gd name="connsiteX10" fmla="*/ 2006970 w 2028825"/>
            <a:gd name="connsiteY10" fmla="*/ 1025895 h 1047750"/>
            <a:gd name="connsiteX11" fmla="*/ 1954206 w 2028825"/>
            <a:gd name="connsiteY11" fmla="*/ 1047750 h 1047750"/>
            <a:gd name="connsiteX12" fmla="*/ 74619 w 2028825"/>
            <a:gd name="connsiteY12" fmla="*/ 1047750 h 1047750"/>
            <a:gd name="connsiteX13" fmla="*/ 21855 w 2028825"/>
            <a:gd name="connsiteY13" fmla="*/ 1025895 h 1047750"/>
            <a:gd name="connsiteX14" fmla="*/ 0 w 2028825"/>
            <a:gd name="connsiteY14" fmla="*/ 973131 h 1047750"/>
            <a:gd name="connsiteX15" fmla="*/ 0 w 2028825"/>
            <a:gd name="connsiteY15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400175 w 2028825"/>
            <a:gd name="connsiteY4" fmla="*/ 314325 h 1047750"/>
            <a:gd name="connsiteX5" fmla="*/ 1638300 w 2028825"/>
            <a:gd name="connsiteY5" fmla="*/ 0 h 1047750"/>
            <a:gd name="connsiteX6" fmla="*/ 1685925 w 2028825"/>
            <a:gd name="connsiteY6" fmla="*/ 295275 h 1047750"/>
            <a:gd name="connsiteX7" fmla="*/ 1954206 w 2028825"/>
            <a:gd name="connsiteY7" fmla="*/ 314325 h 1047750"/>
            <a:gd name="connsiteX8" fmla="*/ 2006970 w 2028825"/>
            <a:gd name="connsiteY8" fmla="*/ 336180 h 1047750"/>
            <a:gd name="connsiteX9" fmla="*/ 2028825 w 2028825"/>
            <a:gd name="connsiteY9" fmla="*/ 388944 h 1047750"/>
            <a:gd name="connsiteX10" fmla="*/ 2028825 w 2028825"/>
            <a:gd name="connsiteY10" fmla="*/ 973131 h 1047750"/>
            <a:gd name="connsiteX11" fmla="*/ 2006970 w 2028825"/>
            <a:gd name="connsiteY11" fmla="*/ 1025895 h 1047750"/>
            <a:gd name="connsiteX12" fmla="*/ 1954206 w 2028825"/>
            <a:gd name="connsiteY12" fmla="*/ 1047750 h 1047750"/>
            <a:gd name="connsiteX13" fmla="*/ 74619 w 2028825"/>
            <a:gd name="connsiteY13" fmla="*/ 1047750 h 1047750"/>
            <a:gd name="connsiteX14" fmla="*/ 21855 w 2028825"/>
            <a:gd name="connsiteY14" fmla="*/ 1025895 h 1047750"/>
            <a:gd name="connsiteX15" fmla="*/ 0 w 2028825"/>
            <a:gd name="connsiteY15" fmla="*/ 973131 h 1047750"/>
            <a:gd name="connsiteX16" fmla="*/ 0 w 2028825"/>
            <a:gd name="connsiteY16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1400175 w 2028825"/>
            <a:gd name="connsiteY5" fmla="*/ 314325 h 1047750"/>
            <a:gd name="connsiteX6" fmla="*/ 1638300 w 2028825"/>
            <a:gd name="connsiteY6" fmla="*/ 0 h 1047750"/>
            <a:gd name="connsiteX7" fmla="*/ 1685925 w 2028825"/>
            <a:gd name="connsiteY7" fmla="*/ 295275 h 1047750"/>
            <a:gd name="connsiteX8" fmla="*/ 1954206 w 2028825"/>
            <a:gd name="connsiteY8" fmla="*/ 314325 h 1047750"/>
            <a:gd name="connsiteX9" fmla="*/ 2006970 w 2028825"/>
            <a:gd name="connsiteY9" fmla="*/ 336180 h 1047750"/>
            <a:gd name="connsiteX10" fmla="*/ 2028825 w 2028825"/>
            <a:gd name="connsiteY10" fmla="*/ 388944 h 1047750"/>
            <a:gd name="connsiteX11" fmla="*/ 2028825 w 2028825"/>
            <a:gd name="connsiteY11" fmla="*/ 973131 h 1047750"/>
            <a:gd name="connsiteX12" fmla="*/ 2006970 w 2028825"/>
            <a:gd name="connsiteY12" fmla="*/ 1025895 h 1047750"/>
            <a:gd name="connsiteX13" fmla="*/ 1954206 w 2028825"/>
            <a:gd name="connsiteY13" fmla="*/ 1047750 h 1047750"/>
            <a:gd name="connsiteX14" fmla="*/ 74619 w 2028825"/>
            <a:gd name="connsiteY14" fmla="*/ 1047750 h 1047750"/>
            <a:gd name="connsiteX15" fmla="*/ 21855 w 2028825"/>
            <a:gd name="connsiteY15" fmla="*/ 1025895 h 1047750"/>
            <a:gd name="connsiteX16" fmla="*/ 0 w 2028825"/>
            <a:gd name="connsiteY16" fmla="*/ 973131 h 1047750"/>
            <a:gd name="connsiteX17" fmla="*/ 0 w 2028825"/>
            <a:gd name="connsiteY17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800100 w 2028825"/>
            <a:gd name="connsiteY5" fmla="*/ 333375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790575 w 2028825"/>
            <a:gd name="connsiteY5" fmla="*/ 304800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465144 h 1123950"/>
            <a:gd name="connsiteX1" fmla="*/ 21855 w 2028825"/>
            <a:gd name="connsiteY1" fmla="*/ 412380 h 1123950"/>
            <a:gd name="connsiteX2" fmla="*/ 74619 w 2028825"/>
            <a:gd name="connsiteY2" fmla="*/ 390525 h 1123950"/>
            <a:gd name="connsiteX3" fmla="*/ 428625 w 2028825"/>
            <a:gd name="connsiteY3" fmla="*/ 390525 h 1123950"/>
            <a:gd name="connsiteX4" fmla="*/ 333375 w 2028825"/>
            <a:gd name="connsiteY4" fmla="*/ 0 h 1123950"/>
            <a:gd name="connsiteX5" fmla="*/ 790575 w 2028825"/>
            <a:gd name="connsiteY5" fmla="*/ 381000 h 1123950"/>
            <a:gd name="connsiteX6" fmla="*/ 1400175 w 2028825"/>
            <a:gd name="connsiteY6" fmla="*/ 390525 h 1123950"/>
            <a:gd name="connsiteX7" fmla="*/ 1638300 w 2028825"/>
            <a:gd name="connsiteY7" fmla="*/ 76200 h 1123950"/>
            <a:gd name="connsiteX8" fmla="*/ 1685925 w 2028825"/>
            <a:gd name="connsiteY8" fmla="*/ 371475 h 1123950"/>
            <a:gd name="connsiteX9" fmla="*/ 1954206 w 2028825"/>
            <a:gd name="connsiteY9" fmla="*/ 390525 h 1123950"/>
            <a:gd name="connsiteX10" fmla="*/ 2006970 w 2028825"/>
            <a:gd name="connsiteY10" fmla="*/ 412380 h 1123950"/>
            <a:gd name="connsiteX11" fmla="*/ 2028825 w 2028825"/>
            <a:gd name="connsiteY11" fmla="*/ 465144 h 1123950"/>
            <a:gd name="connsiteX12" fmla="*/ 2028825 w 2028825"/>
            <a:gd name="connsiteY12" fmla="*/ 1049331 h 1123950"/>
            <a:gd name="connsiteX13" fmla="*/ 2006970 w 2028825"/>
            <a:gd name="connsiteY13" fmla="*/ 1102095 h 1123950"/>
            <a:gd name="connsiteX14" fmla="*/ 1954206 w 2028825"/>
            <a:gd name="connsiteY14" fmla="*/ 1123950 h 1123950"/>
            <a:gd name="connsiteX15" fmla="*/ 74619 w 2028825"/>
            <a:gd name="connsiteY15" fmla="*/ 1123950 h 1123950"/>
            <a:gd name="connsiteX16" fmla="*/ 21855 w 2028825"/>
            <a:gd name="connsiteY16" fmla="*/ 1102095 h 1123950"/>
            <a:gd name="connsiteX17" fmla="*/ 0 w 2028825"/>
            <a:gd name="connsiteY17" fmla="*/ 1049331 h 1123950"/>
            <a:gd name="connsiteX18" fmla="*/ 0 w 2028825"/>
            <a:gd name="connsiteY18" fmla="*/ 465144 h 11239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333375 w 2028825"/>
            <a:gd name="connsiteY4" fmla="*/ 1524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7056 w 2028825"/>
            <a:gd name="connsiteY7" fmla="*/ 538219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395091 w 2028825"/>
            <a:gd name="connsiteY6" fmla="*/ 535779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356731 h 1015537"/>
            <a:gd name="connsiteX1" fmla="*/ 21855 w 2028825"/>
            <a:gd name="connsiteY1" fmla="*/ 303967 h 1015537"/>
            <a:gd name="connsiteX2" fmla="*/ 74619 w 2028825"/>
            <a:gd name="connsiteY2" fmla="*/ 282112 h 1015537"/>
            <a:gd name="connsiteX3" fmla="*/ 351810 w 2028825"/>
            <a:gd name="connsiteY3" fmla="*/ 272587 h 1015537"/>
            <a:gd name="connsiteX4" fmla="*/ 330447 w 2028825"/>
            <a:gd name="connsiteY4" fmla="*/ 0 h 1015537"/>
            <a:gd name="connsiteX5" fmla="*/ 704723 w 2028825"/>
            <a:gd name="connsiteY5" fmla="*/ 272587 h 1015537"/>
            <a:gd name="connsiteX6" fmla="*/ 1395091 w 2028825"/>
            <a:gd name="connsiteY6" fmla="*/ 274966 h 1015537"/>
            <a:gd name="connsiteX7" fmla="*/ 1644264 w 2028825"/>
            <a:gd name="connsiteY7" fmla="*/ 271492 h 1015537"/>
            <a:gd name="connsiteX8" fmla="*/ 1758222 w 2028825"/>
            <a:gd name="connsiteY8" fmla="*/ 263062 h 1015537"/>
            <a:gd name="connsiteX9" fmla="*/ 1954206 w 2028825"/>
            <a:gd name="connsiteY9" fmla="*/ 282112 h 1015537"/>
            <a:gd name="connsiteX10" fmla="*/ 2006970 w 2028825"/>
            <a:gd name="connsiteY10" fmla="*/ 303967 h 1015537"/>
            <a:gd name="connsiteX11" fmla="*/ 2028825 w 2028825"/>
            <a:gd name="connsiteY11" fmla="*/ 356731 h 1015537"/>
            <a:gd name="connsiteX12" fmla="*/ 2028825 w 2028825"/>
            <a:gd name="connsiteY12" fmla="*/ 940918 h 1015537"/>
            <a:gd name="connsiteX13" fmla="*/ 2006970 w 2028825"/>
            <a:gd name="connsiteY13" fmla="*/ 993682 h 1015537"/>
            <a:gd name="connsiteX14" fmla="*/ 1954206 w 2028825"/>
            <a:gd name="connsiteY14" fmla="*/ 1015537 h 1015537"/>
            <a:gd name="connsiteX15" fmla="*/ 74619 w 2028825"/>
            <a:gd name="connsiteY15" fmla="*/ 1015537 h 1015537"/>
            <a:gd name="connsiteX16" fmla="*/ 21855 w 2028825"/>
            <a:gd name="connsiteY16" fmla="*/ 993682 h 1015537"/>
            <a:gd name="connsiteX17" fmla="*/ 0 w 2028825"/>
            <a:gd name="connsiteY17" fmla="*/ 940918 h 1015537"/>
            <a:gd name="connsiteX18" fmla="*/ 0 w 2028825"/>
            <a:gd name="connsiteY18" fmla="*/ 356731 h 1015537"/>
            <a:gd name="connsiteX0" fmla="*/ 0 w 2028825"/>
            <a:gd name="connsiteY0" fmla="*/ 426281 h 1085087"/>
            <a:gd name="connsiteX1" fmla="*/ 21855 w 2028825"/>
            <a:gd name="connsiteY1" fmla="*/ 373517 h 1085087"/>
            <a:gd name="connsiteX2" fmla="*/ 74619 w 2028825"/>
            <a:gd name="connsiteY2" fmla="*/ 351662 h 1085087"/>
            <a:gd name="connsiteX3" fmla="*/ 351810 w 2028825"/>
            <a:gd name="connsiteY3" fmla="*/ 342137 h 1085087"/>
            <a:gd name="connsiteX4" fmla="*/ 243242 w 2028825"/>
            <a:gd name="connsiteY4" fmla="*/ 0 h 1085087"/>
            <a:gd name="connsiteX5" fmla="*/ 704723 w 2028825"/>
            <a:gd name="connsiteY5" fmla="*/ 342137 h 1085087"/>
            <a:gd name="connsiteX6" fmla="*/ 1395091 w 2028825"/>
            <a:gd name="connsiteY6" fmla="*/ 344516 h 1085087"/>
            <a:gd name="connsiteX7" fmla="*/ 1644264 w 2028825"/>
            <a:gd name="connsiteY7" fmla="*/ 341042 h 1085087"/>
            <a:gd name="connsiteX8" fmla="*/ 1758222 w 2028825"/>
            <a:gd name="connsiteY8" fmla="*/ 332612 h 1085087"/>
            <a:gd name="connsiteX9" fmla="*/ 1954206 w 2028825"/>
            <a:gd name="connsiteY9" fmla="*/ 351662 h 1085087"/>
            <a:gd name="connsiteX10" fmla="*/ 2006970 w 2028825"/>
            <a:gd name="connsiteY10" fmla="*/ 373517 h 1085087"/>
            <a:gd name="connsiteX11" fmla="*/ 2028825 w 2028825"/>
            <a:gd name="connsiteY11" fmla="*/ 426281 h 1085087"/>
            <a:gd name="connsiteX12" fmla="*/ 2028825 w 2028825"/>
            <a:gd name="connsiteY12" fmla="*/ 1010468 h 1085087"/>
            <a:gd name="connsiteX13" fmla="*/ 2006970 w 2028825"/>
            <a:gd name="connsiteY13" fmla="*/ 1063232 h 1085087"/>
            <a:gd name="connsiteX14" fmla="*/ 1954206 w 2028825"/>
            <a:gd name="connsiteY14" fmla="*/ 1085087 h 1085087"/>
            <a:gd name="connsiteX15" fmla="*/ 74619 w 2028825"/>
            <a:gd name="connsiteY15" fmla="*/ 1085087 h 1085087"/>
            <a:gd name="connsiteX16" fmla="*/ 21855 w 2028825"/>
            <a:gd name="connsiteY16" fmla="*/ 1063232 h 1085087"/>
            <a:gd name="connsiteX17" fmla="*/ 0 w 2028825"/>
            <a:gd name="connsiteY17" fmla="*/ 1010468 h 1085087"/>
            <a:gd name="connsiteX18" fmla="*/ 0 w 2028825"/>
            <a:gd name="connsiteY18" fmla="*/ 426281 h 10850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2028825" h="1085087">
              <a:moveTo>
                <a:pt x="0" y="426281"/>
              </a:moveTo>
              <a:cubicBezTo>
                <a:pt x="0" y="406491"/>
                <a:pt x="7862" y="387511"/>
                <a:pt x="21855" y="373517"/>
              </a:cubicBezTo>
              <a:cubicBezTo>
                <a:pt x="35849" y="359523"/>
                <a:pt x="17937" y="364829"/>
                <a:pt x="74619" y="351662"/>
              </a:cubicBezTo>
              <a:lnTo>
                <a:pt x="351810" y="342137"/>
              </a:lnTo>
              <a:lnTo>
                <a:pt x="243242" y="0"/>
              </a:lnTo>
              <a:lnTo>
                <a:pt x="704723" y="342137"/>
              </a:lnTo>
              <a:lnTo>
                <a:pt x="1395091" y="344516"/>
              </a:lnTo>
              <a:lnTo>
                <a:pt x="1644264" y="341042"/>
              </a:lnTo>
              <a:lnTo>
                <a:pt x="1758222" y="332612"/>
              </a:lnTo>
              <a:lnTo>
                <a:pt x="1954206" y="351662"/>
              </a:lnTo>
              <a:cubicBezTo>
                <a:pt x="1973996" y="351662"/>
                <a:pt x="1992976" y="359524"/>
                <a:pt x="2006970" y="373517"/>
              </a:cubicBezTo>
              <a:cubicBezTo>
                <a:pt x="2020964" y="387511"/>
                <a:pt x="2028825" y="406490"/>
                <a:pt x="2028825" y="426281"/>
              </a:cubicBezTo>
              <a:lnTo>
                <a:pt x="2028825" y="1010468"/>
              </a:lnTo>
              <a:cubicBezTo>
                <a:pt x="2028825" y="1030258"/>
                <a:pt x="2020963" y="1049238"/>
                <a:pt x="2006970" y="1063232"/>
              </a:cubicBezTo>
              <a:cubicBezTo>
                <a:pt x="1992976" y="1077226"/>
                <a:pt x="1973997" y="1085087"/>
                <a:pt x="1954206" y="1085087"/>
              </a:cubicBezTo>
              <a:lnTo>
                <a:pt x="74619" y="1085087"/>
              </a:lnTo>
              <a:cubicBezTo>
                <a:pt x="54829" y="1085087"/>
                <a:pt x="35849" y="1077225"/>
                <a:pt x="21855" y="1063232"/>
              </a:cubicBezTo>
              <a:cubicBezTo>
                <a:pt x="7861" y="1049238"/>
                <a:pt x="0" y="1030259"/>
                <a:pt x="0" y="1010468"/>
              </a:cubicBezTo>
              <a:lnTo>
                <a:pt x="0" y="426281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1100"/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レポートが無い場合は表示されない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132275</xdr:colOff>
      <xdr:row>29</xdr:row>
      <xdr:rowOff>94918</xdr:rowOff>
    </xdr:from>
    <xdr:to>
      <xdr:col>43</xdr:col>
      <xdr:colOff>99392</xdr:colOff>
      <xdr:row>35</xdr:row>
      <xdr:rowOff>57978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81556DBF-7360-404C-A98E-3BA287118311}"/>
            </a:ext>
          </a:extLst>
        </xdr:cNvPr>
        <xdr:cNvSpPr/>
      </xdr:nvSpPr>
      <xdr:spPr>
        <a:xfrm>
          <a:off x="1043362" y="5172157"/>
          <a:ext cx="6891378" cy="1006669"/>
        </a:xfrm>
        <a:prstGeom prst="rect">
          <a:avLst/>
        </a:prstGeom>
        <a:noFill/>
        <a:ln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35</xdr:col>
      <xdr:colOff>56932</xdr:colOff>
      <xdr:row>35</xdr:row>
      <xdr:rowOff>17432</xdr:rowOff>
    </xdr:from>
    <xdr:to>
      <xdr:col>49</xdr:col>
      <xdr:colOff>122084</xdr:colOff>
      <xdr:row>38</xdr:row>
      <xdr:rowOff>17809</xdr:rowOff>
    </xdr:to>
    <xdr:sp macro="" textlink="">
      <xdr:nvSpPr>
        <xdr:cNvPr id="18" name="フリーフォーム 8">
          <a:extLst>
            <a:ext uri="{FF2B5EF4-FFF2-40B4-BE49-F238E27FC236}">
              <a16:creationId xmlns:a16="http://schemas.microsoft.com/office/drawing/2014/main" id="{7629E515-3C82-4339-AE51-2836903EB039}"/>
            </a:ext>
          </a:extLst>
        </xdr:cNvPr>
        <xdr:cNvSpPr/>
      </xdr:nvSpPr>
      <xdr:spPr>
        <a:xfrm>
          <a:off x="6434541" y="6138280"/>
          <a:ext cx="2616195" cy="522181"/>
        </a:xfrm>
        <a:custGeom>
          <a:avLst/>
          <a:gdLst>
            <a:gd name="connsiteX0" fmla="*/ 0 w 2028825"/>
            <a:gd name="connsiteY0" fmla="*/ 74619 h 733425"/>
            <a:gd name="connsiteX1" fmla="*/ 21855 w 2028825"/>
            <a:gd name="connsiteY1" fmla="*/ 21855 h 733425"/>
            <a:gd name="connsiteX2" fmla="*/ 74619 w 2028825"/>
            <a:gd name="connsiteY2" fmla="*/ 0 h 733425"/>
            <a:gd name="connsiteX3" fmla="*/ 1954206 w 2028825"/>
            <a:gd name="connsiteY3" fmla="*/ 0 h 733425"/>
            <a:gd name="connsiteX4" fmla="*/ 2006970 w 2028825"/>
            <a:gd name="connsiteY4" fmla="*/ 21855 h 733425"/>
            <a:gd name="connsiteX5" fmla="*/ 2028825 w 2028825"/>
            <a:gd name="connsiteY5" fmla="*/ 74619 h 733425"/>
            <a:gd name="connsiteX6" fmla="*/ 2028825 w 2028825"/>
            <a:gd name="connsiteY6" fmla="*/ 658806 h 733425"/>
            <a:gd name="connsiteX7" fmla="*/ 2006970 w 2028825"/>
            <a:gd name="connsiteY7" fmla="*/ 711570 h 733425"/>
            <a:gd name="connsiteX8" fmla="*/ 1954206 w 2028825"/>
            <a:gd name="connsiteY8" fmla="*/ 733425 h 733425"/>
            <a:gd name="connsiteX9" fmla="*/ 74619 w 2028825"/>
            <a:gd name="connsiteY9" fmla="*/ 733425 h 733425"/>
            <a:gd name="connsiteX10" fmla="*/ 21855 w 2028825"/>
            <a:gd name="connsiteY10" fmla="*/ 711570 h 733425"/>
            <a:gd name="connsiteX11" fmla="*/ 0 w 2028825"/>
            <a:gd name="connsiteY11" fmla="*/ 658806 h 733425"/>
            <a:gd name="connsiteX12" fmla="*/ 0 w 2028825"/>
            <a:gd name="connsiteY12" fmla="*/ 74619 h 733425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2144232 w 2218851"/>
            <a:gd name="connsiteY4" fmla="*/ 314325 h 1047750"/>
            <a:gd name="connsiteX5" fmla="*/ 2196996 w 2218851"/>
            <a:gd name="connsiteY5" fmla="*/ 336180 h 1047750"/>
            <a:gd name="connsiteX6" fmla="*/ 2218851 w 2218851"/>
            <a:gd name="connsiteY6" fmla="*/ 388944 h 1047750"/>
            <a:gd name="connsiteX7" fmla="*/ 2218851 w 2218851"/>
            <a:gd name="connsiteY7" fmla="*/ 973131 h 1047750"/>
            <a:gd name="connsiteX8" fmla="*/ 2196996 w 2218851"/>
            <a:gd name="connsiteY8" fmla="*/ 1025895 h 1047750"/>
            <a:gd name="connsiteX9" fmla="*/ 2144232 w 2218851"/>
            <a:gd name="connsiteY9" fmla="*/ 1047750 h 1047750"/>
            <a:gd name="connsiteX10" fmla="*/ 264645 w 2218851"/>
            <a:gd name="connsiteY10" fmla="*/ 1047750 h 1047750"/>
            <a:gd name="connsiteX11" fmla="*/ 211881 w 2218851"/>
            <a:gd name="connsiteY11" fmla="*/ 1025895 h 1047750"/>
            <a:gd name="connsiteX12" fmla="*/ 190026 w 2218851"/>
            <a:gd name="connsiteY12" fmla="*/ 973131 h 1047750"/>
            <a:gd name="connsiteX13" fmla="*/ 190026 w 2218851"/>
            <a:gd name="connsiteY13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3333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2952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638300 w 2028825"/>
            <a:gd name="connsiteY4" fmla="*/ 0 h 1047750"/>
            <a:gd name="connsiteX5" fmla="*/ 1685925 w 2028825"/>
            <a:gd name="connsiteY5" fmla="*/ 295275 h 1047750"/>
            <a:gd name="connsiteX6" fmla="*/ 1954206 w 2028825"/>
            <a:gd name="connsiteY6" fmla="*/ 314325 h 1047750"/>
            <a:gd name="connsiteX7" fmla="*/ 2006970 w 2028825"/>
            <a:gd name="connsiteY7" fmla="*/ 336180 h 1047750"/>
            <a:gd name="connsiteX8" fmla="*/ 2028825 w 2028825"/>
            <a:gd name="connsiteY8" fmla="*/ 388944 h 1047750"/>
            <a:gd name="connsiteX9" fmla="*/ 2028825 w 2028825"/>
            <a:gd name="connsiteY9" fmla="*/ 973131 h 1047750"/>
            <a:gd name="connsiteX10" fmla="*/ 2006970 w 2028825"/>
            <a:gd name="connsiteY10" fmla="*/ 1025895 h 1047750"/>
            <a:gd name="connsiteX11" fmla="*/ 1954206 w 2028825"/>
            <a:gd name="connsiteY11" fmla="*/ 1047750 h 1047750"/>
            <a:gd name="connsiteX12" fmla="*/ 74619 w 2028825"/>
            <a:gd name="connsiteY12" fmla="*/ 1047750 h 1047750"/>
            <a:gd name="connsiteX13" fmla="*/ 21855 w 2028825"/>
            <a:gd name="connsiteY13" fmla="*/ 1025895 h 1047750"/>
            <a:gd name="connsiteX14" fmla="*/ 0 w 2028825"/>
            <a:gd name="connsiteY14" fmla="*/ 973131 h 1047750"/>
            <a:gd name="connsiteX15" fmla="*/ 0 w 2028825"/>
            <a:gd name="connsiteY15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400175 w 2028825"/>
            <a:gd name="connsiteY4" fmla="*/ 314325 h 1047750"/>
            <a:gd name="connsiteX5" fmla="*/ 1638300 w 2028825"/>
            <a:gd name="connsiteY5" fmla="*/ 0 h 1047750"/>
            <a:gd name="connsiteX6" fmla="*/ 1685925 w 2028825"/>
            <a:gd name="connsiteY6" fmla="*/ 295275 h 1047750"/>
            <a:gd name="connsiteX7" fmla="*/ 1954206 w 2028825"/>
            <a:gd name="connsiteY7" fmla="*/ 314325 h 1047750"/>
            <a:gd name="connsiteX8" fmla="*/ 2006970 w 2028825"/>
            <a:gd name="connsiteY8" fmla="*/ 336180 h 1047750"/>
            <a:gd name="connsiteX9" fmla="*/ 2028825 w 2028825"/>
            <a:gd name="connsiteY9" fmla="*/ 388944 h 1047750"/>
            <a:gd name="connsiteX10" fmla="*/ 2028825 w 2028825"/>
            <a:gd name="connsiteY10" fmla="*/ 973131 h 1047750"/>
            <a:gd name="connsiteX11" fmla="*/ 2006970 w 2028825"/>
            <a:gd name="connsiteY11" fmla="*/ 1025895 h 1047750"/>
            <a:gd name="connsiteX12" fmla="*/ 1954206 w 2028825"/>
            <a:gd name="connsiteY12" fmla="*/ 1047750 h 1047750"/>
            <a:gd name="connsiteX13" fmla="*/ 74619 w 2028825"/>
            <a:gd name="connsiteY13" fmla="*/ 1047750 h 1047750"/>
            <a:gd name="connsiteX14" fmla="*/ 21855 w 2028825"/>
            <a:gd name="connsiteY14" fmla="*/ 1025895 h 1047750"/>
            <a:gd name="connsiteX15" fmla="*/ 0 w 2028825"/>
            <a:gd name="connsiteY15" fmla="*/ 973131 h 1047750"/>
            <a:gd name="connsiteX16" fmla="*/ 0 w 2028825"/>
            <a:gd name="connsiteY16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1400175 w 2028825"/>
            <a:gd name="connsiteY5" fmla="*/ 314325 h 1047750"/>
            <a:gd name="connsiteX6" fmla="*/ 1638300 w 2028825"/>
            <a:gd name="connsiteY6" fmla="*/ 0 h 1047750"/>
            <a:gd name="connsiteX7" fmla="*/ 1685925 w 2028825"/>
            <a:gd name="connsiteY7" fmla="*/ 295275 h 1047750"/>
            <a:gd name="connsiteX8" fmla="*/ 1954206 w 2028825"/>
            <a:gd name="connsiteY8" fmla="*/ 314325 h 1047750"/>
            <a:gd name="connsiteX9" fmla="*/ 2006970 w 2028825"/>
            <a:gd name="connsiteY9" fmla="*/ 336180 h 1047750"/>
            <a:gd name="connsiteX10" fmla="*/ 2028825 w 2028825"/>
            <a:gd name="connsiteY10" fmla="*/ 388944 h 1047750"/>
            <a:gd name="connsiteX11" fmla="*/ 2028825 w 2028825"/>
            <a:gd name="connsiteY11" fmla="*/ 973131 h 1047750"/>
            <a:gd name="connsiteX12" fmla="*/ 2006970 w 2028825"/>
            <a:gd name="connsiteY12" fmla="*/ 1025895 h 1047750"/>
            <a:gd name="connsiteX13" fmla="*/ 1954206 w 2028825"/>
            <a:gd name="connsiteY13" fmla="*/ 1047750 h 1047750"/>
            <a:gd name="connsiteX14" fmla="*/ 74619 w 2028825"/>
            <a:gd name="connsiteY14" fmla="*/ 1047750 h 1047750"/>
            <a:gd name="connsiteX15" fmla="*/ 21855 w 2028825"/>
            <a:gd name="connsiteY15" fmla="*/ 1025895 h 1047750"/>
            <a:gd name="connsiteX16" fmla="*/ 0 w 2028825"/>
            <a:gd name="connsiteY16" fmla="*/ 973131 h 1047750"/>
            <a:gd name="connsiteX17" fmla="*/ 0 w 2028825"/>
            <a:gd name="connsiteY17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800100 w 2028825"/>
            <a:gd name="connsiteY5" fmla="*/ 333375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790575 w 2028825"/>
            <a:gd name="connsiteY5" fmla="*/ 304800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465144 h 1123950"/>
            <a:gd name="connsiteX1" fmla="*/ 21855 w 2028825"/>
            <a:gd name="connsiteY1" fmla="*/ 412380 h 1123950"/>
            <a:gd name="connsiteX2" fmla="*/ 74619 w 2028825"/>
            <a:gd name="connsiteY2" fmla="*/ 390525 h 1123950"/>
            <a:gd name="connsiteX3" fmla="*/ 428625 w 2028825"/>
            <a:gd name="connsiteY3" fmla="*/ 390525 h 1123950"/>
            <a:gd name="connsiteX4" fmla="*/ 333375 w 2028825"/>
            <a:gd name="connsiteY4" fmla="*/ 0 h 1123950"/>
            <a:gd name="connsiteX5" fmla="*/ 790575 w 2028825"/>
            <a:gd name="connsiteY5" fmla="*/ 381000 h 1123950"/>
            <a:gd name="connsiteX6" fmla="*/ 1400175 w 2028825"/>
            <a:gd name="connsiteY6" fmla="*/ 390525 h 1123950"/>
            <a:gd name="connsiteX7" fmla="*/ 1638300 w 2028825"/>
            <a:gd name="connsiteY7" fmla="*/ 76200 h 1123950"/>
            <a:gd name="connsiteX8" fmla="*/ 1685925 w 2028825"/>
            <a:gd name="connsiteY8" fmla="*/ 371475 h 1123950"/>
            <a:gd name="connsiteX9" fmla="*/ 1954206 w 2028825"/>
            <a:gd name="connsiteY9" fmla="*/ 390525 h 1123950"/>
            <a:gd name="connsiteX10" fmla="*/ 2006970 w 2028825"/>
            <a:gd name="connsiteY10" fmla="*/ 412380 h 1123950"/>
            <a:gd name="connsiteX11" fmla="*/ 2028825 w 2028825"/>
            <a:gd name="connsiteY11" fmla="*/ 465144 h 1123950"/>
            <a:gd name="connsiteX12" fmla="*/ 2028825 w 2028825"/>
            <a:gd name="connsiteY12" fmla="*/ 1049331 h 1123950"/>
            <a:gd name="connsiteX13" fmla="*/ 2006970 w 2028825"/>
            <a:gd name="connsiteY13" fmla="*/ 1102095 h 1123950"/>
            <a:gd name="connsiteX14" fmla="*/ 1954206 w 2028825"/>
            <a:gd name="connsiteY14" fmla="*/ 1123950 h 1123950"/>
            <a:gd name="connsiteX15" fmla="*/ 74619 w 2028825"/>
            <a:gd name="connsiteY15" fmla="*/ 1123950 h 1123950"/>
            <a:gd name="connsiteX16" fmla="*/ 21855 w 2028825"/>
            <a:gd name="connsiteY16" fmla="*/ 1102095 h 1123950"/>
            <a:gd name="connsiteX17" fmla="*/ 0 w 2028825"/>
            <a:gd name="connsiteY17" fmla="*/ 1049331 h 1123950"/>
            <a:gd name="connsiteX18" fmla="*/ 0 w 2028825"/>
            <a:gd name="connsiteY18" fmla="*/ 465144 h 11239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333375 w 2028825"/>
            <a:gd name="connsiteY4" fmla="*/ 1524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7056 w 2028825"/>
            <a:gd name="connsiteY7" fmla="*/ 538219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395091 w 2028825"/>
            <a:gd name="connsiteY6" fmla="*/ 535779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356731 h 1015537"/>
            <a:gd name="connsiteX1" fmla="*/ 21855 w 2028825"/>
            <a:gd name="connsiteY1" fmla="*/ 303967 h 1015537"/>
            <a:gd name="connsiteX2" fmla="*/ 74619 w 2028825"/>
            <a:gd name="connsiteY2" fmla="*/ 282112 h 1015537"/>
            <a:gd name="connsiteX3" fmla="*/ 351810 w 2028825"/>
            <a:gd name="connsiteY3" fmla="*/ 272587 h 1015537"/>
            <a:gd name="connsiteX4" fmla="*/ 330447 w 2028825"/>
            <a:gd name="connsiteY4" fmla="*/ 0 h 1015537"/>
            <a:gd name="connsiteX5" fmla="*/ 704723 w 2028825"/>
            <a:gd name="connsiteY5" fmla="*/ 272587 h 1015537"/>
            <a:gd name="connsiteX6" fmla="*/ 1395091 w 2028825"/>
            <a:gd name="connsiteY6" fmla="*/ 274966 h 1015537"/>
            <a:gd name="connsiteX7" fmla="*/ 1644264 w 2028825"/>
            <a:gd name="connsiteY7" fmla="*/ 271492 h 1015537"/>
            <a:gd name="connsiteX8" fmla="*/ 1758222 w 2028825"/>
            <a:gd name="connsiteY8" fmla="*/ 263062 h 1015537"/>
            <a:gd name="connsiteX9" fmla="*/ 1954206 w 2028825"/>
            <a:gd name="connsiteY9" fmla="*/ 282112 h 1015537"/>
            <a:gd name="connsiteX10" fmla="*/ 2006970 w 2028825"/>
            <a:gd name="connsiteY10" fmla="*/ 303967 h 1015537"/>
            <a:gd name="connsiteX11" fmla="*/ 2028825 w 2028825"/>
            <a:gd name="connsiteY11" fmla="*/ 356731 h 1015537"/>
            <a:gd name="connsiteX12" fmla="*/ 2028825 w 2028825"/>
            <a:gd name="connsiteY12" fmla="*/ 940918 h 1015537"/>
            <a:gd name="connsiteX13" fmla="*/ 2006970 w 2028825"/>
            <a:gd name="connsiteY13" fmla="*/ 993682 h 1015537"/>
            <a:gd name="connsiteX14" fmla="*/ 1954206 w 2028825"/>
            <a:gd name="connsiteY14" fmla="*/ 1015537 h 1015537"/>
            <a:gd name="connsiteX15" fmla="*/ 74619 w 2028825"/>
            <a:gd name="connsiteY15" fmla="*/ 1015537 h 1015537"/>
            <a:gd name="connsiteX16" fmla="*/ 21855 w 2028825"/>
            <a:gd name="connsiteY16" fmla="*/ 993682 h 1015537"/>
            <a:gd name="connsiteX17" fmla="*/ 0 w 2028825"/>
            <a:gd name="connsiteY17" fmla="*/ 940918 h 1015537"/>
            <a:gd name="connsiteX18" fmla="*/ 0 w 2028825"/>
            <a:gd name="connsiteY18" fmla="*/ 356731 h 1015537"/>
            <a:gd name="connsiteX0" fmla="*/ 0 w 2028825"/>
            <a:gd name="connsiteY0" fmla="*/ 426281 h 1085087"/>
            <a:gd name="connsiteX1" fmla="*/ 21855 w 2028825"/>
            <a:gd name="connsiteY1" fmla="*/ 373517 h 1085087"/>
            <a:gd name="connsiteX2" fmla="*/ 74619 w 2028825"/>
            <a:gd name="connsiteY2" fmla="*/ 351662 h 1085087"/>
            <a:gd name="connsiteX3" fmla="*/ 351810 w 2028825"/>
            <a:gd name="connsiteY3" fmla="*/ 342137 h 1085087"/>
            <a:gd name="connsiteX4" fmla="*/ 243242 w 2028825"/>
            <a:gd name="connsiteY4" fmla="*/ 0 h 1085087"/>
            <a:gd name="connsiteX5" fmla="*/ 704723 w 2028825"/>
            <a:gd name="connsiteY5" fmla="*/ 342137 h 1085087"/>
            <a:gd name="connsiteX6" fmla="*/ 1395091 w 2028825"/>
            <a:gd name="connsiteY6" fmla="*/ 344516 h 1085087"/>
            <a:gd name="connsiteX7" fmla="*/ 1644264 w 2028825"/>
            <a:gd name="connsiteY7" fmla="*/ 341042 h 1085087"/>
            <a:gd name="connsiteX8" fmla="*/ 1758222 w 2028825"/>
            <a:gd name="connsiteY8" fmla="*/ 332612 h 1085087"/>
            <a:gd name="connsiteX9" fmla="*/ 1954206 w 2028825"/>
            <a:gd name="connsiteY9" fmla="*/ 351662 h 1085087"/>
            <a:gd name="connsiteX10" fmla="*/ 2006970 w 2028825"/>
            <a:gd name="connsiteY10" fmla="*/ 373517 h 1085087"/>
            <a:gd name="connsiteX11" fmla="*/ 2028825 w 2028825"/>
            <a:gd name="connsiteY11" fmla="*/ 426281 h 1085087"/>
            <a:gd name="connsiteX12" fmla="*/ 2028825 w 2028825"/>
            <a:gd name="connsiteY12" fmla="*/ 1010468 h 1085087"/>
            <a:gd name="connsiteX13" fmla="*/ 2006970 w 2028825"/>
            <a:gd name="connsiteY13" fmla="*/ 1063232 h 1085087"/>
            <a:gd name="connsiteX14" fmla="*/ 1954206 w 2028825"/>
            <a:gd name="connsiteY14" fmla="*/ 1085087 h 1085087"/>
            <a:gd name="connsiteX15" fmla="*/ 74619 w 2028825"/>
            <a:gd name="connsiteY15" fmla="*/ 1085087 h 1085087"/>
            <a:gd name="connsiteX16" fmla="*/ 21855 w 2028825"/>
            <a:gd name="connsiteY16" fmla="*/ 1063232 h 1085087"/>
            <a:gd name="connsiteX17" fmla="*/ 0 w 2028825"/>
            <a:gd name="connsiteY17" fmla="*/ 1010468 h 1085087"/>
            <a:gd name="connsiteX18" fmla="*/ 0 w 2028825"/>
            <a:gd name="connsiteY18" fmla="*/ 426281 h 10850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2028825" h="1085087">
              <a:moveTo>
                <a:pt x="0" y="426281"/>
              </a:moveTo>
              <a:cubicBezTo>
                <a:pt x="0" y="406491"/>
                <a:pt x="7862" y="387511"/>
                <a:pt x="21855" y="373517"/>
              </a:cubicBezTo>
              <a:cubicBezTo>
                <a:pt x="35849" y="359523"/>
                <a:pt x="17937" y="364829"/>
                <a:pt x="74619" y="351662"/>
              </a:cubicBezTo>
              <a:lnTo>
                <a:pt x="351810" y="342137"/>
              </a:lnTo>
              <a:lnTo>
                <a:pt x="243242" y="0"/>
              </a:lnTo>
              <a:lnTo>
                <a:pt x="704723" y="342137"/>
              </a:lnTo>
              <a:lnTo>
                <a:pt x="1395091" y="344516"/>
              </a:lnTo>
              <a:lnTo>
                <a:pt x="1644264" y="341042"/>
              </a:lnTo>
              <a:lnTo>
                <a:pt x="1758222" y="332612"/>
              </a:lnTo>
              <a:lnTo>
                <a:pt x="1954206" y="351662"/>
              </a:lnTo>
              <a:cubicBezTo>
                <a:pt x="1973996" y="351662"/>
                <a:pt x="1992976" y="359524"/>
                <a:pt x="2006970" y="373517"/>
              </a:cubicBezTo>
              <a:cubicBezTo>
                <a:pt x="2020964" y="387511"/>
                <a:pt x="2028825" y="406490"/>
                <a:pt x="2028825" y="426281"/>
              </a:cubicBezTo>
              <a:lnTo>
                <a:pt x="2028825" y="1010468"/>
              </a:lnTo>
              <a:cubicBezTo>
                <a:pt x="2028825" y="1030258"/>
                <a:pt x="2020963" y="1049238"/>
                <a:pt x="2006970" y="1063232"/>
              </a:cubicBezTo>
              <a:cubicBezTo>
                <a:pt x="1992976" y="1077226"/>
                <a:pt x="1973997" y="1085087"/>
                <a:pt x="1954206" y="1085087"/>
              </a:cubicBezTo>
              <a:lnTo>
                <a:pt x="74619" y="1085087"/>
              </a:lnTo>
              <a:cubicBezTo>
                <a:pt x="54829" y="1085087"/>
                <a:pt x="35849" y="1077225"/>
                <a:pt x="21855" y="1063232"/>
              </a:cubicBezTo>
              <a:cubicBezTo>
                <a:pt x="7861" y="1049238"/>
                <a:pt x="0" y="1030259"/>
                <a:pt x="0" y="1010468"/>
              </a:cubicBezTo>
              <a:lnTo>
                <a:pt x="0" y="426281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1100"/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成果物が無い場合は表示されない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9525</xdr:colOff>
      <xdr:row>34</xdr:row>
      <xdr:rowOff>66675</xdr:rowOff>
    </xdr:from>
    <xdr:to>
      <xdr:col>32</xdr:col>
      <xdr:colOff>161925</xdr:colOff>
      <xdr:row>35</xdr:row>
      <xdr:rowOff>28575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9CDD0DF-27D2-4BCA-9EF8-1DAD84C07AD4}"/>
            </a:ext>
          </a:extLst>
        </xdr:cNvPr>
        <xdr:cNvSpPr/>
      </xdr:nvSpPr>
      <xdr:spPr>
        <a:xfrm>
          <a:off x="6210300" y="5934075"/>
          <a:ext cx="352425" cy="1333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937</xdr:colOff>
      <xdr:row>6</xdr:row>
      <xdr:rowOff>1</xdr:rowOff>
    </xdr:from>
    <xdr:to>
      <xdr:col>4</xdr:col>
      <xdr:colOff>153337</xdr:colOff>
      <xdr:row>6</xdr:row>
      <xdr:rowOff>114301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AD8E19A-925A-4404-BF6F-A2B2A6EAF4BA}"/>
            </a:ext>
          </a:extLst>
        </xdr:cNvPr>
        <xdr:cNvSpPr/>
      </xdr:nvSpPr>
      <xdr:spPr>
        <a:xfrm>
          <a:off x="601012" y="1066801"/>
          <a:ext cx="352425" cy="11430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153337</xdr:colOff>
      <xdr:row>6</xdr:row>
      <xdr:rowOff>152401</xdr:rowOff>
    </xdr:from>
    <xdr:to>
      <xdr:col>5</xdr:col>
      <xdr:colOff>105712</xdr:colOff>
      <xdr:row>7</xdr:row>
      <xdr:rowOff>95251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DEA9D55-A351-4AA3-9CE0-7B9A48890804}"/>
            </a:ext>
          </a:extLst>
        </xdr:cNvPr>
        <xdr:cNvSpPr/>
      </xdr:nvSpPr>
      <xdr:spPr>
        <a:xfrm>
          <a:off x="753412" y="1219201"/>
          <a:ext cx="352425" cy="11430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0</xdr:colOff>
      <xdr:row>34</xdr:row>
      <xdr:rowOff>38100</xdr:rowOff>
    </xdr:from>
    <xdr:to>
      <xdr:col>26</xdr:col>
      <xdr:colOff>152400</xdr:colOff>
      <xdr:row>35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0E6B07B-2C50-4C4F-A5D9-7C2DEAE3BC91}"/>
            </a:ext>
          </a:extLst>
        </xdr:cNvPr>
        <xdr:cNvSpPr/>
      </xdr:nvSpPr>
      <xdr:spPr>
        <a:xfrm>
          <a:off x="5000625" y="5905500"/>
          <a:ext cx="352425" cy="1333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6</xdr:row>
      <xdr:rowOff>9526</xdr:rowOff>
    </xdr:from>
    <xdr:to>
      <xdr:col>47</xdr:col>
      <xdr:colOff>0</xdr:colOff>
      <xdr:row>39</xdr:row>
      <xdr:rowOff>38100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619125" y="1076326"/>
          <a:ext cx="8782050" cy="5686424"/>
          <a:chOff x="619125" y="1247776"/>
          <a:chExt cx="8782050" cy="5686424"/>
        </a:xfrm>
      </xdr:grpSpPr>
      <xdr:pic>
        <xdr:nvPicPr>
          <xdr:cNvPr id="3" name="図 2" descr="ユーザー詳細画面_受講生(講師権限)_1.PNG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 r="1264"/>
          <a:stretch>
            <a:fillRect/>
          </a:stretch>
        </xdr:blipFill>
        <xdr:spPr>
          <a:xfrm>
            <a:off x="619125" y="1247776"/>
            <a:ext cx="8782050" cy="4798413"/>
          </a:xfrm>
          <a:prstGeom prst="rect">
            <a:avLst/>
          </a:prstGeom>
        </xdr:spPr>
      </xdr:pic>
      <xdr:pic>
        <xdr:nvPicPr>
          <xdr:cNvPr id="4" name="図 3" descr="ユーザー詳細画面_受講生(講師権限)_2.PNG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 t="1394" r="1264" b="72925"/>
          <a:stretch>
            <a:fillRect/>
          </a:stretch>
        </xdr:blipFill>
        <xdr:spPr>
          <a:xfrm>
            <a:off x="619125" y="5705475"/>
            <a:ext cx="8782050" cy="1228725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173355</xdr:colOff>
      <xdr:row>42</xdr:row>
      <xdr:rowOff>3809</xdr:rowOff>
    </xdr:from>
    <xdr:to>
      <xdr:col>46</xdr:col>
      <xdr:colOff>150751</xdr:colOff>
      <xdr:row>59</xdr:row>
      <xdr:rowOff>12703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573405" y="7242809"/>
          <a:ext cx="8778496" cy="2923544"/>
          <a:chOff x="601167" y="7420104"/>
          <a:chExt cx="8800008" cy="2915799"/>
        </a:xfrm>
      </xdr:grpSpPr>
      <xdr:pic>
        <xdr:nvPicPr>
          <xdr:cNvPr id="6" name="図 5" descr="ユーザー詳細画面_受講生(講師権限)_2.PNG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 t="35460" r="1157" b="25918"/>
          <a:stretch>
            <a:fillRect/>
          </a:stretch>
        </xdr:blipFill>
        <xdr:spPr>
          <a:xfrm>
            <a:off x="601167" y="7420104"/>
            <a:ext cx="8799724" cy="1842955"/>
          </a:xfrm>
          <a:prstGeom prst="rect">
            <a:avLst/>
          </a:prstGeom>
        </xdr:spPr>
      </xdr:pic>
      <xdr:pic>
        <xdr:nvPicPr>
          <xdr:cNvPr id="7" name="図 6" descr="ユーザー詳細画面_受講生(講師権限)_3.PNG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rcRect t="59469" r="1157"/>
          <a:stretch>
            <a:fillRect/>
          </a:stretch>
        </xdr:blipFill>
        <xdr:spPr>
          <a:xfrm>
            <a:off x="609600" y="9115425"/>
            <a:ext cx="8791575" cy="1220478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47625</xdr:colOff>
      <xdr:row>16</xdr:row>
      <xdr:rowOff>114299</xdr:rowOff>
    </xdr:from>
    <xdr:to>
      <xdr:col>15</xdr:col>
      <xdr:colOff>85725</xdr:colOff>
      <xdr:row>18</xdr:row>
      <xdr:rowOff>95250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047875" y="3067049"/>
          <a:ext cx="1038225" cy="323851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57150</xdr:colOff>
      <xdr:row>19</xdr:row>
      <xdr:rowOff>125139</xdr:rowOff>
    </xdr:from>
    <xdr:to>
      <xdr:col>15</xdr:col>
      <xdr:colOff>95250</xdr:colOff>
      <xdr:row>21</xdr:row>
      <xdr:rowOff>114300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057400" y="3592239"/>
          <a:ext cx="1038225" cy="332061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151085</xdr:colOff>
      <xdr:row>16</xdr:row>
      <xdr:rowOff>104775</xdr:rowOff>
    </xdr:from>
    <xdr:to>
      <xdr:col>35</xdr:col>
      <xdr:colOff>28575</xdr:colOff>
      <xdr:row>19</xdr:row>
      <xdr:rowOff>127961</xdr:rowOff>
    </xdr:to>
    <xdr:sp macro="" textlink="">
      <xdr:nvSpPr>
        <xdr:cNvPr id="10" name="フリーフォーム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3151460" y="3057525"/>
          <a:ext cx="3877990" cy="537536"/>
        </a:xfrm>
        <a:custGeom>
          <a:avLst/>
          <a:gdLst>
            <a:gd name="connsiteX0" fmla="*/ 0 w 994172"/>
            <a:gd name="connsiteY0" fmla="*/ 77392 h 464344"/>
            <a:gd name="connsiteX1" fmla="*/ 22668 w 994172"/>
            <a:gd name="connsiteY1" fmla="*/ 22668 h 464344"/>
            <a:gd name="connsiteX2" fmla="*/ 77392 w 994172"/>
            <a:gd name="connsiteY2" fmla="*/ 0 h 464344"/>
            <a:gd name="connsiteX3" fmla="*/ 916780 w 994172"/>
            <a:gd name="connsiteY3" fmla="*/ 0 h 464344"/>
            <a:gd name="connsiteX4" fmla="*/ 971504 w 994172"/>
            <a:gd name="connsiteY4" fmla="*/ 22668 h 464344"/>
            <a:gd name="connsiteX5" fmla="*/ 994172 w 994172"/>
            <a:gd name="connsiteY5" fmla="*/ 77392 h 464344"/>
            <a:gd name="connsiteX6" fmla="*/ 994172 w 994172"/>
            <a:gd name="connsiteY6" fmla="*/ 386952 h 464344"/>
            <a:gd name="connsiteX7" fmla="*/ 971504 w 994172"/>
            <a:gd name="connsiteY7" fmla="*/ 441676 h 464344"/>
            <a:gd name="connsiteX8" fmla="*/ 916780 w 994172"/>
            <a:gd name="connsiteY8" fmla="*/ 464344 h 464344"/>
            <a:gd name="connsiteX9" fmla="*/ 77392 w 994172"/>
            <a:gd name="connsiteY9" fmla="*/ 464344 h 464344"/>
            <a:gd name="connsiteX10" fmla="*/ 22668 w 994172"/>
            <a:gd name="connsiteY10" fmla="*/ 441676 h 464344"/>
            <a:gd name="connsiteX11" fmla="*/ 0 w 994172"/>
            <a:gd name="connsiteY11" fmla="*/ 386952 h 464344"/>
            <a:gd name="connsiteX12" fmla="*/ 0 w 994172"/>
            <a:gd name="connsiteY12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0 w 1357312"/>
            <a:gd name="connsiteY12" fmla="*/ 232172 h 464344"/>
            <a:gd name="connsiteX13" fmla="*/ 363140 w 1357312"/>
            <a:gd name="connsiteY13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0 w 1357312"/>
            <a:gd name="connsiteY12" fmla="*/ 232172 h 464344"/>
            <a:gd name="connsiteX13" fmla="*/ 345281 w 1357312"/>
            <a:gd name="connsiteY13" fmla="*/ 178594 h 464344"/>
            <a:gd name="connsiteX14" fmla="*/ 363140 w 1357312"/>
            <a:gd name="connsiteY14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363140 w 1357312"/>
            <a:gd name="connsiteY12" fmla="*/ 279797 h 464344"/>
            <a:gd name="connsiteX13" fmla="*/ 0 w 1357312"/>
            <a:gd name="connsiteY13" fmla="*/ 232172 h 464344"/>
            <a:gd name="connsiteX14" fmla="*/ 345281 w 1357312"/>
            <a:gd name="connsiteY14" fmla="*/ 178594 h 464344"/>
            <a:gd name="connsiteX15" fmla="*/ 363140 w 1357312"/>
            <a:gd name="connsiteY15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363140 w 1357312"/>
            <a:gd name="connsiteY12" fmla="*/ 279797 h 464344"/>
            <a:gd name="connsiteX13" fmla="*/ 0 w 1357312"/>
            <a:gd name="connsiteY13" fmla="*/ 232172 h 464344"/>
            <a:gd name="connsiteX14" fmla="*/ 369093 w 1357312"/>
            <a:gd name="connsiteY14" fmla="*/ 184547 h 464344"/>
            <a:gd name="connsiteX15" fmla="*/ 363140 w 1357312"/>
            <a:gd name="connsiteY15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363140 w 1357312"/>
            <a:gd name="connsiteY12" fmla="*/ 279797 h 464344"/>
            <a:gd name="connsiteX13" fmla="*/ 0 w 1357312"/>
            <a:gd name="connsiteY13" fmla="*/ 232172 h 464344"/>
            <a:gd name="connsiteX14" fmla="*/ 364037 w 1357312"/>
            <a:gd name="connsiteY14" fmla="*/ 174376 h 464344"/>
            <a:gd name="connsiteX15" fmla="*/ 363140 w 1357312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935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935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935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69884 w 1064056"/>
            <a:gd name="connsiteY0" fmla="*/ 77392 h 464344"/>
            <a:gd name="connsiteX1" fmla="*/ 92552 w 1064056"/>
            <a:gd name="connsiteY1" fmla="*/ 22668 h 464344"/>
            <a:gd name="connsiteX2" fmla="*/ 147276 w 1064056"/>
            <a:gd name="connsiteY2" fmla="*/ 0 h 464344"/>
            <a:gd name="connsiteX3" fmla="*/ 986664 w 1064056"/>
            <a:gd name="connsiteY3" fmla="*/ 0 h 464344"/>
            <a:gd name="connsiteX4" fmla="*/ 1041388 w 1064056"/>
            <a:gd name="connsiteY4" fmla="*/ 22668 h 464344"/>
            <a:gd name="connsiteX5" fmla="*/ 1064056 w 1064056"/>
            <a:gd name="connsiteY5" fmla="*/ 77392 h 464344"/>
            <a:gd name="connsiteX6" fmla="*/ 1064056 w 1064056"/>
            <a:gd name="connsiteY6" fmla="*/ 386952 h 464344"/>
            <a:gd name="connsiteX7" fmla="*/ 1041388 w 1064056"/>
            <a:gd name="connsiteY7" fmla="*/ 441676 h 464344"/>
            <a:gd name="connsiteX8" fmla="*/ 986664 w 1064056"/>
            <a:gd name="connsiteY8" fmla="*/ 464344 h 464344"/>
            <a:gd name="connsiteX9" fmla="*/ 147276 w 1064056"/>
            <a:gd name="connsiteY9" fmla="*/ 464344 h 464344"/>
            <a:gd name="connsiteX10" fmla="*/ 92552 w 1064056"/>
            <a:gd name="connsiteY10" fmla="*/ 449356 h 464344"/>
            <a:gd name="connsiteX11" fmla="*/ 69884 w 1064056"/>
            <a:gd name="connsiteY11" fmla="*/ 386952 h 464344"/>
            <a:gd name="connsiteX12" fmla="*/ 69884 w 1064056"/>
            <a:gd name="connsiteY12" fmla="*/ 279797 h 464344"/>
            <a:gd name="connsiteX13" fmla="*/ 0 w 1064056"/>
            <a:gd name="connsiteY13" fmla="*/ 196972 h 464344"/>
            <a:gd name="connsiteX14" fmla="*/ 70781 w 1064056"/>
            <a:gd name="connsiteY14" fmla="*/ 174376 h 464344"/>
            <a:gd name="connsiteX15" fmla="*/ 69884 w 1064056"/>
            <a:gd name="connsiteY15" fmla="*/ 77392 h 464344"/>
            <a:gd name="connsiteX0" fmla="*/ 58906 w 1053078"/>
            <a:gd name="connsiteY0" fmla="*/ 77392 h 464344"/>
            <a:gd name="connsiteX1" fmla="*/ 81574 w 1053078"/>
            <a:gd name="connsiteY1" fmla="*/ 22668 h 464344"/>
            <a:gd name="connsiteX2" fmla="*/ 136298 w 1053078"/>
            <a:gd name="connsiteY2" fmla="*/ 0 h 464344"/>
            <a:gd name="connsiteX3" fmla="*/ 975686 w 1053078"/>
            <a:gd name="connsiteY3" fmla="*/ 0 h 464344"/>
            <a:gd name="connsiteX4" fmla="*/ 1030410 w 1053078"/>
            <a:gd name="connsiteY4" fmla="*/ 22668 h 464344"/>
            <a:gd name="connsiteX5" fmla="*/ 1053078 w 1053078"/>
            <a:gd name="connsiteY5" fmla="*/ 77392 h 464344"/>
            <a:gd name="connsiteX6" fmla="*/ 1053078 w 1053078"/>
            <a:gd name="connsiteY6" fmla="*/ 386952 h 464344"/>
            <a:gd name="connsiteX7" fmla="*/ 1030410 w 1053078"/>
            <a:gd name="connsiteY7" fmla="*/ 441676 h 464344"/>
            <a:gd name="connsiteX8" fmla="*/ 975686 w 1053078"/>
            <a:gd name="connsiteY8" fmla="*/ 464344 h 464344"/>
            <a:gd name="connsiteX9" fmla="*/ 136298 w 1053078"/>
            <a:gd name="connsiteY9" fmla="*/ 464344 h 464344"/>
            <a:gd name="connsiteX10" fmla="*/ 81574 w 1053078"/>
            <a:gd name="connsiteY10" fmla="*/ 449356 h 464344"/>
            <a:gd name="connsiteX11" fmla="*/ 58906 w 1053078"/>
            <a:gd name="connsiteY11" fmla="*/ 386952 h 464344"/>
            <a:gd name="connsiteX12" fmla="*/ 58906 w 1053078"/>
            <a:gd name="connsiteY12" fmla="*/ 279797 h 464344"/>
            <a:gd name="connsiteX13" fmla="*/ 0 w 1053078"/>
            <a:gd name="connsiteY13" fmla="*/ 230214 h 464344"/>
            <a:gd name="connsiteX14" fmla="*/ 59803 w 1053078"/>
            <a:gd name="connsiteY14" fmla="*/ 174376 h 464344"/>
            <a:gd name="connsiteX15" fmla="*/ 58906 w 1053078"/>
            <a:gd name="connsiteY15" fmla="*/ 77392 h 4643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1053078" h="464344">
              <a:moveTo>
                <a:pt x="58906" y="77392"/>
              </a:moveTo>
              <a:cubicBezTo>
                <a:pt x="58906" y="56866"/>
                <a:pt x="67060" y="37181"/>
                <a:pt x="81574" y="22668"/>
              </a:cubicBezTo>
              <a:cubicBezTo>
                <a:pt x="96088" y="8154"/>
                <a:pt x="115773" y="0"/>
                <a:pt x="136298" y="0"/>
              </a:cubicBezTo>
              <a:lnTo>
                <a:pt x="975686" y="0"/>
              </a:lnTo>
              <a:cubicBezTo>
                <a:pt x="996212" y="0"/>
                <a:pt x="1015897" y="8154"/>
                <a:pt x="1030410" y="22668"/>
              </a:cubicBezTo>
              <a:cubicBezTo>
                <a:pt x="1044924" y="37182"/>
                <a:pt x="1053078" y="56867"/>
                <a:pt x="1053078" y="77392"/>
              </a:cubicBezTo>
              <a:lnTo>
                <a:pt x="1053078" y="386952"/>
              </a:lnTo>
              <a:cubicBezTo>
                <a:pt x="1053078" y="407478"/>
                <a:pt x="1044924" y="427163"/>
                <a:pt x="1030410" y="441676"/>
              </a:cubicBezTo>
              <a:cubicBezTo>
                <a:pt x="1015896" y="456190"/>
                <a:pt x="996211" y="464344"/>
                <a:pt x="975686" y="464344"/>
              </a:cubicBezTo>
              <a:lnTo>
                <a:pt x="136298" y="464344"/>
              </a:lnTo>
              <a:cubicBezTo>
                <a:pt x="115772" y="464344"/>
                <a:pt x="97123" y="460031"/>
                <a:pt x="81574" y="449356"/>
              </a:cubicBezTo>
              <a:cubicBezTo>
                <a:pt x="63953" y="427163"/>
                <a:pt x="61685" y="429031"/>
                <a:pt x="58906" y="386952"/>
              </a:cubicBezTo>
              <a:lnTo>
                <a:pt x="58906" y="279797"/>
              </a:lnTo>
              <a:lnTo>
                <a:pt x="0" y="230214"/>
              </a:lnTo>
              <a:lnTo>
                <a:pt x="59803" y="174376"/>
              </a:lnTo>
              <a:lnTo>
                <a:pt x="58906" y="77392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研修を通じてどのようになって欲しいかが登録されていな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い場合、「</a:t>
          </a:r>
          <a:r>
            <a:rPr kumimoji="1" lang="en-US" altLang="ja-JP" sz="1100">
              <a:solidFill>
                <a:sysClr val="windowText" lastClr="000000"/>
              </a:solidFill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</a:rPr>
            <a:t>登録されていません」と表示される</a:t>
          </a:r>
        </a:p>
      </xdr:txBody>
    </xdr:sp>
    <xdr:clientData/>
  </xdr:twoCellAnchor>
  <xdr:twoCellAnchor>
    <xdr:from>
      <xdr:col>15</xdr:col>
      <xdr:colOff>156063</xdr:colOff>
      <xdr:row>19</xdr:row>
      <xdr:rowOff>170098</xdr:rowOff>
    </xdr:from>
    <xdr:to>
      <xdr:col>35</xdr:col>
      <xdr:colOff>33554</xdr:colOff>
      <xdr:row>23</xdr:row>
      <xdr:rowOff>38100</xdr:rowOff>
    </xdr:to>
    <xdr:sp macro="" textlink="">
      <xdr:nvSpPr>
        <xdr:cNvPr id="11" name="フリーフォーム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3156438" y="3637198"/>
          <a:ext cx="3877991" cy="553802"/>
        </a:xfrm>
        <a:custGeom>
          <a:avLst/>
          <a:gdLst>
            <a:gd name="connsiteX0" fmla="*/ 0 w 994172"/>
            <a:gd name="connsiteY0" fmla="*/ 77392 h 464344"/>
            <a:gd name="connsiteX1" fmla="*/ 22668 w 994172"/>
            <a:gd name="connsiteY1" fmla="*/ 22668 h 464344"/>
            <a:gd name="connsiteX2" fmla="*/ 77392 w 994172"/>
            <a:gd name="connsiteY2" fmla="*/ 0 h 464344"/>
            <a:gd name="connsiteX3" fmla="*/ 916780 w 994172"/>
            <a:gd name="connsiteY3" fmla="*/ 0 h 464344"/>
            <a:gd name="connsiteX4" fmla="*/ 971504 w 994172"/>
            <a:gd name="connsiteY4" fmla="*/ 22668 h 464344"/>
            <a:gd name="connsiteX5" fmla="*/ 994172 w 994172"/>
            <a:gd name="connsiteY5" fmla="*/ 77392 h 464344"/>
            <a:gd name="connsiteX6" fmla="*/ 994172 w 994172"/>
            <a:gd name="connsiteY6" fmla="*/ 386952 h 464344"/>
            <a:gd name="connsiteX7" fmla="*/ 971504 w 994172"/>
            <a:gd name="connsiteY7" fmla="*/ 441676 h 464344"/>
            <a:gd name="connsiteX8" fmla="*/ 916780 w 994172"/>
            <a:gd name="connsiteY8" fmla="*/ 464344 h 464344"/>
            <a:gd name="connsiteX9" fmla="*/ 77392 w 994172"/>
            <a:gd name="connsiteY9" fmla="*/ 464344 h 464344"/>
            <a:gd name="connsiteX10" fmla="*/ 22668 w 994172"/>
            <a:gd name="connsiteY10" fmla="*/ 441676 h 464344"/>
            <a:gd name="connsiteX11" fmla="*/ 0 w 994172"/>
            <a:gd name="connsiteY11" fmla="*/ 386952 h 464344"/>
            <a:gd name="connsiteX12" fmla="*/ 0 w 994172"/>
            <a:gd name="connsiteY12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0 w 1357312"/>
            <a:gd name="connsiteY12" fmla="*/ 232172 h 464344"/>
            <a:gd name="connsiteX13" fmla="*/ 363140 w 1357312"/>
            <a:gd name="connsiteY13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0 w 1357312"/>
            <a:gd name="connsiteY12" fmla="*/ 232172 h 464344"/>
            <a:gd name="connsiteX13" fmla="*/ 345281 w 1357312"/>
            <a:gd name="connsiteY13" fmla="*/ 178594 h 464344"/>
            <a:gd name="connsiteX14" fmla="*/ 363140 w 1357312"/>
            <a:gd name="connsiteY14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363140 w 1357312"/>
            <a:gd name="connsiteY12" fmla="*/ 279797 h 464344"/>
            <a:gd name="connsiteX13" fmla="*/ 0 w 1357312"/>
            <a:gd name="connsiteY13" fmla="*/ 232172 h 464344"/>
            <a:gd name="connsiteX14" fmla="*/ 345281 w 1357312"/>
            <a:gd name="connsiteY14" fmla="*/ 178594 h 464344"/>
            <a:gd name="connsiteX15" fmla="*/ 363140 w 1357312"/>
            <a:gd name="connsiteY15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363140 w 1357312"/>
            <a:gd name="connsiteY12" fmla="*/ 279797 h 464344"/>
            <a:gd name="connsiteX13" fmla="*/ 0 w 1357312"/>
            <a:gd name="connsiteY13" fmla="*/ 232172 h 464344"/>
            <a:gd name="connsiteX14" fmla="*/ 369093 w 1357312"/>
            <a:gd name="connsiteY14" fmla="*/ 184547 h 464344"/>
            <a:gd name="connsiteX15" fmla="*/ 363140 w 1357312"/>
            <a:gd name="connsiteY15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363140 w 1357312"/>
            <a:gd name="connsiteY12" fmla="*/ 279797 h 464344"/>
            <a:gd name="connsiteX13" fmla="*/ 0 w 1357312"/>
            <a:gd name="connsiteY13" fmla="*/ 232172 h 464344"/>
            <a:gd name="connsiteX14" fmla="*/ 364037 w 1357312"/>
            <a:gd name="connsiteY14" fmla="*/ 174376 h 464344"/>
            <a:gd name="connsiteX15" fmla="*/ 363140 w 1357312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935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935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935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69884 w 1064056"/>
            <a:gd name="connsiteY0" fmla="*/ 77392 h 464344"/>
            <a:gd name="connsiteX1" fmla="*/ 92552 w 1064056"/>
            <a:gd name="connsiteY1" fmla="*/ 22668 h 464344"/>
            <a:gd name="connsiteX2" fmla="*/ 147276 w 1064056"/>
            <a:gd name="connsiteY2" fmla="*/ 0 h 464344"/>
            <a:gd name="connsiteX3" fmla="*/ 986664 w 1064056"/>
            <a:gd name="connsiteY3" fmla="*/ 0 h 464344"/>
            <a:gd name="connsiteX4" fmla="*/ 1041388 w 1064056"/>
            <a:gd name="connsiteY4" fmla="*/ 22668 h 464344"/>
            <a:gd name="connsiteX5" fmla="*/ 1064056 w 1064056"/>
            <a:gd name="connsiteY5" fmla="*/ 77392 h 464344"/>
            <a:gd name="connsiteX6" fmla="*/ 1064056 w 1064056"/>
            <a:gd name="connsiteY6" fmla="*/ 386952 h 464344"/>
            <a:gd name="connsiteX7" fmla="*/ 1041388 w 1064056"/>
            <a:gd name="connsiteY7" fmla="*/ 441676 h 464344"/>
            <a:gd name="connsiteX8" fmla="*/ 986664 w 1064056"/>
            <a:gd name="connsiteY8" fmla="*/ 464344 h 464344"/>
            <a:gd name="connsiteX9" fmla="*/ 147276 w 1064056"/>
            <a:gd name="connsiteY9" fmla="*/ 464344 h 464344"/>
            <a:gd name="connsiteX10" fmla="*/ 92552 w 1064056"/>
            <a:gd name="connsiteY10" fmla="*/ 449356 h 464344"/>
            <a:gd name="connsiteX11" fmla="*/ 69884 w 1064056"/>
            <a:gd name="connsiteY11" fmla="*/ 386952 h 464344"/>
            <a:gd name="connsiteX12" fmla="*/ 69884 w 1064056"/>
            <a:gd name="connsiteY12" fmla="*/ 279797 h 464344"/>
            <a:gd name="connsiteX13" fmla="*/ 0 w 1064056"/>
            <a:gd name="connsiteY13" fmla="*/ 196972 h 464344"/>
            <a:gd name="connsiteX14" fmla="*/ 70781 w 1064056"/>
            <a:gd name="connsiteY14" fmla="*/ 174376 h 464344"/>
            <a:gd name="connsiteX15" fmla="*/ 69884 w 1064056"/>
            <a:gd name="connsiteY15" fmla="*/ 77392 h 464344"/>
            <a:gd name="connsiteX0" fmla="*/ 58906 w 1053078"/>
            <a:gd name="connsiteY0" fmla="*/ 77392 h 464344"/>
            <a:gd name="connsiteX1" fmla="*/ 81574 w 1053078"/>
            <a:gd name="connsiteY1" fmla="*/ 22668 h 464344"/>
            <a:gd name="connsiteX2" fmla="*/ 136298 w 1053078"/>
            <a:gd name="connsiteY2" fmla="*/ 0 h 464344"/>
            <a:gd name="connsiteX3" fmla="*/ 975686 w 1053078"/>
            <a:gd name="connsiteY3" fmla="*/ 0 h 464344"/>
            <a:gd name="connsiteX4" fmla="*/ 1030410 w 1053078"/>
            <a:gd name="connsiteY4" fmla="*/ 22668 h 464344"/>
            <a:gd name="connsiteX5" fmla="*/ 1053078 w 1053078"/>
            <a:gd name="connsiteY5" fmla="*/ 77392 h 464344"/>
            <a:gd name="connsiteX6" fmla="*/ 1053078 w 1053078"/>
            <a:gd name="connsiteY6" fmla="*/ 386952 h 464344"/>
            <a:gd name="connsiteX7" fmla="*/ 1030410 w 1053078"/>
            <a:gd name="connsiteY7" fmla="*/ 441676 h 464344"/>
            <a:gd name="connsiteX8" fmla="*/ 975686 w 1053078"/>
            <a:gd name="connsiteY8" fmla="*/ 464344 h 464344"/>
            <a:gd name="connsiteX9" fmla="*/ 136298 w 1053078"/>
            <a:gd name="connsiteY9" fmla="*/ 464344 h 464344"/>
            <a:gd name="connsiteX10" fmla="*/ 81574 w 1053078"/>
            <a:gd name="connsiteY10" fmla="*/ 449356 h 464344"/>
            <a:gd name="connsiteX11" fmla="*/ 58906 w 1053078"/>
            <a:gd name="connsiteY11" fmla="*/ 386952 h 464344"/>
            <a:gd name="connsiteX12" fmla="*/ 58906 w 1053078"/>
            <a:gd name="connsiteY12" fmla="*/ 279797 h 464344"/>
            <a:gd name="connsiteX13" fmla="*/ 0 w 1053078"/>
            <a:gd name="connsiteY13" fmla="*/ 230214 h 464344"/>
            <a:gd name="connsiteX14" fmla="*/ 59803 w 1053078"/>
            <a:gd name="connsiteY14" fmla="*/ 174376 h 464344"/>
            <a:gd name="connsiteX15" fmla="*/ 58906 w 1053078"/>
            <a:gd name="connsiteY15" fmla="*/ 77392 h 4643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1053078" h="464344">
              <a:moveTo>
                <a:pt x="58906" y="77392"/>
              </a:moveTo>
              <a:cubicBezTo>
                <a:pt x="58906" y="56866"/>
                <a:pt x="67060" y="37181"/>
                <a:pt x="81574" y="22668"/>
              </a:cubicBezTo>
              <a:cubicBezTo>
                <a:pt x="96088" y="8154"/>
                <a:pt x="115773" y="0"/>
                <a:pt x="136298" y="0"/>
              </a:cubicBezTo>
              <a:lnTo>
                <a:pt x="975686" y="0"/>
              </a:lnTo>
              <a:cubicBezTo>
                <a:pt x="996212" y="0"/>
                <a:pt x="1015897" y="8154"/>
                <a:pt x="1030410" y="22668"/>
              </a:cubicBezTo>
              <a:cubicBezTo>
                <a:pt x="1044924" y="37182"/>
                <a:pt x="1053078" y="56867"/>
                <a:pt x="1053078" y="77392"/>
              </a:cubicBezTo>
              <a:lnTo>
                <a:pt x="1053078" y="386952"/>
              </a:lnTo>
              <a:cubicBezTo>
                <a:pt x="1053078" y="407478"/>
                <a:pt x="1044924" y="427163"/>
                <a:pt x="1030410" y="441676"/>
              </a:cubicBezTo>
              <a:cubicBezTo>
                <a:pt x="1015896" y="456190"/>
                <a:pt x="996211" y="464344"/>
                <a:pt x="975686" y="464344"/>
              </a:cubicBezTo>
              <a:lnTo>
                <a:pt x="136298" y="464344"/>
              </a:lnTo>
              <a:cubicBezTo>
                <a:pt x="115772" y="464344"/>
                <a:pt x="97123" y="460031"/>
                <a:pt x="81574" y="449356"/>
              </a:cubicBezTo>
              <a:cubicBezTo>
                <a:pt x="63953" y="427163"/>
                <a:pt x="61685" y="429031"/>
                <a:pt x="58906" y="386952"/>
              </a:cubicBezTo>
              <a:lnTo>
                <a:pt x="58906" y="279797"/>
              </a:lnTo>
              <a:lnTo>
                <a:pt x="0" y="230214"/>
              </a:lnTo>
              <a:lnTo>
                <a:pt x="59803" y="174376"/>
              </a:lnTo>
              <a:lnTo>
                <a:pt x="58906" y="77392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プログラム経験が</a:t>
          </a:r>
          <a:r>
            <a:rPr kumimoji="1" lang="en-US" altLang="ja-JP" sz="1100">
              <a:solidFill>
                <a:sysClr val="windowText" lastClr="000000"/>
              </a:solidFill>
            </a:rPr>
            <a:t>0</a:t>
          </a:r>
          <a:r>
            <a:rPr kumimoji="1" lang="ja-JP" altLang="en-US" sz="1100">
              <a:solidFill>
                <a:sysClr val="windowText" lastClr="000000"/>
              </a:solidFill>
            </a:rPr>
            <a:t>の場合「なし」、</a:t>
          </a:r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の場合「あり」、それ以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外の場合「</a:t>
          </a:r>
          <a:r>
            <a:rPr kumimoji="1" lang="en-US" altLang="ja-JP" sz="1100">
              <a:solidFill>
                <a:sysClr val="windowText" lastClr="000000"/>
              </a:solidFill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</a:rPr>
            <a:t>登録されていません」と表示される。</a:t>
          </a:r>
        </a:p>
      </xdr:txBody>
    </xdr:sp>
    <xdr:clientData/>
  </xdr:twoCellAnchor>
  <xdr:twoCellAnchor>
    <xdr:from>
      <xdr:col>5</xdr:col>
      <xdr:colOff>19050</xdr:colOff>
      <xdr:row>27</xdr:row>
      <xdr:rowOff>95250</xdr:rowOff>
    </xdr:from>
    <xdr:to>
      <xdr:col>44</xdr:col>
      <xdr:colOff>178878</xdr:colOff>
      <xdr:row>30</xdr:row>
      <xdr:rowOff>114301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019175" y="4933950"/>
          <a:ext cx="7960803" cy="533401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57150</xdr:colOff>
      <xdr:row>33</xdr:row>
      <xdr:rowOff>76201</xdr:rowOff>
    </xdr:from>
    <xdr:to>
      <xdr:col>45</xdr:col>
      <xdr:colOff>38100</xdr:colOff>
      <xdr:row>39</xdr:row>
      <xdr:rowOff>9525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057275" y="5943601"/>
          <a:ext cx="7981950" cy="962024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9524</xdr:colOff>
      <xdr:row>44</xdr:row>
      <xdr:rowOff>28576</xdr:rowOff>
    </xdr:from>
    <xdr:to>
      <xdr:col>44</xdr:col>
      <xdr:colOff>161924</xdr:colOff>
      <xdr:row>47</xdr:row>
      <xdr:rowOff>57150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009649" y="7781926"/>
          <a:ext cx="7953375" cy="542924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24</xdr:col>
      <xdr:colOff>190500</xdr:colOff>
      <xdr:row>35</xdr:row>
      <xdr:rowOff>9526</xdr:rowOff>
    </xdr:from>
    <xdr:to>
      <xdr:col>27</xdr:col>
      <xdr:colOff>198904</xdr:colOff>
      <xdr:row>36</xdr:row>
      <xdr:rowOff>123825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4991100" y="6219826"/>
          <a:ext cx="608479" cy="285749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27</xdr:col>
      <xdr:colOff>31718</xdr:colOff>
      <xdr:row>31</xdr:row>
      <xdr:rowOff>66561</xdr:rowOff>
    </xdr:from>
    <xdr:to>
      <xdr:col>40</xdr:col>
      <xdr:colOff>19050</xdr:colOff>
      <xdr:row>35</xdr:row>
      <xdr:rowOff>26671</xdr:rowOff>
    </xdr:to>
    <xdr:sp macro="" textlink="">
      <xdr:nvSpPr>
        <xdr:cNvPr id="17" name="フリーフォーム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4918043" y="5419611"/>
          <a:ext cx="2340007" cy="645910"/>
        </a:xfrm>
        <a:custGeom>
          <a:avLst/>
          <a:gdLst>
            <a:gd name="connsiteX0" fmla="*/ 0 w 994172"/>
            <a:gd name="connsiteY0" fmla="*/ 77392 h 464344"/>
            <a:gd name="connsiteX1" fmla="*/ 22668 w 994172"/>
            <a:gd name="connsiteY1" fmla="*/ 22668 h 464344"/>
            <a:gd name="connsiteX2" fmla="*/ 77392 w 994172"/>
            <a:gd name="connsiteY2" fmla="*/ 0 h 464344"/>
            <a:gd name="connsiteX3" fmla="*/ 916780 w 994172"/>
            <a:gd name="connsiteY3" fmla="*/ 0 h 464344"/>
            <a:gd name="connsiteX4" fmla="*/ 971504 w 994172"/>
            <a:gd name="connsiteY4" fmla="*/ 22668 h 464344"/>
            <a:gd name="connsiteX5" fmla="*/ 994172 w 994172"/>
            <a:gd name="connsiteY5" fmla="*/ 77392 h 464344"/>
            <a:gd name="connsiteX6" fmla="*/ 994172 w 994172"/>
            <a:gd name="connsiteY6" fmla="*/ 386952 h 464344"/>
            <a:gd name="connsiteX7" fmla="*/ 971504 w 994172"/>
            <a:gd name="connsiteY7" fmla="*/ 441676 h 464344"/>
            <a:gd name="connsiteX8" fmla="*/ 916780 w 994172"/>
            <a:gd name="connsiteY8" fmla="*/ 464344 h 464344"/>
            <a:gd name="connsiteX9" fmla="*/ 77392 w 994172"/>
            <a:gd name="connsiteY9" fmla="*/ 464344 h 464344"/>
            <a:gd name="connsiteX10" fmla="*/ 22668 w 994172"/>
            <a:gd name="connsiteY10" fmla="*/ 441676 h 464344"/>
            <a:gd name="connsiteX11" fmla="*/ 0 w 994172"/>
            <a:gd name="connsiteY11" fmla="*/ 386952 h 464344"/>
            <a:gd name="connsiteX12" fmla="*/ 0 w 994172"/>
            <a:gd name="connsiteY12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0 w 1357312"/>
            <a:gd name="connsiteY12" fmla="*/ 232172 h 464344"/>
            <a:gd name="connsiteX13" fmla="*/ 363140 w 1357312"/>
            <a:gd name="connsiteY13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0 w 1357312"/>
            <a:gd name="connsiteY12" fmla="*/ 232172 h 464344"/>
            <a:gd name="connsiteX13" fmla="*/ 345281 w 1357312"/>
            <a:gd name="connsiteY13" fmla="*/ 178594 h 464344"/>
            <a:gd name="connsiteX14" fmla="*/ 363140 w 1357312"/>
            <a:gd name="connsiteY14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363140 w 1357312"/>
            <a:gd name="connsiteY12" fmla="*/ 279797 h 464344"/>
            <a:gd name="connsiteX13" fmla="*/ 0 w 1357312"/>
            <a:gd name="connsiteY13" fmla="*/ 232172 h 464344"/>
            <a:gd name="connsiteX14" fmla="*/ 345281 w 1357312"/>
            <a:gd name="connsiteY14" fmla="*/ 178594 h 464344"/>
            <a:gd name="connsiteX15" fmla="*/ 363140 w 1357312"/>
            <a:gd name="connsiteY15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363140 w 1357312"/>
            <a:gd name="connsiteY12" fmla="*/ 279797 h 464344"/>
            <a:gd name="connsiteX13" fmla="*/ 0 w 1357312"/>
            <a:gd name="connsiteY13" fmla="*/ 232172 h 464344"/>
            <a:gd name="connsiteX14" fmla="*/ 369093 w 1357312"/>
            <a:gd name="connsiteY14" fmla="*/ 184547 h 464344"/>
            <a:gd name="connsiteX15" fmla="*/ 363140 w 1357312"/>
            <a:gd name="connsiteY15" fmla="*/ 77392 h 464344"/>
            <a:gd name="connsiteX0" fmla="*/ 363140 w 1357312"/>
            <a:gd name="connsiteY0" fmla="*/ 77392 h 464344"/>
            <a:gd name="connsiteX1" fmla="*/ 385808 w 1357312"/>
            <a:gd name="connsiteY1" fmla="*/ 22668 h 464344"/>
            <a:gd name="connsiteX2" fmla="*/ 440532 w 1357312"/>
            <a:gd name="connsiteY2" fmla="*/ 0 h 464344"/>
            <a:gd name="connsiteX3" fmla="*/ 1279920 w 1357312"/>
            <a:gd name="connsiteY3" fmla="*/ 0 h 464344"/>
            <a:gd name="connsiteX4" fmla="*/ 1334644 w 1357312"/>
            <a:gd name="connsiteY4" fmla="*/ 22668 h 464344"/>
            <a:gd name="connsiteX5" fmla="*/ 1357312 w 1357312"/>
            <a:gd name="connsiteY5" fmla="*/ 77392 h 464344"/>
            <a:gd name="connsiteX6" fmla="*/ 1357312 w 1357312"/>
            <a:gd name="connsiteY6" fmla="*/ 386952 h 464344"/>
            <a:gd name="connsiteX7" fmla="*/ 1334644 w 1357312"/>
            <a:gd name="connsiteY7" fmla="*/ 441676 h 464344"/>
            <a:gd name="connsiteX8" fmla="*/ 1279920 w 1357312"/>
            <a:gd name="connsiteY8" fmla="*/ 464344 h 464344"/>
            <a:gd name="connsiteX9" fmla="*/ 440532 w 1357312"/>
            <a:gd name="connsiteY9" fmla="*/ 464344 h 464344"/>
            <a:gd name="connsiteX10" fmla="*/ 385808 w 1357312"/>
            <a:gd name="connsiteY10" fmla="*/ 441676 h 464344"/>
            <a:gd name="connsiteX11" fmla="*/ 363140 w 1357312"/>
            <a:gd name="connsiteY11" fmla="*/ 386952 h 464344"/>
            <a:gd name="connsiteX12" fmla="*/ 363140 w 1357312"/>
            <a:gd name="connsiteY12" fmla="*/ 279797 h 464344"/>
            <a:gd name="connsiteX13" fmla="*/ 0 w 1357312"/>
            <a:gd name="connsiteY13" fmla="*/ 232172 h 464344"/>
            <a:gd name="connsiteX14" fmla="*/ 364037 w 1357312"/>
            <a:gd name="connsiteY14" fmla="*/ 174376 h 464344"/>
            <a:gd name="connsiteX15" fmla="*/ 363140 w 1357312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167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935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935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155879 w 1150051"/>
            <a:gd name="connsiteY0" fmla="*/ 77392 h 464344"/>
            <a:gd name="connsiteX1" fmla="*/ 178547 w 1150051"/>
            <a:gd name="connsiteY1" fmla="*/ 22668 h 464344"/>
            <a:gd name="connsiteX2" fmla="*/ 233271 w 1150051"/>
            <a:gd name="connsiteY2" fmla="*/ 0 h 464344"/>
            <a:gd name="connsiteX3" fmla="*/ 1072659 w 1150051"/>
            <a:gd name="connsiteY3" fmla="*/ 0 h 464344"/>
            <a:gd name="connsiteX4" fmla="*/ 1127383 w 1150051"/>
            <a:gd name="connsiteY4" fmla="*/ 22668 h 464344"/>
            <a:gd name="connsiteX5" fmla="*/ 1150051 w 1150051"/>
            <a:gd name="connsiteY5" fmla="*/ 77392 h 464344"/>
            <a:gd name="connsiteX6" fmla="*/ 1150051 w 1150051"/>
            <a:gd name="connsiteY6" fmla="*/ 386952 h 464344"/>
            <a:gd name="connsiteX7" fmla="*/ 1127383 w 1150051"/>
            <a:gd name="connsiteY7" fmla="*/ 441676 h 464344"/>
            <a:gd name="connsiteX8" fmla="*/ 1072659 w 1150051"/>
            <a:gd name="connsiteY8" fmla="*/ 464344 h 464344"/>
            <a:gd name="connsiteX9" fmla="*/ 233271 w 1150051"/>
            <a:gd name="connsiteY9" fmla="*/ 464344 h 464344"/>
            <a:gd name="connsiteX10" fmla="*/ 178547 w 1150051"/>
            <a:gd name="connsiteY10" fmla="*/ 449356 h 464344"/>
            <a:gd name="connsiteX11" fmla="*/ 155879 w 1150051"/>
            <a:gd name="connsiteY11" fmla="*/ 386952 h 464344"/>
            <a:gd name="connsiteX12" fmla="*/ 155879 w 1150051"/>
            <a:gd name="connsiteY12" fmla="*/ 279797 h 464344"/>
            <a:gd name="connsiteX13" fmla="*/ 0 w 1150051"/>
            <a:gd name="connsiteY13" fmla="*/ 216917 h 464344"/>
            <a:gd name="connsiteX14" fmla="*/ 156776 w 1150051"/>
            <a:gd name="connsiteY14" fmla="*/ 174376 h 464344"/>
            <a:gd name="connsiteX15" fmla="*/ 155879 w 1150051"/>
            <a:gd name="connsiteY15" fmla="*/ 77392 h 464344"/>
            <a:gd name="connsiteX0" fmla="*/ 69884 w 1064056"/>
            <a:gd name="connsiteY0" fmla="*/ 77392 h 464344"/>
            <a:gd name="connsiteX1" fmla="*/ 92552 w 1064056"/>
            <a:gd name="connsiteY1" fmla="*/ 22668 h 464344"/>
            <a:gd name="connsiteX2" fmla="*/ 147276 w 1064056"/>
            <a:gd name="connsiteY2" fmla="*/ 0 h 464344"/>
            <a:gd name="connsiteX3" fmla="*/ 986664 w 1064056"/>
            <a:gd name="connsiteY3" fmla="*/ 0 h 464344"/>
            <a:gd name="connsiteX4" fmla="*/ 1041388 w 1064056"/>
            <a:gd name="connsiteY4" fmla="*/ 22668 h 464344"/>
            <a:gd name="connsiteX5" fmla="*/ 1064056 w 1064056"/>
            <a:gd name="connsiteY5" fmla="*/ 77392 h 464344"/>
            <a:gd name="connsiteX6" fmla="*/ 1064056 w 1064056"/>
            <a:gd name="connsiteY6" fmla="*/ 386952 h 464344"/>
            <a:gd name="connsiteX7" fmla="*/ 1041388 w 1064056"/>
            <a:gd name="connsiteY7" fmla="*/ 441676 h 464344"/>
            <a:gd name="connsiteX8" fmla="*/ 986664 w 1064056"/>
            <a:gd name="connsiteY8" fmla="*/ 464344 h 464344"/>
            <a:gd name="connsiteX9" fmla="*/ 147276 w 1064056"/>
            <a:gd name="connsiteY9" fmla="*/ 464344 h 464344"/>
            <a:gd name="connsiteX10" fmla="*/ 92552 w 1064056"/>
            <a:gd name="connsiteY10" fmla="*/ 449356 h 464344"/>
            <a:gd name="connsiteX11" fmla="*/ 69884 w 1064056"/>
            <a:gd name="connsiteY11" fmla="*/ 386952 h 464344"/>
            <a:gd name="connsiteX12" fmla="*/ 69884 w 1064056"/>
            <a:gd name="connsiteY12" fmla="*/ 279797 h 464344"/>
            <a:gd name="connsiteX13" fmla="*/ 0 w 1064056"/>
            <a:gd name="connsiteY13" fmla="*/ 196972 h 464344"/>
            <a:gd name="connsiteX14" fmla="*/ 70781 w 1064056"/>
            <a:gd name="connsiteY14" fmla="*/ 174376 h 464344"/>
            <a:gd name="connsiteX15" fmla="*/ 69884 w 1064056"/>
            <a:gd name="connsiteY15" fmla="*/ 77392 h 464344"/>
            <a:gd name="connsiteX0" fmla="*/ 58906 w 1053078"/>
            <a:gd name="connsiteY0" fmla="*/ 77392 h 464344"/>
            <a:gd name="connsiteX1" fmla="*/ 81574 w 1053078"/>
            <a:gd name="connsiteY1" fmla="*/ 22668 h 464344"/>
            <a:gd name="connsiteX2" fmla="*/ 136298 w 1053078"/>
            <a:gd name="connsiteY2" fmla="*/ 0 h 464344"/>
            <a:gd name="connsiteX3" fmla="*/ 975686 w 1053078"/>
            <a:gd name="connsiteY3" fmla="*/ 0 h 464344"/>
            <a:gd name="connsiteX4" fmla="*/ 1030410 w 1053078"/>
            <a:gd name="connsiteY4" fmla="*/ 22668 h 464344"/>
            <a:gd name="connsiteX5" fmla="*/ 1053078 w 1053078"/>
            <a:gd name="connsiteY5" fmla="*/ 77392 h 464344"/>
            <a:gd name="connsiteX6" fmla="*/ 1053078 w 1053078"/>
            <a:gd name="connsiteY6" fmla="*/ 386952 h 464344"/>
            <a:gd name="connsiteX7" fmla="*/ 1030410 w 1053078"/>
            <a:gd name="connsiteY7" fmla="*/ 441676 h 464344"/>
            <a:gd name="connsiteX8" fmla="*/ 975686 w 1053078"/>
            <a:gd name="connsiteY8" fmla="*/ 464344 h 464344"/>
            <a:gd name="connsiteX9" fmla="*/ 136298 w 1053078"/>
            <a:gd name="connsiteY9" fmla="*/ 464344 h 464344"/>
            <a:gd name="connsiteX10" fmla="*/ 81574 w 1053078"/>
            <a:gd name="connsiteY10" fmla="*/ 449356 h 464344"/>
            <a:gd name="connsiteX11" fmla="*/ 58906 w 1053078"/>
            <a:gd name="connsiteY11" fmla="*/ 386952 h 464344"/>
            <a:gd name="connsiteX12" fmla="*/ 58906 w 1053078"/>
            <a:gd name="connsiteY12" fmla="*/ 279797 h 464344"/>
            <a:gd name="connsiteX13" fmla="*/ 0 w 1053078"/>
            <a:gd name="connsiteY13" fmla="*/ 230214 h 464344"/>
            <a:gd name="connsiteX14" fmla="*/ 59803 w 1053078"/>
            <a:gd name="connsiteY14" fmla="*/ 174376 h 464344"/>
            <a:gd name="connsiteX15" fmla="*/ 58906 w 1053078"/>
            <a:gd name="connsiteY15" fmla="*/ 77392 h 464344"/>
            <a:gd name="connsiteX0" fmla="*/ 273272 w 1267444"/>
            <a:gd name="connsiteY0" fmla="*/ 77392 h 464344"/>
            <a:gd name="connsiteX1" fmla="*/ 295940 w 1267444"/>
            <a:gd name="connsiteY1" fmla="*/ 22668 h 464344"/>
            <a:gd name="connsiteX2" fmla="*/ 350664 w 1267444"/>
            <a:gd name="connsiteY2" fmla="*/ 0 h 464344"/>
            <a:gd name="connsiteX3" fmla="*/ 1190052 w 1267444"/>
            <a:gd name="connsiteY3" fmla="*/ 0 h 464344"/>
            <a:gd name="connsiteX4" fmla="*/ 1244776 w 1267444"/>
            <a:gd name="connsiteY4" fmla="*/ 22668 h 464344"/>
            <a:gd name="connsiteX5" fmla="*/ 1267444 w 1267444"/>
            <a:gd name="connsiteY5" fmla="*/ 77392 h 464344"/>
            <a:gd name="connsiteX6" fmla="*/ 1267444 w 1267444"/>
            <a:gd name="connsiteY6" fmla="*/ 386952 h 464344"/>
            <a:gd name="connsiteX7" fmla="*/ 1244776 w 1267444"/>
            <a:gd name="connsiteY7" fmla="*/ 441676 h 464344"/>
            <a:gd name="connsiteX8" fmla="*/ 1190052 w 1267444"/>
            <a:gd name="connsiteY8" fmla="*/ 464344 h 464344"/>
            <a:gd name="connsiteX9" fmla="*/ 350664 w 1267444"/>
            <a:gd name="connsiteY9" fmla="*/ 464344 h 464344"/>
            <a:gd name="connsiteX10" fmla="*/ 295940 w 1267444"/>
            <a:gd name="connsiteY10" fmla="*/ 449356 h 464344"/>
            <a:gd name="connsiteX11" fmla="*/ 273272 w 1267444"/>
            <a:gd name="connsiteY11" fmla="*/ 386952 h 464344"/>
            <a:gd name="connsiteX12" fmla="*/ 273272 w 1267444"/>
            <a:gd name="connsiteY12" fmla="*/ 279797 h 464344"/>
            <a:gd name="connsiteX13" fmla="*/ 0 w 1267444"/>
            <a:gd name="connsiteY13" fmla="*/ 238575 h 464344"/>
            <a:gd name="connsiteX14" fmla="*/ 274169 w 1267444"/>
            <a:gd name="connsiteY14" fmla="*/ 174376 h 464344"/>
            <a:gd name="connsiteX15" fmla="*/ 273272 w 1267444"/>
            <a:gd name="connsiteY15" fmla="*/ 77392 h 464344"/>
            <a:gd name="connsiteX0" fmla="*/ 273272 w 1267444"/>
            <a:gd name="connsiteY0" fmla="*/ 77392 h 464344"/>
            <a:gd name="connsiteX1" fmla="*/ 295940 w 1267444"/>
            <a:gd name="connsiteY1" fmla="*/ 22668 h 464344"/>
            <a:gd name="connsiteX2" fmla="*/ 350664 w 1267444"/>
            <a:gd name="connsiteY2" fmla="*/ 0 h 464344"/>
            <a:gd name="connsiteX3" fmla="*/ 1190052 w 1267444"/>
            <a:gd name="connsiteY3" fmla="*/ 0 h 464344"/>
            <a:gd name="connsiteX4" fmla="*/ 1244776 w 1267444"/>
            <a:gd name="connsiteY4" fmla="*/ 22668 h 464344"/>
            <a:gd name="connsiteX5" fmla="*/ 1267444 w 1267444"/>
            <a:gd name="connsiteY5" fmla="*/ 77392 h 464344"/>
            <a:gd name="connsiteX6" fmla="*/ 1267444 w 1267444"/>
            <a:gd name="connsiteY6" fmla="*/ 386952 h 464344"/>
            <a:gd name="connsiteX7" fmla="*/ 1244776 w 1267444"/>
            <a:gd name="connsiteY7" fmla="*/ 441676 h 464344"/>
            <a:gd name="connsiteX8" fmla="*/ 1190052 w 1267444"/>
            <a:gd name="connsiteY8" fmla="*/ 464344 h 464344"/>
            <a:gd name="connsiteX9" fmla="*/ 350664 w 1267444"/>
            <a:gd name="connsiteY9" fmla="*/ 464344 h 464344"/>
            <a:gd name="connsiteX10" fmla="*/ 295940 w 1267444"/>
            <a:gd name="connsiteY10" fmla="*/ 449356 h 464344"/>
            <a:gd name="connsiteX11" fmla="*/ 273272 w 1267444"/>
            <a:gd name="connsiteY11" fmla="*/ 386952 h 464344"/>
            <a:gd name="connsiteX12" fmla="*/ 273272 w 1267444"/>
            <a:gd name="connsiteY12" fmla="*/ 279797 h 464344"/>
            <a:gd name="connsiteX13" fmla="*/ 0 w 1267444"/>
            <a:gd name="connsiteY13" fmla="*/ 238575 h 464344"/>
            <a:gd name="connsiteX14" fmla="*/ 274169 w 1267444"/>
            <a:gd name="connsiteY14" fmla="*/ 152868 h 464344"/>
            <a:gd name="connsiteX15" fmla="*/ 273272 w 1267444"/>
            <a:gd name="connsiteY15" fmla="*/ 77392 h 464344"/>
            <a:gd name="connsiteX0" fmla="*/ 273272 w 1267444"/>
            <a:gd name="connsiteY0" fmla="*/ 77392 h 464344"/>
            <a:gd name="connsiteX1" fmla="*/ 295940 w 1267444"/>
            <a:gd name="connsiteY1" fmla="*/ 22668 h 464344"/>
            <a:gd name="connsiteX2" fmla="*/ 350664 w 1267444"/>
            <a:gd name="connsiteY2" fmla="*/ 0 h 464344"/>
            <a:gd name="connsiteX3" fmla="*/ 1190052 w 1267444"/>
            <a:gd name="connsiteY3" fmla="*/ 0 h 464344"/>
            <a:gd name="connsiteX4" fmla="*/ 1244776 w 1267444"/>
            <a:gd name="connsiteY4" fmla="*/ 22668 h 464344"/>
            <a:gd name="connsiteX5" fmla="*/ 1267444 w 1267444"/>
            <a:gd name="connsiteY5" fmla="*/ 77392 h 464344"/>
            <a:gd name="connsiteX6" fmla="*/ 1267444 w 1267444"/>
            <a:gd name="connsiteY6" fmla="*/ 386952 h 464344"/>
            <a:gd name="connsiteX7" fmla="*/ 1244776 w 1267444"/>
            <a:gd name="connsiteY7" fmla="*/ 441676 h 464344"/>
            <a:gd name="connsiteX8" fmla="*/ 1190052 w 1267444"/>
            <a:gd name="connsiteY8" fmla="*/ 464344 h 464344"/>
            <a:gd name="connsiteX9" fmla="*/ 350664 w 1267444"/>
            <a:gd name="connsiteY9" fmla="*/ 464344 h 464344"/>
            <a:gd name="connsiteX10" fmla="*/ 295940 w 1267444"/>
            <a:gd name="connsiteY10" fmla="*/ 449356 h 464344"/>
            <a:gd name="connsiteX11" fmla="*/ 273272 w 1267444"/>
            <a:gd name="connsiteY11" fmla="*/ 386952 h 464344"/>
            <a:gd name="connsiteX12" fmla="*/ 273272 w 1267444"/>
            <a:gd name="connsiteY12" fmla="*/ 315643 h 464344"/>
            <a:gd name="connsiteX13" fmla="*/ 0 w 1267444"/>
            <a:gd name="connsiteY13" fmla="*/ 238575 h 464344"/>
            <a:gd name="connsiteX14" fmla="*/ 274169 w 1267444"/>
            <a:gd name="connsiteY14" fmla="*/ 152868 h 464344"/>
            <a:gd name="connsiteX15" fmla="*/ 273272 w 1267444"/>
            <a:gd name="connsiteY15" fmla="*/ 77392 h 464344"/>
            <a:gd name="connsiteX0" fmla="*/ 398023 w 1392195"/>
            <a:gd name="connsiteY0" fmla="*/ 77392 h 578304"/>
            <a:gd name="connsiteX1" fmla="*/ 420691 w 1392195"/>
            <a:gd name="connsiteY1" fmla="*/ 22668 h 578304"/>
            <a:gd name="connsiteX2" fmla="*/ 475415 w 1392195"/>
            <a:gd name="connsiteY2" fmla="*/ 0 h 578304"/>
            <a:gd name="connsiteX3" fmla="*/ 1314803 w 1392195"/>
            <a:gd name="connsiteY3" fmla="*/ 0 h 578304"/>
            <a:gd name="connsiteX4" fmla="*/ 1369527 w 1392195"/>
            <a:gd name="connsiteY4" fmla="*/ 22668 h 578304"/>
            <a:gd name="connsiteX5" fmla="*/ 1392195 w 1392195"/>
            <a:gd name="connsiteY5" fmla="*/ 77392 h 578304"/>
            <a:gd name="connsiteX6" fmla="*/ 1392195 w 1392195"/>
            <a:gd name="connsiteY6" fmla="*/ 386952 h 578304"/>
            <a:gd name="connsiteX7" fmla="*/ 1369527 w 1392195"/>
            <a:gd name="connsiteY7" fmla="*/ 441676 h 578304"/>
            <a:gd name="connsiteX8" fmla="*/ 1314803 w 1392195"/>
            <a:gd name="connsiteY8" fmla="*/ 464344 h 578304"/>
            <a:gd name="connsiteX9" fmla="*/ 475415 w 1392195"/>
            <a:gd name="connsiteY9" fmla="*/ 464344 h 578304"/>
            <a:gd name="connsiteX10" fmla="*/ 420691 w 1392195"/>
            <a:gd name="connsiteY10" fmla="*/ 449356 h 578304"/>
            <a:gd name="connsiteX11" fmla="*/ 398023 w 1392195"/>
            <a:gd name="connsiteY11" fmla="*/ 386952 h 578304"/>
            <a:gd name="connsiteX12" fmla="*/ 398023 w 1392195"/>
            <a:gd name="connsiteY12" fmla="*/ 315643 h 578304"/>
            <a:gd name="connsiteX13" fmla="*/ 0 w 1392195"/>
            <a:gd name="connsiteY13" fmla="*/ 578304 h 578304"/>
            <a:gd name="connsiteX14" fmla="*/ 398920 w 1392195"/>
            <a:gd name="connsiteY14" fmla="*/ 152868 h 578304"/>
            <a:gd name="connsiteX15" fmla="*/ 398023 w 1392195"/>
            <a:gd name="connsiteY15" fmla="*/ 77392 h 578304"/>
            <a:gd name="connsiteX0" fmla="*/ 246869 w 1241041"/>
            <a:gd name="connsiteY0" fmla="*/ 77392 h 464344"/>
            <a:gd name="connsiteX1" fmla="*/ 269537 w 1241041"/>
            <a:gd name="connsiteY1" fmla="*/ 22668 h 464344"/>
            <a:gd name="connsiteX2" fmla="*/ 324261 w 1241041"/>
            <a:gd name="connsiteY2" fmla="*/ 0 h 464344"/>
            <a:gd name="connsiteX3" fmla="*/ 1163649 w 1241041"/>
            <a:gd name="connsiteY3" fmla="*/ 0 h 464344"/>
            <a:gd name="connsiteX4" fmla="*/ 1218373 w 1241041"/>
            <a:gd name="connsiteY4" fmla="*/ 22668 h 464344"/>
            <a:gd name="connsiteX5" fmla="*/ 1241041 w 1241041"/>
            <a:gd name="connsiteY5" fmla="*/ 77392 h 464344"/>
            <a:gd name="connsiteX6" fmla="*/ 1241041 w 1241041"/>
            <a:gd name="connsiteY6" fmla="*/ 386952 h 464344"/>
            <a:gd name="connsiteX7" fmla="*/ 1218373 w 1241041"/>
            <a:gd name="connsiteY7" fmla="*/ 441676 h 464344"/>
            <a:gd name="connsiteX8" fmla="*/ 1163649 w 1241041"/>
            <a:gd name="connsiteY8" fmla="*/ 464344 h 464344"/>
            <a:gd name="connsiteX9" fmla="*/ 324261 w 1241041"/>
            <a:gd name="connsiteY9" fmla="*/ 464344 h 464344"/>
            <a:gd name="connsiteX10" fmla="*/ 269537 w 1241041"/>
            <a:gd name="connsiteY10" fmla="*/ 449356 h 464344"/>
            <a:gd name="connsiteX11" fmla="*/ 246869 w 1241041"/>
            <a:gd name="connsiteY11" fmla="*/ 386952 h 464344"/>
            <a:gd name="connsiteX12" fmla="*/ 246869 w 1241041"/>
            <a:gd name="connsiteY12" fmla="*/ 315643 h 464344"/>
            <a:gd name="connsiteX13" fmla="*/ 0 w 1241041"/>
            <a:gd name="connsiteY13" fmla="*/ 440633 h 464344"/>
            <a:gd name="connsiteX14" fmla="*/ 247766 w 1241041"/>
            <a:gd name="connsiteY14" fmla="*/ 152868 h 464344"/>
            <a:gd name="connsiteX15" fmla="*/ 246869 w 1241041"/>
            <a:gd name="connsiteY15" fmla="*/ 77392 h 464344"/>
            <a:gd name="connsiteX0" fmla="*/ 206561 w 1200733"/>
            <a:gd name="connsiteY0" fmla="*/ 77392 h 474871"/>
            <a:gd name="connsiteX1" fmla="*/ 229229 w 1200733"/>
            <a:gd name="connsiteY1" fmla="*/ 22668 h 474871"/>
            <a:gd name="connsiteX2" fmla="*/ 283953 w 1200733"/>
            <a:gd name="connsiteY2" fmla="*/ 0 h 474871"/>
            <a:gd name="connsiteX3" fmla="*/ 1123341 w 1200733"/>
            <a:gd name="connsiteY3" fmla="*/ 0 h 474871"/>
            <a:gd name="connsiteX4" fmla="*/ 1178065 w 1200733"/>
            <a:gd name="connsiteY4" fmla="*/ 22668 h 474871"/>
            <a:gd name="connsiteX5" fmla="*/ 1200733 w 1200733"/>
            <a:gd name="connsiteY5" fmla="*/ 77392 h 474871"/>
            <a:gd name="connsiteX6" fmla="*/ 1200733 w 1200733"/>
            <a:gd name="connsiteY6" fmla="*/ 386952 h 474871"/>
            <a:gd name="connsiteX7" fmla="*/ 1178065 w 1200733"/>
            <a:gd name="connsiteY7" fmla="*/ 441676 h 474871"/>
            <a:gd name="connsiteX8" fmla="*/ 1123341 w 1200733"/>
            <a:gd name="connsiteY8" fmla="*/ 464344 h 474871"/>
            <a:gd name="connsiteX9" fmla="*/ 283953 w 1200733"/>
            <a:gd name="connsiteY9" fmla="*/ 464344 h 474871"/>
            <a:gd name="connsiteX10" fmla="*/ 229229 w 1200733"/>
            <a:gd name="connsiteY10" fmla="*/ 449356 h 474871"/>
            <a:gd name="connsiteX11" fmla="*/ 206561 w 1200733"/>
            <a:gd name="connsiteY11" fmla="*/ 386952 h 474871"/>
            <a:gd name="connsiteX12" fmla="*/ 206561 w 1200733"/>
            <a:gd name="connsiteY12" fmla="*/ 315643 h 474871"/>
            <a:gd name="connsiteX13" fmla="*/ 0 w 1200733"/>
            <a:gd name="connsiteY13" fmla="*/ 474871 h 474871"/>
            <a:gd name="connsiteX14" fmla="*/ 207458 w 1200733"/>
            <a:gd name="connsiteY14" fmla="*/ 152868 h 474871"/>
            <a:gd name="connsiteX15" fmla="*/ 206561 w 1200733"/>
            <a:gd name="connsiteY15" fmla="*/ 77392 h 474871"/>
            <a:gd name="connsiteX0" fmla="*/ 159535 w 1153707"/>
            <a:gd name="connsiteY0" fmla="*/ 77392 h 639211"/>
            <a:gd name="connsiteX1" fmla="*/ 182203 w 1153707"/>
            <a:gd name="connsiteY1" fmla="*/ 22668 h 639211"/>
            <a:gd name="connsiteX2" fmla="*/ 236927 w 1153707"/>
            <a:gd name="connsiteY2" fmla="*/ 0 h 639211"/>
            <a:gd name="connsiteX3" fmla="*/ 1076315 w 1153707"/>
            <a:gd name="connsiteY3" fmla="*/ 0 h 639211"/>
            <a:gd name="connsiteX4" fmla="*/ 1131039 w 1153707"/>
            <a:gd name="connsiteY4" fmla="*/ 22668 h 639211"/>
            <a:gd name="connsiteX5" fmla="*/ 1153707 w 1153707"/>
            <a:gd name="connsiteY5" fmla="*/ 77392 h 639211"/>
            <a:gd name="connsiteX6" fmla="*/ 1153707 w 1153707"/>
            <a:gd name="connsiteY6" fmla="*/ 386952 h 639211"/>
            <a:gd name="connsiteX7" fmla="*/ 1131039 w 1153707"/>
            <a:gd name="connsiteY7" fmla="*/ 441676 h 639211"/>
            <a:gd name="connsiteX8" fmla="*/ 1076315 w 1153707"/>
            <a:gd name="connsiteY8" fmla="*/ 464344 h 639211"/>
            <a:gd name="connsiteX9" fmla="*/ 236927 w 1153707"/>
            <a:gd name="connsiteY9" fmla="*/ 464344 h 639211"/>
            <a:gd name="connsiteX10" fmla="*/ 182203 w 1153707"/>
            <a:gd name="connsiteY10" fmla="*/ 449356 h 639211"/>
            <a:gd name="connsiteX11" fmla="*/ 159535 w 1153707"/>
            <a:gd name="connsiteY11" fmla="*/ 386952 h 639211"/>
            <a:gd name="connsiteX12" fmla="*/ 159535 w 1153707"/>
            <a:gd name="connsiteY12" fmla="*/ 315643 h 639211"/>
            <a:gd name="connsiteX13" fmla="*/ 0 w 1153707"/>
            <a:gd name="connsiteY13" fmla="*/ 639211 h 639211"/>
            <a:gd name="connsiteX14" fmla="*/ 160432 w 1153707"/>
            <a:gd name="connsiteY14" fmla="*/ 152868 h 639211"/>
            <a:gd name="connsiteX15" fmla="*/ 159535 w 1153707"/>
            <a:gd name="connsiteY15" fmla="*/ 77392 h 639211"/>
            <a:gd name="connsiteX0" fmla="*/ 119227 w 1113399"/>
            <a:gd name="connsiteY0" fmla="*/ 77392 h 464344"/>
            <a:gd name="connsiteX1" fmla="*/ 141895 w 1113399"/>
            <a:gd name="connsiteY1" fmla="*/ 22668 h 464344"/>
            <a:gd name="connsiteX2" fmla="*/ 196619 w 1113399"/>
            <a:gd name="connsiteY2" fmla="*/ 0 h 464344"/>
            <a:gd name="connsiteX3" fmla="*/ 1036007 w 1113399"/>
            <a:gd name="connsiteY3" fmla="*/ 0 h 464344"/>
            <a:gd name="connsiteX4" fmla="*/ 1090731 w 1113399"/>
            <a:gd name="connsiteY4" fmla="*/ 22668 h 464344"/>
            <a:gd name="connsiteX5" fmla="*/ 1113399 w 1113399"/>
            <a:gd name="connsiteY5" fmla="*/ 77392 h 464344"/>
            <a:gd name="connsiteX6" fmla="*/ 1113399 w 1113399"/>
            <a:gd name="connsiteY6" fmla="*/ 386952 h 464344"/>
            <a:gd name="connsiteX7" fmla="*/ 1090731 w 1113399"/>
            <a:gd name="connsiteY7" fmla="*/ 441676 h 464344"/>
            <a:gd name="connsiteX8" fmla="*/ 1036007 w 1113399"/>
            <a:gd name="connsiteY8" fmla="*/ 464344 h 464344"/>
            <a:gd name="connsiteX9" fmla="*/ 196619 w 1113399"/>
            <a:gd name="connsiteY9" fmla="*/ 464344 h 464344"/>
            <a:gd name="connsiteX10" fmla="*/ 141895 w 1113399"/>
            <a:gd name="connsiteY10" fmla="*/ 449356 h 464344"/>
            <a:gd name="connsiteX11" fmla="*/ 119227 w 1113399"/>
            <a:gd name="connsiteY11" fmla="*/ 386952 h 464344"/>
            <a:gd name="connsiteX12" fmla="*/ 119227 w 1113399"/>
            <a:gd name="connsiteY12" fmla="*/ 315643 h 464344"/>
            <a:gd name="connsiteX13" fmla="*/ 0 w 1113399"/>
            <a:gd name="connsiteY13" fmla="*/ 426938 h 464344"/>
            <a:gd name="connsiteX14" fmla="*/ 120124 w 1113399"/>
            <a:gd name="connsiteY14" fmla="*/ 152868 h 464344"/>
            <a:gd name="connsiteX15" fmla="*/ 119227 w 1113399"/>
            <a:gd name="connsiteY15" fmla="*/ 77392 h 4643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1113399" h="464344">
              <a:moveTo>
                <a:pt x="119227" y="77392"/>
              </a:moveTo>
              <a:cubicBezTo>
                <a:pt x="119227" y="56866"/>
                <a:pt x="127381" y="37181"/>
                <a:pt x="141895" y="22668"/>
              </a:cubicBezTo>
              <a:cubicBezTo>
                <a:pt x="156409" y="8154"/>
                <a:pt x="176094" y="0"/>
                <a:pt x="196619" y="0"/>
              </a:cubicBezTo>
              <a:lnTo>
                <a:pt x="1036007" y="0"/>
              </a:lnTo>
              <a:cubicBezTo>
                <a:pt x="1056533" y="0"/>
                <a:pt x="1076218" y="8154"/>
                <a:pt x="1090731" y="22668"/>
              </a:cubicBezTo>
              <a:cubicBezTo>
                <a:pt x="1105245" y="37182"/>
                <a:pt x="1113399" y="56867"/>
                <a:pt x="1113399" y="77392"/>
              </a:cubicBezTo>
              <a:lnTo>
                <a:pt x="1113399" y="386952"/>
              </a:lnTo>
              <a:cubicBezTo>
                <a:pt x="1113399" y="407478"/>
                <a:pt x="1105245" y="427163"/>
                <a:pt x="1090731" y="441676"/>
              </a:cubicBezTo>
              <a:cubicBezTo>
                <a:pt x="1076217" y="456190"/>
                <a:pt x="1056532" y="464344"/>
                <a:pt x="1036007" y="464344"/>
              </a:cubicBezTo>
              <a:lnTo>
                <a:pt x="196619" y="464344"/>
              </a:lnTo>
              <a:cubicBezTo>
                <a:pt x="176093" y="464344"/>
                <a:pt x="157444" y="460031"/>
                <a:pt x="141895" y="449356"/>
              </a:cubicBezTo>
              <a:cubicBezTo>
                <a:pt x="124274" y="427163"/>
                <a:pt x="122006" y="429031"/>
                <a:pt x="119227" y="386952"/>
              </a:cubicBezTo>
              <a:lnTo>
                <a:pt x="119227" y="315643"/>
              </a:lnTo>
              <a:lnTo>
                <a:pt x="0" y="426938"/>
              </a:lnTo>
              <a:lnTo>
                <a:pt x="120124" y="152868"/>
              </a:lnTo>
              <a:lnTo>
                <a:pt x="119227" y="77392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　評価レポート結果</a:t>
          </a:r>
          <a:r>
            <a:rPr kumimoji="1" lang="en-US" altLang="ja-JP" sz="1100">
              <a:solidFill>
                <a:sysClr val="windowText" lastClr="000000"/>
              </a:solidFill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</a:rPr>
            <a:t>が</a:t>
          </a:r>
          <a:r>
            <a:rPr kumimoji="1" lang="en-US" altLang="ja-JP" sz="1100">
              <a:solidFill>
                <a:sysClr val="windowText" lastClr="000000"/>
              </a:solidFill>
            </a:rPr>
            <a:t>null</a:t>
          </a:r>
          <a:r>
            <a:rPr kumimoji="1" lang="ja-JP" altLang="en-US" sz="1100">
              <a:solidFill>
                <a:sysClr val="windowText" lastClr="000000"/>
              </a:solidFill>
            </a:rPr>
            <a:t>の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　場合「評価する」、</a:t>
          </a:r>
          <a:r>
            <a:rPr kumimoji="1" lang="en-US" altLang="ja-JP" sz="1100">
              <a:solidFill>
                <a:sysClr val="windowText" lastClr="000000"/>
              </a:solidFill>
            </a:rPr>
            <a:t>null</a:t>
          </a:r>
          <a:r>
            <a:rPr kumimoji="1" lang="ja-JP" altLang="en-US" sz="1100">
              <a:solidFill>
                <a:sysClr val="windowText" lastClr="000000"/>
              </a:solidFill>
            </a:rPr>
            <a:t>でない場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　合「修正する」と表示される。</a:t>
          </a:r>
        </a:p>
      </xdr:txBody>
    </xdr:sp>
    <xdr:clientData/>
  </xdr:twoCellAnchor>
  <xdr:twoCellAnchor>
    <xdr:from>
      <xdr:col>4</xdr:col>
      <xdr:colOff>43815</xdr:colOff>
      <xdr:row>47</xdr:row>
      <xdr:rowOff>150494</xdr:rowOff>
    </xdr:from>
    <xdr:to>
      <xdr:col>46</xdr:col>
      <xdr:colOff>87882</xdr:colOff>
      <xdr:row>54</xdr:row>
      <xdr:rowOff>140969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5807BB6-3BF8-4380-8C27-F232E46F4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" y="8246744"/>
          <a:ext cx="7645017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15240</xdr:colOff>
      <xdr:row>54</xdr:row>
      <xdr:rowOff>78105</xdr:rowOff>
    </xdr:from>
    <xdr:to>
      <xdr:col>47</xdr:col>
      <xdr:colOff>15496</xdr:colOff>
      <xdr:row>65</xdr:row>
      <xdr:rowOff>29849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E2717EE8-2E3A-4EBB-8395-CEAD341BAAD0}"/>
            </a:ext>
          </a:extLst>
        </xdr:cNvPr>
        <xdr:cNvGrpSpPr/>
      </xdr:nvGrpSpPr>
      <xdr:grpSpPr>
        <a:xfrm>
          <a:off x="615315" y="9374505"/>
          <a:ext cx="8801356" cy="1837694"/>
          <a:chOff x="601167" y="8493076"/>
          <a:chExt cx="8800008" cy="1842827"/>
        </a:xfrm>
      </xdr:grpSpPr>
      <xdr:pic>
        <xdr:nvPicPr>
          <xdr:cNvPr id="24" name="図 23" descr="ユーザー詳細画面_受講生(講師権限)_2.PNG">
            <a:extLst>
              <a:ext uri="{FF2B5EF4-FFF2-40B4-BE49-F238E27FC236}">
                <a16:creationId xmlns:a16="http://schemas.microsoft.com/office/drawing/2014/main" id="{76F345FA-ECFD-4D93-8566-2B05575C9C5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/>
          <a:srcRect t="57946" r="1157" b="25918"/>
          <a:stretch/>
        </xdr:blipFill>
        <xdr:spPr>
          <a:xfrm>
            <a:off x="601167" y="8493076"/>
            <a:ext cx="8799724" cy="769983"/>
          </a:xfrm>
          <a:prstGeom prst="rect">
            <a:avLst/>
          </a:prstGeom>
        </xdr:spPr>
      </xdr:pic>
      <xdr:pic>
        <xdr:nvPicPr>
          <xdr:cNvPr id="25" name="図 24" descr="ユーザー詳細画面_受講生(講師権限)_3.PNG">
            <a:extLst>
              <a:ext uri="{FF2B5EF4-FFF2-40B4-BE49-F238E27FC236}">
                <a16:creationId xmlns:a16="http://schemas.microsoft.com/office/drawing/2014/main" id="{0754064D-A8B9-4805-83E3-0C5A535E83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rcRect t="59469" r="1157"/>
          <a:stretch>
            <a:fillRect/>
          </a:stretch>
        </xdr:blipFill>
        <xdr:spPr>
          <a:xfrm>
            <a:off x="609600" y="9115425"/>
            <a:ext cx="8791575" cy="1220478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129540</xdr:colOff>
      <xdr:row>47</xdr:row>
      <xdr:rowOff>160021</xdr:rowOff>
    </xdr:from>
    <xdr:to>
      <xdr:col>45</xdr:col>
      <xdr:colOff>34290</xdr:colOff>
      <xdr:row>54</xdr:row>
      <xdr:rowOff>66675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56850664-588F-46D5-BB1C-9B7B850A1AC7}"/>
            </a:ext>
          </a:extLst>
        </xdr:cNvPr>
        <xdr:cNvSpPr/>
      </xdr:nvSpPr>
      <xdr:spPr>
        <a:xfrm>
          <a:off x="853440" y="8256271"/>
          <a:ext cx="7324725" cy="1106804"/>
        </a:xfrm>
        <a:prstGeom prst="rect">
          <a:avLst/>
        </a:prstGeom>
        <a:noFill/>
        <a:ln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43</xdr:col>
      <xdr:colOff>45720</xdr:colOff>
      <xdr:row>43</xdr:row>
      <xdr:rowOff>148590</xdr:rowOff>
    </xdr:from>
    <xdr:to>
      <xdr:col>49</xdr:col>
      <xdr:colOff>112395</xdr:colOff>
      <xdr:row>54</xdr:row>
      <xdr:rowOff>125730</xdr:rowOff>
    </xdr:to>
    <xdr:sp macro="" textlink="">
      <xdr:nvSpPr>
        <xdr:cNvPr id="19" name="フリーフォーム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7827645" y="7559040"/>
          <a:ext cx="1152525" cy="1863090"/>
        </a:xfrm>
        <a:custGeom>
          <a:avLst/>
          <a:gdLst>
            <a:gd name="connsiteX0" fmla="*/ 0 w 2028825"/>
            <a:gd name="connsiteY0" fmla="*/ 74619 h 733425"/>
            <a:gd name="connsiteX1" fmla="*/ 21855 w 2028825"/>
            <a:gd name="connsiteY1" fmla="*/ 21855 h 733425"/>
            <a:gd name="connsiteX2" fmla="*/ 74619 w 2028825"/>
            <a:gd name="connsiteY2" fmla="*/ 0 h 733425"/>
            <a:gd name="connsiteX3" fmla="*/ 1954206 w 2028825"/>
            <a:gd name="connsiteY3" fmla="*/ 0 h 733425"/>
            <a:gd name="connsiteX4" fmla="*/ 2006970 w 2028825"/>
            <a:gd name="connsiteY4" fmla="*/ 21855 h 733425"/>
            <a:gd name="connsiteX5" fmla="*/ 2028825 w 2028825"/>
            <a:gd name="connsiteY5" fmla="*/ 74619 h 733425"/>
            <a:gd name="connsiteX6" fmla="*/ 2028825 w 2028825"/>
            <a:gd name="connsiteY6" fmla="*/ 658806 h 733425"/>
            <a:gd name="connsiteX7" fmla="*/ 2006970 w 2028825"/>
            <a:gd name="connsiteY7" fmla="*/ 711570 h 733425"/>
            <a:gd name="connsiteX8" fmla="*/ 1954206 w 2028825"/>
            <a:gd name="connsiteY8" fmla="*/ 733425 h 733425"/>
            <a:gd name="connsiteX9" fmla="*/ 74619 w 2028825"/>
            <a:gd name="connsiteY9" fmla="*/ 733425 h 733425"/>
            <a:gd name="connsiteX10" fmla="*/ 21855 w 2028825"/>
            <a:gd name="connsiteY10" fmla="*/ 711570 h 733425"/>
            <a:gd name="connsiteX11" fmla="*/ 0 w 2028825"/>
            <a:gd name="connsiteY11" fmla="*/ 658806 h 733425"/>
            <a:gd name="connsiteX12" fmla="*/ 0 w 2028825"/>
            <a:gd name="connsiteY12" fmla="*/ 74619 h 733425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2144232 w 2218851"/>
            <a:gd name="connsiteY4" fmla="*/ 314325 h 1047750"/>
            <a:gd name="connsiteX5" fmla="*/ 2196996 w 2218851"/>
            <a:gd name="connsiteY5" fmla="*/ 336180 h 1047750"/>
            <a:gd name="connsiteX6" fmla="*/ 2218851 w 2218851"/>
            <a:gd name="connsiteY6" fmla="*/ 388944 h 1047750"/>
            <a:gd name="connsiteX7" fmla="*/ 2218851 w 2218851"/>
            <a:gd name="connsiteY7" fmla="*/ 973131 h 1047750"/>
            <a:gd name="connsiteX8" fmla="*/ 2196996 w 2218851"/>
            <a:gd name="connsiteY8" fmla="*/ 1025895 h 1047750"/>
            <a:gd name="connsiteX9" fmla="*/ 2144232 w 2218851"/>
            <a:gd name="connsiteY9" fmla="*/ 1047750 h 1047750"/>
            <a:gd name="connsiteX10" fmla="*/ 264645 w 2218851"/>
            <a:gd name="connsiteY10" fmla="*/ 1047750 h 1047750"/>
            <a:gd name="connsiteX11" fmla="*/ 211881 w 2218851"/>
            <a:gd name="connsiteY11" fmla="*/ 1025895 h 1047750"/>
            <a:gd name="connsiteX12" fmla="*/ 190026 w 2218851"/>
            <a:gd name="connsiteY12" fmla="*/ 973131 h 1047750"/>
            <a:gd name="connsiteX13" fmla="*/ 190026 w 2218851"/>
            <a:gd name="connsiteY13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3333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2952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638300 w 2028825"/>
            <a:gd name="connsiteY4" fmla="*/ 0 h 1047750"/>
            <a:gd name="connsiteX5" fmla="*/ 1685925 w 2028825"/>
            <a:gd name="connsiteY5" fmla="*/ 295275 h 1047750"/>
            <a:gd name="connsiteX6" fmla="*/ 1954206 w 2028825"/>
            <a:gd name="connsiteY6" fmla="*/ 314325 h 1047750"/>
            <a:gd name="connsiteX7" fmla="*/ 2006970 w 2028825"/>
            <a:gd name="connsiteY7" fmla="*/ 336180 h 1047750"/>
            <a:gd name="connsiteX8" fmla="*/ 2028825 w 2028825"/>
            <a:gd name="connsiteY8" fmla="*/ 388944 h 1047750"/>
            <a:gd name="connsiteX9" fmla="*/ 2028825 w 2028825"/>
            <a:gd name="connsiteY9" fmla="*/ 973131 h 1047750"/>
            <a:gd name="connsiteX10" fmla="*/ 2006970 w 2028825"/>
            <a:gd name="connsiteY10" fmla="*/ 1025895 h 1047750"/>
            <a:gd name="connsiteX11" fmla="*/ 1954206 w 2028825"/>
            <a:gd name="connsiteY11" fmla="*/ 1047750 h 1047750"/>
            <a:gd name="connsiteX12" fmla="*/ 74619 w 2028825"/>
            <a:gd name="connsiteY12" fmla="*/ 1047750 h 1047750"/>
            <a:gd name="connsiteX13" fmla="*/ 21855 w 2028825"/>
            <a:gd name="connsiteY13" fmla="*/ 1025895 h 1047750"/>
            <a:gd name="connsiteX14" fmla="*/ 0 w 2028825"/>
            <a:gd name="connsiteY14" fmla="*/ 973131 h 1047750"/>
            <a:gd name="connsiteX15" fmla="*/ 0 w 2028825"/>
            <a:gd name="connsiteY15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400175 w 2028825"/>
            <a:gd name="connsiteY4" fmla="*/ 314325 h 1047750"/>
            <a:gd name="connsiteX5" fmla="*/ 1638300 w 2028825"/>
            <a:gd name="connsiteY5" fmla="*/ 0 h 1047750"/>
            <a:gd name="connsiteX6" fmla="*/ 1685925 w 2028825"/>
            <a:gd name="connsiteY6" fmla="*/ 295275 h 1047750"/>
            <a:gd name="connsiteX7" fmla="*/ 1954206 w 2028825"/>
            <a:gd name="connsiteY7" fmla="*/ 314325 h 1047750"/>
            <a:gd name="connsiteX8" fmla="*/ 2006970 w 2028825"/>
            <a:gd name="connsiteY8" fmla="*/ 336180 h 1047750"/>
            <a:gd name="connsiteX9" fmla="*/ 2028825 w 2028825"/>
            <a:gd name="connsiteY9" fmla="*/ 388944 h 1047750"/>
            <a:gd name="connsiteX10" fmla="*/ 2028825 w 2028825"/>
            <a:gd name="connsiteY10" fmla="*/ 973131 h 1047750"/>
            <a:gd name="connsiteX11" fmla="*/ 2006970 w 2028825"/>
            <a:gd name="connsiteY11" fmla="*/ 1025895 h 1047750"/>
            <a:gd name="connsiteX12" fmla="*/ 1954206 w 2028825"/>
            <a:gd name="connsiteY12" fmla="*/ 1047750 h 1047750"/>
            <a:gd name="connsiteX13" fmla="*/ 74619 w 2028825"/>
            <a:gd name="connsiteY13" fmla="*/ 1047750 h 1047750"/>
            <a:gd name="connsiteX14" fmla="*/ 21855 w 2028825"/>
            <a:gd name="connsiteY14" fmla="*/ 1025895 h 1047750"/>
            <a:gd name="connsiteX15" fmla="*/ 0 w 2028825"/>
            <a:gd name="connsiteY15" fmla="*/ 973131 h 1047750"/>
            <a:gd name="connsiteX16" fmla="*/ 0 w 2028825"/>
            <a:gd name="connsiteY16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1400175 w 2028825"/>
            <a:gd name="connsiteY5" fmla="*/ 314325 h 1047750"/>
            <a:gd name="connsiteX6" fmla="*/ 1638300 w 2028825"/>
            <a:gd name="connsiteY6" fmla="*/ 0 h 1047750"/>
            <a:gd name="connsiteX7" fmla="*/ 1685925 w 2028825"/>
            <a:gd name="connsiteY7" fmla="*/ 295275 h 1047750"/>
            <a:gd name="connsiteX8" fmla="*/ 1954206 w 2028825"/>
            <a:gd name="connsiteY8" fmla="*/ 314325 h 1047750"/>
            <a:gd name="connsiteX9" fmla="*/ 2006970 w 2028825"/>
            <a:gd name="connsiteY9" fmla="*/ 336180 h 1047750"/>
            <a:gd name="connsiteX10" fmla="*/ 2028825 w 2028825"/>
            <a:gd name="connsiteY10" fmla="*/ 388944 h 1047750"/>
            <a:gd name="connsiteX11" fmla="*/ 2028825 w 2028825"/>
            <a:gd name="connsiteY11" fmla="*/ 973131 h 1047750"/>
            <a:gd name="connsiteX12" fmla="*/ 2006970 w 2028825"/>
            <a:gd name="connsiteY12" fmla="*/ 1025895 h 1047750"/>
            <a:gd name="connsiteX13" fmla="*/ 1954206 w 2028825"/>
            <a:gd name="connsiteY13" fmla="*/ 1047750 h 1047750"/>
            <a:gd name="connsiteX14" fmla="*/ 74619 w 2028825"/>
            <a:gd name="connsiteY14" fmla="*/ 1047750 h 1047750"/>
            <a:gd name="connsiteX15" fmla="*/ 21855 w 2028825"/>
            <a:gd name="connsiteY15" fmla="*/ 1025895 h 1047750"/>
            <a:gd name="connsiteX16" fmla="*/ 0 w 2028825"/>
            <a:gd name="connsiteY16" fmla="*/ 973131 h 1047750"/>
            <a:gd name="connsiteX17" fmla="*/ 0 w 2028825"/>
            <a:gd name="connsiteY17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800100 w 2028825"/>
            <a:gd name="connsiteY5" fmla="*/ 333375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790575 w 2028825"/>
            <a:gd name="connsiteY5" fmla="*/ 304800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465144 h 1123950"/>
            <a:gd name="connsiteX1" fmla="*/ 21855 w 2028825"/>
            <a:gd name="connsiteY1" fmla="*/ 412380 h 1123950"/>
            <a:gd name="connsiteX2" fmla="*/ 74619 w 2028825"/>
            <a:gd name="connsiteY2" fmla="*/ 390525 h 1123950"/>
            <a:gd name="connsiteX3" fmla="*/ 428625 w 2028825"/>
            <a:gd name="connsiteY3" fmla="*/ 390525 h 1123950"/>
            <a:gd name="connsiteX4" fmla="*/ 333375 w 2028825"/>
            <a:gd name="connsiteY4" fmla="*/ 0 h 1123950"/>
            <a:gd name="connsiteX5" fmla="*/ 790575 w 2028825"/>
            <a:gd name="connsiteY5" fmla="*/ 381000 h 1123950"/>
            <a:gd name="connsiteX6" fmla="*/ 1400175 w 2028825"/>
            <a:gd name="connsiteY6" fmla="*/ 390525 h 1123950"/>
            <a:gd name="connsiteX7" fmla="*/ 1638300 w 2028825"/>
            <a:gd name="connsiteY7" fmla="*/ 76200 h 1123950"/>
            <a:gd name="connsiteX8" fmla="*/ 1685925 w 2028825"/>
            <a:gd name="connsiteY8" fmla="*/ 371475 h 1123950"/>
            <a:gd name="connsiteX9" fmla="*/ 1954206 w 2028825"/>
            <a:gd name="connsiteY9" fmla="*/ 390525 h 1123950"/>
            <a:gd name="connsiteX10" fmla="*/ 2006970 w 2028825"/>
            <a:gd name="connsiteY10" fmla="*/ 412380 h 1123950"/>
            <a:gd name="connsiteX11" fmla="*/ 2028825 w 2028825"/>
            <a:gd name="connsiteY11" fmla="*/ 465144 h 1123950"/>
            <a:gd name="connsiteX12" fmla="*/ 2028825 w 2028825"/>
            <a:gd name="connsiteY12" fmla="*/ 1049331 h 1123950"/>
            <a:gd name="connsiteX13" fmla="*/ 2006970 w 2028825"/>
            <a:gd name="connsiteY13" fmla="*/ 1102095 h 1123950"/>
            <a:gd name="connsiteX14" fmla="*/ 1954206 w 2028825"/>
            <a:gd name="connsiteY14" fmla="*/ 1123950 h 1123950"/>
            <a:gd name="connsiteX15" fmla="*/ 74619 w 2028825"/>
            <a:gd name="connsiteY15" fmla="*/ 1123950 h 1123950"/>
            <a:gd name="connsiteX16" fmla="*/ 21855 w 2028825"/>
            <a:gd name="connsiteY16" fmla="*/ 1102095 h 1123950"/>
            <a:gd name="connsiteX17" fmla="*/ 0 w 2028825"/>
            <a:gd name="connsiteY17" fmla="*/ 1049331 h 1123950"/>
            <a:gd name="connsiteX18" fmla="*/ 0 w 2028825"/>
            <a:gd name="connsiteY18" fmla="*/ 465144 h 11239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333375 w 2028825"/>
            <a:gd name="connsiteY4" fmla="*/ 1524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7056 w 2028825"/>
            <a:gd name="connsiteY7" fmla="*/ 538219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395091 w 2028825"/>
            <a:gd name="connsiteY6" fmla="*/ 535779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356731 h 1015537"/>
            <a:gd name="connsiteX1" fmla="*/ 21855 w 2028825"/>
            <a:gd name="connsiteY1" fmla="*/ 303967 h 1015537"/>
            <a:gd name="connsiteX2" fmla="*/ 74619 w 2028825"/>
            <a:gd name="connsiteY2" fmla="*/ 282112 h 1015537"/>
            <a:gd name="connsiteX3" fmla="*/ 351810 w 2028825"/>
            <a:gd name="connsiteY3" fmla="*/ 272587 h 1015537"/>
            <a:gd name="connsiteX4" fmla="*/ 330447 w 2028825"/>
            <a:gd name="connsiteY4" fmla="*/ 0 h 1015537"/>
            <a:gd name="connsiteX5" fmla="*/ 704723 w 2028825"/>
            <a:gd name="connsiteY5" fmla="*/ 272587 h 1015537"/>
            <a:gd name="connsiteX6" fmla="*/ 1395091 w 2028825"/>
            <a:gd name="connsiteY6" fmla="*/ 274966 h 1015537"/>
            <a:gd name="connsiteX7" fmla="*/ 1644264 w 2028825"/>
            <a:gd name="connsiteY7" fmla="*/ 271492 h 1015537"/>
            <a:gd name="connsiteX8" fmla="*/ 1758222 w 2028825"/>
            <a:gd name="connsiteY8" fmla="*/ 263062 h 1015537"/>
            <a:gd name="connsiteX9" fmla="*/ 1954206 w 2028825"/>
            <a:gd name="connsiteY9" fmla="*/ 282112 h 1015537"/>
            <a:gd name="connsiteX10" fmla="*/ 2006970 w 2028825"/>
            <a:gd name="connsiteY10" fmla="*/ 303967 h 1015537"/>
            <a:gd name="connsiteX11" fmla="*/ 2028825 w 2028825"/>
            <a:gd name="connsiteY11" fmla="*/ 356731 h 1015537"/>
            <a:gd name="connsiteX12" fmla="*/ 2028825 w 2028825"/>
            <a:gd name="connsiteY12" fmla="*/ 940918 h 1015537"/>
            <a:gd name="connsiteX13" fmla="*/ 2006970 w 2028825"/>
            <a:gd name="connsiteY13" fmla="*/ 993682 h 1015537"/>
            <a:gd name="connsiteX14" fmla="*/ 1954206 w 2028825"/>
            <a:gd name="connsiteY14" fmla="*/ 1015537 h 1015537"/>
            <a:gd name="connsiteX15" fmla="*/ 74619 w 2028825"/>
            <a:gd name="connsiteY15" fmla="*/ 1015537 h 1015537"/>
            <a:gd name="connsiteX16" fmla="*/ 21855 w 2028825"/>
            <a:gd name="connsiteY16" fmla="*/ 993682 h 1015537"/>
            <a:gd name="connsiteX17" fmla="*/ 0 w 2028825"/>
            <a:gd name="connsiteY17" fmla="*/ 940918 h 1015537"/>
            <a:gd name="connsiteX18" fmla="*/ 0 w 2028825"/>
            <a:gd name="connsiteY18" fmla="*/ 356731 h 1015537"/>
            <a:gd name="connsiteX0" fmla="*/ 0 w 2028825"/>
            <a:gd name="connsiteY0" fmla="*/ 426281 h 1085087"/>
            <a:gd name="connsiteX1" fmla="*/ 21855 w 2028825"/>
            <a:gd name="connsiteY1" fmla="*/ 373517 h 1085087"/>
            <a:gd name="connsiteX2" fmla="*/ 74619 w 2028825"/>
            <a:gd name="connsiteY2" fmla="*/ 351662 h 1085087"/>
            <a:gd name="connsiteX3" fmla="*/ 351810 w 2028825"/>
            <a:gd name="connsiteY3" fmla="*/ 342137 h 1085087"/>
            <a:gd name="connsiteX4" fmla="*/ 243242 w 2028825"/>
            <a:gd name="connsiteY4" fmla="*/ 0 h 1085087"/>
            <a:gd name="connsiteX5" fmla="*/ 704723 w 2028825"/>
            <a:gd name="connsiteY5" fmla="*/ 342137 h 1085087"/>
            <a:gd name="connsiteX6" fmla="*/ 1395091 w 2028825"/>
            <a:gd name="connsiteY6" fmla="*/ 344516 h 1085087"/>
            <a:gd name="connsiteX7" fmla="*/ 1644264 w 2028825"/>
            <a:gd name="connsiteY7" fmla="*/ 341042 h 1085087"/>
            <a:gd name="connsiteX8" fmla="*/ 1758222 w 2028825"/>
            <a:gd name="connsiteY8" fmla="*/ 332612 h 1085087"/>
            <a:gd name="connsiteX9" fmla="*/ 1954206 w 2028825"/>
            <a:gd name="connsiteY9" fmla="*/ 351662 h 1085087"/>
            <a:gd name="connsiteX10" fmla="*/ 2006970 w 2028825"/>
            <a:gd name="connsiteY10" fmla="*/ 373517 h 1085087"/>
            <a:gd name="connsiteX11" fmla="*/ 2028825 w 2028825"/>
            <a:gd name="connsiteY11" fmla="*/ 426281 h 1085087"/>
            <a:gd name="connsiteX12" fmla="*/ 2028825 w 2028825"/>
            <a:gd name="connsiteY12" fmla="*/ 1010468 h 1085087"/>
            <a:gd name="connsiteX13" fmla="*/ 2006970 w 2028825"/>
            <a:gd name="connsiteY13" fmla="*/ 1063232 h 1085087"/>
            <a:gd name="connsiteX14" fmla="*/ 1954206 w 2028825"/>
            <a:gd name="connsiteY14" fmla="*/ 1085087 h 1085087"/>
            <a:gd name="connsiteX15" fmla="*/ 74619 w 2028825"/>
            <a:gd name="connsiteY15" fmla="*/ 1085087 h 1085087"/>
            <a:gd name="connsiteX16" fmla="*/ 21855 w 2028825"/>
            <a:gd name="connsiteY16" fmla="*/ 1063232 h 1085087"/>
            <a:gd name="connsiteX17" fmla="*/ 0 w 2028825"/>
            <a:gd name="connsiteY17" fmla="*/ 1010468 h 1085087"/>
            <a:gd name="connsiteX18" fmla="*/ 0 w 2028825"/>
            <a:gd name="connsiteY18" fmla="*/ 426281 h 1085087"/>
            <a:gd name="connsiteX0" fmla="*/ 0 w 2028825"/>
            <a:gd name="connsiteY0" fmla="*/ 400980 h 1059786"/>
            <a:gd name="connsiteX1" fmla="*/ 21855 w 2028825"/>
            <a:gd name="connsiteY1" fmla="*/ 348216 h 1059786"/>
            <a:gd name="connsiteX2" fmla="*/ 74619 w 2028825"/>
            <a:gd name="connsiteY2" fmla="*/ 326361 h 1059786"/>
            <a:gd name="connsiteX3" fmla="*/ 351810 w 2028825"/>
            <a:gd name="connsiteY3" fmla="*/ 316836 h 1059786"/>
            <a:gd name="connsiteX4" fmla="*/ 322574 w 2028825"/>
            <a:gd name="connsiteY4" fmla="*/ 0 h 1059786"/>
            <a:gd name="connsiteX5" fmla="*/ 704723 w 2028825"/>
            <a:gd name="connsiteY5" fmla="*/ 316836 h 1059786"/>
            <a:gd name="connsiteX6" fmla="*/ 1395091 w 2028825"/>
            <a:gd name="connsiteY6" fmla="*/ 319215 h 1059786"/>
            <a:gd name="connsiteX7" fmla="*/ 1644264 w 2028825"/>
            <a:gd name="connsiteY7" fmla="*/ 315741 h 1059786"/>
            <a:gd name="connsiteX8" fmla="*/ 1758222 w 2028825"/>
            <a:gd name="connsiteY8" fmla="*/ 307311 h 1059786"/>
            <a:gd name="connsiteX9" fmla="*/ 1954206 w 2028825"/>
            <a:gd name="connsiteY9" fmla="*/ 326361 h 1059786"/>
            <a:gd name="connsiteX10" fmla="*/ 2006970 w 2028825"/>
            <a:gd name="connsiteY10" fmla="*/ 348216 h 1059786"/>
            <a:gd name="connsiteX11" fmla="*/ 2028825 w 2028825"/>
            <a:gd name="connsiteY11" fmla="*/ 400980 h 1059786"/>
            <a:gd name="connsiteX12" fmla="*/ 2028825 w 2028825"/>
            <a:gd name="connsiteY12" fmla="*/ 985167 h 1059786"/>
            <a:gd name="connsiteX13" fmla="*/ 2006970 w 2028825"/>
            <a:gd name="connsiteY13" fmla="*/ 1037931 h 1059786"/>
            <a:gd name="connsiteX14" fmla="*/ 1954206 w 2028825"/>
            <a:gd name="connsiteY14" fmla="*/ 1059786 h 1059786"/>
            <a:gd name="connsiteX15" fmla="*/ 74619 w 2028825"/>
            <a:gd name="connsiteY15" fmla="*/ 1059786 h 1059786"/>
            <a:gd name="connsiteX16" fmla="*/ 21855 w 2028825"/>
            <a:gd name="connsiteY16" fmla="*/ 1037931 h 1059786"/>
            <a:gd name="connsiteX17" fmla="*/ 0 w 2028825"/>
            <a:gd name="connsiteY17" fmla="*/ 985167 h 1059786"/>
            <a:gd name="connsiteX18" fmla="*/ 0 w 2028825"/>
            <a:gd name="connsiteY18" fmla="*/ 400980 h 1059786"/>
            <a:gd name="connsiteX0" fmla="*/ 0 w 2028825"/>
            <a:gd name="connsiteY0" fmla="*/ 93669 h 752475"/>
            <a:gd name="connsiteX1" fmla="*/ 21855 w 2028825"/>
            <a:gd name="connsiteY1" fmla="*/ 40905 h 752475"/>
            <a:gd name="connsiteX2" fmla="*/ 74619 w 2028825"/>
            <a:gd name="connsiteY2" fmla="*/ 19050 h 752475"/>
            <a:gd name="connsiteX3" fmla="*/ 351810 w 2028825"/>
            <a:gd name="connsiteY3" fmla="*/ 9525 h 752475"/>
            <a:gd name="connsiteX4" fmla="*/ 704723 w 2028825"/>
            <a:gd name="connsiteY4" fmla="*/ 9525 h 752475"/>
            <a:gd name="connsiteX5" fmla="*/ 1395091 w 2028825"/>
            <a:gd name="connsiteY5" fmla="*/ 11904 h 752475"/>
            <a:gd name="connsiteX6" fmla="*/ 1644264 w 2028825"/>
            <a:gd name="connsiteY6" fmla="*/ 8430 h 752475"/>
            <a:gd name="connsiteX7" fmla="*/ 1758222 w 2028825"/>
            <a:gd name="connsiteY7" fmla="*/ 0 h 752475"/>
            <a:gd name="connsiteX8" fmla="*/ 1954206 w 2028825"/>
            <a:gd name="connsiteY8" fmla="*/ 19050 h 752475"/>
            <a:gd name="connsiteX9" fmla="*/ 2006970 w 2028825"/>
            <a:gd name="connsiteY9" fmla="*/ 40905 h 752475"/>
            <a:gd name="connsiteX10" fmla="*/ 2028825 w 2028825"/>
            <a:gd name="connsiteY10" fmla="*/ 93669 h 752475"/>
            <a:gd name="connsiteX11" fmla="*/ 2028825 w 2028825"/>
            <a:gd name="connsiteY11" fmla="*/ 677856 h 752475"/>
            <a:gd name="connsiteX12" fmla="*/ 2006970 w 2028825"/>
            <a:gd name="connsiteY12" fmla="*/ 730620 h 752475"/>
            <a:gd name="connsiteX13" fmla="*/ 1954206 w 2028825"/>
            <a:gd name="connsiteY13" fmla="*/ 752475 h 752475"/>
            <a:gd name="connsiteX14" fmla="*/ 74619 w 2028825"/>
            <a:gd name="connsiteY14" fmla="*/ 752475 h 752475"/>
            <a:gd name="connsiteX15" fmla="*/ 21855 w 2028825"/>
            <a:gd name="connsiteY15" fmla="*/ 730620 h 752475"/>
            <a:gd name="connsiteX16" fmla="*/ 0 w 2028825"/>
            <a:gd name="connsiteY16" fmla="*/ 677856 h 752475"/>
            <a:gd name="connsiteX17" fmla="*/ 0 w 2028825"/>
            <a:gd name="connsiteY17" fmla="*/ 93669 h 752475"/>
            <a:gd name="connsiteX0" fmla="*/ 4141029 w 6169854"/>
            <a:gd name="connsiteY0" fmla="*/ 173456 h 849800"/>
            <a:gd name="connsiteX1" fmla="*/ 4162884 w 6169854"/>
            <a:gd name="connsiteY1" fmla="*/ 120692 h 849800"/>
            <a:gd name="connsiteX2" fmla="*/ 4215648 w 6169854"/>
            <a:gd name="connsiteY2" fmla="*/ 98837 h 849800"/>
            <a:gd name="connsiteX3" fmla="*/ 4492839 w 6169854"/>
            <a:gd name="connsiteY3" fmla="*/ 89312 h 849800"/>
            <a:gd name="connsiteX4" fmla="*/ 4845752 w 6169854"/>
            <a:gd name="connsiteY4" fmla="*/ 89312 h 849800"/>
            <a:gd name="connsiteX5" fmla="*/ 5536120 w 6169854"/>
            <a:gd name="connsiteY5" fmla="*/ 91691 h 849800"/>
            <a:gd name="connsiteX6" fmla="*/ 5785293 w 6169854"/>
            <a:gd name="connsiteY6" fmla="*/ 88217 h 849800"/>
            <a:gd name="connsiteX7" fmla="*/ 5899251 w 6169854"/>
            <a:gd name="connsiteY7" fmla="*/ 79787 h 849800"/>
            <a:gd name="connsiteX8" fmla="*/ 6095235 w 6169854"/>
            <a:gd name="connsiteY8" fmla="*/ 98837 h 849800"/>
            <a:gd name="connsiteX9" fmla="*/ 6147999 w 6169854"/>
            <a:gd name="connsiteY9" fmla="*/ 120692 h 849800"/>
            <a:gd name="connsiteX10" fmla="*/ 6169854 w 6169854"/>
            <a:gd name="connsiteY10" fmla="*/ 173456 h 849800"/>
            <a:gd name="connsiteX11" fmla="*/ 6169854 w 6169854"/>
            <a:gd name="connsiteY11" fmla="*/ 757643 h 849800"/>
            <a:gd name="connsiteX12" fmla="*/ 6147999 w 6169854"/>
            <a:gd name="connsiteY12" fmla="*/ 810407 h 849800"/>
            <a:gd name="connsiteX13" fmla="*/ 6095235 w 6169854"/>
            <a:gd name="connsiteY13" fmla="*/ 832262 h 849800"/>
            <a:gd name="connsiteX14" fmla="*/ 4215648 w 6169854"/>
            <a:gd name="connsiteY14" fmla="*/ 832262 h 849800"/>
            <a:gd name="connsiteX15" fmla="*/ 4162884 w 6169854"/>
            <a:gd name="connsiteY15" fmla="*/ 810407 h 849800"/>
            <a:gd name="connsiteX16" fmla="*/ 4141029 w 6169854"/>
            <a:gd name="connsiteY16" fmla="*/ 757643 h 849800"/>
            <a:gd name="connsiteX17" fmla="*/ 0 w 6169854"/>
            <a:gd name="connsiteY17" fmla="*/ 0 h 849800"/>
            <a:gd name="connsiteX18" fmla="*/ 4141029 w 6169854"/>
            <a:gd name="connsiteY18" fmla="*/ 173456 h 849800"/>
            <a:gd name="connsiteX0" fmla="*/ 4141029 w 6169854"/>
            <a:gd name="connsiteY0" fmla="*/ 173456 h 832262"/>
            <a:gd name="connsiteX1" fmla="*/ 4162884 w 6169854"/>
            <a:gd name="connsiteY1" fmla="*/ 120692 h 832262"/>
            <a:gd name="connsiteX2" fmla="*/ 4215648 w 6169854"/>
            <a:gd name="connsiteY2" fmla="*/ 98837 h 832262"/>
            <a:gd name="connsiteX3" fmla="*/ 4492839 w 6169854"/>
            <a:gd name="connsiteY3" fmla="*/ 89312 h 832262"/>
            <a:gd name="connsiteX4" fmla="*/ 4845752 w 6169854"/>
            <a:gd name="connsiteY4" fmla="*/ 89312 h 832262"/>
            <a:gd name="connsiteX5" fmla="*/ 5536120 w 6169854"/>
            <a:gd name="connsiteY5" fmla="*/ 91691 h 832262"/>
            <a:gd name="connsiteX6" fmla="*/ 5785293 w 6169854"/>
            <a:gd name="connsiteY6" fmla="*/ 88217 h 832262"/>
            <a:gd name="connsiteX7" fmla="*/ 5899251 w 6169854"/>
            <a:gd name="connsiteY7" fmla="*/ 79787 h 832262"/>
            <a:gd name="connsiteX8" fmla="*/ 6095235 w 6169854"/>
            <a:gd name="connsiteY8" fmla="*/ 98837 h 832262"/>
            <a:gd name="connsiteX9" fmla="*/ 6147999 w 6169854"/>
            <a:gd name="connsiteY9" fmla="*/ 120692 h 832262"/>
            <a:gd name="connsiteX10" fmla="*/ 6169854 w 6169854"/>
            <a:gd name="connsiteY10" fmla="*/ 173456 h 832262"/>
            <a:gd name="connsiteX11" fmla="*/ 6169854 w 6169854"/>
            <a:gd name="connsiteY11" fmla="*/ 757643 h 832262"/>
            <a:gd name="connsiteX12" fmla="*/ 6147999 w 6169854"/>
            <a:gd name="connsiteY12" fmla="*/ 810407 h 832262"/>
            <a:gd name="connsiteX13" fmla="*/ 6095235 w 6169854"/>
            <a:gd name="connsiteY13" fmla="*/ 832262 h 832262"/>
            <a:gd name="connsiteX14" fmla="*/ 4215648 w 6169854"/>
            <a:gd name="connsiteY14" fmla="*/ 832262 h 832262"/>
            <a:gd name="connsiteX15" fmla="*/ 4162884 w 6169854"/>
            <a:gd name="connsiteY15" fmla="*/ 810407 h 832262"/>
            <a:gd name="connsiteX16" fmla="*/ 4141029 w 6169854"/>
            <a:gd name="connsiteY16" fmla="*/ 757643 h 832262"/>
            <a:gd name="connsiteX17" fmla="*/ 4071549 w 6169854"/>
            <a:gd name="connsiteY17" fmla="*/ 359250 h 832262"/>
            <a:gd name="connsiteX18" fmla="*/ 0 w 6169854"/>
            <a:gd name="connsiteY18" fmla="*/ 0 h 832262"/>
            <a:gd name="connsiteX19" fmla="*/ 4141029 w 6169854"/>
            <a:gd name="connsiteY19" fmla="*/ 173456 h 832262"/>
            <a:gd name="connsiteX0" fmla="*/ 4141029 w 6169854"/>
            <a:gd name="connsiteY0" fmla="*/ 173456 h 832262"/>
            <a:gd name="connsiteX1" fmla="*/ 4162884 w 6169854"/>
            <a:gd name="connsiteY1" fmla="*/ 120692 h 832262"/>
            <a:gd name="connsiteX2" fmla="*/ 4215648 w 6169854"/>
            <a:gd name="connsiteY2" fmla="*/ 98837 h 832262"/>
            <a:gd name="connsiteX3" fmla="*/ 4492839 w 6169854"/>
            <a:gd name="connsiteY3" fmla="*/ 89312 h 832262"/>
            <a:gd name="connsiteX4" fmla="*/ 4845752 w 6169854"/>
            <a:gd name="connsiteY4" fmla="*/ 89312 h 832262"/>
            <a:gd name="connsiteX5" fmla="*/ 5536120 w 6169854"/>
            <a:gd name="connsiteY5" fmla="*/ 91691 h 832262"/>
            <a:gd name="connsiteX6" fmla="*/ 5785293 w 6169854"/>
            <a:gd name="connsiteY6" fmla="*/ 88217 h 832262"/>
            <a:gd name="connsiteX7" fmla="*/ 5899251 w 6169854"/>
            <a:gd name="connsiteY7" fmla="*/ 79787 h 832262"/>
            <a:gd name="connsiteX8" fmla="*/ 6095235 w 6169854"/>
            <a:gd name="connsiteY8" fmla="*/ 98837 h 832262"/>
            <a:gd name="connsiteX9" fmla="*/ 6147999 w 6169854"/>
            <a:gd name="connsiteY9" fmla="*/ 120692 h 832262"/>
            <a:gd name="connsiteX10" fmla="*/ 6169854 w 6169854"/>
            <a:gd name="connsiteY10" fmla="*/ 173456 h 832262"/>
            <a:gd name="connsiteX11" fmla="*/ 6169854 w 6169854"/>
            <a:gd name="connsiteY11" fmla="*/ 757643 h 832262"/>
            <a:gd name="connsiteX12" fmla="*/ 6147999 w 6169854"/>
            <a:gd name="connsiteY12" fmla="*/ 810407 h 832262"/>
            <a:gd name="connsiteX13" fmla="*/ 6095235 w 6169854"/>
            <a:gd name="connsiteY13" fmla="*/ 832262 h 832262"/>
            <a:gd name="connsiteX14" fmla="*/ 4215648 w 6169854"/>
            <a:gd name="connsiteY14" fmla="*/ 832262 h 832262"/>
            <a:gd name="connsiteX15" fmla="*/ 4162884 w 6169854"/>
            <a:gd name="connsiteY15" fmla="*/ 810407 h 832262"/>
            <a:gd name="connsiteX16" fmla="*/ 4141029 w 6169854"/>
            <a:gd name="connsiteY16" fmla="*/ 757643 h 832262"/>
            <a:gd name="connsiteX17" fmla="*/ 576006 w 6169854"/>
            <a:gd name="connsiteY17" fmla="*/ 487507 h 832262"/>
            <a:gd name="connsiteX18" fmla="*/ 4071549 w 6169854"/>
            <a:gd name="connsiteY18" fmla="*/ 359250 h 832262"/>
            <a:gd name="connsiteX19" fmla="*/ 0 w 6169854"/>
            <a:gd name="connsiteY19" fmla="*/ 0 h 832262"/>
            <a:gd name="connsiteX20" fmla="*/ 4141029 w 6169854"/>
            <a:gd name="connsiteY20" fmla="*/ 173456 h 832262"/>
            <a:gd name="connsiteX0" fmla="*/ 4141029 w 6169854"/>
            <a:gd name="connsiteY0" fmla="*/ 173456 h 832262"/>
            <a:gd name="connsiteX1" fmla="*/ 4162884 w 6169854"/>
            <a:gd name="connsiteY1" fmla="*/ 120692 h 832262"/>
            <a:gd name="connsiteX2" fmla="*/ 4215648 w 6169854"/>
            <a:gd name="connsiteY2" fmla="*/ 98837 h 832262"/>
            <a:gd name="connsiteX3" fmla="*/ 4492839 w 6169854"/>
            <a:gd name="connsiteY3" fmla="*/ 89312 h 832262"/>
            <a:gd name="connsiteX4" fmla="*/ 4845752 w 6169854"/>
            <a:gd name="connsiteY4" fmla="*/ 89312 h 832262"/>
            <a:gd name="connsiteX5" fmla="*/ 5536120 w 6169854"/>
            <a:gd name="connsiteY5" fmla="*/ 91691 h 832262"/>
            <a:gd name="connsiteX6" fmla="*/ 5785293 w 6169854"/>
            <a:gd name="connsiteY6" fmla="*/ 88217 h 832262"/>
            <a:gd name="connsiteX7" fmla="*/ 5899251 w 6169854"/>
            <a:gd name="connsiteY7" fmla="*/ 79787 h 832262"/>
            <a:gd name="connsiteX8" fmla="*/ 6095235 w 6169854"/>
            <a:gd name="connsiteY8" fmla="*/ 98837 h 832262"/>
            <a:gd name="connsiteX9" fmla="*/ 6147999 w 6169854"/>
            <a:gd name="connsiteY9" fmla="*/ 120692 h 832262"/>
            <a:gd name="connsiteX10" fmla="*/ 6169854 w 6169854"/>
            <a:gd name="connsiteY10" fmla="*/ 173456 h 832262"/>
            <a:gd name="connsiteX11" fmla="*/ 6169854 w 6169854"/>
            <a:gd name="connsiteY11" fmla="*/ 757643 h 832262"/>
            <a:gd name="connsiteX12" fmla="*/ 6147999 w 6169854"/>
            <a:gd name="connsiteY12" fmla="*/ 810407 h 832262"/>
            <a:gd name="connsiteX13" fmla="*/ 6095235 w 6169854"/>
            <a:gd name="connsiteY13" fmla="*/ 832262 h 832262"/>
            <a:gd name="connsiteX14" fmla="*/ 4215648 w 6169854"/>
            <a:gd name="connsiteY14" fmla="*/ 832262 h 832262"/>
            <a:gd name="connsiteX15" fmla="*/ 4162884 w 6169854"/>
            <a:gd name="connsiteY15" fmla="*/ 810407 h 832262"/>
            <a:gd name="connsiteX16" fmla="*/ 4141029 w 6169854"/>
            <a:gd name="connsiteY16" fmla="*/ 757643 h 832262"/>
            <a:gd name="connsiteX17" fmla="*/ 4058683 w 6169854"/>
            <a:gd name="connsiteY17" fmla="*/ 482120 h 832262"/>
            <a:gd name="connsiteX18" fmla="*/ 576006 w 6169854"/>
            <a:gd name="connsiteY18" fmla="*/ 487507 h 832262"/>
            <a:gd name="connsiteX19" fmla="*/ 4071549 w 6169854"/>
            <a:gd name="connsiteY19" fmla="*/ 359250 h 832262"/>
            <a:gd name="connsiteX20" fmla="*/ 0 w 6169854"/>
            <a:gd name="connsiteY20" fmla="*/ 0 h 832262"/>
            <a:gd name="connsiteX21" fmla="*/ 4141029 w 6169854"/>
            <a:gd name="connsiteY21" fmla="*/ 173456 h 832262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5899251 w 6169854"/>
            <a:gd name="connsiteY7" fmla="*/ 79787 h 896904"/>
            <a:gd name="connsiteX8" fmla="*/ 6095235 w 6169854"/>
            <a:gd name="connsiteY8" fmla="*/ 98837 h 896904"/>
            <a:gd name="connsiteX9" fmla="*/ 6147999 w 6169854"/>
            <a:gd name="connsiteY9" fmla="*/ 120692 h 896904"/>
            <a:gd name="connsiteX10" fmla="*/ 6169854 w 6169854"/>
            <a:gd name="connsiteY10" fmla="*/ 173456 h 896904"/>
            <a:gd name="connsiteX11" fmla="*/ 6169854 w 6169854"/>
            <a:gd name="connsiteY11" fmla="*/ 757643 h 896904"/>
            <a:gd name="connsiteX12" fmla="*/ 6147999 w 6169854"/>
            <a:gd name="connsiteY12" fmla="*/ 810407 h 896904"/>
            <a:gd name="connsiteX13" fmla="*/ 6095235 w 6169854"/>
            <a:gd name="connsiteY13" fmla="*/ 832262 h 896904"/>
            <a:gd name="connsiteX14" fmla="*/ 4215648 w 6169854"/>
            <a:gd name="connsiteY14" fmla="*/ 832262 h 896904"/>
            <a:gd name="connsiteX15" fmla="*/ 4162884 w 6169854"/>
            <a:gd name="connsiteY15" fmla="*/ 810407 h 896904"/>
            <a:gd name="connsiteX16" fmla="*/ 4141029 w 6169854"/>
            <a:gd name="connsiteY16" fmla="*/ 757643 h 896904"/>
            <a:gd name="connsiteX17" fmla="*/ 2574263 w 6169854"/>
            <a:gd name="connsiteY17" fmla="*/ 896904 h 896904"/>
            <a:gd name="connsiteX18" fmla="*/ 4058683 w 6169854"/>
            <a:gd name="connsiteY18" fmla="*/ 482120 h 896904"/>
            <a:gd name="connsiteX19" fmla="*/ 576006 w 6169854"/>
            <a:gd name="connsiteY19" fmla="*/ 487507 h 896904"/>
            <a:gd name="connsiteX20" fmla="*/ 4071549 w 6169854"/>
            <a:gd name="connsiteY20" fmla="*/ 359250 h 896904"/>
            <a:gd name="connsiteX21" fmla="*/ 0 w 6169854"/>
            <a:gd name="connsiteY21" fmla="*/ 0 h 896904"/>
            <a:gd name="connsiteX22" fmla="*/ 4141029 w 6169854"/>
            <a:gd name="connsiteY22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5899251 w 6169854"/>
            <a:gd name="connsiteY7" fmla="*/ 79787 h 896904"/>
            <a:gd name="connsiteX8" fmla="*/ 6095235 w 6169854"/>
            <a:gd name="connsiteY8" fmla="*/ 98837 h 896904"/>
            <a:gd name="connsiteX9" fmla="*/ 6147999 w 6169854"/>
            <a:gd name="connsiteY9" fmla="*/ 120692 h 896904"/>
            <a:gd name="connsiteX10" fmla="*/ 6169854 w 6169854"/>
            <a:gd name="connsiteY10" fmla="*/ 173456 h 896904"/>
            <a:gd name="connsiteX11" fmla="*/ 6169854 w 6169854"/>
            <a:gd name="connsiteY11" fmla="*/ 757643 h 896904"/>
            <a:gd name="connsiteX12" fmla="*/ 6147999 w 6169854"/>
            <a:gd name="connsiteY12" fmla="*/ 810407 h 896904"/>
            <a:gd name="connsiteX13" fmla="*/ 6095235 w 6169854"/>
            <a:gd name="connsiteY13" fmla="*/ 832262 h 896904"/>
            <a:gd name="connsiteX14" fmla="*/ 4215648 w 6169854"/>
            <a:gd name="connsiteY14" fmla="*/ 832262 h 896904"/>
            <a:gd name="connsiteX15" fmla="*/ 4162884 w 6169854"/>
            <a:gd name="connsiteY15" fmla="*/ 810407 h 896904"/>
            <a:gd name="connsiteX16" fmla="*/ 4141029 w 6169854"/>
            <a:gd name="connsiteY16" fmla="*/ 757643 h 896904"/>
            <a:gd name="connsiteX17" fmla="*/ 2574263 w 6169854"/>
            <a:gd name="connsiteY17" fmla="*/ 896904 h 896904"/>
            <a:gd name="connsiteX18" fmla="*/ 4096744 w 6169854"/>
            <a:gd name="connsiteY18" fmla="*/ 662578 h 896904"/>
            <a:gd name="connsiteX19" fmla="*/ 4058683 w 6169854"/>
            <a:gd name="connsiteY19" fmla="*/ 482120 h 896904"/>
            <a:gd name="connsiteX20" fmla="*/ 576006 w 6169854"/>
            <a:gd name="connsiteY20" fmla="*/ 487507 h 896904"/>
            <a:gd name="connsiteX21" fmla="*/ 4071549 w 6169854"/>
            <a:gd name="connsiteY21" fmla="*/ 359250 h 896904"/>
            <a:gd name="connsiteX22" fmla="*/ 0 w 6169854"/>
            <a:gd name="connsiteY22" fmla="*/ 0 h 896904"/>
            <a:gd name="connsiteX23" fmla="*/ 4141029 w 6169854"/>
            <a:gd name="connsiteY23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5899251 w 6169854"/>
            <a:gd name="connsiteY7" fmla="*/ 79787 h 896904"/>
            <a:gd name="connsiteX8" fmla="*/ 6095235 w 6169854"/>
            <a:gd name="connsiteY8" fmla="*/ 98837 h 896904"/>
            <a:gd name="connsiteX9" fmla="*/ 6147999 w 6169854"/>
            <a:gd name="connsiteY9" fmla="*/ 120692 h 896904"/>
            <a:gd name="connsiteX10" fmla="*/ 6169854 w 6169854"/>
            <a:gd name="connsiteY10" fmla="*/ 173456 h 896904"/>
            <a:gd name="connsiteX11" fmla="*/ 6169854 w 6169854"/>
            <a:gd name="connsiteY11" fmla="*/ 757643 h 896904"/>
            <a:gd name="connsiteX12" fmla="*/ 6147999 w 6169854"/>
            <a:gd name="connsiteY12" fmla="*/ 810407 h 896904"/>
            <a:gd name="connsiteX13" fmla="*/ 6095235 w 6169854"/>
            <a:gd name="connsiteY13" fmla="*/ 832262 h 896904"/>
            <a:gd name="connsiteX14" fmla="*/ 4215648 w 6169854"/>
            <a:gd name="connsiteY14" fmla="*/ 832262 h 896904"/>
            <a:gd name="connsiteX15" fmla="*/ 4162884 w 6169854"/>
            <a:gd name="connsiteY15" fmla="*/ 810407 h 896904"/>
            <a:gd name="connsiteX16" fmla="*/ 4141029 w 6169854"/>
            <a:gd name="connsiteY16" fmla="*/ 757643 h 896904"/>
            <a:gd name="connsiteX17" fmla="*/ 2574263 w 6169854"/>
            <a:gd name="connsiteY17" fmla="*/ 896904 h 896904"/>
            <a:gd name="connsiteX18" fmla="*/ 4096744 w 6169854"/>
            <a:gd name="connsiteY18" fmla="*/ 662578 h 896904"/>
            <a:gd name="connsiteX19" fmla="*/ 4077714 w 6169854"/>
            <a:gd name="connsiteY19" fmla="*/ 568308 h 896904"/>
            <a:gd name="connsiteX20" fmla="*/ 576006 w 6169854"/>
            <a:gd name="connsiteY20" fmla="*/ 487507 h 896904"/>
            <a:gd name="connsiteX21" fmla="*/ 4071549 w 6169854"/>
            <a:gd name="connsiteY21" fmla="*/ 359250 h 896904"/>
            <a:gd name="connsiteX22" fmla="*/ 0 w 6169854"/>
            <a:gd name="connsiteY22" fmla="*/ 0 h 896904"/>
            <a:gd name="connsiteX23" fmla="*/ 4141029 w 6169854"/>
            <a:gd name="connsiteY23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5899251 w 6169854"/>
            <a:gd name="connsiteY7" fmla="*/ 79787 h 896904"/>
            <a:gd name="connsiteX8" fmla="*/ 6095235 w 6169854"/>
            <a:gd name="connsiteY8" fmla="*/ 98837 h 896904"/>
            <a:gd name="connsiteX9" fmla="*/ 6147999 w 6169854"/>
            <a:gd name="connsiteY9" fmla="*/ 120692 h 896904"/>
            <a:gd name="connsiteX10" fmla="*/ 6169854 w 6169854"/>
            <a:gd name="connsiteY10" fmla="*/ 173456 h 896904"/>
            <a:gd name="connsiteX11" fmla="*/ 6169854 w 6169854"/>
            <a:gd name="connsiteY11" fmla="*/ 757643 h 896904"/>
            <a:gd name="connsiteX12" fmla="*/ 6147999 w 6169854"/>
            <a:gd name="connsiteY12" fmla="*/ 810407 h 896904"/>
            <a:gd name="connsiteX13" fmla="*/ 6095235 w 6169854"/>
            <a:gd name="connsiteY13" fmla="*/ 832262 h 896904"/>
            <a:gd name="connsiteX14" fmla="*/ 4215648 w 6169854"/>
            <a:gd name="connsiteY14" fmla="*/ 832262 h 896904"/>
            <a:gd name="connsiteX15" fmla="*/ 4162884 w 6169854"/>
            <a:gd name="connsiteY15" fmla="*/ 810407 h 896904"/>
            <a:gd name="connsiteX16" fmla="*/ 4141029 w 6169854"/>
            <a:gd name="connsiteY16" fmla="*/ 757643 h 896904"/>
            <a:gd name="connsiteX17" fmla="*/ 2574263 w 6169854"/>
            <a:gd name="connsiteY17" fmla="*/ 896904 h 896904"/>
            <a:gd name="connsiteX18" fmla="*/ 4096744 w 6169854"/>
            <a:gd name="connsiteY18" fmla="*/ 662578 h 896904"/>
            <a:gd name="connsiteX19" fmla="*/ 4077714 w 6169854"/>
            <a:gd name="connsiteY19" fmla="*/ 568308 h 896904"/>
            <a:gd name="connsiteX20" fmla="*/ 576006 w 6169854"/>
            <a:gd name="connsiteY20" fmla="*/ 487507 h 896904"/>
            <a:gd name="connsiteX21" fmla="*/ 4058683 w 6169854"/>
            <a:gd name="connsiteY21" fmla="*/ 452492 h 896904"/>
            <a:gd name="connsiteX22" fmla="*/ 4071549 w 6169854"/>
            <a:gd name="connsiteY22" fmla="*/ 359250 h 896904"/>
            <a:gd name="connsiteX23" fmla="*/ 0 w 6169854"/>
            <a:gd name="connsiteY23" fmla="*/ 0 h 896904"/>
            <a:gd name="connsiteX24" fmla="*/ 4141029 w 6169854"/>
            <a:gd name="connsiteY24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5899251 w 6169854"/>
            <a:gd name="connsiteY7" fmla="*/ 79787 h 896904"/>
            <a:gd name="connsiteX8" fmla="*/ 6095235 w 6169854"/>
            <a:gd name="connsiteY8" fmla="*/ 98837 h 896904"/>
            <a:gd name="connsiteX9" fmla="*/ 6147999 w 6169854"/>
            <a:gd name="connsiteY9" fmla="*/ 120692 h 896904"/>
            <a:gd name="connsiteX10" fmla="*/ 6169854 w 6169854"/>
            <a:gd name="connsiteY10" fmla="*/ 173456 h 896904"/>
            <a:gd name="connsiteX11" fmla="*/ 6169854 w 6169854"/>
            <a:gd name="connsiteY11" fmla="*/ 757643 h 896904"/>
            <a:gd name="connsiteX12" fmla="*/ 6147999 w 6169854"/>
            <a:gd name="connsiteY12" fmla="*/ 810407 h 896904"/>
            <a:gd name="connsiteX13" fmla="*/ 6095235 w 6169854"/>
            <a:gd name="connsiteY13" fmla="*/ 832262 h 896904"/>
            <a:gd name="connsiteX14" fmla="*/ 4215648 w 6169854"/>
            <a:gd name="connsiteY14" fmla="*/ 832262 h 896904"/>
            <a:gd name="connsiteX15" fmla="*/ 4162884 w 6169854"/>
            <a:gd name="connsiteY15" fmla="*/ 810407 h 896904"/>
            <a:gd name="connsiteX16" fmla="*/ 4141029 w 6169854"/>
            <a:gd name="connsiteY16" fmla="*/ 757643 h 896904"/>
            <a:gd name="connsiteX17" fmla="*/ 2574263 w 6169854"/>
            <a:gd name="connsiteY17" fmla="*/ 896904 h 896904"/>
            <a:gd name="connsiteX18" fmla="*/ 4096744 w 6169854"/>
            <a:gd name="connsiteY18" fmla="*/ 662578 h 896904"/>
            <a:gd name="connsiteX19" fmla="*/ 4077714 w 6169854"/>
            <a:gd name="connsiteY19" fmla="*/ 568308 h 896904"/>
            <a:gd name="connsiteX20" fmla="*/ 576006 w 6169854"/>
            <a:gd name="connsiteY20" fmla="*/ 487507 h 896904"/>
            <a:gd name="connsiteX21" fmla="*/ 4058683 w 6169854"/>
            <a:gd name="connsiteY21" fmla="*/ 452492 h 896904"/>
            <a:gd name="connsiteX22" fmla="*/ 4090580 w 6169854"/>
            <a:gd name="connsiteY22" fmla="*/ 275755 h 896904"/>
            <a:gd name="connsiteX23" fmla="*/ 0 w 6169854"/>
            <a:gd name="connsiteY23" fmla="*/ 0 h 896904"/>
            <a:gd name="connsiteX24" fmla="*/ 4141029 w 6169854"/>
            <a:gd name="connsiteY24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6095235 w 6169854"/>
            <a:gd name="connsiteY7" fmla="*/ 98837 h 896904"/>
            <a:gd name="connsiteX8" fmla="*/ 6147999 w 6169854"/>
            <a:gd name="connsiteY8" fmla="*/ 120692 h 896904"/>
            <a:gd name="connsiteX9" fmla="*/ 6169854 w 6169854"/>
            <a:gd name="connsiteY9" fmla="*/ 173456 h 896904"/>
            <a:gd name="connsiteX10" fmla="*/ 6169854 w 6169854"/>
            <a:gd name="connsiteY10" fmla="*/ 757643 h 896904"/>
            <a:gd name="connsiteX11" fmla="*/ 6147999 w 6169854"/>
            <a:gd name="connsiteY11" fmla="*/ 810407 h 896904"/>
            <a:gd name="connsiteX12" fmla="*/ 6095235 w 6169854"/>
            <a:gd name="connsiteY12" fmla="*/ 832262 h 896904"/>
            <a:gd name="connsiteX13" fmla="*/ 4215648 w 6169854"/>
            <a:gd name="connsiteY13" fmla="*/ 832262 h 896904"/>
            <a:gd name="connsiteX14" fmla="*/ 4162884 w 6169854"/>
            <a:gd name="connsiteY14" fmla="*/ 810407 h 896904"/>
            <a:gd name="connsiteX15" fmla="*/ 4141029 w 6169854"/>
            <a:gd name="connsiteY15" fmla="*/ 757643 h 896904"/>
            <a:gd name="connsiteX16" fmla="*/ 2574263 w 6169854"/>
            <a:gd name="connsiteY16" fmla="*/ 896904 h 896904"/>
            <a:gd name="connsiteX17" fmla="*/ 4096744 w 6169854"/>
            <a:gd name="connsiteY17" fmla="*/ 662578 h 896904"/>
            <a:gd name="connsiteX18" fmla="*/ 4077714 w 6169854"/>
            <a:gd name="connsiteY18" fmla="*/ 568308 h 896904"/>
            <a:gd name="connsiteX19" fmla="*/ 576006 w 6169854"/>
            <a:gd name="connsiteY19" fmla="*/ 487507 h 896904"/>
            <a:gd name="connsiteX20" fmla="*/ 4058683 w 6169854"/>
            <a:gd name="connsiteY20" fmla="*/ 452492 h 896904"/>
            <a:gd name="connsiteX21" fmla="*/ 4090580 w 6169854"/>
            <a:gd name="connsiteY21" fmla="*/ 275755 h 896904"/>
            <a:gd name="connsiteX22" fmla="*/ 0 w 6169854"/>
            <a:gd name="connsiteY22" fmla="*/ 0 h 896904"/>
            <a:gd name="connsiteX23" fmla="*/ 4141029 w 6169854"/>
            <a:gd name="connsiteY23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6095235 w 6169854"/>
            <a:gd name="connsiteY6" fmla="*/ 98837 h 896904"/>
            <a:gd name="connsiteX7" fmla="*/ 6147999 w 6169854"/>
            <a:gd name="connsiteY7" fmla="*/ 120692 h 896904"/>
            <a:gd name="connsiteX8" fmla="*/ 6169854 w 6169854"/>
            <a:gd name="connsiteY8" fmla="*/ 173456 h 896904"/>
            <a:gd name="connsiteX9" fmla="*/ 6169854 w 6169854"/>
            <a:gd name="connsiteY9" fmla="*/ 757643 h 896904"/>
            <a:gd name="connsiteX10" fmla="*/ 6147999 w 6169854"/>
            <a:gd name="connsiteY10" fmla="*/ 810407 h 896904"/>
            <a:gd name="connsiteX11" fmla="*/ 6095235 w 6169854"/>
            <a:gd name="connsiteY11" fmla="*/ 832262 h 896904"/>
            <a:gd name="connsiteX12" fmla="*/ 4215648 w 6169854"/>
            <a:gd name="connsiteY12" fmla="*/ 832262 h 896904"/>
            <a:gd name="connsiteX13" fmla="*/ 4162884 w 6169854"/>
            <a:gd name="connsiteY13" fmla="*/ 810407 h 896904"/>
            <a:gd name="connsiteX14" fmla="*/ 4141029 w 6169854"/>
            <a:gd name="connsiteY14" fmla="*/ 757643 h 896904"/>
            <a:gd name="connsiteX15" fmla="*/ 2574263 w 6169854"/>
            <a:gd name="connsiteY15" fmla="*/ 896904 h 896904"/>
            <a:gd name="connsiteX16" fmla="*/ 4096744 w 6169854"/>
            <a:gd name="connsiteY16" fmla="*/ 662578 h 896904"/>
            <a:gd name="connsiteX17" fmla="*/ 4077714 w 6169854"/>
            <a:gd name="connsiteY17" fmla="*/ 568308 h 896904"/>
            <a:gd name="connsiteX18" fmla="*/ 576006 w 6169854"/>
            <a:gd name="connsiteY18" fmla="*/ 487507 h 896904"/>
            <a:gd name="connsiteX19" fmla="*/ 4058683 w 6169854"/>
            <a:gd name="connsiteY19" fmla="*/ 452492 h 896904"/>
            <a:gd name="connsiteX20" fmla="*/ 4090580 w 6169854"/>
            <a:gd name="connsiteY20" fmla="*/ 275755 h 896904"/>
            <a:gd name="connsiteX21" fmla="*/ 0 w 6169854"/>
            <a:gd name="connsiteY21" fmla="*/ 0 h 896904"/>
            <a:gd name="connsiteX22" fmla="*/ 4141029 w 6169854"/>
            <a:gd name="connsiteY22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6095235 w 6169854"/>
            <a:gd name="connsiteY5" fmla="*/ 98837 h 896904"/>
            <a:gd name="connsiteX6" fmla="*/ 6147999 w 6169854"/>
            <a:gd name="connsiteY6" fmla="*/ 120692 h 896904"/>
            <a:gd name="connsiteX7" fmla="*/ 6169854 w 6169854"/>
            <a:gd name="connsiteY7" fmla="*/ 173456 h 896904"/>
            <a:gd name="connsiteX8" fmla="*/ 6169854 w 6169854"/>
            <a:gd name="connsiteY8" fmla="*/ 757643 h 896904"/>
            <a:gd name="connsiteX9" fmla="*/ 6147999 w 6169854"/>
            <a:gd name="connsiteY9" fmla="*/ 810407 h 896904"/>
            <a:gd name="connsiteX10" fmla="*/ 6095235 w 6169854"/>
            <a:gd name="connsiteY10" fmla="*/ 832262 h 896904"/>
            <a:gd name="connsiteX11" fmla="*/ 4215648 w 6169854"/>
            <a:gd name="connsiteY11" fmla="*/ 832262 h 896904"/>
            <a:gd name="connsiteX12" fmla="*/ 4162884 w 6169854"/>
            <a:gd name="connsiteY12" fmla="*/ 810407 h 896904"/>
            <a:gd name="connsiteX13" fmla="*/ 4141029 w 6169854"/>
            <a:gd name="connsiteY13" fmla="*/ 757643 h 896904"/>
            <a:gd name="connsiteX14" fmla="*/ 2574263 w 6169854"/>
            <a:gd name="connsiteY14" fmla="*/ 896904 h 896904"/>
            <a:gd name="connsiteX15" fmla="*/ 4096744 w 6169854"/>
            <a:gd name="connsiteY15" fmla="*/ 662578 h 896904"/>
            <a:gd name="connsiteX16" fmla="*/ 4077714 w 6169854"/>
            <a:gd name="connsiteY16" fmla="*/ 568308 h 896904"/>
            <a:gd name="connsiteX17" fmla="*/ 576006 w 6169854"/>
            <a:gd name="connsiteY17" fmla="*/ 487507 h 896904"/>
            <a:gd name="connsiteX18" fmla="*/ 4058683 w 6169854"/>
            <a:gd name="connsiteY18" fmla="*/ 452492 h 896904"/>
            <a:gd name="connsiteX19" fmla="*/ 4090580 w 6169854"/>
            <a:gd name="connsiteY19" fmla="*/ 275755 h 896904"/>
            <a:gd name="connsiteX20" fmla="*/ 0 w 6169854"/>
            <a:gd name="connsiteY20" fmla="*/ 0 h 896904"/>
            <a:gd name="connsiteX21" fmla="*/ 4141029 w 6169854"/>
            <a:gd name="connsiteY21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6095235 w 6169854"/>
            <a:gd name="connsiteY4" fmla="*/ 98837 h 896904"/>
            <a:gd name="connsiteX5" fmla="*/ 6147999 w 6169854"/>
            <a:gd name="connsiteY5" fmla="*/ 120692 h 896904"/>
            <a:gd name="connsiteX6" fmla="*/ 6169854 w 6169854"/>
            <a:gd name="connsiteY6" fmla="*/ 173456 h 896904"/>
            <a:gd name="connsiteX7" fmla="*/ 6169854 w 6169854"/>
            <a:gd name="connsiteY7" fmla="*/ 757643 h 896904"/>
            <a:gd name="connsiteX8" fmla="*/ 6147999 w 6169854"/>
            <a:gd name="connsiteY8" fmla="*/ 810407 h 896904"/>
            <a:gd name="connsiteX9" fmla="*/ 6095235 w 6169854"/>
            <a:gd name="connsiteY9" fmla="*/ 832262 h 896904"/>
            <a:gd name="connsiteX10" fmla="*/ 4215648 w 6169854"/>
            <a:gd name="connsiteY10" fmla="*/ 832262 h 896904"/>
            <a:gd name="connsiteX11" fmla="*/ 4162884 w 6169854"/>
            <a:gd name="connsiteY11" fmla="*/ 810407 h 896904"/>
            <a:gd name="connsiteX12" fmla="*/ 4141029 w 6169854"/>
            <a:gd name="connsiteY12" fmla="*/ 757643 h 896904"/>
            <a:gd name="connsiteX13" fmla="*/ 2574263 w 6169854"/>
            <a:gd name="connsiteY13" fmla="*/ 896904 h 896904"/>
            <a:gd name="connsiteX14" fmla="*/ 4096744 w 6169854"/>
            <a:gd name="connsiteY14" fmla="*/ 662578 h 896904"/>
            <a:gd name="connsiteX15" fmla="*/ 4077714 w 6169854"/>
            <a:gd name="connsiteY15" fmla="*/ 568308 h 896904"/>
            <a:gd name="connsiteX16" fmla="*/ 576006 w 6169854"/>
            <a:gd name="connsiteY16" fmla="*/ 487507 h 896904"/>
            <a:gd name="connsiteX17" fmla="*/ 4058683 w 6169854"/>
            <a:gd name="connsiteY17" fmla="*/ 452492 h 896904"/>
            <a:gd name="connsiteX18" fmla="*/ 4090580 w 6169854"/>
            <a:gd name="connsiteY18" fmla="*/ 275755 h 896904"/>
            <a:gd name="connsiteX19" fmla="*/ 0 w 6169854"/>
            <a:gd name="connsiteY19" fmla="*/ 0 h 896904"/>
            <a:gd name="connsiteX20" fmla="*/ 4141029 w 6169854"/>
            <a:gd name="connsiteY20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058683 w 6169854"/>
            <a:gd name="connsiteY16" fmla="*/ 452492 h 896904"/>
            <a:gd name="connsiteX17" fmla="*/ 4090580 w 6169854"/>
            <a:gd name="connsiteY17" fmla="*/ 275755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058683 w 6169854"/>
            <a:gd name="connsiteY16" fmla="*/ 452492 h 896904"/>
            <a:gd name="connsiteX17" fmla="*/ 4156278 w 6169854"/>
            <a:gd name="connsiteY17" fmla="*/ 326546 h 896904"/>
            <a:gd name="connsiteX18" fmla="*/ 4090580 w 6169854"/>
            <a:gd name="connsiteY18" fmla="*/ 275755 h 896904"/>
            <a:gd name="connsiteX19" fmla="*/ 0 w 6169854"/>
            <a:gd name="connsiteY19" fmla="*/ 0 h 896904"/>
            <a:gd name="connsiteX20" fmla="*/ 4141029 w 6169854"/>
            <a:gd name="connsiteY20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058683 w 6169854"/>
            <a:gd name="connsiteY16" fmla="*/ 452492 h 896904"/>
            <a:gd name="connsiteX17" fmla="*/ 4156278 w 6169854"/>
            <a:gd name="connsiteY17" fmla="*/ 326546 h 896904"/>
            <a:gd name="connsiteX18" fmla="*/ 4176351 w 6169854"/>
            <a:gd name="connsiteY18" fmla="*/ 264611 h 896904"/>
            <a:gd name="connsiteX19" fmla="*/ 0 w 6169854"/>
            <a:gd name="connsiteY19" fmla="*/ 0 h 896904"/>
            <a:gd name="connsiteX20" fmla="*/ 4141029 w 6169854"/>
            <a:gd name="connsiteY20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290262 w 6169854"/>
            <a:gd name="connsiteY16" fmla="*/ 474780 h 896904"/>
            <a:gd name="connsiteX17" fmla="*/ 4156278 w 6169854"/>
            <a:gd name="connsiteY17" fmla="*/ 326546 h 896904"/>
            <a:gd name="connsiteX18" fmla="*/ 4176351 w 6169854"/>
            <a:gd name="connsiteY18" fmla="*/ 264611 h 896904"/>
            <a:gd name="connsiteX19" fmla="*/ 0 w 6169854"/>
            <a:gd name="connsiteY19" fmla="*/ 0 h 896904"/>
            <a:gd name="connsiteX20" fmla="*/ 4141029 w 6169854"/>
            <a:gd name="connsiteY20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56278 w 6169854"/>
            <a:gd name="connsiteY17" fmla="*/ 326546 h 896904"/>
            <a:gd name="connsiteX18" fmla="*/ 4176351 w 6169854"/>
            <a:gd name="connsiteY18" fmla="*/ 264611 h 896904"/>
            <a:gd name="connsiteX19" fmla="*/ 0 w 6169854"/>
            <a:gd name="connsiteY19" fmla="*/ 0 h 896904"/>
            <a:gd name="connsiteX20" fmla="*/ 4141029 w 6169854"/>
            <a:gd name="connsiteY20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198150 w 6169854"/>
            <a:gd name="connsiteY14" fmla="*/ 573695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331279 w 6169854"/>
            <a:gd name="connsiteY13" fmla="*/ 689512 h 896904"/>
            <a:gd name="connsiteX14" fmla="*/ 4198150 w 6169854"/>
            <a:gd name="connsiteY14" fmla="*/ 573695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331279 w 6169854"/>
            <a:gd name="connsiteY13" fmla="*/ 689512 h 896904"/>
            <a:gd name="connsiteX14" fmla="*/ 4191812 w 6169854"/>
            <a:gd name="connsiteY14" fmla="*/ 527908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91812 w 6169854"/>
            <a:gd name="connsiteY14" fmla="*/ 527908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66383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66383 w 6169854"/>
            <a:gd name="connsiteY19" fmla="*/ 168070 h 896904"/>
            <a:gd name="connsiteX0" fmla="*/ 4324853 w 6169854"/>
            <a:gd name="connsiteY0" fmla="*/ 173457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324853 w 6169854"/>
            <a:gd name="connsiteY19" fmla="*/ 173457 h 896904"/>
            <a:gd name="connsiteX0" fmla="*/ 4191739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91739 w 6169854"/>
            <a:gd name="connsiteY19" fmla="*/ 168070 h 896904"/>
            <a:gd name="connsiteX0" fmla="*/ 4191739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305836 w 6169854"/>
            <a:gd name="connsiteY11" fmla="*/ 760337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91739 w 6169854"/>
            <a:gd name="connsiteY19" fmla="*/ 168070 h 896904"/>
            <a:gd name="connsiteX0" fmla="*/ 4191739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264305 w 6169854"/>
            <a:gd name="connsiteY10" fmla="*/ 818487 h 896904"/>
            <a:gd name="connsiteX11" fmla="*/ 4305836 w 6169854"/>
            <a:gd name="connsiteY11" fmla="*/ 760337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91739 w 6169854"/>
            <a:gd name="connsiteY19" fmla="*/ 168070 h 896904"/>
            <a:gd name="connsiteX0" fmla="*/ 4191739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437505 w 6169854"/>
            <a:gd name="connsiteY9" fmla="*/ 832262 h 896904"/>
            <a:gd name="connsiteX10" fmla="*/ 4264305 w 6169854"/>
            <a:gd name="connsiteY10" fmla="*/ 818487 h 896904"/>
            <a:gd name="connsiteX11" fmla="*/ 4305836 w 6169854"/>
            <a:gd name="connsiteY11" fmla="*/ 760337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91739 w 6169854"/>
            <a:gd name="connsiteY19" fmla="*/ 168070 h 896904"/>
            <a:gd name="connsiteX0" fmla="*/ 4191739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437505 w 6169854"/>
            <a:gd name="connsiteY9" fmla="*/ 832262 h 896904"/>
            <a:gd name="connsiteX10" fmla="*/ 4264305 w 6169854"/>
            <a:gd name="connsiteY10" fmla="*/ 818487 h 896904"/>
            <a:gd name="connsiteX11" fmla="*/ 4185400 w 6169854"/>
            <a:gd name="connsiteY11" fmla="*/ 781884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91739 w 6169854"/>
            <a:gd name="connsiteY19" fmla="*/ 168070 h 896904"/>
            <a:gd name="connsiteX0" fmla="*/ 3615733 w 5593848"/>
            <a:gd name="connsiteY0" fmla="*/ 71927 h 800761"/>
            <a:gd name="connsiteX1" fmla="*/ 3643927 w 5593848"/>
            <a:gd name="connsiteY1" fmla="*/ 32629 h 800761"/>
            <a:gd name="connsiteX2" fmla="*/ 3734723 w 5593848"/>
            <a:gd name="connsiteY2" fmla="*/ 0 h 800761"/>
            <a:gd name="connsiteX3" fmla="*/ 5519229 w 5593848"/>
            <a:gd name="connsiteY3" fmla="*/ 2694 h 800761"/>
            <a:gd name="connsiteX4" fmla="*/ 5571993 w 5593848"/>
            <a:gd name="connsiteY4" fmla="*/ 24549 h 800761"/>
            <a:gd name="connsiteX5" fmla="*/ 5593848 w 5593848"/>
            <a:gd name="connsiteY5" fmla="*/ 77313 h 800761"/>
            <a:gd name="connsiteX6" fmla="*/ 5593848 w 5593848"/>
            <a:gd name="connsiteY6" fmla="*/ 661500 h 800761"/>
            <a:gd name="connsiteX7" fmla="*/ 5571993 w 5593848"/>
            <a:gd name="connsiteY7" fmla="*/ 714264 h 800761"/>
            <a:gd name="connsiteX8" fmla="*/ 5519229 w 5593848"/>
            <a:gd name="connsiteY8" fmla="*/ 736119 h 800761"/>
            <a:gd name="connsiteX9" fmla="*/ 3861499 w 5593848"/>
            <a:gd name="connsiteY9" fmla="*/ 736119 h 800761"/>
            <a:gd name="connsiteX10" fmla="*/ 3688299 w 5593848"/>
            <a:gd name="connsiteY10" fmla="*/ 722344 h 800761"/>
            <a:gd name="connsiteX11" fmla="*/ 3609394 w 5593848"/>
            <a:gd name="connsiteY11" fmla="*/ 685741 h 800761"/>
            <a:gd name="connsiteX12" fmla="*/ 1998257 w 5593848"/>
            <a:gd name="connsiteY12" fmla="*/ 800761 h 800761"/>
            <a:gd name="connsiteX13" fmla="*/ 3603142 w 5593848"/>
            <a:gd name="connsiteY13" fmla="*/ 547582 h 800761"/>
            <a:gd name="connsiteX14" fmla="*/ 3596790 w 5593848"/>
            <a:gd name="connsiteY14" fmla="*/ 434458 h 800761"/>
            <a:gd name="connsiteX15" fmla="*/ 0 w 5593848"/>
            <a:gd name="connsiteY15" fmla="*/ 391364 h 800761"/>
            <a:gd name="connsiteX16" fmla="*/ 3592315 w 5593848"/>
            <a:gd name="connsiteY16" fmla="*/ 330348 h 800761"/>
            <a:gd name="connsiteX17" fmla="*/ 3600345 w 5593848"/>
            <a:gd name="connsiteY17" fmla="*/ 168468 h 800761"/>
            <a:gd name="connsiteX18" fmla="*/ 798650 w 5593848"/>
            <a:gd name="connsiteY18" fmla="*/ 53431 h 800761"/>
            <a:gd name="connsiteX19" fmla="*/ 3615733 w 5593848"/>
            <a:gd name="connsiteY19" fmla="*/ 71927 h 800761"/>
            <a:gd name="connsiteX0" fmla="*/ 2817084 w 4795199"/>
            <a:gd name="connsiteY0" fmla="*/ 71927 h 800761"/>
            <a:gd name="connsiteX1" fmla="*/ 2845278 w 4795199"/>
            <a:gd name="connsiteY1" fmla="*/ 32629 h 800761"/>
            <a:gd name="connsiteX2" fmla="*/ 2936074 w 4795199"/>
            <a:gd name="connsiteY2" fmla="*/ 0 h 800761"/>
            <a:gd name="connsiteX3" fmla="*/ 4720580 w 4795199"/>
            <a:gd name="connsiteY3" fmla="*/ 2694 h 800761"/>
            <a:gd name="connsiteX4" fmla="*/ 4773344 w 4795199"/>
            <a:gd name="connsiteY4" fmla="*/ 24549 h 800761"/>
            <a:gd name="connsiteX5" fmla="*/ 4795199 w 4795199"/>
            <a:gd name="connsiteY5" fmla="*/ 77313 h 800761"/>
            <a:gd name="connsiteX6" fmla="*/ 4795199 w 4795199"/>
            <a:gd name="connsiteY6" fmla="*/ 661500 h 800761"/>
            <a:gd name="connsiteX7" fmla="*/ 4773344 w 4795199"/>
            <a:gd name="connsiteY7" fmla="*/ 714264 h 800761"/>
            <a:gd name="connsiteX8" fmla="*/ 4720580 w 4795199"/>
            <a:gd name="connsiteY8" fmla="*/ 736119 h 800761"/>
            <a:gd name="connsiteX9" fmla="*/ 3062850 w 4795199"/>
            <a:gd name="connsiteY9" fmla="*/ 736119 h 800761"/>
            <a:gd name="connsiteX10" fmla="*/ 2889650 w 4795199"/>
            <a:gd name="connsiteY10" fmla="*/ 722344 h 800761"/>
            <a:gd name="connsiteX11" fmla="*/ 2810745 w 4795199"/>
            <a:gd name="connsiteY11" fmla="*/ 685741 h 800761"/>
            <a:gd name="connsiteX12" fmla="*/ 1199608 w 4795199"/>
            <a:gd name="connsiteY12" fmla="*/ 800761 h 800761"/>
            <a:gd name="connsiteX13" fmla="*/ 2804493 w 4795199"/>
            <a:gd name="connsiteY13" fmla="*/ 547582 h 800761"/>
            <a:gd name="connsiteX14" fmla="*/ 2798141 w 4795199"/>
            <a:gd name="connsiteY14" fmla="*/ 434458 h 800761"/>
            <a:gd name="connsiteX15" fmla="*/ 867600 w 4795199"/>
            <a:gd name="connsiteY15" fmla="*/ 469143 h 800761"/>
            <a:gd name="connsiteX16" fmla="*/ 2793666 w 4795199"/>
            <a:gd name="connsiteY16" fmla="*/ 330348 h 800761"/>
            <a:gd name="connsiteX17" fmla="*/ 2801696 w 4795199"/>
            <a:gd name="connsiteY17" fmla="*/ 168468 h 800761"/>
            <a:gd name="connsiteX18" fmla="*/ 1 w 4795199"/>
            <a:gd name="connsiteY18" fmla="*/ 53431 h 800761"/>
            <a:gd name="connsiteX19" fmla="*/ 2817084 w 4795199"/>
            <a:gd name="connsiteY19" fmla="*/ 71927 h 800761"/>
            <a:gd name="connsiteX0" fmla="*/ 2817083 w 4795198"/>
            <a:gd name="connsiteY0" fmla="*/ 71927 h 830676"/>
            <a:gd name="connsiteX1" fmla="*/ 2845277 w 4795198"/>
            <a:gd name="connsiteY1" fmla="*/ 32629 h 830676"/>
            <a:gd name="connsiteX2" fmla="*/ 2936073 w 4795198"/>
            <a:gd name="connsiteY2" fmla="*/ 0 h 830676"/>
            <a:gd name="connsiteX3" fmla="*/ 4720579 w 4795198"/>
            <a:gd name="connsiteY3" fmla="*/ 2694 h 830676"/>
            <a:gd name="connsiteX4" fmla="*/ 4773343 w 4795198"/>
            <a:gd name="connsiteY4" fmla="*/ 24549 h 830676"/>
            <a:gd name="connsiteX5" fmla="*/ 4795198 w 4795198"/>
            <a:gd name="connsiteY5" fmla="*/ 77313 h 830676"/>
            <a:gd name="connsiteX6" fmla="*/ 4795198 w 4795198"/>
            <a:gd name="connsiteY6" fmla="*/ 661500 h 830676"/>
            <a:gd name="connsiteX7" fmla="*/ 4773343 w 4795198"/>
            <a:gd name="connsiteY7" fmla="*/ 714264 h 830676"/>
            <a:gd name="connsiteX8" fmla="*/ 4720579 w 4795198"/>
            <a:gd name="connsiteY8" fmla="*/ 736119 h 830676"/>
            <a:gd name="connsiteX9" fmla="*/ 3062849 w 4795198"/>
            <a:gd name="connsiteY9" fmla="*/ 736119 h 830676"/>
            <a:gd name="connsiteX10" fmla="*/ 2889649 w 4795198"/>
            <a:gd name="connsiteY10" fmla="*/ 722344 h 830676"/>
            <a:gd name="connsiteX11" fmla="*/ 2810744 w 4795198"/>
            <a:gd name="connsiteY11" fmla="*/ 685741 h 830676"/>
            <a:gd name="connsiteX12" fmla="*/ 1796679 w 4795198"/>
            <a:gd name="connsiteY12" fmla="*/ 830676 h 830676"/>
            <a:gd name="connsiteX13" fmla="*/ 2804492 w 4795198"/>
            <a:gd name="connsiteY13" fmla="*/ 547582 h 830676"/>
            <a:gd name="connsiteX14" fmla="*/ 2798140 w 4795198"/>
            <a:gd name="connsiteY14" fmla="*/ 434458 h 830676"/>
            <a:gd name="connsiteX15" fmla="*/ 867599 w 4795198"/>
            <a:gd name="connsiteY15" fmla="*/ 469143 h 830676"/>
            <a:gd name="connsiteX16" fmla="*/ 2793665 w 4795198"/>
            <a:gd name="connsiteY16" fmla="*/ 330348 h 830676"/>
            <a:gd name="connsiteX17" fmla="*/ 2801695 w 4795198"/>
            <a:gd name="connsiteY17" fmla="*/ 168468 h 830676"/>
            <a:gd name="connsiteX18" fmla="*/ 0 w 4795198"/>
            <a:gd name="connsiteY18" fmla="*/ 53431 h 830676"/>
            <a:gd name="connsiteX19" fmla="*/ 2817083 w 4795198"/>
            <a:gd name="connsiteY19" fmla="*/ 71927 h 830676"/>
            <a:gd name="connsiteX0" fmla="*/ 2817083 w 4795198"/>
            <a:gd name="connsiteY0" fmla="*/ 71927 h 830676"/>
            <a:gd name="connsiteX1" fmla="*/ 2845277 w 4795198"/>
            <a:gd name="connsiteY1" fmla="*/ 32629 h 830676"/>
            <a:gd name="connsiteX2" fmla="*/ 2936073 w 4795198"/>
            <a:gd name="connsiteY2" fmla="*/ 0 h 830676"/>
            <a:gd name="connsiteX3" fmla="*/ 4720579 w 4795198"/>
            <a:gd name="connsiteY3" fmla="*/ 2694 h 830676"/>
            <a:gd name="connsiteX4" fmla="*/ 4773343 w 4795198"/>
            <a:gd name="connsiteY4" fmla="*/ 24549 h 830676"/>
            <a:gd name="connsiteX5" fmla="*/ 4795198 w 4795198"/>
            <a:gd name="connsiteY5" fmla="*/ 77313 h 830676"/>
            <a:gd name="connsiteX6" fmla="*/ 4795198 w 4795198"/>
            <a:gd name="connsiteY6" fmla="*/ 661500 h 830676"/>
            <a:gd name="connsiteX7" fmla="*/ 4773343 w 4795198"/>
            <a:gd name="connsiteY7" fmla="*/ 714264 h 830676"/>
            <a:gd name="connsiteX8" fmla="*/ 4720579 w 4795198"/>
            <a:gd name="connsiteY8" fmla="*/ 736119 h 830676"/>
            <a:gd name="connsiteX9" fmla="*/ 3062849 w 4795198"/>
            <a:gd name="connsiteY9" fmla="*/ 736119 h 830676"/>
            <a:gd name="connsiteX10" fmla="*/ 2889649 w 4795198"/>
            <a:gd name="connsiteY10" fmla="*/ 722344 h 830676"/>
            <a:gd name="connsiteX11" fmla="*/ 2810744 w 4795198"/>
            <a:gd name="connsiteY11" fmla="*/ 661809 h 830676"/>
            <a:gd name="connsiteX12" fmla="*/ 1796679 w 4795198"/>
            <a:gd name="connsiteY12" fmla="*/ 830676 h 830676"/>
            <a:gd name="connsiteX13" fmla="*/ 2804492 w 4795198"/>
            <a:gd name="connsiteY13" fmla="*/ 547582 h 830676"/>
            <a:gd name="connsiteX14" fmla="*/ 2798140 w 4795198"/>
            <a:gd name="connsiteY14" fmla="*/ 434458 h 830676"/>
            <a:gd name="connsiteX15" fmla="*/ 867599 w 4795198"/>
            <a:gd name="connsiteY15" fmla="*/ 469143 h 830676"/>
            <a:gd name="connsiteX16" fmla="*/ 2793665 w 4795198"/>
            <a:gd name="connsiteY16" fmla="*/ 330348 h 830676"/>
            <a:gd name="connsiteX17" fmla="*/ 2801695 w 4795198"/>
            <a:gd name="connsiteY17" fmla="*/ 168468 h 830676"/>
            <a:gd name="connsiteX18" fmla="*/ 0 w 4795198"/>
            <a:gd name="connsiteY18" fmla="*/ 53431 h 830676"/>
            <a:gd name="connsiteX19" fmla="*/ 2817083 w 4795198"/>
            <a:gd name="connsiteY19" fmla="*/ 71927 h 830676"/>
            <a:gd name="connsiteX0" fmla="*/ 1949484 w 3927599"/>
            <a:gd name="connsiteY0" fmla="*/ 71927 h 830676"/>
            <a:gd name="connsiteX1" fmla="*/ 1977678 w 3927599"/>
            <a:gd name="connsiteY1" fmla="*/ 32629 h 830676"/>
            <a:gd name="connsiteX2" fmla="*/ 2068474 w 3927599"/>
            <a:gd name="connsiteY2" fmla="*/ 0 h 830676"/>
            <a:gd name="connsiteX3" fmla="*/ 3852980 w 3927599"/>
            <a:gd name="connsiteY3" fmla="*/ 2694 h 830676"/>
            <a:gd name="connsiteX4" fmla="*/ 3905744 w 3927599"/>
            <a:gd name="connsiteY4" fmla="*/ 24549 h 830676"/>
            <a:gd name="connsiteX5" fmla="*/ 3927599 w 3927599"/>
            <a:gd name="connsiteY5" fmla="*/ 77313 h 830676"/>
            <a:gd name="connsiteX6" fmla="*/ 3927599 w 3927599"/>
            <a:gd name="connsiteY6" fmla="*/ 661500 h 830676"/>
            <a:gd name="connsiteX7" fmla="*/ 3905744 w 3927599"/>
            <a:gd name="connsiteY7" fmla="*/ 714264 h 830676"/>
            <a:gd name="connsiteX8" fmla="*/ 3852980 w 3927599"/>
            <a:gd name="connsiteY8" fmla="*/ 736119 h 830676"/>
            <a:gd name="connsiteX9" fmla="*/ 2195250 w 3927599"/>
            <a:gd name="connsiteY9" fmla="*/ 736119 h 830676"/>
            <a:gd name="connsiteX10" fmla="*/ 2022050 w 3927599"/>
            <a:gd name="connsiteY10" fmla="*/ 722344 h 830676"/>
            <a:gd name="connsiteX11" fmla="*/ 1943145 w 3927599"/>
            <a:gd name="connsiteY11" fmla="*/ 661809 h 830676"/>
            <a:gd name="connsiteX12" fmla="*/ 929080 w 3927599"/>
            <a:gd name="connsiteY12" fmla="*/ 830676 h 830676"/>
            <a:gd name="connsiteX13" fmla="*/ 1936893 w 3927599"/>
            <a:gd name="connsiteY13" fmla="*/ 547582 h 830676"/>
            <a:gd name="connsiteX14" fmla="*/ 1930541 w 3927599"/>
            <a:gd name="connsiteY14" fmla="*/ 434458 h 830676"/>
            <a:gd name="connsiteX15" fmla="*/ 0 w 3927599"/>
            <a:gd name="connsiteY15" fmla="*/ 469143 h 830676"/>
            <a:gd name="connsiteX16" fmla="*/ 1926066 w 3927599"/>
            <a:gd name="connsiteY16" fmla="*/ 330348 h 830676"/>
            <a:gd name="connsiteX17" fmla="*/ 1934096 w 3927599"/>
            <a:gd name="connsiteY17" fmla="*/ 168468 h 830676"/>
            <a:gd name="connsiteX18" fmla="*/ 798651 w 3927599"/>
            <a:gd name="connsiteY18" fmla="*/ 71380 h 830676"/>
            <a:gd name="connsiteX19" fmla="*/ 1949484 w 3927599"/>
            <a:gd name="connsiteY19" fmla="*/ 71927 h 830676"/>
            <a:gd name="connsiteX0" fmla="*/ 1150833 w 3128948"/>
            <a:gd name="connsiteY0" fmla="*/ 71927 h 830676"/>
            <a:gd name="connsiteX1" fmla="*/ 1179027 w 3128948"/>
            <a:gd name="connsiteY1" fmla="*/ 32629 h 830676"/>
            <a:gd name="connsiteX2" fmla="*/ 1269823 w 3128948"/>
            <a:gd name="connsiteY2" fmla="*/ 0 h 830676"/>
            <a:gd name="connsiteX3" fmla="*/ 3054329 w 3128948"/>
            <a:gd name="connsiteY3" fmla="*/ 2694 h 830676"/>
            <a:gd name="connsiteX4" fmla="*/ 3107093 w 3128948"/>
            <a:gd name="connsiteY4" fmla="*/ 24549 h 830676"/>
            <a:gd name="connsiteX5" fmla="*/ 3128948 w 3128948"/>
            <a:gd name="connsiteY5" fmla="*/ 77313 h 830676"/>
            <a:gd name="connsiteX6" fmla="*/ 3128948 w 3128948"/>
            <a:gd name="connsiteY6" fmla="*/ 661500 h 830676"/>
            <a:gd name="connsiteX7" fmla="*/ 3107093 w 3128948"/>
            <a:gd name="connsiteY7" fmla="*/ 714264 h 830676"/>
            <a:gd name="connsiteX8" fmla="*/ 3054329 w 3128948"/>
            <a:gd name="connsiteY8" fmla="*/ 736119 h 830676"/>
            <a:gd name="connsiteX9" fmla="*/ 1396599 w 3128948"/>
            <a:gd name="connsiteY9" fmla="*/ 736119 h 830676"/>
            <a:gd name="connsiteX10" fmla="*/ 1223399 w 3128948"/>
            <a:gd name="connsiteY10" fmla="*/ 722344 h 830676"/>
            <a:gd name="connsiteX11" fmla="*/ 1144494 w 3128948"/>
            <a:gd name="connsiteY11" fmla="*/ 661809 h 830676"/>
            <a:gd name="connsiteX12" fmla="*/ 130429 w 3128948"/>
            <a:gd name="connsiteY12" fmla="*/ 830676 h 830676"/>
            <a:gd name="connsiteX13" fmla="*/ 1138242 w 3128948"/>
            <a:gd name="connsiteY13" fmla="*/ 547582 h 830676"/>
            <a:gd name="connsiteX14" fmla="*/ 1131890 w 3128948"/>
            <a:gd name="connsiteY14" fmla="*/ 434458 h 830676"/>
            <a:gd name="connsiteX15" fmla="*/ 687088 w 3128948"/>
            <a:gd name="connsiteY15" fmla="*/ 403331 h 830676"/>
            <a:gd name="connsiteX16" fmla="*/ 1127415 w 3128948"/>
            <a:gd name="connsiteY16" fmla="*/ 330348 h 830676"/>
            <a:gd name="connsiteX17" fmla="*/ 1135445 w 3128948"/>
            <a:gd name="connsiteY17" fmla="*/ 168468 h 830676"/>
            <a:gd name="connsiteX18" fmla="*/ 0 w 3128948"/>
            <a:gd name="connsiteY18" fmla="*/ 71380 h 830676"/>
            <a:gd name="connsiteX19" fmla="*/ 1150833 w 3128948"/>
            <a:gd name="connsiteY19" fmla="*/ 71927 h 830676"/>
            <a:gd name="connsiteX0" fmla="*/ 1020403 w 2998518"/>
            <a:gd name="connsiteY0" fmla="*/ 71927 h 830676"/>
            <a:gd name="connsiteX1" fmla="*/ 1048597 w 2998518"/>
            <a:gd name="connsiteY1" fmla="*/ 32629 h 830676"/>
            <a:gd name="connsiteX2" fmla="*/ 1139393 w 2998518"/>
            <a:gd name="connsiteY2" fmla="*/ 0 h 830676"/>
            <a:gd name="connsiteX3" fmla="*/ 2923899 w 2998518"/>
            <a:gd name="connsiteY3" fmla="*/ 2694 h 830676"/>
            <a:gd name="connsiteX4" fmla="*/ 2976663 w 2998518"/>
            <a:gd name="connsiteY4" fmla="*/ 24549 h 830676"/>
            <a:gd name="connsiteX5" fmla="*/ 2998518 w 2998518"/>
            <a:gd name="connsiteY5" fmla="*/ 77313 h 830676"/>
            <a:gd name="connsiteX6" fmla="*/ 2998518 w 2998518"/>
            <a:gd name="connsiteY6" fmla="*/ 661500 h 830676"/>
            <a:gd name="connsiteX7" fmla="*/ 2976663 w 2998518"/>
            <a:gd name="connsiteY7" fmla="*/ 714264 h 830676"/>
            <a:gd name="connsiteX8" fmla="*/ 2923899 w 2998518"/>
            <a:gd name="connsiteY8" fmla="*/ 736119 h 830676"/>
            <a:gd name="connsiteX9" fmla="*/ 1266169 w 2998518"/>
            <a:gd name="connsiteY9" fmla="*/ 736119 h 830676"/>
            <a:gd name="connsiteX10" fmla="*/ 1092969 w 2998518"/>
            <a:gd name="connsiteY10" fmla="*/ 722344 h 830676"/>
            <a:gd name="connsiteX11" fmla="*/ 1014064 w 2998518"/>
            <a:gd name="connsiteY11" fmla="*/ 661809 h 830676"/>
            <a:gd name="connsiteX12" fmla="*/ -1 w 2998518"/>
            <a:gd name="connsiteY12" fmla="*/ 830676 h 830676"/>
            <a:gd name="connsiteX13" fmla="*/ 1007812 w 2998518"/>
            <a:gd name="connsiteY13" fmla="*/ 547582 h 830676"/>
            <a:gd name="connsiteX14" fmla="*/ 1001460 w 2998518"/>
            <a:gd name="connsiteY14" fmla="*/ 434458 h 830676"/>
            <a:gd name="connsiteX15" fmla="*/ 556658 w 2998518"/>
            <a:gd name="connsiteY15" fmla="*/ 403331 h 830676"/>
            <a:gd name="connsiteX16" fmla="*/ 996985 w 2998518"/>
            <a:gd name="connsiteY16" fmla="*/ 330348 h 830676"/>
            <a:gd name="connsiteX17" fmla="*/ 1005015 w 2998518"/>
            <a:gd name="connsiteY17" fmla="*/ 168468 h 830676"/>
            <a:gd name="connsiteX18" fmla="*/ 161164 w 2998518"/>
            <a:gd name="connsiteY18" fmla="*/ 65397 h 830676"/>
            <a:gd name="connsiteX19" fmla="*/ 1020403 w 2998518"/>
            <a:gd name="connsiteY19" fmla="*/ 71927 h 830676"/>
            <a:gd name="connsiteX0" fmla="*/ 1020404 w 2998519"/>
            <a:gd name="connsiteY0" fmla="*/ 71927 h 830676"/>
            <a:gd name="connsiteX1" fmla="*/ 1048598 w 2998519"/>
            <a:gd name="connsiteY1" fmla="*/ 32629 h 830676"/>
            <a:gd name="connsiteX2" fmla="*/ 1139394 w 2998519"/>
            <a:gd name="connsiteY2" fmla="*/ 0 h 830676"/>
            <a:gd name="connsiteX3" fmla="*/ 2923900 w 2998519"/>
            <a:gd name="connsiteY3" fmla="*/ 2694 h 830676"/>
            <a:gd name="connsiteX4" fmla="*/ 2976664 w 2998519"/>
            <a:gd name="connsiteY4" fmla="*/ 24549 h 830676"/>
            <a:gd name="connsiteX5" fmla="*/ 2998519 w 2998519"/>
            <a:gd name="connsiteY5" fmla="*/ 77313 h 830676"/>
            <a:gd name="connsiteX6" fmla="*/ 2998519 w 2998519"/>
            <a:gd name="connsiteY6" fmla="*/ 661500 h 830676"/>
            <a:gd name="connsiteX7" fmla="*/ 2976664 w 2998519"/>
            <a:gd name="connsiteY7" fmla="*/ 714264 h 830676"/>
            <a:gd name="connsiteX8" fmla="*/ 2923900 w 2998519"/>
            <a:gd name="connsiteY8" fmla="*/ 736119 h 830676"/>
            <a:gd name="connsiteX9" fmla="*/ 1266170 w 2998519"/>
            <a:gd name="connsiteY9" fmla="*/ 736119 h 830676"/>
            <a:gd name="connsiteX10" fmla="*/ 1092970 w 2998519"/>
            <a:gd name="connsiteY10" fmla="*/ 722344 h 830676"/>
            <a:gd name="connsiteX11" fmla="*/ 1014065 w 2998519"/>
            <a:gd name="connsiteY11" fmla="*/ 661809 h 830676"/>
            <a:gd name="connsiteX12" fmla="*/ 0 w 2998519"/>
            <a:gd name="connsiteY12" fmla="*/ 830676 h 830676"/>
            <a:gd name="connsiteX13" fmla="*/ 1007813 w 2998519"/>
            <a:gd name="connsiteY13" fmla="*/ 547582 h 830676"/>
            <a:gd name="connsiteX14" fmla="*/ 1001461 w 2998519"/>
            <a:gd name="connsiteY14" fmla="*/ 434458 h 830676"/>
            <a:gd name="connsiteX15" fmla="*/ 820482 w 2998519"/>
            <a:gd name="connsiteY15" fmla="*/ 385382 h 830676"/>
            <a:gd name="connsiteX16" fmla="*/ 996986 w 2998519"/>
            <a:gd name="connsiteY16" fmla="*/ 330348 h 830676"/>
            <a:gd name="connsiteX17" fmla="*/ 1005016 w 2998519"/>
            <a:gd name="connsiteY17" fmla="*/ 168468 h 830676"/>
            <a:gd name="connsiteX18" fmla="*/ 161165 w 2998519"/>
            <a:gd name="connsiteY18" fmla="*/ 65397 h 830676"/>
            <a:gd name="connsiteX19" fmla="*/ 1020404 w 2998519"/>
            <a:gd name="connsiteY19" fmla="*/ 71927 h 830676"/>
            <a:gd name="connsiteX0" fmla="*/ 859239 w 2837354"/>
            <a:gd name="connsiteY0" fmla="*/ 71927 h 736119"/>
            <a:gd name="connsiteX1" fmla="*/ 887433 w 2837354"/>
            <a:gd name="connsiteY1" fmla="*/ 32629 h 736119"/>
            <a:gd name="connsiteX2" fmla="*/ 978229 w 2837354"/>
            <a:gd name="connsiteY2" fmla="*/ 0 h 736119"/>
            <a:gd name="connsiteX3" fmla="*/ 2762735 w 2837354"/>
            <a:gd name="connsiteY3" fmla="*/ 2694 h 736119"/>
            <a:gd name="connsiteX4" fmla="*/ 2815499 w 2837354"/>
            <a:gd name="connsiteY4" fmla="*/ 24549 h 736119"/>
            <a:gd name="connsiteX5" fmla="*/ 2837354 w 2837354"/>
            <a:gd name="connsiteY5" fmla="*/ 77313 h 736119"/>
            <a:gd name="connsiteX6" fmla="*/ 2837354 w 2837354"/>
            <a:gd name="connsiteY6" fmla="*/ 661500 h 736119"/>
            <a:gd name="connsiteX7" fmla="*/ 2815499 w 2837354"/>
            <a:gd name="connsiteY7" fmla="*/ 714264 h 736119"/>
            <a:gd name="connsiteX8" fmla="*/ 2762735 w 2837354"/>
            <a:gd name="connsiteY8" fmla="*/ 736119 h 736119"/>
            <a:gd name="connsiteX9" fmla="*/ 1105005 w 2837354"/>
            <a:gd name="connsiteY9" fmla="*/ 736119 h 736119"/>
            <a:gd name="connsiteX10" fmla="*/ 931805 w 2837354"/>
            <a:gd name="connsiteY10" fmla="*/ 722344 h 736119"/>
            <a:gd name="connsiteX11" fmla="*/ 852900 w 2837354"/>
            <a:gd name="connsiteY11" fmla="*/ 661809 h 736119"/>
            <a:gd name="connsiteX12" fmla="*/ 846648 w 2837354"/>
            <a:gd name="connsiteY12" fmla="*/ 547582 h 736119"/>
            <a:gd name="connsiteX13" fmla="*/ 840296 w 2837354"/>
            <a:gd name="connsiteY13" fmla="*/ 434458 h 736119"/>
            <a:gd name="connsiteX14" fmla="*/ 659317 w 2837354"/>
            <a:gd name="connsiteY14" fmla="*/ 385382 h 736119"/>
            <a:gd name="connsiteX15" fmla="*/ 835821 w 2837354"/>
            <a:gd name="connsiteY15" fmla="*/ 330348 h 736119"/>
            <a:gd name="connsiteX16" fmla="*/ 843851 w 2837354"/>
            <a:gd name="connsiteY16" fmla="*/ 168468 h 736119"/>
            <a:gd name="connsiteX17" fmla="*/ 0 w 2837354"/>
            <a:gd name="connsiteY17" fmla="*/ 65397 h 736119"/>
            <a:gd name="connsiteX18" fmla="*/ 859239 w 2837354"/>
            <a:gd name="connsiteY18" fmla="*/ 71927 h 736119"/>
            <a:gd name="connsiteX0" fmla="*/ 859239 w 2837354"/>
            <a:gd name="connsiteY0" fmla="*/ 71927 h 829383"/>
            <a:gd name="connsiteX1" fmla="*/ 887433 w 2837354"/>
            <a:gd name="connsiteY1" fmla="*/ 32629 h 829383"/>
            <a:gd name="connsiteX2" fmla="*/ 978229 w 2837354"/>
            <a:gd name="connsiteY2" fmla="*/ 0 h 829383"/>
            <a:gd name="connsiteX3" fmla="*/ 2762735 w 2837354"/>
            <a:gd name="connsiteY3" fmla="*/ 2694 h 829383"/>
            <a:gd name="connsiteX4" fmla="*/ 2815499 w 2837354"/>
            <a:gd name="connsiteY4" fmla="*/ 24549 h 829383"/>
            <a:gd name="connsiteX5" fmla="*/ 2837354 w 2837354"/>
            <a:gd name="connsiteY5" fmla="*/ 77313 h 829383"/>
            <a:gd name="connsiteX6" fmla="*/ 2837354 w 2837354"/>
            <a:gd name="connsiteY6" fmla="*/ 661500 h 829383"/>
            <a:gd name="connsiteX7" fmla="*/ 2815499 w 2837354"/>
            <a:gd name="connsiteY7" fmla="*/ 714264 h 829383"/>
            <a:gd name="connsiteX8" fmla="*/ 2762735 w 2837354"/>
            <a:gd name="connsiteY8" fmla="*/ 736119 h 829383"/>
            <a:gd name="connsiteX9" fmla="*/ 2101744 w 2837354"/>
            <a:gd name="connsiteY9" fmla="*/ 829383 h 829383"/>
            <a:gd name="connsiteX10" fmla="*/ 1105005 w 2837354"/>
            <a:gd name="connsiteY10" fmla="*/ 736119 h 829383"/>
            <a:gd name="connsiteX11" fmla="*/ 931805 w 2837354"/>
            <a:gd name="connsiteY11" fmla="*/ 722344 h 829383"/>
            <a:gd name="connsiteX12" fmla="*/ 852900 w 2837354"/>
            <a:gd name="connsiteY12" fmla="*/ 661809 h 829383"/>
            <a:gd name="connsiteX13" fmla="*/ 846648 w 2837354"/>
            <a:gd name="connsiteY13" fmla="*/ 547582 h 829383"/>
            <a:gd name="connsiteX14" fmla="*/ 840296 w 2837354"/>
            <a:gd name="connsiteY14" fmla="*/ 434458 h 829383"/>
            <a:gd name="connsiteX15" fmla="*/ 659317 w 2837354"/>
            <a:gd name="connsiteY15" fmla="*/ 385382 h 829383"/>
            <a:gd name="connsiteX16" fmla="*/ 835821 w 2837354"/>
            <a:gd name="connsiteY16" fmla="*/ 330348 h 829383"/>
            <a:gd name="connsiteX17" fmla="*/ 843851 w 2837354"/>
            <a:gd name="connsiteY17" fmla="*/ 168468 h 829383"/>
            <a:gd name="connsiteX18" fmla="*/ 0 w 2837354"/>
            <a:gd name="connsiteY18" fmla="*/ 65397 h 829383"/>
            <a:gd name="connsiteX19" fmla="*/ 859239 w 2837354"/>
            <a:gd name="connsiteY19" fmla="*/ 71927 h 829383"/>
            <a:gd name="connsiteX0" fmla="*/ 859239 w 2837354"/>
            <a:gd name="connsiteY0" fmla="*/ 71927 h 829383"/>
            <a:gd name="connsiteX1" fmla="*/ 887433 w 2837354"/>
            <a:gd name="connsiteY1" fmla="*/ 32629 h 829383"/>
            <a:gd name="connsiteX2" fmla="*/ 978229 w 2837354"/>
            <a:gd name="connsiteY2" fmla="*/ 0 h 829383"/>
            <a:gd name="connsiteX3" fmla="*/ 2762735 w 2837354"/>
            <a:gd name="connsiteY3" fmla="*/ 2694 h 829383"/>
            <a:gd name="connsiteX4" fmla="*/ 2815499 w 2837354"/>
            <a:gd name="connsiteY4" fmla="*/ 24549 h 829383"/>
            <a:gd name="connsiteX5" fmla="*/ 2837354 w 2837354"/>
            <a:gd name="connsiteY5" fmla="*/ 77313 h 829383"/>
            <a:gd name="connsiteX6" fmla="*/ 2837354 w 2837354"/>
            <a:gd name="connsiteY6" fmla="*/ 661500 h 829383"/>
            <a:gd name="connsiteX7" fmla="*/ 2815499 w 2837354"/>
            <a:gd name="connsiteY7" fmla="*/ 714264 h 829383"/>
            <a:gd name="connsiteX8" fmla="*/ 2762735 w 2837354"/>
            <a:gd name="connsiteY8" fmla="*/ 736119 h 829383"/>
            <a:gd name="connsiteX9" fmla="*/ 2101744 w 2837354"/>
            <a:gd name="connsiteY9" fmla="*/ 829383 h 829383"/>
            <a:gd name="connsiteX10" fmla="*/ 1851806 w 2837354"/>
            <a:gd name="connsiteY10" fmla="*/ 739638 h 829383"/>
            <a:gd name="connsiteX11" fmla="*/ 1105005 w 2837354"/>
            <a:gd name="connsiteY11" fmla="*/ 736119 h 829383"/>
            <a:gd name="connsiteX12" fmla="*/ 931805 w 2837354"/>
            <a:gd name="connsiteY12" fmla="*/ 722344 h 829383"/>
            <a:gd name="connsiteX13" fmla="*/ 852900 w 2837354"/>
            <a:gd name="connsiteY13" fmla="*/ 661809 h 829383"/>
            <a:gd name="connsiteX14" fmla="*/ 846648 w 2837354"/>
            <a:gd name="connsiteY14" fmla="*/ 547582 h 829383"/>
            <a:gd name="connsiteX15" fmla="*/ 840296 w 2837354"/>
            <a:gd name="connsiteY15" fmla="*/ 434458 h 829383"/>
            <a:gd name="connsiteX16" fmla="*/ 659317 w 2837354"/>
            <a:gd name="connsiteY16" fmla="*/ 385382 h 829383"/>
            <a:gd name="connsiteX17" fmla="*/ 835821 w 2837354"/>
            <a:gd name="connsiteY17" fmla="*/ 330348 h 829383"/>
            <a:gd name="connsiteX18" fmla="*/ 843851 w 2837354"/>
            <a:gd name="connsiteY18" fmla="*/ 168468 h 829383"/>
            <a:gd name="connsiteX19" fmla="*/ 0 w 2837354"/>
            <a:gd name="connsiteY19" fmla="*/ 65397 h 829383"/>
            <a:gd name="connsiteX20" fmla="*/ 859239 w 2837354"/>
            <a:gd name="connsiteY20" fmla="*/ 71927 h 829383"/>
            <a:gd name="connsiteX0" fmla="*/ 859239 w 2837354"/>
            <a:gd name="connsiteY0" fmla="*/ 71927 h 829383"/>
            <a:gd name="connsiteX1" fmla="*/ 887433 w 2837354"/>
            <a:gd name="connsiteY1" fmla="*/ 32629 h 829383"/>
            <a:gd name="connsiteX2" fmla="*/ 978229 w 2837354"/>
            <a:gd name="connsiteY2" fmla="*/ 0 h 829383"/>
            <a:gd name="connsiteX3" fmla="*/ 2762735 w 2837354"/>
            <a:gd name="connsiteY3" fmla="*/ 2694 h 829383"/>
            <a:gd name="connsiteX4" fmla="*/ 2815499 w 2837354"/>
            <a:gd name="connsiteY4" fmla="*/ 24549 h 829383"/>
            <a:gd name="connsiteX5" fmla="*/ 2837354 w 2837354"/>
            <a:gd name="connsiteY5" fmla="*/ 77313 h 829383"/>
            <a:gd name="connsiteX6" fmla="*/ 2837354 w 2837354"/>
            <a:gd name="connsiteY6" fmla="*/ 661500 h 829383"/>
            <a:gd name="connsiteX7" fmla="*/ 2815499 w 2837354"/>
            <a:gd name="connsiteY7" fmla="*/ 714264 h 829383"/>
            <a:gd name="connsiteX8" fmla="*/ 2762735 w 2837354"/>
            <a:gd name="connsiteY8" fmla="*/ 736119 h 829383"/>
            <a:gd name="connsiteX9" fmla="*/ 2185056 w 2837354"/>
            <a:gd name="connsiteY9" fmla="*/ 739638 h 829383"/>
            <a:gd name="connsiteX10" fmla="*/ 2101744 w 2837354"/>
            <a:gd name="connsiteY10" fmla="*/ 829383 h 829383"/>
            <a:gd name="connsiteX11" fmla="*/ 1851806 w 2837354"/>
            <a:gd name="connsiteY11" fmla="*/ 739638 h 829383"/>
            <a:gd name="connsiteX12" fmla="*/ 1105005 w 2837354"/>
            <a:gd name="connsiteY12" fmla="*/ 736119 h 829383"/>
            <a:gd name="connsiteX13" fmla="*/ 931805 w 2837354"/>
            <a:gd name="connsiteY13" fmla="*/ 722344 h 829383"/>
            <a:gd name="connsiteX14" fmla="*/ 852900 w 2837354"/>
            <a:gd name="connsiteY14" fmla="*/ 661809 h 829383"/>
            <a:gd name="connsiteX15" fmla="*/ 846648 w 2837354"/>
            <a:gd name="connsiteY15" fmla="*/ 547582 h 829383"/>
            <a:gd name="connsiteX16" fmla="*/ 840296 w 2837354"/>
            <a:gd name="connsiteY16" fmla="*/ 434458 h 829383"/>
            <a:gd name="connsiteX17" fmla="*/ 659317 w 2837354"/>
            <a:gd name="connsiteY17" fmla="*/ 385382 h 829383"/>
            <a:gd name="connsiteX18" fmla="*/ 835821 w 2837354"/>
            <a:gd name="connsiteY18" fmla="*/ 330348 h 829383"/>
            <a:gd name="connsiteX19" fmla="*/ 843851 w 2837354"/>
            <a:gd name="connsiteY19" fmla="*/ 168468 h 829383"/>
            <a:gd name="connsiteX20" fmla="*/ 0 w 2837354"/>
            <a:gd name="connsiteY20" fmla="*/ 65397 h 829383"/>
            <a:gd name="connsiteX21" fmla="*/ 859239 w 2837354"/>
            <a:gd name="connsiteY21" fmla="*/ 71927 h 829383"/>
            <a:gd name="connsiteX0" fmla="*/ 859239 w 2837354"/>
            <a:gd name="connsiteY0" fmla="*/ 71927 h 823400"/>
            <a:gd name="connsiteX1" fmla="*/ 887433 w 2837354"/>
            <a:gd name="connsiteY1" fmla="*/ 32629 h 823400"/>
            <a:gd name="connsiteX2" fmla="*/ 978229 w 2837354"/>
            <a:gd name="connsiteY2" fmla="*/ 0 h 823400"/>
            <a:gd name="connsiteX3" fmla="*/ 2762735 w 2837354"/>
            <a:gd name="connsiteY3" fmla="*/ 2694 h 823400"/>
            <a:gd name="connsiteX4" fmla="*/ 2815499 w 2837354"/>
            <a:gd name="connsiteY4" fmla="*/ 24549 h 823400"/>
            <a:gd name="connsiteX5" fmla="*/ 2837354 w 2837354"/>
            <a:gd name="connsiteY5" fmla="*/ 77313 h 823400"/>
            <a:gd name="connsiteX6" fmla="*/ 2837354 w 2837354"/>
            <a:gd name="connsiteY6" fmla="*/ 661500 h 823400"/>
            <a:gd name="connsiteX7" fmla="*/ 2815499 w 2837354"/>
            <a:gd name="connsiteY7" fmla="*/ 714264 h 823400"/>
            <a:gd name="connsiteX8" fmla="*/ 2762735 w 2837354"/>
            <a:gd name="connsiteY8" fmla="*/ 736119 h 823400"/>
            <a:gd name="connsiteX9" fmla="*/ 2185056 w 2837354"/>
            <a:gd name="connsiteY9" fmla="*/ 739638 h 823400"/>
            <a:gd name="connsiteX10" fmla="*/ 1962890 w 2837354"/>
            <a:gd name="connsiteY10" fmla="*/ 823400 h 823400"/>
            <a:gd name="connsiteX11" fmla="*/ 1851806 w 2837354"/>
            <a:gd name="connsiteY11" fmla="*/ 739638 h 823400"/>
            <a:gd name="connsiteX12" fmla="*/ 1105005 w 2837354"/>
            <a:gd name="connsiteY12" fmla="*/ 736119 h 823400"/>
            <a:gd name="connsiteX13" fmla="*/ 931805 w 2837354"/>
            <a:gd name="connsiteY13" fmla="*/ 722344 h 823400"/>
            <a:gd name="connsiteX14" fmla="*/ 852900 w 2837354"/>
            <a:gd name="connsiteY14" fmla="*/ 661809 h 823400"/>
            <a:gd name="connsiteX15" fmla="*/ 846648 w 2837354"/>
            <a:gd name="connsiteY15" fmla="*/ 547582 h 823400"/>
            <a:gd name="connsiteX16" fmla="*/ 840296 w 2837354"/>
            <a:gd name="connsiteY16" fmla="*/ 434458 h 823400"/>
            <a:gd name="connsiteX17" fmla="*/ 659317 w 2837354"/>
            <a:gd name="connsiteY17" fmla="*/ 385382 h 823400"/>
            <a:gd name="connsiteX18" fmla="*/ 835821 w 2837354"/>
            <a:gd name="connsiteY18" fmla="*/ 330348 h 823400"/>
            <a:gd name="connsiteX19" fmla="*/ 843851 w 2837354"/>
            <a:gd name="connsiteY19" fmla="*/ 168468 h 823400"/>
            <a:gd name="connsiteX20" fmla="*/ 0 w 2837354"/>
            <a:gd name="connsiteY20" fmla="*/ 65397 h 823400"/>
            <a:gd name="connsiteX21" fmla="*/ 859239 w 2837354"/>
            <a:gd name="connsiteY21" fmla="*/ 71927 h 823400"/>
            <a:gd name="connsiteX0" fmla="*/ 859239 w 2837354"/>
            <a:gd name="connsiteY0" fmla="*/ 71927 h 823400"/>
            <a:gd name="connsiteX1" fmla="*/ 887433 w 2837354"/>
            <a:gd name="connsiteY1" fmla="*/ 32629 h 823400"/>
            <a:gd name="connsiteX2" fmla="*/ 978229 w 2837354"/>
            <a:gd name="connsiteY2" fmla="*/ 0 h 823400"/>
            <a:gd name="connsiteX3" fmla="*/ 2762735 w 2837354"/>
            <a:gd name="connsiteY3" fmla="*/ 2694 h 823400"/>
            <a:gd name="connsiteX4" fmla="*/ 2815499 w 2837354"/>
            <a:gd name="connsiteY4" fmla="*/ 24549 h 823400"/>
            <a:gd name="connsiteX5" fmla="*/ 2837354 w 2837354"/>
            <a:gd name="connsiteY5" fmla="*/ 77313 h 823400"/>
            <a:gd name="connsiteX6" fmla="*/ 2837354 w 2837354"/>
            <a:gd name="connsiteY6" fmla="*/ 661500 h 823400"/>
            <a:gd name="connsiteX7" fmla="*/ 2815499 w 2837354"/>
            <a:gd name="connsiteY7" fmla="*/ 714264 h 823400"/>
            <a:gd name="connsiteX8" fmla="*/ 2762735 w 2837354"/>
            <a:gd name="connsiteY8" fmla="*/ 736119 h 823400"/>
            <a:gd name="connsiteX9" fmla="*/ 2185056 w 2837354"/>
            <a:gd name="connsiteY9" fmla="*/ 739638 h 823400"/>
            <a:gd name="connsiteX10" fmla="*/ 1962890 w 2837354"/>
            <a:gd name="connsiteY10" fmla="*/ 823400 h 823400"/>
            <a:gd name="connsiteX11" fmla="*/ 1851806 w 2837354"/>
            <a:gd name="connsiteY11" fmla="*/ 739638 h 823400"/>
            <a:gd name="connsiteX12" fmla="*/ 1105005 w 2837354"/>
            <a:gd name="connsiteY12" fmla="*/ 736119 h 823400"/>
            <a:gd name="connsiteX13" fmla="*/ 931805 w 2837354"/>
            <a:gd name="connsiteY13" fmla="*/ 722344 h 823400"/>
            <a:gd name="connsiteX14" fmla="*/ 852900 w 2837354"/>
            <a:gd name="connsiteY14" fmla="*/ 661809 h 823400"/>
            <a:gd name="connsiteX15" fmla="*/ 846648 w 2837354"/>
            <a:gd name="connsiteY15" fmla="*/ 547582 h 823400"/>
            <a:gd name="connsiteX16" fmla="*/ 840296 w 2837354"/>
            <a:gd name="connsiteY16" fmla="*/ 434458 h 823400"/>
            <a:gd name="connsiteX17" fmla="*/ 589890 w 2837354"/>
            <a:gd name="connsiteY17" fmla="*/ 391365 h 823400"/>
            <a:gd name="connsiteX18" fmla="*/ 835821 w 2837354"/>
            <a:gd name="connsiteY18" fmla="*/ 330348 h 823400"/>
            <a:gd name="connsiteX19" fmla="*/ 843851 w 2837354"/>
            <a:gd name="connsiteY19" fmla="*/ 168468 h 823400"/>
            <a:gd name="connsiteX20" fmla="*/ 0 w 2837354"/>
            <a:gd name="connsiteY20" fmla="*/ 65397 h 823400"/>
            <a:gd name="connsiteX21" fmla="*/ 859239 w 2837354"/>
            <a:gd name="connsiteY21" fmla="*/ 71927 h 823400"/>
            <a:gd name="connsiteX0" fmla="*/ 859239 w 2837354"/>
            <a:gd name="connsiteY0" fmla="*/ 71927 h 841349"/>
            <a:gd name="connsiteX1" fmla="*/ 887433 w 2837354"/>
            <a:gd name="connsiteY1" fmla="*/ 32629 h 841349"/>
            <a:gd name="connsiteX2" fmla="*/ 978229 w 2837354"/>
            <a:gd name="connsiteY2" fmla="*/ 0 h 841349"/>
            <a:gd name="connsiteX3" fmla="*/ 2762735 w 2837354"/>
            <a:gd name="connsiteY3" fmla="*/ 2694 h 841349"/>
            <a:gd name="connsiteX4" fmla="*/ 2815499 w 2837354"/>
            <a:gd name="connsiteY4" fmla="*/ 24549 h 841349"/>
            <a:gd name="connsiteX5" fmla="*/ 2837354 w 2837354"/>
            <a:gd name="connsiteY5" fmla="*/ 77313 h 841349"/>
            <a:gd name="connsiteX6" fmla="*/ 2837354 w 2837354"/>
            <a:gd name="connsiteY6" fmla="*/ 661500 h 841349"/>
            <a:gd name="connsiteX7" fmla="*/ 2815499 w 2837354"/>
            <a:gd name="connsiteY7" fmla="*/ 714264 h 841349"/>
            <a:gd name="connsiteX8" fmla="*/ 2762735 w 2837354"/>
            <a:gd name="connsiteY8" fmla="*/ 736119 h 841349"/>
            <a:gd name="connsiteX9" fmla="*/ 2185056 w 2837354"/>
            <a:gd name="connsiteY9" fmla="*/ 739638 h 841349"/>
            <a:gd name="connsiteX10" fmla="*/ 1865692 w 2837354"/>
            <a:gd name="connsiteY10" fmla="*/ 841349 h 841349"/>
            <a:gd name="connsiteX11" fmla="*/ 1851806 w 2837354"/>
            <a:gd name="connsiteY11" fmla="*/ 739638 h 841349"/>
            <a:gd name="connsiteX12" fmla="*/ 1105005 w 2837354"/>
            <a:gd name="connsiteY12" fmla="*/ 736119 h 841349"/>
            <a:gd name="connsiteX13" fmla="*/ 931805 w 2837354"/>
            <a:gd name="connsiteY13" fmla="*/ 722344 h 841349"/>
            <a:gd name="connsiteX14" fmla="*/ 852900 w 2837354"/>
            <a:gd name="connsiteY14" fmla="*/ 661809 h 841349"/>
            <a:gd name="connsiteX15" fmla="*/ 846648 w 2837354"/>
            <a:gd name="connsiteY15" fmla="*/ 547582 h 841349"/>
            <a:gd name="connsiteX16" fmla="*/ 840296 w 2837354"/>
            <a:gd name="connsiteY16" fmla="*/ 434458 h 841349"/>
            <a:gd name="connsiteX17" fmla="*/ 589890 w 2837354"/>
            <a:gd name="connsiteY17" fmla="*/ 391365 h 841349"/>
            <a:gd name="connsiteX18" fmla="*/ 835821 w 2837354"/>
            <a:gd name="connsiteY18" fmla="*/ 330348 h 841349"/>
            <a:gd name="connsiteX19" fmla="*/ 843851 w 2837354"/>
            <a:gd name="connsiteY19" fmla="*/ 168468 h 841349"/>
            <a:gd name="connsiteX20" fmla="*/ 0 w 2837354"/>
            <a:gd name="connsiteY20" fmla="*/ 65397 h 841349"/>
            <a:gd name="connsiteX21" fmla="*/ 859239 w 2837354"/>
            <a:gd name="connsiteY21" fmla="*/ 71927 h 841349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46648 w 2837354"/>
            <a:gd name="connsiteY15" fmla="*/ 547582 h 877247"/>
            <a:gd name="connsiteX16" fmla="*/ 840296 w 2837354"/>
            <a:gd name="connsiteY16" fmla="*/ 434458 h 877247"/>
            <a:gd name="connsiteX17" fmla="*/ 589890 w 2837354"/>
            <a:gd name="connsiteY17" fmla="*/ 391365 h 877247"/>
            <a:gd name="connsiteX18" fmla="*/ 835821 w 2837354"/>
            <a:gd name="connsiteY18" fmla="*/ 330348 h 877247"/>
            <a:gd name="connsiteX19" fmla="*/ 843851 w 2837354"/>
            <a:gd name="connsiteY19" fmla="*/ 168468 h 877247"/>
            <a:gd name="connsiteX20" fmla="*/ 0 w 2837354"/>
            <a:gd name="connsiteY20" fmla="*/ 65397 h 877247"/>
            <a:gd name="connsiteX21" fmla="*/ 859239 w 2837354"/>
            <a:gd name="connsiteY21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46648 w 2837354"/>
            <a:gd name="connsiteY15" fmla="*/ 547582 h 877247"/>
            <a:gd name="connsiteX16" fmla="*/ 840296 w 2837354"/>
            <a:gd name="connsiteY16" fmla="*/ 434458 h 877247"/>
            <a:gd name="connsiteX17" fmla="*/ 469338 w 2837354"/>
            <a:gd name="connsiteY17" fmla="*/ 441038 h 877247"/>
            <a:gd name="connsiteX18" fmla="*/ 835821 w 2837354"/>
            <a:gd name="connsiteY18" fmla="*/ 330348 h 877247"/>
            <a:gd name="connsiteX19" fmla="*/ 843851 w 2837354"/>
            <a:gd name="connsiteY19" fmla="*/ 168468 h 877247"/>
            <a:gd name="connsiteX20" fmla="*/ 0 w 2837354"/>
            <a:gd name="connsiteY20" fmla="*/ 65397 h 877247"/>
            <a:gd name="connsiteX21" fmla="*/ 859239 w 2837354"/>
            <a:gd name="connsiteY21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46648 w 2837354"/>
            <a:gd name="connsiteY15" fmla="*/ 547582 h 877247"/>
            <a:gd name="connsiteX16" fmla="*/ 840296 w 2837354"/>
            <a:gd name="connsiteY16" fmla="*/ 434458 h 877247"/>
            <a:gd name="connsiteX17" fmla="*/ 662221 w 2837354"/>
            <a:gd name="connsiteY17" fmla="*/ 469422 h 877247"/>
            <a:gd name="connsiteX18" fmla="*/ 835821 w 2837354"/>
            <a:gd name="connsiteY18" fmla="*/ 330348 h 877247"/>
            <a:gd name="connsiteX19" fmla="*/ 843851 w 2837354"/>
            <a:gd name="connsiteY19" fmla="*/ 168468 h 877247"/>
            <a:gd name="connsiteX20" fmla="*/ 0 w 2837354"/>
            <a:gd name="connsiteY20" fmla="*/ 65397 h 877247"/>
            <a:gd name="connsiteX21" fmla="*/ 859239 w 2837354"/>
            <a:gd name="connsiteY21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40296 w 2837354"/>
            <a:gd name="connsiteY15" fmla="*/ 434458 h 877247"/>
            <a:gd name="connsiteX16" fmla="*/ 662221 w 2837354"/>
            <a:gd name="connsiteY16" fmla="*/ 469422 h 877247"/>
            <a:gd name="connsiteX17" fmla="*/ 835821 w 2837354"/>
            <a:gd name="connsiteY17" fmla="*/ 330348 h 877247"/>
            <a:gd name="connsiteX18" fmla="*/ 843851 w 2837354"/>
            <a:gd name="connsiteY18" fmla="*/ 168468 h 877247"/>
            <a:gd name="connsiteX19" fmla="*/ 0 w 2837354"/>
            <a:gd name="connsiteY19" fmla="*/ 65397 h 877247"/>
            <a:gd name="connsiteX20" fmla="*/ 859239 w 2837354"/>
            <a:gd name="connsiteY20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64407 w 2837354"/>
            <a:gd name="connsiteY15" fmla="*/ 512515 h 877247"/>
            <a:gd name="connsiteX16" fmla="*/ 662221 w 2837354"/>
            <a:gd name="connsiteY16" fmla="*/ 469422 h 877247"/>
            <a:gd name="connsiteX17" fmla="*/ 835821 w 2837354"/>
            <a:gd name="connsiteY17" fmla="*/ 330348 h 877247"/>
            <a:gd name="connsiteX18" fmla="*/ 843851 w 2837354"/>
            <a:gd name="connsiteY18" fmla="*/ 168468 h 877247"/>
            <a:gd name="connsiteX19" fmla="*/ 0 w 2837354"/>
            <a:gd name="connsiteY19" fmla="*/ 65397 h 877247"/>
            <a:gd name="connsiteX20" fmla="*/ 859239 w 2837354"/>
            <a:gd name="connsiteY20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64407 w 2837354"/>
            <a:gd name="connsiteY15" fmla="*/ 512515 h 877247"/>
            <a:gd name="connsiteX16" fmla="*/ 662221 w 2837354"/>
            <a:gd name="connsiteY16" fmla="*/ 469422 h 877247"/>
            <a:gd name="connsiteX17" fmla="*/ 823766 w 2837354"/>
            <a:gd name="connsiteY17" fmla="*/ 387117 h 877247"/>
            <a:gd name="connsiteX18" fmla="*/ 843851 w 2837354"/>
            <a:gd name="connsiteY18" fmla="*/ 168468 h 877247"/>
            <a:gd name="connsiteX19" fmla="*/ 0 w 2837354"/>
            <a:gd name="connsiteY19" fmla="*/ 65397 h 877247"/>
            <a:gd name="connsiteX20" fmla="*/ 859239 w 2837354"/>
            <a:gd name="connsiteY20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64407 w 2837354"/>
            <a:gd name="connsiteY15" fmla="*/ 512515 h 877247"/>
            <a:gd name="connsiteX16" fmla="*/ 662221 w 2837354"/>
            <a:gd name="connsiteY16" fmla="*/ 469422 h 877247"/>
            <a:gd name="connsiteX17" fmla="*/ 823766 w 2837354"/>
            <a:gd name="connsiteY17" fmla="*/ 408406 h 877247"/>
            <a:gd name="connsiteX18" fmla="*/ 843851 w 2837354"/>
            <a:gd name="connsiteY18" fmla="*/ 168468 h 877247"/>
            <a:gd name="connsiteX19" fmla="*/ 0 w 2837354"/>
            <a:gd name="connsiteY19" fmla="*/ 65397 h 877247"/>
            <a:gd name="connsiteX20" fmla="*/ 859239 w 2837354"/>
            <a:gd name="connsiteY20" fmla="*/ 71927 h 877247"/>
            <a:gd name="connsiteX0" fmla="*/ 823073 w 2801188"/>
            <a:gd name="connsiteY0" fmla="*/ 71927 h 877247"/>
            <a:gd name="connsiteX1" fmla="*/ 851267 w 2801188"/>
            <a:gd name="connsiteY1" fmla="*/ 32629 h 877247"/>
            <a:gd name="connsiteX2" fmla="*/ 942063 w 2801188"/>
            <a:gd name="connsiteY2" fmla="*/ 0 h 877247"/>
            <a:gd name="connsiteX3" fmla="*/ 2726569 w 2801188"/>
            <a:gd name="connsiteY3" fmla="*/ 2694 h 877247"/>
            <a:gd name="connsiteX4" fmla="*/ 2779333 w 2801188"/>
            <a:gd name="connsiteY4" fmla="*/ 24549 h 877247"/>
            <a:gd name="connsiteX5" fmla="*/ 2801188 w 2801188"/>
            <a:gd name="connsiteY5" fmla="*/ 77313 h 877247"/>
            <a:gd name="connsiteX6" fmla="*/ 2801188 w 2801188"/>
            <a:gd name="connsiteY6" fmla="*/ 661500 h 877247"/>
            <a:gd name="connsiteX7" fmla="*/ 2779333 w 2801188"/>
            <a:gd name="connsiteY7" fmla="*/ 714264 h 877247"/>
            <a:gd name="connsiteX8" fmla="*/ 2726569 w 2801188"/>
            <a:gd name="connsiteY8" fmla="*/ 736119 h 877247"/>
            <a:gd name="connsiteX9" fmla="*/ 2148890 w 2801188"/>
            <a:gd name="connsiteY9" fmla="*/ 739638 h 877247"/>
            <a:gd name="connsiteX10" fmla="*/ 1718442 w 2801188"/>
            <a:gd name="connsiteY10" fmla="*/ 877247 h 877247"/>
            <a:gd name="connsiteX11" fmla="*/ 1815640 w 2801188"/>
            <a:gd name="connsiteY11" fmla="*/ 739638 h 877247"/>
            <a:gd name="connsiteX12" fmla="*/ 1068839 w 2801188"/>
            <a:gd name="connsiteY12" fmla="*/ 736119 h 877247"/>
            <a:gd name="connsiteX13" fmla="*/ 895639 w 2801188"/>
            <a:gd name="connsiteY13" fmla="*/ 722344 h 877247"/>
            <a:gd name="connsiteX14" fmla="*/ 816734 w 2801188"/>
            <a:gd name="connsiteY14" fmla="*/ 661809 h 877247"/>
            <a:gd name="connsiteX15" fmla="*/ 828241 w 2801188"/>
            <a:gd name="connsiteY15" fmla="*/ 512515 h 877247"/>
            <a:gd name="connsiteX16" fmla="*/ 626055 w 2801188"/>
            <a:gd name="connsiteY16" fmla="*/ 469422 h 877247"/>
            <a:gd name="connsiteX17" fmla="*/ 787600 w 2801188"/>
            <a:gd name="connsiteY17" fmla="*/ 408406 h 877247"/>
            <a:gd name="connsiteX18" fmla="*/ 807685 w 2801188"/>
            <a:gd name="connsiteY18" fmla="*/ 168468 h 877247"/>
            <a:gd name="connsiteX19" fmla="*/ 0 w 2801188"/>
            <a:gd name="connsiteY19" fmla="*/ 1532 h 877247"/>
            <a:gd name="connsiteX20" fmla="*/ 823073 w 2801188"/>
            <a:gd name="connsiteY20" fmla="*/ 71927 h 877247"/>
            <a:gd name="connsiteX0" fmla="*/ 823073 w 2801188"/>
            <a:gd name="connsiteY0" fmla="*/ 71927 h 877247"/>
            <a:gd name="connsiteX1" fmla="*/ 851267 w 2801188"/>
            <a:gd name="connsiteY1" fmla="*/ 32629 h 877247"/>
            <a:gd name="connsiteX2" fmla="*/ 942063 w 2801188"/>
            <a:gd name="connsiteY2" fmla="*/ 0 h 877247"/>
            <a:gd name="connsiteX3" fmla="*/ 2726569 w 2801188"/>
            <a:gd name="connsiteY3" fmla="*/ 2694 h 877247"/>
            <a:gd name="connsiteX4" fmla="*/ 2779333 w 2801188"/>
            <a:gd name="connsiteY4" fmla="*/ 24549 h 877247"/>
            <a:gd name="connsiteX5" fmla="*/ 2801188 w 2801188"/>
            <a:gd name="connsiteY5" fmla="*/ 77313 h 877247"/>
            <a:gd name="connsiteX6" fmla="*/ 2801188 w 2801188"/>
            <a:gd name="connsiteY6" fmla="*/ 661500 h 877247"/>
            <a:gd name="connsiteX7" fmla="*/ 2779333 w 2801188"/>
            <a:gd name="connsiteY7" fmla="*/ 714264 h 877247"/>
            <a:gd name="connsiteX8" fmla="*/ 2726569 w 2801188"/>
            <a:gd name="connsiteY8" fmla="*/ 736119 h 877247"/>
            <a:gd name="connsiteX9" fmla="*/ 2148890 w 2801188"/>
            <a:gd name="connsiteY9" fmla="*/ 739638 h 877247"/>
            <a:gd name="connsiteX10" fmla="*/ 1718442 w 2801188"/>
            <a:gd name="connsiteY10" fmla="*/ 877247 h 877247"/>
            <a:gd name="connsiteX11" fmla="*/ 1815640 w 2801188"/>
            <a:gd name="connsiteY11" fmla="*/ 739638 h 877247"/>
            <a:gd name="connsiteX12" fmla="*/ 1068839 w 2801188"/>
            <a:gd name="connsiteY12" fmla="*/ 736119 h 877247"/>
            <a:gd name="connsiteX13" fmla="*/ 895639 w 2801188"/>
            <a:gd name="connsiteY13" fmla="*/ 722344 h 877247"/>
            <a:gd name="connsiteX14" fmla="*/ 816734 w 2801188"/>
            <a:gd name="connsiteY14" fmla="*/ 661809 h 877247"/>
            <a:gd name="connsiteX15" fmla="*/ 780020 w 2801188"/>
            <a:gd name="connsiteY15" fmla="*/ 512515 h 877247"/>
            <a:gd name="connsiteX16" fmla="*/ 626055 w 2801188"/>
            <a:gd name="connsiteY16" fmla="*/ 469422 h 877247"/>
            <a:gd name="connsiteX17" fmla="*/ 787600 w 2801188"/>
            <a:gd name="connsiteY17" fmla="*/ 408406 h 877247"/>
            <a:gd name="connsiteX18" fmla="*/ 807685 w 2801188"/>
            <a:gd name="connsiteY18" fmla="*/ 168468 h 877247"/>
            <a:gd name="connsiteX19" fmla="*/ 0 w 2801188"/>
            <a:gd name="connsiteY19" fmla="*/ 1532 h 877247"/>
            <a:gd name="connsiteX20" fmla="*/ 823073 w 2801188"/>
            <a:gd name="connsiteY20" fmla="*/ 71927 h 877247"/>
            <a:gd name="connsiteX0" fmla="*/ 823073 w 2801188"/>
            <a:gd name="connsiteY0" fmla="*/ 71927 h 877247"/>
            <a:gd name="connsiteX1" fmla="*/ 851267 w 2801188"/>
            <a:gd name="connsiteY1" fmla="*/ 32629 h 877247"/>
            <a:gd name="connsiteX2" fmla="*/ 942063 w 2801188"/>
            <a:gd name="connsiteY2" fmla="*/ 0 h 877247"/>
            <a:gd name="connsiteX3" fmla="*/ 2726569 w 2801188"/>
            <a:gd name="connsiteY3" fmla="*/ 2694 h 877247"/>
            <a:gd name="connsiteX4" fmla="*/ 2779333 w 2801188"/>
            <a:gd name="connsiteY4" fmla="*/ 24549 h 877247"/>
            <a:gd name="connsiteX5" fmla="*/ 2801188 w 2801188"/>
            <a:gd name="connsiteY5" fmla="*/ 77313 h 877247"/>
            <a:gd name="connsiteX6" fmla="*/ 2801188 w 2801188"/>
            <a:gd name="connsiteY6" fmla="*/ 661500 h 877247"/>
            <a:gd name="connsiteX7" fmla="*/ 2779333 w 2801188"/>
            <a:gd name="connsiteY7" fmla="*/ 714264 h 877247"/>
            <a:gd name="connsiteX8" fmla="*/ 2726569 w 2801188"/>
            <a:gd name="connsiteY8" fmla="*/ 736119 h 877247"/>
            <a:gd name="connsiteX9" fmla="*/ 2148890 w 2801188"/>
            <a:gd name="connsiteY9" fmla="*/ 739638 h 877247"/>
            <a:gd name="connsiteX10" fmla="*/ 1718442 w 2801188"/>
            <a:gd name="connsiteY10" fmla="*/ 877247 h 877247"/>
            <a:gd name="connsiteX11" fmla="*/ 1815640 w 2801188"/>
            <a:gd name="connsiteY11" fmla="*/ 739638 h 877247"/>
            <a:gd name="connsiteX12" fmla="*/ 1068839 w 2801188"/>
            <a:gd name="connsiteY12" fmla="*/ 736119 h 877247"/>
            <a:gd name="connsiteX13" fmla="*/ 895639 w 2801188"/>
            <a:gd name="connsiteY13" fmla="*/ 722344 h 877247"/>
            <a:gd name="connsiteX14" fmla="*/ 816734 w 2801188"/>
            <a:gd name="connsiteY14" fmla="*/ 661809 h 877247"/>
            <a:gd name="connsiteX15" fmla="*/ 780020 w 2801188"/>
            <a:gd name="connsiteY15" fmla="*/ 512515 h 877247"/>
            <a:gd name="connsiteX16" fmla="*/ 626055 w 2801188"/>
            <a:gd name="connsiteY16" fmla="*/ 469422 h 877247"/>
            <a:gd name="connsiteX17" fmla="*/ 787600 w 2801188"/>
            <a:gd name="connsiteY17" fmla="*/ 408406 h 877247"/>
            <a:gd name="connsiteX18" fmla="*/ 783575 w 2801188"/>
            <a:gd name="connsiteY18" fmla="*/ 211045 h 877247"/>
            <a:gd name="connsiteX19" fmla="*/ 0 w 2801188"/>
            <a:gd name="connsiteY19" fmla="*/ 1532 h 877247"/>
            <a:gd name="connsiteX20" fmla="*/ 823073 w 2801188"/>
            <a:gd name="connsiteY20" fmla="*/ 71927 h 877247"/>
            <a:gd name="connsiteX0" fmla="*/ 823073 w 2801188"/>
            <a:gd name="connsiteY0" fmla="*/ 71927 h 899597"/>
            <a:gd name="connsiteX1" fmla="*/ 851267 w 2801188"/>
            <a:gd name="connsiteY1" fmla="*/ 32629 h 899597"/>
            <a:gd name="connsiteX2" fmla="*/ 942063 w 2801188"/>
            <a:gd name="connsiteY2" fmla="*/ 0 h 899597"/>
            <a:gd name="connsiteX3" fmla="*/ 2726569 w 2801188"/>
            <a:gd name="connsiteY3" fmla="*/ 2694 h 899597"/>
            <a:gd name="connsiteX4" fmla="*/ 2779333 w 2801188"/>
            <a:gd name="connsiteY4" fmla="*/ 24549 h 899597"/>
            <a:gd name="connsiteX5" fmla="*/ 2801188 w 2801188"/>
            <a:gd name="connsiteY5" fmla="*/ 77313 h 899597"/>
            <a:gd name="connsiteX6" fmla="*/ 2801188 w 2801188"/>
            <a:gd name="connsiteY6" fmla="*/ 661500 h 899597"/>
            <a:gd name="connsiteX7" fmla="*/ 2779333 w 2801188"/>
            <a:gd name="connsiteY7" fmla="*/ 714264 h 899597"/>
            <a:gd name="connsiteX8" fmla="*/ 2726569 w 2801188"/>
            <a:gd name="connsiteY8" fmla="*/ 736119 h 899597"/>
            <a:gd name="connsiteX9" fmla="*/ 2148890 w 2801188"/>
            <a:gd name="connsiteY9" fmla="*/ 739638 h 899597"/>
            <a:gd name="connsiteX10" fmla="*/ 1935436 w 2801188"/>
            <a:gd name="connsiteY10" fmla="*/ 899597 h 899597"/>
            <a:gd name="connsiteX11" fmla="*/ 1815640 w 2801188"/>
            <a:gd name="connsiteY11" fmla="*/ 739638 h 899597"/>
            <a:gd name="connsiteX12" fmla="*/ 1068839 w 2801188"/>
            <a:gd name="connsiteY12" fmla="*/ 736119 h 899597"/>
            <a:gd name="connsiteX13" fmla="*/ 895639 w 2801188"/>
            <a:gd name="connsiteY13" fmla="*/ 722344 h 899597"/>
            <a:gd name="connsiteX14" fmla="*/ 816734 w 2801188"/>
            <a:gd name="connsiteY14" fmla="*/ 661809 h 899597"/>
            <a:gd name="connsiteX15" fmla="*/ 780020 w 2801188"/>
            <a:gd name="connsiteY15" fmla="*/ 512515 h 899597"/>
            <a:gd name="connsiteX16" fmla="*/ 626055 w 2801188"/>
            <a:gd name="connsiteY16" fmla="*/ 469422 h 899597"/>
            <a:gd name="connsiteX17" fmla="*/ 787600 w 2801188"/>
            <a:gd name="connsiteY17" fmla="*/ 408406 h 899597"/>
            <a:gd name="connsiteX18" fmla="*/ 783575 w 2801188"/>
            <a:gd name="connsiteY18" fmla="*/ 211045 h 899597"/>
            <a:gd name="connsiteX19" fmla="*/ 0 w 2801188"/>
            <a:gd name="connsiteY19" fmla="*/ 1532 h 899597"/>
            <a:gd name="connsiteX20" fmla="*/ 823073 w 2801188"/>
            <a:gd name="connsiteY20" fmla="*/ 71927 h 899597"/>
            <a:gd name="connsiteX0" fmla="*/ 823073 w 2801188"/>
            <a:gd name="connsiteY0" fmla="*/ 71927 h 849309"/>
            <a:gd name="connsiteX1" fmla="*/ 851267 w 2801188"/>
            <a:gd name="connsiteY1" fmla="*/ 32629 h 849309"/>
            <a:gd name="connsiteX2" fmla="*/ 942063 w 2801188"/>
            <a:gd name="connsiteY2" fmla="*/ 0 h 849309"/>
            <a:gd name="connsiteX3" fmla="*/ 2726569 w 2801188"/>
            <a:gd name="connsiteY3" fmla="*/ 2694 h 849309"/>
            <a:gd name="connsiteX4" fmla="*/ 2779333 w 2801188"/>
            <a:gd name="connsiteY4" fmla="*/ 24549 h 849309"/>
            <a:gd name="connsiteX5" fmla="*/ 2801188 w 2801188"/>
            <a:gd name="connsiteY5" fmla="*/ 77313 h 849309"/>
            <a:gd name="connsiteX6" fmla="*/ 2801188 w 2801188"/>
            <a:gd name="connsiteY6" fmla="*/ 661500 h 849309"/>
            <a:gd name="connsiteX7" fmla="*/ 2779333 w 2801188"/>
            <a:gd name="connsiteY7" fmla="*/ 714264 h 849309"/>
            <a:gd name="connsiteX8" fmla="*/ 2726569 w 2801188"/>
            <a:gd name="connsiteY8" fmla="*/ 736119 h 849309"/>
            <a:gd name="connsiteX9" fmla="*/ 2148890 w 2801188"/>
            <a:gd name="connsiteY9" fmla="*/ 739638 h 849309"/>
            <a:gd name="connsiteX10" fmla="*/ 1971602 w 2801188"/>
            <a:gd name="connsiteY10" fmla="*/ 849309 h 849309"/>
            <a:gd name="connsiteX11" fmla="*/ 1815640 w 2801188"/>
            <a:gd name="connsiteY11" fmla="*/ 739638 h 849309"/>
            <a:gd name="connsiteX12" fmla="*/ 1068839 w 2801188"/>
            <a:gd name="connsiteY12" fmla="*/ 736119 h 849309"/>
            <a:gd name="connsiteX13" fmla="*/ 895639 w 2801188"/>
            <a:gd name="connsiteY13" fmla="*/ 722344 h 849309"/>
            <a:gd name="connsiteX14" fmla="*/ 816734 w 2801188"/>
            <a:gd name="connsiteY14" fmla="*/ 661809 h 849309"/>
            <a:gd name="connsiteX15" fmla="*/ 780020 w 2801188"/>
            <a:gd name="connsiteY15" fmla="*/ 512515 h 849309"/>
            <a:gd name="connsiteX16" fmla="*/ 626055 w 2801188"/>
            <a:gd name="connsiteY16" fmla="*/ 469422 h 849309"/>
            <a:gd name="connsiteX17" fmla="*/ 787600 w 2801188"/>
            <a:gd name="connsiteY17" fmla="*/ 408406 h 849309"/>
            <a:gd name="connsiteX18" fmla="*/ 783575 w 2801188"/>
            <a:gd name="connsiteY18" fmla="*/ 211045 h 849309"/>
            <a:gd name="connsiteX19" fmla="*/ 0 w 2801188"/>
            <a:gd name="connsiteY19" fmla="*/ 1532 h 849309"/>
            <a:gd name="connsiteX20" fmla="*/ 823073 w 2801188"/>
            <a:gd name="connsiteY20" fmla="*/ 71927 h 849309"/>
            <a:gd name="connsiteX0" fmla="*/ 835128 w 2813243"/>
            <a:gd name="connsiteY0" fmla="*/ 71927 h 849309"/>
            <a:gd name="connsiteX1" fmla="*/ 863322 w 2813243"/>
            <a:gd name="connsiteY1" fmla="*/ 32629 h 849309"/>
            <a:gd name="connsiteX2" fmla="*/ 954118 w 2813243"/>
            <a:gd name="connsiteY2" fmla="*/ 0 h 849309"/>
            <a:gd name="connsiteX3" fmla="*/ 2738624 w 2813243"/>
            <a:gd name="connsiteY3" fmla="*/ 2694 h 849309"/>
            <a:gd name="connsiteX4" fmla="*/ 2791388 w 2813243"/>
            <a:gd name="connsiteY4" fmla="*/ 24549 h 849309"/>
            <a:gd name="connsiteX5" fmla="*/ 2813243 w 2813243"/>
            <a:gd name="connsiteY5" fmla="*/ 77313 h 849309"/>
            <a:gd name="connsiteX6" fmla="*/ 2813243 w 2813243"/>
            <a:gd name="connsiteY6" fmla="*/ 661500 h 849309"/>
            <a:gd name="connsiteX7" fmla="*/ 2791388 w 2813243"/>
            <a:gd name="connsiteY7" fmla="*/ 714264 h 849309"/>
            <a:gd name="connsiteX8" fmla="*/ 2738624 w 2813243"/>
            <a:gd name="connsiteY8" fmla="*/ 736119 h 849309"/>
            <a:gd name="connsiteX9" fmla="*/ 2160945 w 2813243"/>
            <a:gd name="connsiteY9" fmla="*/ 739638 h 849309"/>
            <a:gd name="connsiteX10" fmla="*/ 1983657 w 2813243"/>
            <a:gd name="connsiteY10" fmla="*/ 849309 h 849309"/>
            <a:gd name="connsiteX11" fmla="*/ 1827695 w 2813243"/>
            <a:gd name="connsiteY11" fmla="*/ 739638 h 849309"/>
            <a:gd name="connsiteX12" fmla="*/ 1080894 w 2813243"/>
            <a:gd name="connsiteY12" fmla="*/ 736119 h 849309"/>
            <a:gd name="connsiteX13" fmla="*/ 907694 w 2813243"/>
            <a:gd name="connsiteY13" fmla="*/ 722344 h 849309"/>
            <a:gd name="connsiteX14" fmla="*/ 828789 w 2813243"/>
            <a:gd name="connsiteY14" fmla="*/ 661809 h 849309"/>
            <a:gd name="connsiteX15" fmla="*/ 792075 w 2813243"/>
            <a:gd name="connsiteY15" fmla="*/ 512515 h 849309"/>
            <a:gd name="connsiteX16" fmla="*/ 638110 w 2813243"/>
            <a:gd name="connsiteY16" fmla="*/ 469422 h 849309"/>
            <a:gd name="connsiteX17" fmla="*/ 799655 w 2813243"/>
            <a:gd name="connsiteY17" fmla="*/ 408406 h 849309"/>
            <a:gd name="connsiteX18" fmla="*/ 795630 w 2813243"/>
            <a:gd name="connsiteY18" fmla="*/ 211045 h 849309"/>
            <a:gd name="connsiteX19" fmla="*/ 0 w 2813243"/>
            <a:gd name="connsiteY19" fmla="*/ 157984 h 849309"/>
            <a:gd name="connsiteX20" fmla="*/ 835128 w 2813243"/>
            <a:gd name="connsiteY20" fmla="*/ 71927 h 849309"/>
            <a:gd name="connsiteX0" fmla="*/ 871294 w 2849409"/>
            <a:gd name="connsiteY0" fmla="*/ 71927 h 849309"/>
            <a:gd name="connsiteX1" fmla="*/ 899488 w 2849409"/>
            <a:gd name="connsiteY1" fmla="*/ 32629 h 849309"/>
            <a:gd name="connsiteX2" fmla="*/ 990284 w 2849409"/>
            <a:gd name="connsiteY2" fmla="*/ 0 h 849309"/>
            <a:gd name="connsiteX3" fmla="*/ 2774790 w 2849409"/>
            <a:gd name="connsiteY3" fmla="*/ 2694 h 849309"/>
            <a:gd name="connsiteX4" fmla="*/ 2827554 w 2849409"/>
            <a:gd name="connsiteY4" fmla="*/ 24549 h 849309"/>
            <a:gd name="connsiteX5" fmla="*/ 2849409 w 2849409"/>
            <a:gd name="connsiteY5" fmla="*/ 77313 h 849309"/>
            <a:gd name="connsiteX6" fmla="*/ 2849409 w 2849409"/>
            <a:gd name="connsiteY6" fmla="*/ 661500 h 849309"/>
            <a:gd name="connsiteX7" fmla="*/ 2827554 w 2849409"/>
            <a:gd name="connsiteY7" fmla="*/ 714264 h 849309"/>
            <a:gd name="connsiteX8" fmla="*/ 2774790 w 2849409"/>
            <a:gd name="connsiteY8" fmla="*/ 736119 h 849309"/>
            <a:gd name="connsiteX9" fmla="*/ 2197111 w 2849409"/>
            <a:gd name="connsiteY9" fmla="*/ 739638 h 849309"/>
            <a:gd name="connsiteX10" fmla="*/ 2019823 w 2849409"/>
            <a:gd name="connsiteY10" fmla="*/ 849309 h 849309"/>
            <a:gd name="connsiteX11" fmla="*/ 1863861 w 2849409"/>
            <a:gd name="connsiteY11" fmla="*/ 739638 h 849309"/>
            <a:gd name="connsiteX12" fmla="*/ 1117060 w 2849409"/>
            <a:gd name="connsiteY12" fmla="*/ 736119 h 849309"/>
            <a:gd name="connsiteX13" fmla="*/ 943860 w 2849409"/>
            <a:gd name="connsiteY13" fmla="*/ 722344 h 849309"/>
            <a:gd name="connsiteX14" fmla="*/ 864955 w 2849409"/>
            <a:gd name="connsiteY14" fmla="*/ 661809 h 849309"/>
            <a:gd name="connsiteX15" fmla="*/ 828241 w 2849409"/>
            <a:gd name="connsiteY15" fmla="*/ 512515 h 849309"/>
            <a:gd name="connsiteX16" fmla="*/ 674276 w 2849409"/>
            <a:gd name="connsiteY16" fmla="*/ 469422 h 849309"/>
            <a:gd name="connsiteX17" fmla="*/ 835821 w 2849409"/>
            <a:gd name="connsiteY17" fmla="*/ 408406 h 849309"/>
            <a:gd name="connsiteX18" fmla="*/ 831796 w 2849409"/>
            <a:gd name="connsiteY18" fmla="*/ 211045 h 849309"/>
            <a:gd name="connsiteX19" fmla="*/ 0 w 2849409"/>
            <a:gd name="connsiteY19" fmla="*/ 141222 h 849309"/>
            <a:gd name="connsiteX20" fmla="*/ 871294 w 2849409"/>
            <a:gd name="connsiteY20" fmla="*/ 71927 h 849309"/>
            <a:gd name="connsiteX0" fmla="*/ 256479 w 2234594"/>
            <a:gd name="connsiteY0" fmla="*/ 71927 h 849309"/>
            <a:gd name="connsiteX1" fmla="*/ 284673 w 2234594"/>
            <a:gd name="connsiteY1" fmla="*/ 32629 h 849309"/>
            <a:gd name="connsiteX2" fmla="*/ 375469 w 2234594"/>
            <a:gd name="connsiteY2" fmla="*/ 0 h 849309"/>
            <a:gd name="connsiteX3" fmla="*/ 2159975 w 2234594"/>
            <a:gd name="connsiteY3" fmla="*/ 2694 h 849309"/>
            <a:gd name="connsiteX4" fmla="*/ 2212739 w 2234594"/>
            <a:gd name="connsiteY4" fmla="*/ 24549 h 849309"/>
            <a:gd name="connsiteX5" fmla="*/ 2234594 w 2234594"/>
            <a:gd name="connsiteY5" fmla="*/ 77313 h 849309"/>
            <a:gd name="connsiteX6" fmla="*/ 2234594 w 2234594"/>
            <a:gd name="connsiteY6" fmla="*/ 661500 h 849309"/>
            <a:gd name="connsiteX7" fmla="*/ 2212739 w 2234594"/>
            <a:gd name="connsiteY7" fmla="*/ 714264 h 849309"/>
            <a:gd name="connsiteX8" fmla="*/ 2159975 w 2234594"/>
            <a:gd name="connsiteY8" fmla="*/ 736119 h 849309"/>
            <a:gd name="connsiteX9" fmla="*/ 1582296 w 2234594"/>
            <a:gd name="connsiteY9" fmla="*/ 739638 h 849309"/>
            <a:gd name="connsiteX10" fmla="*/ 1405008 w 2234594"/>
            <a:gd name="connsiteY10" fmla="*/ 849309 h 849309"/>
            <a:gd name="connsiteX11" fmla="*/ 1249046 w 2234594"/>
            <a:gd name="connsiteY11" fmla="*/ 739638 h 849309"/>
            <a:gd name="connsiteX12" fmla="*/ 502245 w 2234594"/>
            <a:gd name="connsiteY12" fmla="*/ 736119 h 849309"/>
            <a:gd name="connsiteX13" fmla="*/ 329045 w 2234594"/>
            <a:gd name="connsiteY13" fmla="*/ 722344 h 849309"/>
            <a:gd name="connsiteX14" fmla="*/ 250140 w 2234594"/>
            <a:gd name="connsiteY14" fmla="*/ 661809 h 849309"/>
            <a:gd name="connsiteX15" fmla="*/ 213426 w 2234594"/>
            <a:gd name="connsiteY15" fmla="*/ 512515 h 849309"/>
            <a:gd name="connsiteX16" fmla="*/ 59461 w 2234594"/>
            <a:gd name="connsiteY16" fmla="*/ 469422 h 849309"/>
            <a:gd name="connsiteX17" fmla="*/ 221006 w 2234594"/>
            <a:gd name="connsiteY17" fmla="*/ 408406 h 849309"/>
            <a:gd name="connsiteX18" fmla="*/ 216981 w 2234594"/>
            <a:gd name="connsiteY18" fmla="*/ 211045 h 849309"/>
            <a:gd name="connsiteX19" fmla="*/ 0 w 2234594"/>
            <a:gd name="connsiteY19" fmla="*/ 118773 h 849309"/>
            <a:gd name="connsiteX20" fmla="*/ 256479 w 2234594"/>
            <a:gd name="connsiteY20" fmla="*/ 71927 h 849309"/>
            <a:gd name="connsiteX0" fmla="*/ 256479 w 2234594"/>
            <a:gd name="connsiteY0" fmla="*/ 71927 h 849309"/>
            <a:gd name="connsiteX1" fmla="*/ 284673 w 2234594"/>
            <a:gd name="connsiteY1" fmla="*/ 32629 h 849309"/>
            <a:gd name="connsiteX2" fmla="*/ 375469 w 2234594"/>
            <a:gd name="connsiteY2" fmla="*/ 0 h 849309"/>
            <a:gd name="connsiteX3" fmla="*/ 2159975 w 2234594"/>
            <a:gd name="connsiteY3" fmla="*/ 2694 h 849309"/>
            <a:gd name="connsiteX4" fmla="*/ 2212739 w 2234594"/>
            <a:gd name="connsiteY4" fmla="*/ 24549 h 849309"/>
            <a:gd name="connsiteX5" fmla="*/ 2234594 w 2234594"/>
            <a:gd name="connsiteY5" fmla="*/ 77313 h 849309"/>
            <a:gd name="connsiteX6" fmla="*/ 2234594 w 2234594"/>
            <a:gd name="connsiteY6" fmla="*/ 661500 h 849309"/>
            <a:gd name="connsiteX7" fmla="*/ 2212739 w 2234594"/>
            <a:gd name="connsiteY7" fmla="*/ 714264 h 849309"/>
            <a:gd name="connsiteX8" fmla="*/ 2159975 w 2234594"/>
            <a:gd name="connsiteY8" fmla="*/ 736119 h 849309"/>
            <a:gd name="connsiteX9" fmla="*/ 1582296 w 2234594"/>
            <a:gd name="connsiteY9" fmla="*/ 739638 h 849309"/>
            <a:gd name="connsiteX10" fmla="*/ 115101 w 2234594"/>
            <a:gd name="connsiteY10" fmla="*/ 849309 h 849309"/>
            <a:gd name="connsiteX11" fmla="*/ 1249046 w 2234594"/>
            <a:gd name="connsiteY11" fmla="*/ 739638 h 849309"/>
            <a:gd name="connsiteX12" fmla="*/ 502245 w 2234594"/>
            <a:gd name="connsiteY12" fmla="*/ 736119 h 849309"/>
            <a:gd name="connsiteX13" fmla="*/ 329045 w 2234594"/>
            <a:gd name="connsiteY13" fmla="*/ 722344 h 849309"/>
            <a:gd name="connsiteX14" fmla="*/ 250140 w 2234594"/>
            <a:gd name="connsiteY14" fmla="*/ 661809 h 849309"/>
            <a:gd name="connsiteX15" fmla="*/ 213426 w 2234594"/>
            <a:gd name="connsiteY15" fmla="*/ 512515 h 849309"/>
            <a:gd name="connsiteX16" fmla="*/ 59461 w 2234594"/>
            <a:gd name="connsiteY16" fmla="*/ 469422 h 849309"/>
            <a:gd name="connsiteX17" fmla="*/ 221006 w 2234594"/>
            <a:gd name="connsiteY17" fmla="*/ 408406 h 849309"/>
            <a:gd name="connsiteX18" fmla="*/ 216981 w 2234594"/>
            <a:gd name="connsiteY18" fmla="*/ 211045 h 849309"/>
            <a:gd name="connsiteX19" fmla="*/ 0 w 2234594"/>
            <a:gd name="connsiteY19" fmla="*/ 118773 h 849309"/>
            <a:gd name="connsiteX20" fmla="*/ 256479 w 2234594"/>
            <a:gd name="connsiteY20" fmla="*/ 71927 h 849309"/>
            <a:gd name="connsiteX0" fmla="*/ 256479 w 2234594"/>
            <a:gd name="connsiteY0" fmla="*/ 71927 h 739638"/>
            <a:gd name="connsiteX1" fmla="*/ 284673 w 2234594"/>
            <a:gd name="connsiteY1" fmla="*/ 32629 h 739638"/>
            <a:gd name="connsiteX2" fmla="*/ 375469 w 2234594"/>
            <a:gd name="connsiteY2" fmla="*/ 0 h 739638"/>
            <a:gd name="connsiteX3" fmla="*/ 2159975 w 2234594"/>
            <a:gd name="connsiteY3" fmla="*/ 2694 h 739638"/>
            <a:gd name="connsiteX4" fmla="*/ 2212739 w 2234594"/>
            <a:gd name="connsiteY4" fmla="*/ 24549 h 739638"/>
            <a:gd name="connsiteX5" fmla="*/ 2234594 w 2234594"/>
            <a:gd name="connsiteY5" fmla="*/ 77313 h 739638"/>
            <a:gd name="connsiteX6" fmla="*/ 2234594 w 2234594"/>
            <a:gd name="connsiteY6" fmla="*/ 661500 h 739638"/>
            <a:gd name="connsiteX7" fmla="*/ 2212739 w 2234594"/>
            <a:gd name="connsiteY7" fmla="*/ 714264 h 739638"/>
            <a:gd name="connsiteX8" fmla="*/ 2159975 w 2234594"/>
            <a:gd name="connsiteY8" fmla="*/ 736119 h 739638"/>
            <a:gd name="connsiteX9" fmla="*/ 1582296 w 2234594"/>
            <a:gd name="connsiteY9" fmla="*/ 739638 h 739638"/>
            <a:gd name="connsiteX10" fmla="*/ 1249046 w 2234594"/>
            <a:gd name="connsiteY10" fmla="*/ 739638 h 739638"/>
            <a:gd name="connsiteX11" fmla="*/ 502245 w 2234594"/>
            <a:gd name="connsiteY11" fmla="*/ 736119 h 739638"/>
            <a:gd name="connsiteX12" fmla="*/ 329045 w 2234594"/>
            <a:gd name="connsiteY12" fmla="*/ 722344 h 739638"/>
            <a:gd name="connsiteX13" fmla="*/ 250140 w 2234594"/>
            <a:gd name="connsiteY13" fmla="*/ 661809 h 739638"/>
            <a:gd name="connsiteX14" fmla="*/ 213426 w 2234594"/>
            <a:gd name="connsiteY14" fmla="*/ 512515 h 739638"/>
            <a:gd name="connsiteX15" fmla="*/ 59461 w 2234594"/>
            <a:gd name="connsiteY15" fmla="*/ 469422 h 739638"/>
            <a:gd name="connsiteX16" fmla="*/ 221006 w 2234594"/>
            <a:gd name="connsiteY16" fmla="*/ 408406 h 739638"/>
            <a:gd name="connsiteX17" fmla="*/ 216981 w 2234594"/>
            <a:gd name="connsiteY17" fmla="*/ 211045 h 739638"/>
            <a:gd name="connsiteX18" fmla="*/ 0 w 2234594"/>
            <a:gd name="connsiteY18" fmla="*/ 118773 h 739638"/>
            <a:gd name="connsiteX19" fmla="*/ 256479 w 2234594"/>
            <a:gd name="connsiteY19" fmla="*/ 71927 h 739638"/>
            <a:gd name="connsiteX0" fmla="*/ 268297 w 2246412"/>
            <a:gd name="connsiteY0" fmla="*/ 71927 h 739638"/>
            <a:gd name="connsiteX1" fmla="*/ 296491 w 2246412"/>
            <a:gd name="connsiteY1" fmla="*/ 32629 h 739638"/>
            <a:gd name="connsiteX2" fmla="*/ 387287 w 2246412"/>
            <a:gd name="connsiteY2" fmla="*/ 0 h 739638"/>
            <a:gd name="connsiteX3" fmla="*/ 2171793 w 2246412"/>
            <a:gd name="connsiteY3" fmla="*/ 2694 h 739638"/>
            <a:gd name="connsiteX4" fmla="*/ 2224557 w 2246412"/>
            <a:gd name="connsiteY4" fmla="*/ 24549 h 739638"/>
            <a:gd name="connsiteX5" fmla="*/ 2246412 w 2246412"/>
            <a:gd name="connsiteY5" fmla="*/ 77313 h 739638"/>
            <a:gd name="connsiteX6" fmla="*/ 2246412 w 2246412"/>
            <a:gd name="connsiteY6" fmla="*/ 661500 h 739638"/>
            <a:gd name="connsiteX7" fmla="*/ 2224557 w 2246412"/>
            <a:gd name="connsiteY7" fmla="*/ 714264 h 739638"/>
            <a:gd name="connsiteX8" fmla="*/ 2171793 w 2246412"/>
            <a:gd name="connsiteY8" fmla="*/ 736119 h 739638"/>
            <a:gd name="connsiteX9" fmla="*/ 1594114 w 2246412"/>
            <a:gd name="connsiteY9" fmla="*/ 739638 h 739638"/>
            <a:gd name="connsiteX10" fmla="*/ 1260864 w 2246412"/>
            <a:gd name="connsiteY10" fmla="*/ 739638 h 739638"/>
            <a:gd name="connsiteX11" fmla="*/ 514063 w 2246412"/>
            <a:gd name="connsiteY11" fmla="*/ 736119 h 739638"/>
            <a:gd name="connsiteX12" fmla="*/ 340863 w 2246412"/>
            <a:gd name="connsiteY12" fmla="*/ 722344 h 739638"/>
            <a:gd name="connsiteX13" fmla="*/ 261958 w 2246412"/>
            <a:gd name="connsiteY13" fmla="*/ 661809 h 739638"/>
            <a:gd name="connsiteX14" fmla="*/ 0 w 2246412"/>
            <a:gd name="connsiteY14" fmla="*/ 656080 h 739638"/>
            <a:gd name="connsiteX15" fmla="*/ 225244 w 2246412"/>
            <a:gd name="connsiteY15" fmla="*/ 512515 h 739638"/>
            <a:gd name="connsiteX16" fmla="*/ 71279 w 2246412"/>
            <a:gd name="connsiteY16" fmla="*/ 469422 h 739638"/>
            <a:gd name="connsiteX17" fmla="*/ 232824 w 2246412"/>
            <a:gd name="connsiteY17" fmla="*/ 408406 h 739638"/>
            <a:gd name="connsiteX18" fmla="*/ 228799 w 2246412"/>
            <a:gd name="connsiteY18" fmla="*/ 211045 h 739638"/>
            <a:gd name="connsiteX19" fmla="*/ 11818 w 2246412"/>
            <a:gd name="connsiteY19" fmla="*/ 118773 h 739638"/>
            <a:gd name="connsiteX20" fmla="*/ 268297 w 2246412"/>
            <a:gd name="connsiteY20" fmla="*/ 71927 h 739638"/>
            <a:gd name="connsiteX0" fmla="*/ 287203 w 2265318"/>
            <a:gd name="connsiteY0" fmla="*/ 71927 h 739638"/>
            <a:gd name="connsiteX1" fmla="*/ 315397 w 2265318"/>
            <a:gd name="connsiteY1" fmla="*/ 32629 h 739638"/>
            <a:gd name="connsiteX2" fmla="*/ 406193 w 2265318"/>
            <a:gd name="connsiteY2" fmla="*/ 0 h 739638"/>
            <a:gd name="connsiteX3" fmla="*/ 2190699 w 2265318"/>
            <a:gd name="connsiteY3" fmla="*/ 2694 h 739638"/>
            <a:gd name="connsiteX4" fmla="*/ 2243463 w 2265318"/>
            <a:gd name="connsiteY4" fmla="*/ 24549 h 739638"/>
            <a:gd name="connsiteX5" fmla="*/ 2265318 w 2265318"/>
            <a:gd name="connsiteY5" fmla="*/ 77313 h 739638"/>
            <a:gd name="connsiteX6" fmla="*/ 2265318 w 2265318"/>
            <a:gd name="connsiteY6" fmla="*/ 661500 h 739638"/>
            <a:gd name="connsiteX7" fmla="*/ 2243463 w 2265318"/>
            <a:gd name="connsiteY7" fmla="*/ 714264 h 739638"/>
            <a:gd name="connsiteX8" fmla="*/ 2190699 w 2265318"/>
            <a:gd name="connsiteY8" fmla="*/ 736119 h 739638"/>
            <a:gd name="connsiteX9" fmla="*/ 1613020 w 2265318"/>
            <a:gd name="connsiteY9" fmla="*/ 739638 h 739638"/>
            <a:gd name="connsiteX10" fmla="*/ 1279770 w 2265318"/>
            <a:gd name="connsiteY10" fmla="*/ 739638 h 739638"/>
            <a:gd name="connsiteX11" fmla="*/ 532969 w 2265318"/>
            <a:gd name="connsiteY11" fmla="*/ 736119 h 739638"/>
            <a:gd name="connsiteX12" fmla="*/ 359769 w 2265318"/>
            <a:gd name="connsiteY12" fmla="*/ 722344 h 739638"/>
            <a:gd name="connsiteX13" fmla="*/ 280864 w 2265318"/>
            <a:gd name="connsiteY13" fmla="*/ 661809 h 739638"/>
            <a:gd name="connsiteX14" fmla="*/ 18906 w 2265318"/>
            <a:gd name="connsiteY14" fmla="*/ 656080 h 739638"/>
            <a:gd name="connsiteX15" fmla="*/ 260258 w 2265318"/>
            <a:gd name="connsiteY15" fmla="*/ 588674 h 739638"/>
            <a:gd name="connsiteX16" fmla="*/ 244150 w 2265318"/>
            <a:gd name="connsiteY16" fmla="*/ 512515 h 739638"/>
            <a:gd name="connsiteX17" fmla="*/ 90185 w 2265318"/>
            <a:gd name="connsiteY17" fmla="*/ 469422 h 739638"/>
            <a:gd name="connsiteX18" fmla="*/ 251730 w 2265318"/>
            <a:gd name="connsiteY18" fmla="*/ 408406 h 739638"/>
            <a:gd name="connsiteX19" fmla="*/ 247705 w 2265318"/>
            <a:gd name="connsiteY19" fmla="*/ 211045 h 739638"/>
            <a:gd name="connsiteX20" fmla="*/ 30724 w 2265318"/>
            <a:gd name="connsiteY20" fmla="*/ 118773 h 739638"/>
            <a:gd name="connsiteX21" fmla="*/ 287203 w 2265318"/>
            <a:gd name="connsiteY21" fmla="*/ 71927 h 739638"/>
            <a:gd name="connsiteX0" fmla="*/ 287203 w 2265318"/>
            <a:gd name="connsiteY0" fmla="*/ 71927 h 739638"/>
            <a:gd name="connsiteX1" fmla="*/ 315397 w 2265318"/>
            <a:gd name="connsiteY1" fmla="*/ 32629 h 739638"/>
            <a:gd name="connsiteX2" fmla="*/ 406193 w 2265318"/>
            <a:gd name="connsiteY2" fmla="*/ 0 h 739638"/>
            <a:gd name="connsiteX3" fmla="*/ 2190699 w 2265318"/>
            <a:gd name="connsiteY3" fmla="*/ 2694 h 739638"/>
            <a:gd name="connsiteX4" fmla="*/ 2243463 w 2265318"/>
            <a:gd name="connsiteY4" fmla="*/ 24549 h 739638"/>
            <a:gd name="connsiteX5" fmla="*/ 2265318 w 2265318"/>
            <a:gd name="connsiteY5" fmla="*/ 77313 h 739638"/>
            <a:gd name="connsiteX6" fmla="*/ 2265318 w 2265318"/>
            <a:gd name="connsiteY6" fmla="*/ 661500 h 739638"/>
            <a:gd name="connsiteX7" fmla="*/ 2243463 w 2265318"/>
            <a:gd name="connsiteY7" fmla="*/ 714264 h 739638"/>
            <a:gd name="connsiteX8" fmla="*/ 2190699 w 2265318"/>
            <a:gd name="connsiteY8" fmla="*/ 736119 h 739638"/>
            <a:gd name="connsiteX9" fmla="*/ 1613020 w 2265318"/>
            <a:gd name="connsiteY9" fmla="*/ 739638 h 739638"/>
            <a:gd name="connsiteX10" fmla="*/ 1279770 w 2265318"/>
            <a:gd name="connsiteY10" fmla="*/ 739638 h 739638"/>
            <a:gd name="connsiteX11" fmla="*/ 532969 w 2265318"/>
            <a:gd name="connsiteY11" fmla="*/ 736119 h 739638"/>
            <a:gd name="connsiteX12" fmla="*/ 359769 w 2265318"/>
            <a:gd name="connsiteY12" fmla="*/ 722344 h 739638"/>
            <a:gd name="connsiteX13" fmla="*/ 280864 w 2265318"/>
            <a:gd name="connsiteY13" fmla="*/ 661809 h 739638"/>
            <a:gd name="connsiteX14" fmla="*/ 18906 w 2265318"/>
            <a:gd name="connsiteY14" fmla="*/ 656080 h 739638"/>
            <a:gd name="connsiteX15" fmla="*/ 260258 w 2265318"/>
            <a:gd name="connsiteY15" fmla="*/ 588674 h 739638"/>
            <a:gd name="connsiteX16" fmla="*/ 244150 w 2265318"/>
            <a:gd name="connsiteY16" fmla="*/ 512515 h 739638"/>
            <a:gd name="connsiteX17" fmla="*/ 90185 w 2265318"/>
            <a:gd name="connsiteY17" fmla="*/ 469422 h 739638"/>
            <a:gd name="connsiteX18" fmla="*/ 270294 w 2265318"/>
            <a:gd name="connsiteY18" fmla="*/ 313581 h 739638"/>
            <a:gd name="connsiteX19" fmla="*/ 247705 w 2265318"/>
            <a:gd name="connsiteY19" fmla="*/ 211045 h 739638"/>
            <a:gd name="connsiteX20" fmla="*/ 30724 w 2265318"/>
            <a:gd name="connsiteY20" fmla="*/ 118773 h 739638"/>
            <a:gd name="connsiteX21" fmla="*/ 287203 w 2265318"/>
            <a:gd name="connsiteY21" fmla="*/ 71927 h 739638"/>
            <a:gd name="connsiteX0" fmla="*/ 287203 w 2265318"/>
            <a:gd name="connsiteY0" fmla="*/ 71927 h 739638"/>
            <a:gd name="connsiteX1" fmla="*/ 315397 w 2265318"/>
            <a:gd name="connsiteY1" fmla="*/ 32629 h 739638"/>
            <a:gd name="connsiteX2" fmla="*/ 406193 w 2265318"/>
            <a:gd name="connsiteY2" fmla="*/ 0 h 739638"/>
            <a:gd name="connsiteX3" fmla="*/ 2190699 w 2265318"/>
            <a:gd name="connsiteY3" fmla="*/ 2694 h 739638"/>
            <a:gd name="connsiteX4" fmla="*/ 2243463 w 2265318"/>
            <a:gd name="connsiteY4" fmla="*/ 24549 h 739638"/>
            <a:gd name="connsiteX5" fmla="*/ 2265318 w 2265318"/>
            <a:gd name="connsiteY5" fmla="*/ 77313 h 739638"/>
            <a:gd name="connsiteX6" fmla="*/ 2265318 w 2265318"/>
            <a:gd name="connsiteY6" fmla="*/ 661500 h 739638"/>
            <a:gd name="connsiteX7" fmla="*/ 2243463 w 2265318"/>
            <a:gd name="connsiteY7" fmla="*/ 714264 h 739638"/>
            <a:gd name="connsiteX8" fmla="*/ 2190699 w 2265318"/>
            <a:gd name="connsiteY8" fmla="*/ 736119 h 739638"/>
            <a:gd name="connsiteX9" fmla="*/ 1613020 w 2265318"/>
            <a:gd name="connsiteY9" fmla="*/ 739638 h 739638"/>
            <a:gd name="connsiteX10" fmla="*/ 1279770 w 2265318"/>
            <a:gd name="connsiteY10" fmla="*/ 739638 h 739638"/>
            <a:gd name="connsiteX11" fmla="*/ 532969 w 2265318"/>
            <a:gd name="connsiteY11" fmla="*/ 736119 h 739638"/>
            <a:gd name="connsiteX12" fmla="*/ 359769 w 2265318"/>
            <a:gd name="connsiteY12" fmla="*/ 722344 h 739638"/>
            <a:gd name="connsiteX13" fmla="*/ 280864 w 2265318"/>
            <a:gd name="connsiteY13" fmla="*/ 661809 h 739638"/>
            <a:gd name="connsiteX14" fmla="*/ 18906 w 2265318"/>
            <a:gd name="connsiteY14" fmla="*/ 656080 h 739638"/>
            <a:gd name="connsiteX15" fmla="*/ 260258 w 2265318"/>
            <a:gd name="connsiteY15" fmla="*/ 588674 h 739638"/>
            <a:gd name="connsiteX16" fmla="*/ 244150 w 2265318"/>
            <a:gd name="connsiteY16" fmla="*/ 512515 h 739638"/>
            <a:gd name="connsiteX17" fmla="*/ 90185 w 2265318"/>
            <a:gd name="connsiteY17" fmla="*/ 469422 h 739638"/>
            <a:gd name="connsiteX18" fmla="*/ 247705 w 2265318"/>
            <a:gd name="connsiteY18" fmla="*/ 211045 h 739638"/>
            <a:gd name="connsiteX19" fmla="*/ 30724 w 2265318"/>
            <a:gd name="connsiteY19" fmla="*/ 118773 h 739638"/>
            <a:gd name="connsiteX20" fmla="*/ 287203 w 2265318"/>
            <a:gd name="connsiteY20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21053 w 2342221"/>
            <a:gd name="connsiteY16" fmla="*/ 512515 h 739638"/>
            <a:gd name="connsiteX17" fmla="*/ 0 w 2342221"/>
            <a:gd name="connsiteY17" fmla="*/ 325287 h 739638"/>
            <a:gd name="connsiteX18" fmla="*/ 324608 w 2342221"/>
            <a:gd name="connsiteY18" fmla="*/ 211045 h 739638"/>
            <a:gd name="connsiteX19" fmla="*/ 107627 w 2342221"/>
            <a:gd name="connsiteY19" fmla="*/ 118773 h 739638"/>
            <a:gd name="connsiteX20" fmla="*/ 364106 w 2342221"/>
            <a:gd name="connsiteY20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21053 w 2342221"/>
            <a:gd name="connsiteY16" fmla="*/ 512515 h 739638"/>
            <a:gd name="connsiteX17" fmla="*/ 0 w 2342221"/>
            <a:gd name="connsiteY17" fmla="*/ 325287 h 739638"/>
            <a:gd name="connsiteX18" fmla="*/ 392857 w 2342221"/>
            <a:gd name="connsiteY18" fmla="*/ 299648 h 739638"/>
            <a:gd name="connsiteX19" fmla="*/ 324608 w 2342221"/>
            <a:gd name="connsiteY19" fmla="*/ 211045 h 739638"/>
            <a:gd name="connsiteX20" fmla="*/ 107627 w 2342221"/>
            <a:gd name="connsiteY20" fmla="*/ 118773 h 739638"/>
            <a:gd name="connsiteX21" fmla="*/ 364106 w 2342221"/>
            <a:gd name="connsiteY21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21053 w 2342221"/>
            <a:gd name="connsiteY16" fmla="*/ 512515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324608 w 2342221"/>
            <a:gd name="connsiteY19" fmla="*/ 211045 h 739638"/>
            <a:gd name="connsiteX20" fmla="*/ 107627 w 2342221"/>
            <a:gd name="connsiteY20" fmla="*/ 118773 h 739638"/>
            <a:gd name="connsiteX21" fmla="*/ 364106 w 2342221"/>
            <a:gd name="connsiteY21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21053 w 2342221"/>
            <a:gd name="connsiteY16" fmla="*/ 512515 h 739638"/>
            <a:gd name="connsiteX17" fmla="*/ 374292 w 2342221"/>
            <a:gd name="connsiteY17" fmla="*/ 394474 h 739638"/>
            <a:gd name="connsiteX18" fmla="*/ 0 w 2342221"/>
            <a:gd name="connsiteY18" fmla="*/ 325287 h 739638"/>
            <a:gd name="connsiteX19" fmla="*/ 337161 w 2342221"/>
            <a:gd name="connsiteY19" fmla="*/ 295855 h 739638"/>
            <a:gd name="connsiteX20" fmla="*/ 324608 w 2342221"/>
            <a:gd name="connsiteY20" fmla="*/ 211045 h 739638"/>
            <a:gd name="connsiteX21" fmla="*/ 107627 w 2342221"/>
            <a:gd name="connsiteY21" fmla="*/ 118773 h 739638"/>
            <a:gd name="connsiteX22" fmla="*/ 364106 w 2342221"/>
            <a:gd name="connsiteY22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74292 w 2342221"/>
            <a:gd name="connsiteY16" fmla="*/ 394474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324608 w 2342221"/>
            <a:gd name="connsiteY19" fmla="*/ 211045 h 739638"/>
            <a:gd name="connsiteX20" fmla="*/ 107627 w 2342221"/>
            <a:gd name="connsiteY20" fmla="*/ 118773 h 739638"/>
            <a:gd name="connsiteX21" fmla="*/ 364106 w 2342221"/>
            <a:gd name="connsiteY21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74292 w 2342221"/>
            <a:gd name="connsiteY16" fmla="*/ 394474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380305 w 2342221"/>
            <a:gd name="connsiteY19" fmla="*/ 207252 h 739638"/>
            <a:gd name="connsiteX20" fmla="*/ 107627 w 2342221"/>
            <a:gd name="connsiteY20" fmla="*/ 118773 h 739638"/>
            <a:gd name="connsiteX21" fmla="*/ 364106 w 2342221"/>
            <a:gd name="connsiteY21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74292 w 2342221"/>
            <a:gd name="connsiteY16" fmla="*/ 394474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107627 w 2342221"/>
            <a:gd name="connsiteY19" fmla="*/ 118773 h 739638"/>
            <a:gd name="connsiteX20" fmla="*/ 364106 w 2342221"/>
            <a:gd name="connsiteY20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74292 w 2342221"/>
            <a:gd name="connsiteY16" fmla="*/ 394474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318596 w 2342221"/>
            <a:gd name="connsiteY19" fmla="*/ 155514 h 739638"/>
            <a:gd name="connsiteX20" fmla="*/ 107627 w 2342221"/>
            <a:gd name="connsiteY20" fmla="*/ 118773 h 739638"/>
            <a:gd name="connsiteX21" fmla="*/ 364106 w 2342221"/>
            <a:gd name="connsiteY21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74292 w 2342221"/>
            <a:gd name="connsiteY16" fmla="*/ 394474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318596 w 2342221"/>
            <a:gd name="connsiteY19" fmla="*/ 155514 h 739638"/>
            <a:gd name="connsiteX20" fmla="*/ 14800 w 2342221"/>
            <a:gd name="connsiteY20" fmla="*/ 50499 h 739638"/>
            <a:gd name="connsiteX21" fmla="*/ 364106 w 2342221"/>
            <a:gd name="connsiteY21" fmla="*/ 71927 h 739638"/>
            <a:gd name="connsiteX0" fmla="*/ 405002 w 2383117"/>
            <a:gd name="connsiteY0" fmla="*/ 71927 h 739638"/>
            <a:gd name="connsiteX1" fmla="*/ 433196 w 2383117"/>
            <a:gd name="connsiteY1" fmla="*/ 32629 h 739638"/>
            <a:gd name="connsiteX2" fmla="*/ 523992 w 2383117"/>
            <a:gd name="connsiteY2" fmla="*/ 0 h 739638"/>
            <a:gd name="connsiteX3" fmla="*/ 2308498 w 2383117"/>
            <a:gd name="connsiteY3" fmla="*/ 2694 h 739638"/>
            <a:gd name="connsiteX4" fmla="*/ 2361262 w 2383117"/>
            <a:gd name="connsiteY4" fmla="*/ 24549 h 739638"/>
            <a:gd name="connsiteX5" fmla="*/ 2383117 w 2383117"/>
            <a:gd name="connsiteY5" fmla="*/ 77313 h 739638"/>
            <a:gd name="connsiteX6" fmla="*/ 2383117 w 2383117"/>
            <a:gd name="connsiteY6" fmla="*/ 661500 h 739638"/>
            <a:gd name="connsiteX7" fmla="*/ 2361262 w 2383117"/>
            <a:gd name="connsiteY7" fmla="*/ 714264 h 739638"/>
            <a:gd name="connsiteX8" fmla="*/ 2308498 w 2383117"/>
            <a:gd name="connsiteY8" fmla="*/ 736119 h 739638"/>
            <a:gd name="connsiteX9" fmla="*/ 1730819 w 2383117"/>
            <a:gd name="connsiteY9" fmla="*/ 739638 h 739638"/>
            <a:gd name="connsiteX10" fmla="*/ 1397569 w 2383117"/>
            <a:gd name="connsiteY10" fmla="*/ 739638 h 739638"/>
            <a:gd name="connsiteX11" fmla="*/ 650768 w 2383117"/>
            <a:gd name="connsiteY11" fmla="*/ 736119 h 739638"/>
            <a:gd name="connsiteX12" fmla="*/ 477568 w 2383117"/>
            <a:gd name="connsiteY12" fmla="*/ 722344 h 739638"/>
            <a:gd name="connsiteX13" fmla="*/ 398663 w 2383117"/>
            <a:gd name="connsiteY13" fmla="*/ 661809 h 739638"/>
            <a:gd name="connsiteX14" fmla="*/ 136705 w 2383117"/>
            <a:gd name="connsiteY14" fmla="*/ 656080 h 739638"/>
            <a:gd name="connsiteX15" fmla="*/ 378057 w 2383117"/>
            <a:gd name="connsiteY15" fmla="*/ 588674 h 739638"/>
            <a:gd name="connsiteX16" fmla="*/ 415188 w 2383117"/>
            <a:gd name="connsiteY16" fmla="*/ 394474 h 739638"/>
            <a:gd name="connsiteX17" fmla="*/ 40896 w 2383117"/>
            <a:gd name="connsiteY17" fmla="*/ 325287 h 739638"/>
            <a:gd name="connsiteX18" fmla="*/ 378057 w 2383117"/>
            <a:gd name="connsiteY18" fmla="*/ 295855 h 739638"/>
            <a:gd name="connsiteX19" fmla="*/ 359492 w 2383117"/>
            <a:gd name="connsiteY19" fmla="*/ 155514 h 739638"/>
            <a:gd name="connsiteX20" fmla="*/ 0 w 2383117"/>
            <a:gd name="connsiteY20" fmla="*/ 77050 h 739638"/>
            <a:gd name="connsiteX21" fmla="*/ 405002 w 2383117"/>
            <a:gd name="connsiteY21" fmla="*/ 71927 h 739638"/>
            <a:gd name="connsiteX0" fmla="*/ 405002 w 2383117"/>
            <a:gd name="connsiteY0" fmla="*/ 71927 h 739638"/>
            <a:gd name="connsiteX1" fmla="*/ 433196 w 2383117"/>
            <a:gd name="connsiteY1" fmla="*/ 32629 h 739638"/>
            <a:gd name="connsiteX2" fmla="*/ 523992 w 2383117"/>
            <a:gd name="connsiteY2" fmla="*/ 0 h 739638"/>
            <a:gd name="connsiteX3" fmla="*/ 2308498 w 2383117"/>
            <a:gd name="connsiteY3" fmla="*/ 2694 h 739638"/>
            <a:gd name="connsiteX4" fmla="*/ 2361262 w 2383117"/>
            <a:gd name="connsiteY4" fmla="*/ 24549 h 739638"/>
            <a:gd name="connsiteX5" fmla="*/ 2383117 w 2383117"/>
            <a:gd name="connsiteY5" fmla="*/ 77313 h 739638"/>
            <a:gd name="connsiteX6" fmla="*/ 2383117 w 2383117"/>
            <a:gd name="connsiteY6" fmla="*/ 661500 h 739638"/>
            <a:gd name="connsiteX7" fmla="*/ 2361262 w 2383117"/>
            <a:gd name="connsiteY7" fmla="*/ 714264 h 739638"/>
            <a:gd name="connsiteX8" fmla="*/ 2308498 w 2383117"/>
            <a:gd name="connsiteY8" fmla="*/ 736119 h 739638"/>
            <a:gd name="connsiteX9" fmla="*/ 1730819 w 2383117"/>
            <a:gd name="connsiteY9" fmla="*/ 739638 h 739638"/>
            <a:gd name="connsiteX10" fmla="*/ 1397569 w 2383117"/>
            <a:gd name="connsiteY10" fmla="*/ 739638 h 739638"/>
            <a:gd name="connsiteX11" fmla="*/ 650768 w 2383117"/>
            <a:gd name="connsiteY11" fmla="*/ 736119 h 739638"/>
            <a:gd name="connsiteX12" fmla="*/ 477568 w 2383117"/>
            <a:gd name="connsiteY12" fmla="*/ 722344 h 739638"/>
            <a:gd name="connsiteX13" fmla="*/ 398663 w 2383117"/>
            <a:gd name="connsiteY13" fmla="*/ 661809 h 739638"/>
            <a:gd name="connsiteX14" fmla="*/ 136705 w 2383117"/>
            <a:gd name="connsiteY14" fmla="*/ 656080 h 739638"/>
            <a:gd name="connsiteX15" fmla="*/ 378057 w 2383117"/>
            <a:gd name="connsiteY15" fmla="*/ 588674 h 739638"/>
            <a:gd name="connsiteX16" fmla="*/ 415188 w 2383117"/>
            <a:gd name="connsiteY16" fmla="*/ 394474 h 739638"/>
            <a:gd name="connsiteX17" fmla="*/ 40896 w 2383117"/>
            <a:gd name="connsiteY17" fmla="*/ 325287 h 739638"/>
            <a:gd name="connsiteX18" fmla="*/ 378057 w 2383117"/>
            <a:gd name="connsiteY18" fmla="*/ 295855 h 739638"/>
            <a:gd name="connsiteX19" fmla="*/ 359492 w 2383117"/>
            <a:gd name="connsiteY19" fmla="*/ 155514 h 739638"/>
            <a:gd name="connsiteX20" fmla="*/ 0 w 2383117"/>
            <a:gd name="connsiteY20" fmla="*/ 77050 h 739638"/>
            <a:gd name="connsiteX21" fmla="*/ 405002 w 2383117"/>
            <a:gd name="connsiteY21" fmla="*/ 71927 h 739638"/>
            <a:gd name="connsiteX0" fmla="*/ 405002 w 2383117"/>
            <a:gd name="connsiteY0" fmla="*/ 71927 h 739638"/>
            <a:gd name="connsiteX1" fmla="*/ 433196 w 2383117"/>
            <a:gd name="connsiteY1" fmla="*/ 32629 h 739638"/>
            <a:gd name="connsiteX2" fmla="*/ 523992 w 2383117"/>
            <a:gd name="connsiteY2" fmla="*/ 0 h 739638"/>
            <a:gd name="connsiteX3" fmla="*/ 2308498 w 2383117"/>
            <a:gd name="connsiteY3" fmla="*/ 2694 h 739638"/>
            <a:gd name="connsiteX4" fmla="*/ 2361262 w 2383117"/>
            <a:gd name="connsiteY4" fmla="*/ 24549 h 739638"/>
            <a:gd name="connsiteX5" fmla="*/ 2383117 w 2383117"/>
            <a:gd name="connsiteY5" fmla="*/ 77313 h 739638"/>
            <a:gd name="connsiteX6" fmla="*/ 2383117 w 2383117"/>
            <a:gd name="connsiteY6" fmla="*/ 661500 h 739638"/>
            <a:gd name="connsiteX7" fmla="*/ 2361262 w 2383117"/>
            <a:gd name="connsiteY7" fmla="*/ 714264 h 739638"/>
            <a:gd name="connsiteX8" fmla="*/ 2308498 w 2383117"/>
            <a:gd name="connsiteY8" fmla="*/ 736119 h 739638"/>
            <a:gd name="connsiteX9" fmla="*/ 1730819 w 2383117"/>
            <a:gd name="connsiteY9" fmla="*/ 739638 h 739638"/>
            <a:gd name="connsiteX10" fmla="*/ 1397569 w 2383117"/>
            <a:gd name="connsiteY10" fmla="*/ 739638 h 739638"/>
            <a:gd name="connsiteX11" fmla="*/ 650768 w 2383117"/>
            <a:gd name="connsiteY11" fmla="*/ 736119 h 739638"/>
            <a:gd name="connsiteX12" fmla="*/ 477568 w 2383117"/>
            <a:gd name="connsiteY12" fmla="*/ 722344 h 739638"/>
            <a:gd name="connsiteX13" fmla="*/ 398663 w 2383117"/>
            <a:gd name="connsiteY13" fmla="*/ 661809 h 739638"/>
            <a:gd name="connsiteX14" fmla="*/ 136705 w 2383117"/>
            <a:gd name="connsiteY14" fmla="*/ 656080 h 739638"/>
            <a:gd name="connsiteX15" fmla="*/ 378057 w 2383117"/>
            <a:gd name="connsiteY15" fmla="*/ 588674 h 739638"/>
            <a:gd name="connsiteX16" fmla="*/ 415188 w 2383117"/>
            <a:gd name="connsiteY16" fmla="*/ 394474 h 739638"/>
            <a:gd name="connsiteX17" fmla="*/ 40896 w 2383117"/>
            <a:gd name="connsiteY17" fmla="*/ 325287 h 739638"/>
            <a:gd name="connsiteX18" fmla="*/ 378057 w 2383117"/>
            <a:gd name="connsiteY18" fmla="*/ 295855 h 739638"/>
            <a:gd name="connsiteX19" fmla="*/ 359492 w 2383117"/>
            <a:gd name="connsiteY19" fmla="*/ 155514 h 739638"/>
            <a:gd name="connsiteX20" fmla="*/ 0 w 2383117"/>
            <a:gd name="connsiteY20" fmla="*/ 77050 h 739638"/>
            <a:gd name="connsiteX21" fmla="*/ 405002 w 2383117"/>
            <a:gd name="connsiteY21" fmla="*/ 71927 h 739638"/>
            <a:gd name="connsiteX0" fmla="*/ 494063 w 2472178"/>
            <a:gd name="connsiteY0" fmla="*/ 71927 h 739638"/>
            <a:gd name="connsiteX1" fmla="*/ 522257 w 2472178"/>
            <a:gd name="connsiteY1" fmla="*/ 32629 h 739638"/>
            <a:gd name="connsiteX2" fmla="*/ 613053 w 2472178"/>
            <a:gd name="connsiteY2" fmla="*/ 0 h 739638"/>
            <a:gd name="connsiteX3" fmla="*/ 2397559 w 2472178"/>
            <a:gd name="connsiteY3" fmla="*/ 2694 h 739638"/>
            <a:gd name="connsiteX4" fmla="*/ 2450323 w 2472178"/>
            <a:gd name="connsiteY4" fmla="*/ 24549 h 739638"/>
            <a:gd name="connsiteX5" fmla="*/ 2472178 w 2472178"/>
            <a:gd name="connsiteY5" fmla="*/ 77313 h 739638"/>
            <a:gd name="connsiteX6" fmla="*/ 2472178 w 2472178"/>
            <a:gd name="connsiteY6" fmla="*/ 661500 h 739638"/>
            <a:gd name="connsiteX7" fmla="*/ 2450323 w 2472178"/>
            <a:gd name="connsiteY7" fmla="*/ 714264 h 739638"/>
            <a:gd name="connsiteX8" fmla="*/ 2397559 w 2472178"/>
            <a:gd name="connsiteY8" fmla="*/ 736119 h 739638"/>
            <a:gd name="connsiteX9" fmla="*/ 1819880 w 2472178"/>
            <a:gd name="connsiteY9" fmla="*/ 739638 h 739638"/>
            <a:gd name="connsiteX10" fmla="*/ 1486630 w 2472178"/>
            <a:gd name="connsiteY10" fmla="*/ 739638 h 739638"/>
            <a:gd name="connsiteX11" fmla="*/ 739829 w 2472178"/>
            <a:gd name="connsiteY11" fmla="*/ 736119 h 739638"/>
            <a:gd name="connsiteX12" fmla="*/ 566629 w 2472178"/>
            <a:gd name="connsiteY12" fmla="*/ 722344 h 739638"/>
            <a:gd name="connsiteX13" fmla="*/ 487724 w 2472178"/>
            <a:gd name="connsiteY13" fmla="*/ 661809 h 739638"/>
            <a:gd name="connsiteX14" fmla="*/ 225766 w 2472178"/>
            <a:gd name="connsiteY14" fmla="*/ 656080 h 739638"/>
            <a:gd name="connsiteX15" fmla="*/ 467118 w 2472178"/>
            <a:gd name="connsiteY15" fmla="*/ 588674 h 739638"/>
            <a:gd name="connsiteX16" fmla="*/ 504249 w 2472178"/>
            <a:gd name="connsiteY16" fmla="*/ 394474 h 739638"/>
            <a:gd name="connsiteX17" fmla="*/ 0 w 2472178"/>
            <a:gd name="connsiteY17" fmla="*/ 344252 h 739638"/>
            <a:gd name="connsiteX18" fmla="*/ 467118 w 2472178"/>
            <a:gd name="connsiteY18" fmla="*/ 295855 h 739638"/>
            <a:gd name="connsiteX19" fmla="*/ 448553 w 2472178"/>
            <a:gd name="connsiteY19" fmla="*/ 155514 h 739638"/>
            <a:gd name="connsiteX20" fmla="*/ 89061 w 2472178"/>
            <a:gd name="connsiteY20" fmla="*/ 77050 h 739638"/>
            <a:gd name="connsiteX21" fmla="*/ 494063 w 2472178"/>
            <a:gd name="connsiteY21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20173 w 2525233"/>
            <a:gd name="connsiteY15" fmla="*/ 588674 h 739638"/>
            <a:gd name="connsiteX16" fmla="*/ 557304 w 2525233"/>
            <a:gd name="connsiteY16" fmla="*/ 394474 h 739638"/>
            <a:gd name="connsiteX17" fmla="*/ 53055 w 2525233"/>
            <a:gd name="connsiteY17" fmla="*/ 344252 h 739638"/>
            <a:gd name="connsiteX18" fmla="*/ 520173 w 2525233"/>
            <a:gd name="connsiteY18" fmla="*/ 295855 h 739638"/>
            <a:gd name="connsiteX19" fmla="*/ 501608 w 2525233"/>
            <a:gd name="connsiteY19" fmla="*/ 155514 h 739638"/>
            <a:gd name="connsiteX20" fmla="*/ 142116 w 2525233"/>
            <a:gd name="connsiteY20" fmla="*/ 77050 h 739638"/>
            <a:gd name="connsiteX21" fmla="*/ 547118 w 2525233"/>
            <a:gd name="connsiteY21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20173 w 2525233"/>
            <a:gd name="connsiteY15" fmla="*/ 588674 h 739638"/>
            <a:gd name="connsiteX16" fmla="*/ 557304 w 2525233"/>
            <a:gd name="connsiteY16" fmla="*/ 394474 h 739638"/>
            <a:gd name="connsiteX17" fmla="*/ 53055 w 2525233"/>
            <a:gd name="connsiteY17" fmla="*/ 344252 h 739638"/>
            <a:gd name="connsiteX18" fmla="*/ 520173 w 2525233"/>
            <a:gd name="connsiteY18" fmla="*/ 295855 h 739638"/>
            <a:gd name="connsiteX19" fmla="*/ 501608 w 2525233"/>
            <a:gd name="connsiteY19" fmla="*/ 155514 h 739638"/>
            <a:gd name="connsiteX20" fmla="*/ 142116 w 2525233"/>
            <a:gd name="connsiteY20" fmla="*/ 77050 h 739638"/>
            <a:gd name="connsiteX21" fmla="*/ 547118 w 2525233"/>
            <a:gd name="connsiteY21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57304 w 2525233"/>
            <a:gd name="connsiteY16" fmla="*/ 394474 h 739638"/>
            <a:gd name="connsiteX17" fmla="*/ 53055 w 2525233"/>
            <a:gd name="connsiteY17" fmla="*/ 344252 h 739638"/>
            <a:gd name="connsiteX18" fmla="*/ 520173 w 2525233"/>
            <a:gd name="connsiteY18" fmla="*/ 295855 h 739638"/>
            <a:gd name="connsiteX19" fmla="*/ 501608 w 2525233"/>
            <a:gd name="connsiteY19" fmla="*/ 155514 h 739638"/>
            <a:gd name="connsiteX20" fmla="*/ 142116 w 2525233"/>
            <a:gd name="connsiteY20" fmla="*/ 77050 h 739638"/>
            <a:gd name="connsiteX21" fmla="*/ 547118 w 2525233"/>
            <a:gd name="connsiteY21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57304 w 2525233"/>
            <a:gd name="connsiteY16" fmla="*/ 394474 h 739638"/>
            <a:gd name="connsiteX17" fmla="*/ 53055 w 2525233"/>
            <a:gd name="connsiteY17" fmla="*/ 344252 h 739638"/>
            <a:gd name="connsiteX18" fmla="*/ 520173 w 2525233"/>
            <a:gd name="connsiteY18" fmla="*/ 295855 h 739638"/>
            <a:gd name="connsiteX19" fmla="*/ 501608 w 2525233"/>
            <a:gd name="connsiteY19" fmla="*/ 155514 h 739638"/>
            <a:gd name="connsiteX20" fmla="*/ 142116 w 2525233"/>
            <a:gd name="connsiteY20" fmla="*/ 77050 h 739638"/>
            <a:gd name="connsiteX21" fmla="*/ 547118 w 2525233"/>
            <a:gd name="connsiteY21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57304 w 2525233"/>
            <a:gd name="connsiteY16" fmla="*/ 394474 h 739638"/>
            <a:gd name="connsiteX17" fmla="*/ 520173 w 2525233"/>
            <a:gd name="connsiteY17" fmla="*/ 295855 h 739638"/>
            <a:gd name="connsiteX18" fmla="*/ 501608 w 2525233"/>
            <a:gd name="connsiteY18" fmla="*/ 155514 h 739638"/>
            <a:gd name="connsiteX19" fmla="*/ 142116 w 2525233"/>
            <a:gd name="connsiteY19" fmla="*/ 77050 h 739638"/>
            <a:gd name="connsiteX20" fmla="*/ 547118 w 2525233"/>
            <a:gd name="connsiteY20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57304 w 2525233"/>
            <a:gd name="connsiteY16" fmla="*/ 394474 h 739638"/>
            <a:gd name="connsiteX17" fmla="*/ 501608 w 2525233"/>
            <a:gd name="connsiteY17" fmla="*/ 155514 h 739638"/>
            <a:gd name="connsiteX18" fmla="*/ 142116 w 2525233"/>
            <a:gd name="connsiteY18" fmla="*/ 77050 h 739638"/>
            <a:gd name="connsiteX19" fmla="*/ 547118 w 2525233"/>
            <a:gd name="connsiteY19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01608 w 2525233"/>
            <a:gd name="connsiteY16" fmla="*/ 155514 h 739638"/>
            <a:gd name="connsiteX17" fmla="*/ 142116 w 2525233"/>
            <a:gd name="connsiteY17" fmla="*/ 77050 h 739638"/>
            <a:gd name="connsiteX18" fmla="*/ 547118 w 2525233"/>
            <a:gd name="connsiteY18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01608 w 2525233"/>
            <a:gd name="connsiteY16" fmla="*/ 155514 h 739638"/>
            <a:gd name="connsiteX17" fmla="*/ 142116 w 2525233"/>
            <a:gd name="connsiteY17" fmla="*/ 77050 h 739638"/>
            <a:gd name="connsiteX18" fmla="*/ 547118 w 2525233"/>
            <a:gd name="connsiteY18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01608 w 2525233"/>
            <a:gd name="connsiteY16" fmla="*/ 155514 h 739638"/>
            <a:gd name="connsiteX17" fmla="*/ 142116 w 2525233"/>
            <a:gd name="connsiteY17" fmla="*/ 77050 h 739638"/>
            <a:gd name="connsiteX18" fmla="*/ 547118 w 2525233"/>
            <a:gd name="connsiteY18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01608 w 2525233"/>
            <a:gd name="connsiteY16" fmla="*/ 155514 h 739638"/>
            <a:gd name="connsiteX17" fmla="*/ 30724 w 2525233"/>
            <a:gd name="connsiteY17" fmla="*/ 88429 h 739638"/>
            <a:gd name="connsiteX18" fmla="*/ 547118 w 2525233"/>
            <a:gd name="connsiteY18" fmla="*/ 71927 h 73963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2525233" h="739638">
              <a:moveTo>
                <a:pt x="547118" y="71927"/>
              </a:moveTo>
              <a:cubicBezTo>
                <a:pt x="547118" y="52137"/>
                <a:pt x="555480" y="44617"/>
                <a:pt x="575312" y="32629"/>
              </a:cubicBezTo>
              <a:cubicBezTo>
                <a:pt x="595144" y="20641"/>
                <a:pt x="609426" y="13167"/>
                <a:pt x="666108" y="0"/>
              </a:cubicBezTo>
              <a:lnTo>
                <a:pt x="2450614" y="2694"/>
              </a:lnTo>
              <a:cubicBezTo>
                <a:pt x="2470404" y="2694"/>
                <a:pt x="2489384" y="10556"/>
                <a:pt x="2503378" y="24549"/>
              </a:cubicBezTo>
              <a:cubicBezTo>
                <a:pt x="2517372" y="38543"/>
                <a:pt x="2525233" y="57522"/>
                <a:pt x="2525233" y="77313"/>
              </a:cubicBezTo>
              <a:lnTo>
                <a:pt x="2525233" y="661500"/>
              </a:lnTo>
              <a:cubicBezTo>
                <a:pt x="2525233" y="681290"/>
                <a:pt x="2517371" y="700270"/>
                <a:pt x="2503378" y="714264"/>
              </a:cubicBezTo>
              <a:cubicBezTo>
                <a:pt x="2489384" y="728258"/>
                <a:pt x="2509403" y="726904"/>
                <a:pt x="2450614" y="736119"/>
              </a:cubicBezTo>
              <a:lnTo>
                <a:pt x="1872935" y="739638"/>
              </a:lnTo>
              <a:lnTo>
                <a:pt x="1539685" y="739638"/>
              </a:lnTo>
              <a:lnTo>
                <a:pt x="792884" y="736119"/>
              </a:lnTo>
              <a:cubicBezTo>
                <a:pt x="773094" y="736119"/>
                <a:pt x="661702" y="734729"/>
                <a:pt x="619684" y="722344"/>
              </a:cubicBezTo>
              <a:cubicBezTo>
                <a:pt x="577667" y="709959"/>
                <a:pt x="560459" y="684087"/>
                <a:pt x="540779" y="661809"/>
              </a:cubicBezTo>
              <a:lnTo>
                <a:pt x="18906" y="663666"/>
              </a:lnTo>
              <a:cubicBezTo>
                <a:pt x="0" y="646983"/>
                <a:pt x="418064" y="609517"/>
                <a:pt x="594435" y="577295"/>
              </a:cubicBezTo>
              <a:cubicBezTo>
                <a:pt x="526362" y="481224"/>
                <a:pt x="576994" y="238888"/>
                <a:pt x="501608" y="155514"/>
              </a:cubicBezTo>
              <a:lnTo>
                <a:pt x="30724" y="88429"/>
              </a:lnTo>
              <a:lnTo>
                <a:pt x="547118" y="71927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　　 データが存在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　　  しない場合表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　　示されない。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129539</xdr:colOff>
      <xdr:row>54</xdr:row>
      <xdr:rowOff>129540</xdr:rowOff>
    </xdr:from>
    <xdr:to>
      <xdr:col>45</xdr:col>
      <xdr:colOff>114299</xdr:colOff>
      <xdr:row>64</xdr:row>
      <xdr:rowOff>76200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853439" y="9425940"/>
          <a:ext cx="7404735" cy="166116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30</xdr:col>
      <xdr:colOff>125761</xdr:colOff>
      <xdr:row>64</xdr:row>
      <xdr:rowOff>21160</xdr:rowOff>
    </xdr:from>
    <xdr:to>
      <xdr:col>45</xdr:col>
      <xdr:colOff>29236</xdr:colOff>
      <xdr:row>67</xdr:row>
      <xdr:rowOff>25181</xdr:rowOff>
    </xdr:to>
    <xdr:sp macro="" textlink="">
      <xdr:nvSpPr>
        <xdr:cNvPr id="22" name="フリーフォーム 8">
          <a:extLst>
            <a:ext uri="{FF2B5EF4-FFF2-40B4-BE49-F238E27FC236}">
              <a16:creationId xmlns:a16="http://schemas.microsoft.com/office/drawing/2014/main" id="{3688FF9B-781B-4184-ADDB-D93389A75D24}"/>
            </a:ext>
          </a:extLst>
        </xdr:cNvPr>
        <xdr:cNvSpPr/>
      </xdr:nvSpPr>
      <xdr:spPr>
        <a:xfrm>
          <a:off x="5555011" y="11032060"/>
          <a:ext cx="2618100" cy="518371"/>
        </a:xfrm>
        <a:custGeom>
          <a:avLst/>
          <a:gdLst>
            <a:gd name="connsiteX0" fmla="*/ 0 w 2028825"/>
            <a:gd name="connsiteY0" fmla="*/ 74619 h 733425"/>
            <a:gd name="connsiteX1" fmla="*/ 21855 w 2028825"/>
            <a:gd name="connsiteY1" fmla="*/ 21855 h 733425"/>
            <a:gd name="connsiteX2" fmla="*/ 74619 w 2028825"/>
            <a:gd name="connsiteY2" fmla="*/ 0 h 733425"/>
            <a:gd name="connsiteX3" fmla="*/ 1954206 w 2028825"/>
            <a:gd name="connsiteY3" fmla="*/ 0 h 733425"/>
            <a:gd name="connsiteX4" fmla="*/ 2006970 w 2028825"/>
            <a:gd name="connsiteY4" fmla="*/ 21855 h 733425"/>
            <a:gd name="connsiteX5" fmla="*/ 2028825 w 2028825"/>
            <a:gd name="connsiteY5" fmla="*/ 74619 h 733425"/>
            <a:gd name="connsiteX6" fmla="*/ 2028825 w 2028825"/>
            <a:gd name="connsiteY6" fmla="*/ 658806 h 733425"/>
            <a:gd name="connsiteX7" fmla="*/ 2006970 w 2028825"/>
            <a:gd name="connsiteY7" fmla="*/ 711570 h 733425"/>
            <a:gd name="connsiteX8" fmla="*/ 1954206 w 2028825"/>
            <a:gd name="connsiteY8" fmla="*/ 733425 h 733425"/>
            <a:gd name="connsiteX9" fmla="*/ 74619 w 2028825"/>
            <a:gd name="connsiteY9" fmla="*/ 733425 h 733425"/>
            <a:gd name="connsiteX10" fmla="*/ 21855 w 2028825"/>
            <a:gd name="connsiteY10" fmla="*/ 711570 h 733425"/>
            <a:gd name="connsiteX11" fmla="*/ 0 w 2028825"/>
            <a:gd name="connsiteY11" fmla="*/ 658806 h 733425"/>
            <a:gd name="connsiteX12" fmla="*/ 0 w 2028825"/>
            <a:gd name="connsiteY12" fmla="*/ 74619 h 733425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2144232 w 2218851"/>
            <a:gd name="connsiteY4" fmla="*/ 314325 h 1047750"/>
            <a:gd name="connsiteX5" fmla="*/ 2196996 w 2218851"/>
            <a:gd name="connsiteY5" fmla="*/ 336180 h 1047750"/>
            <a:gd name="connsiteX6" fmla="*/ 2218851 w 2218851"/>
            <a:gd name="connsiteY6" fmla="*/ 388944 h 1047750"/>
            <a:gd name="connsiteX7" fmla="*/ 2218851 w 2218851"/>
            <a:gd name="connsiteY7" fmla="*/ 973131 h 1047750"/>
            <a:gd name="connsiteX8" fmla="*/ 2196996 w 2218851"/>
            <a:gd name="connsiteY8" fmla="*/ 1025895 h 1047750"/>
            <a:gd name="connsiteX9" fmla="*/ 2144232 w 2218851"/>
            <a:gd name="connsiteY9" fmla="*/ 1047750 h 1047750"/>
            <a:gd name="connsiteX10" fmla="*/ 264645 w 2218851"/>
            <a:gd name="connsiteY10" fmla="*/ 1047750 h 1047750"/>
            <a:gd name="connsiteX11" fmla="*/ 211881 w 2218851"/>
            <a:gd name="connsiteY11" fmla="*/ 1025895 h 1047750"/>
            <a:gd name="connsiteX12" fmla="*/ 190026 w 2218851"/>
            <a:gd name="connsiteY12" fmla="*/ 973131 h 1047750"/>
            <a:gd name="connsiteX13" fmla="*/ 190026 w 2218851"/>
            <a:gd name="connsiteY13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3333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2952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638300 w 2028825"/>
            <a:gd name="connsiteY4" fmla="*/ 0 h 1047750"/>
            <a:gd name="connsiteX5" fmla="*/ 1685925 w 2028825"/>
            <a:gd name="connsiteY5" fmla="*/ 295275 h 1047750"/>
            <a:gd name="connsiteX6" fmla="*/ 1954206 w 2028825"/>
            <a:gd name="connsiteY6" fmla="*/ 314325 h 1047750"/>
            <a:gd name="connsiteX7" fmla="*/ 2006970 w 2028825"/>
            <a:gd name="connsiteY7" fmla="*/ 336180 h 1047750"/>
            <a:gd name="connsiteX8" fmla="*/ 2028825 w 2028825"/>
            <a:gd name="connsiteY8" fmla="*/ 388944 h 1047750"/>
            <a:gd name="connsiteX9" fmla="*/ 2028825 w 2028825"/>
            <a:gd name="connsiteY9" fmla="*/ 973131 h 1047750"/>
            <a:gd name="connsiteX10" fmla="*/ 2006970 w 2028825"/>
            <a:gd name="connsiteY10" fmla="*/ 1025895 h 1047750"/>
            <a:gd name="connsiteX11" fmla="*/ 1954206 w 2028825"/>
            <a:gd name="connsiteY11" fmla="*/ 1047750 h 1047750"/>
            <a:gd name="connsiteX12" fmla="*/ 74619 w 2028825"/>
            <a:gd name="connsiteY12" fmla="*/ 1047750 h 1047750"/>
            <a:gd name="connsiteX13" fmla="*/ 21855 w 2028825"/>
            <a:gd name="connsiteY13" fmla="*/ 1025895 h 1047750"/>
            <a:gd name="connsiteX14" fmla="*/ 0 w 2028825"/>
            <a:gd name="connsiteY14" fmla="*/ 973131 h 1047750"/>
            <a:gd name="connsiteX15" fmla="*/ 0 w 2028825"/>
            <a:gd name="connsiteY15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400175 w 2028825"/>
            <a:gd name="connsiteY4" fmla="*/ 314325 h 1047750"/>
            <a:gd name="connsiteX5" fmla="*/ 1638300 w 2028825"/>
            <a:gd name="connsiteY5" fmla="*/ 0 h 1047750"/>
            <a:gd name="connsiteX6" fmla="*/ 1685925 w 2028825"/>
            <a:gd name="connsiteY6" fmla="*/ 295275 h 1047750"/>
            <a:gd name="connsiteX7" fmla="*/ 1954206 w 2028825"/>
            <a:gd name="connsiteY7" fmla="*/ 314325 h 1047750"/>
            <a:gd name="connsiteX8" fmla="*/ 2006970 w 2028825"/>
            <a:gd name="connsiteY8" fmla="*/ 336180 h 1047750"/>
            <a:gd name="connsiteX9" fmla="*/ 2028825 w 2028825"/>
            <a:gd name="connsiteY9" fmla="*/ 388944 h 1047750"/>
            <a:gd name="connsiteX10" fmla="*/ 2028825 w 2028825"/>
            <a:gd name="connsiteY10" fmla="*/ 973131 h 1047750"/>
            <a:gd name="connsiteX11" fmla="*/ 2006970 w 2028825"/>
            <a:gd name="connsiteY11" fmla="*/ 1025895 h 1047750"/>
            <a:gd name="connsiteX12" fmla="*/ 1954206 w 2028825"/>
            <a:gd name="connsiteY12" fmla="*/ 1047750 h 1047750"/>
            <a:gd name="connsiteX13" fmla="*/ 74619 w 2028825"/>
            <a:gd name="connsiteY13" fmla="*/ 1047750 h 1047750"/>
            <a:gd name="connsiteX14" fmla="*/ 21855 w 2028825"/>
            <a:gd name="connsiteY14" fmla="*/ 1025895 h 1047750"/>
            <a:gd name="connsiteX15" fmla="*/ 0 w 2028825"/>
            <a:gd name="connsiteY15" fmla="*/ 973131 h 1047750"/>
            <a:gd name="connsiteX16" fmla="*/ 0 w 2028825"/>
            <a:gd name="connsiteY16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1400175 w 2028825"/>
            <a:gd name="connsiteY5" fmla="*/ 314325 h 1047750"/>
            <a:gd name="connsiteX6" fmla="*/ 1638300 w 2028825"/>
            <a:gd name="connsiteY6" fmla="*/ 0 h 1047750"/>
            <a:gd name="connsiteX7" fmla="*/ 1685925 w 2028825"/>
            <a:gd name="connsiteY7" fmla="*/ 295275 h 1047750"/>
            <a:gd name="connsiteX8" fmla="*/ 1954206 w 2028825"/>
            <a:gd name="connsiteY8" fmla="*/ 314325 h 1047750"/>
            <a:gd name="connsiteX9" fmla="*/ 2006970 w 2028825"/>
            <a:gd name="connsiteY9" fmla="*/ 336180 h 1047750"/>
            <a:gd name="connsiteX10" fmla="*/ 2028825 w 2028825"/>
            <a:gd name="connsiteY10" fmla="*/ 388944 h 1047750"/>
            <a:gd name="connsiteX11" fmla="*/ 2028825 w 2028825"/>
            <a:gd name="connsiteY11" fmla="*/ 973131 h 1047750"/>
            <a:gd name="connsiteX12" fmla="*/ 2006970 w 2028825"/>
            <a:gd name="connsiteY12" fmla="*/ 1025895 h 1047750"/>
            <a:gd name="connsiteX13" fmla="*/ 1954206 w 2028825"/>
            <a:gd name="connsiteY13" fmla="*/ 1047750 h 1047750"/>
            <a:gd name="connsiteX14" fmla="*/ 74619 w 2028825"/>
            <a:gd name="connsiteY14" fmla="*/ 1047750 h 1047750"/>
            <a:gd name="connsiteX15" fmla="*/ 21855 w 2028825"/>
            <a:gd name="connsiteY15" fmla="*/ 1025895 h 1047750"/>
            <a:gd name="connsiteX16" fmla="*/ 0 w 2028825"/>
            <a:gd name="connsiteY16" fmla="*/ 973131 h 1047750"/>
            <a:gd name="connsiteX17" fmla="*/ 0 w 2028825"/>
            <a:gd name="connsiteY17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800100 w 2028825"/>
            <a:gd name="connsiteY5" fmla="*/ 333375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790575 w 2028825"/>
            <a:gd name="connsiteY5" fmla="*/ 304800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465144 h 1123950"/>
            <a:gd name="connsiteX1" fmla="*/ 21855 w 2028825"/>
            <a:gd name="connsiteY1" fmla="*/ 412380 h 1123950"/>
            <a:gd name="connsiteX2" fmla="*/ 74619 w 2028825"/>
            <a:gd name="connsiteY2" fmla="*/ 390525 h 1123950"/>
            <a:gd name="connsiteX3" fmla="*/ 428625 w 2028825"/>
            <a:gd name="connsiteY3" fmla="*/ 390525 h 1123950"/>
            <a:gd name="connsiteX4" fmla="*/ 333375 w 2028825"/>
            <a:gd name="connsiteY4" fmla="*/ 0 h 1123950"/>
            <a:gd name="connsiteX5" fmla="*/ 790575 w 2028825"/>
            <a:gd name="connsiteY5" fmla="*/ 381000 h 1123950"/>
            <a:gd name="connsiteX6" fmla="*/ 1400175 w 2028825"/>
            <a:gd name="connsiteY6" fmla="*/ 390525 h 1123950"/>
            <a:gd name="connsiteX7" fmla="*/ 1638300 w 2028825"/>
            <a:gd name="connsiteY7" fmla="*/ 76200 h 1123950"/>
            <a:gd name="connsiteX8" fmla="*/ 1685925 w 2028825"/>
            <a:gd name="connsiteY8" fmla="*/ 371475 h 1123950"/>
            <a:gd name="connsiteX9" fmla="*/ 1954206 w 2028825"/>
            <a:gd name="connsiteY9" fmla="*/ 390525 h 1123950"/>
            <a:gd name="connsiteX10" fmla="*/ 2006970 w 2028825"/>
            <a:gd name="connsiteY10" fmla="*/ 412380 h 1123950"/>
            <a:gd name="connsiteX11" fmla="*/ 2028825 w 2028825"/>
            <a:gd name="connsiteY11" fmla="*/ 465144 h 1123950"/>
            <a:gd name="connsiteX12" fmla="*/ 2028825 w 2028825"/>
            <a:gd name="connsiteY12" fmla="*/ 1049331 h 1123950"/>
            <a:gd name="connsiteX13" fmla="*/ 2006970 w 2028825"/>
            <a:gd name="connsiteY13" fmla="*/ 1102095 h 1123950"/>
            <a:gd name="connsiteX14" fmla="*/ 1954206 w 2028825"/>
            <a:gd name="connsiteY14" fmla="*/ 1123950 h 1123950"/>
            <a:gd name="connsiteX15" fmla="*/ 74619 w 2028825"/>
            <a:gd name="connsiteY15" fmla="*/ 1123950 h 1123950"/>
            <a:gd name="connsiteX16" fmla="*/ 21855 w 2028825"/>
            <a:gd name="connsiteY16" fmla="*/ 1102095 h 1123950"/>
            <a:gd name="connsiteX17" fmla="*/ 0 w 2028825"/>
            <a:gd name="connsiteY17" fmla="*/ 1049331 h 1123950"/>
            <a:gd name="connsiteX18" fmla="*/ 0 w 2028825"/>
            <a:gd name="connsiteY18" fmla="*/ 465144 h 11239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333375 w 2028825"/>
            <a:gd name="connsiteY4" fmla="*/ 1524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7056 w 2028825"/>
            <a:gd name="connsiteY7" fmla="*/ 538219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395091 w 2028825"/>
            <a:gd name="connsiteY6" fmla="*/ 535779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356731 h 1015537"/>
            <a:gd name="connsiteX1" fmla="*/ 21855 w 2028825"/>
            <a:gd name="connsiteY1" fmla="*/ 303967 h 1015537"/>
            <a:gd name="connsiteX2" fmla="*/ 74619 w 2028825"/>
            <a:gd name="connsiteY2" fmla="*/ 282112 h 1015537"/>
            <a:gd name="connsiteX3" fmla="*/ 351810 w 2028825"/>
            <a:gd name="connsiteY3" fmla="*/ 272587 h 1015537"/>
            <a:gd name="connsiteX4" fmla="*/ 330447 w 2028825"/>
            <a:gd name="connsiteY4" fmla="*/ 0 h 1015537"/>
            <a:gd name="connsiteX5" fmla="*/ 704723 w 2028825"/>
            <a:gd name="connsiteY5" fmla="*/ 272587 h 1015537"/>
            <a:gd name="connsiteX6" fmla="*/ 1395091 w 2028825"/>
            <a:gd name="connsiteY6" fmla="*/ 274966 h 1015537"/>
            <a:gd name="connsiteX7" fmla="*/ 1644264 w 2028825"/>
            <a:gd name="connsiteY7" fmla="*/ 271492 h 1015537"/>
            <a:gd name="connsiteX8" fmla="*/ 1758222 w 2028825"/>
            <a:gd name="connsiteY8" fmla="*/ 263062 h 1015537"/>
            <a:gd name="connsiteX9" fmla="*/ 1954206 w 2028825"/>
            <a:gd name="connsiteY9" fmla="*/ 282112 h 1015537"/>
            <a:gd name="connsiteX10" fmla="*/ 2006970 w 2028825"/>
            <a:gd name="connsiteY10" fmla="*/ 303967 h 1015537"/>
            <a:gd name="connsiteX11" fmla="*/ 2028825 w 2028825"/>
            <a:gd name="connsiteY11" fmla="*/ 356731 h 1015537"/>
            <a:gd name="connsiteX12" fmla="*/ 2028825 w 2028825"/>
            <a:gd name="connsiteY12" fmla="*/ 940918 h 1015537"/>
            <a:gd name="connsiteX13" fmla="*/ 2006970 w 2028825"/>
            <a:gd name="connsiteY13" fmla="*/ 993682 h 1015537"/>
            <a:gd name="connsiteX14" fmla="*/ 1954206 w 2028825"/>
            <a:gd name="connsiteY14" fmla="*/ 1015537 h 1015537"/>
            <a:gd name="connsiteX15" fmla="*/ 74619 w 2028825"/>
            <a:gd name="connsiteY15" fmla="*/ 1015537 h 1015537"/>
            <a:gd name="connsiteX16" fmla="*/ 21855 w 2028825"/>
            <a:gd name="connsiteY16" fmla="*/ 993682 h 1015537"/>
            <a:gd name="connsiteX17" fmla="*/ 0 w 2028825"/>
            <a:gd name="connsiteY17" fmla="*/ 940918 h 1015537"/>
            <a:gd name="connsiteX18" fmla="*/ 0 w 2028825"/>
            <a:gd name="connsiteY18" fmla="*/ 356731 h 1015537"/>
            <a:gd name="connsiteX0" fmla="*/ 0 w 2028825"/>
            <a:gd name="connsiteY0" fmla="*/ 426281 h 1085087"/>
            <a:gd name="connsiteX1" fmla="*/ 21855 w 2028825"/>
            <a:gd name="connsiteY1" fmla="*/ 373517 h 1085087"/>
            <a:gd name="connsiteX2" fmla="*/ 74619 w 2028825"/>
            <a:gd name="connsiteY2" fmla="*/ 351662 h 1085087"/>
            <a:gd name="connsiteX3" fmla="*/ 351810 w 2028825"/>
            <a:gd name="connsiteY3" fmla="*/ 342137 h 1085087"/>
            <a:gd name="connsiteX4" fmla="*/ 243242 w 2028825"/>
            <a:gd name="connsiteY4" fmla="*/ 0 h 1085087"/>
            <a:gd name="connsiteX5" fmla="*/ 704723 w 2028825"/>
            <a:gd name="connsiteY5" fmla="*/ 342137 h 1085087"/>
            <a:gd name="connsiteX6" fmla="*/ 1395091 w 2028825"/>
            <a:gd name="connsiteY6" fmla="*/ 344516 h 1085087"/>
            <a:gd name="connsiteX7" fmla="*/ 1644264 w 2028825"/>
            <a:gd name="connsiteY7" fmla="*/ 341042 h 1085087"/>
            <a:gd name="connsiteX8" fmla="*/ 1758222 w 2028825"/>
            <a:gd name="connsiteY8" fmla="*/ 332612 h 1085087"/>
            <a:gd name="connsiteX9" fmla="*/ 1954206 w 2028825"/>
            <a:gd name="connsiteY9" fmla="*/ 351662 h 1085087"/>
            <a:gd name="connsiteX10" fmla="*/ 2006970 w 2028825"/>
            <a:gd name="connsiteY10" fmla="*/ 373517 h 1085087"/>
            <a:gd name="connsiteX11" fmla="*/ 2028825 w 2028825"/>
            <a:gd name="connsiteY11" fmla="*/ 426281 h 1085087"/>
            <a:gd name="connsiteX12" fmla="*/ 2028825 w 2028825"/>
            <a:gd name="connsiteY12" fmla="*/ 1010468 h 1085087"/>
            <a:gd name="connsiteX13" fmla="*/ 2006970 w 2028825"/>
            <a:gd name="connsiteY13" fmla="*/ 1063232 h 1085087"/>
            <a:gd name="connsiteX14" fmla="*/ 1954206 w 2028825"/>
            <a:gd name="connsiteY14" fmla="*/ 1085087 h 1085087"/>
            <a:gd name="connsiteX15" fmla="*/ 74619 w 2028825"/>
            <a:gd name="connsiteY15" fmla="*/ 1085087 h 1085087"/>
            <a:gd name="connsiteX16" fmla="*/ 21855 w 2028825"/>
            <a:gd name="connsiteY16" fmla="*/ 1063232 h 1085087"/>
            <a:gd name="connsiteX17" fmla="*/ 0 w 2028825"/>
            <a:gd name="connsiteY17" fmla="*/ 1010468 h 1085087"/>
            <a:gd name="connsiteX18" fmla="*/ 0 w 2028825"/>
            <a:gd name="connsiteY18" fmla="*/ 426281 h 10850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2028825" h="1085087">
              <a:moveTo>
                <a:pt x="0" y="426281"/>
              </a:moveTo>
              <a:cubicBezTo>
                <a:pt x="0" y="406491"/>
                <a:pt x="7862" y="387511"/>
                <a:pt x="21855" y="373517"/>
              </a:cubicBezTo>
              <a:cubicBezTo>
                <a:pt x="35849" y="359523"/>
                <a:pt x="17937" y="364829"/>
                <a:pt x="74619" y="351662"/>
              </a:cubicBezTo>
              <a:lnTo>
                <a:pt x="351810" y="342137"/>
              </a:lnTo>
              <a:lnTo>
                <a:pt x="243242" y="0"/>
              </a:lnTo>
              <a:lnTo>
                <a:pt x="704723" y="342137"/>
              </a:lnTo>
              <a:lnTo>
                <a:pt x="1395091" y="344516"/>
              </a:lnTo>
              <a:lnTo>
                <a:pt x="1644264" y="341042"/>
              </a:lnTo>
              <a:lnTo>
                <a:pt x="1758222" y="332612"/>
              </a:lnTo>
              <a:lnTo>
                <a:pt x="1954206" y="351662"/>
              </a:lnTo>
              <a:cubicBezTo>
                <a:pt x="1973996" y="351662"/>
                <a:pt x="1992976" y="359524"/>
                <a:pt x="2006970" y="373517"/>
              </a:cubicBezTo>
              <a:cubicBezTo>
                <a:pt x="2020964" y="387511"/>
                <a:pt x="2028825" y="406490"/>
                <a:pt x="2028825" y="426281"/>
              </a:cubicBezTo>
              <a:lnTo>
                <a:pt x="2028825" y="1010468"/>
              </a:lnTo>
              <a:cubicBezTo>
                <a:pt x="2028825" y="1030258"/>
                <a:pt x="2020963" y="1049238"/>
                <a:pt x="2006970" y="1063232"/>
              </a:cubicBezTo>
              <a:cubicBezTo>
                <a:pt x="1992976" y="1077226"/>
                <a:pt x="1973997" y="1085087"/>
                <a:pt x="1954206" y="1085087"/>
              </a:cubicBezTo>
              <a:lnTo>
                <a:pt x="74619" y="1085087"/>
              </a:lnTo>
              <a:cubicBezTo>
                <a:pt x="54829" y="1085087"/>
                <a:pt x="35849" y="1077225"/>
                <a:pt x="21855" y="1063232"/>
              </a:cubicBezTo>
              <a:cubicBezTo>
                <a:pt x="7861" y="1049238"/>
                <a:pt x="0" y="1030259"/>
                <a:pt x="0" y="1010468"/>
              </a:cubicBezTo>
              <a:lnTo>
                <a:pt x="0" y="426281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1100"/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レポートが無い場合は表示されない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87977</xdr:colOff>
      <xdr:row>27</xdr:row>
      <xdr:rowOff>102871</xdr:rowOff>
    </xdr:from>
    <xdr:to>
      <xdr:col>49</xdr:col>
      <xdr:colOff>127634</xdr:colOff>
      <xdr:row>38</xdr:row>
      <xdr:rowOff>78106</xdr:rowOff>
    </xdr:to>
    <xdr:sp macro="" textlink="">
      <xdr:nvSpPr>
        <xdr:cNvPr id="13" name="フリーフォーム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7869902" y="4770121"/>
          <a:ext cx="1125507" cy="1861185"/>
        </a:xfrm>
        <a:custGeom>
          <a:avLst/>
          <a:gdLst>
            <a:gd name="connsiteX0" fmla="*/ 0 w 2028825"/>
            <a:gd name="connsiteY0" fmla="*/ 74619 h 733425"/>
            <a:gd name="connsiteX1" fmla="*/ 21855 w 2028825"/>
            <a:gd name="connsiteY1" fmla="*/ 21855 h 733425"/>
            <a:gd name="connsiteX2" fmla="*/ 74619 w 2028825"/>
            <a:gd name="connsiteY2" fmla="*/ 0 h 733425"/>
            <a:gd name="connsiteX3" fmla="*/ 1954206 w 2028825"/>
            <a:gd name="connsiteY3" fmla="*/ 0 h 733425"/>
            <a:gd name="connsiteX4" fmla="*/ 2006970 w 2028825"/>
            <a:gd name="connsiteY4" fmla="*/ 21855 h 733425"/>
            <a:gd name="connsiteX5" fmla="*/ 2028825 w 2028825"/>
            <a:gd name="connsiteY5" fmla="*/ 74619 h 733425"/>
            <a:gd name="connsiteX6" fmla="*/ 2028825 w 2028825"/>
            <a:gd name="connsiteY6" fmla="*/ 658806 h 733425"/>
            <a:gd name="connsiteX7" fmla="*/ 2006970 w 2028825"/>
            <a:gd name="connsiteY7" fmla="*/ 711570 h 733425"/>
            <a:gd name="connsiteX8" fmla="*/ 1954206 w 2028825"/>
            <a:gd name="connsiteY8" fmla="*/ 733425 h 733425"/>
            <a:gd name="connsiteX9" fmla="*/ 74619 w 2028825"/>
            <a:gd name="connsiteY9" fmla="*/ 733425 h 733425"/>
            <a:gd name="connsiteX10" fmla="*/ 21855 w 2028825"/>
            <a:gd name="connsiteY10" fmla="*/ 711570 h 733425"/>
            <a:gd name="connsiteX11" fmla="*/ 0 w 2028825"/>
            <a:gd name="connsiteY11" fmla="*/ 658806 h 733425"/>
            <a:gd name="connsiteX12" fmla="*/ 0 w 2028825"/>
            <a:gd name="connsiteY12" fmla="*/ 74619 h 733425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2144232 w 2218851"/>
            <a:gd name="connsiteY4" fmla="*/ 314325 h 1047750"/>
            <a:gd name="connsiteX5" fmla="*/ 2196996 w 2218851"/>
            <a:gd name="connsiteY5" fmla="*/ 336180 h 1047750"/>
            <a:gd name="connsiteX6" fmla="*/ 2218851 w 2218851"/>
            <a:gd name="connsiteY6" fmla="*/ 388944 h 1047750"/>
            <a:gd name="connsiteX7" fmla="*/ 2218851 w 2218851"/>
            <a:gd name="connsiteY7" fmla="*/ 973131 h 1047750"/>
            <a:gd name="connsiteX8" fmla="*/ 2196996 w 2218851"/>
            <a:gd name="connsiteY8" fmla="*/ 1025895 h 1047750"/>
            <a:gd name="connsiteX9" fmla="*/ 2144232 w 2218851"/>
            <a:gd name="connsiteY9" fmla="*/ 1047750 h 1047750"/>
            <a:gd name="connsiteX10" fmla="*/ 264645 w 2218851"/>
            <a:gd name="connsiteY10" fmla="*/ 1047750 h 1047750"/>
            <a:gd name="connsiteX11" fmla="*/ 211881 w 2218851"/>
            <a:gd name="connsiteY11" fmla="*/ 1025895 h 1047750"/>
            <a:gd name="connsiteX12" fmla="*/ 190026 w 2218851"/>
            <a:gd name="connsiteY12" fmla="*/ 973131 h 1047750"/>
            <a:gd name="connsiteX13" fmla="*/ 190026 w 2218851"/>
            <a:gd name="connsiteY13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3333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2952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638300 w 2028825"/>
            <a:gd name="connsiteY4" fmla="*/ 0 h 1047750"/>
            <a:gd name="connsiteX5" fmla="*/ 1685925 w 2028825"/>
            <a:gd name="connsiteY5" fmla="*/ 295275 h 1047750"/>
            <a:gd name="connsiteX6" fmla="*/ 1954206 w 2028825"/>
            <a:gd name="connsiteY6" fmla="*/ 314325 h 1047750"/>
            <a:gd name="connsiteX7" fmla="*/ 2006970 w 2028825"/>
            <a:gd name="connsiteY7" fmla="*/ 336180 h 1047750"/>
            <a:gd name="connsiteX8" fmla="*/ 2028825 w 2028825"/>
            <a:gd name="connsiteY8" fmla="*/ 388944 h 1047750"/>
            <a:gd name="connsiteX9" fmla="*/ 2028825 w 2028825"/>
            <a:gd name="connsiteY9" fmla="*/ 973131 h 1047750"/>
            <a:gd name="connsiteX10" fmla="*/ 2006970 w 2028825"/>
            <a:gd name="connsiteY10" fmla="*/ 1025895 h 1047750"/>
            <a:gd name="connsiteX11" fmla="*/ 1954206 w 2028825"/>
            <a:gd name="connsiteY11" fmla="*/ 1047750 h 1047750"/>
            <a:gd name="connsiteX12" fmla="*/ 74619 w 2028825"/>
            <a:gd name="connsiteY12" fmla="*/ 1047750 h 1047750"/>
            <a:gd name="connsiteX13" fmla="*/ 21855 w 2028825"/>
            <a:gd name="connsiteY13" fmla="*/ 1025895 h 1047750"/>
            <a:gd name="connsiteX14" fmla="*/ 0 w 2028825"/>
            <a:gd name="connsiteY14" fmla="*/ 973131 h 1047750"/>
            <a:gd name="connsiteX15" fmla="*/ 0 w 2028825"/>
            <a:gd name="connsiteY15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400175 w 2028825"/>
            <a:gd name="connsiteY4" fmla="*/ 314325 h 1047750"/>
            <a:gd name="connsiteX5" fmla="*/ 1638300 w 2028825"/>
            <a:gd name="connsiteY5" fmla="*/ 0 h 1047750"/>
            <a:gd name="connsiteX6" fmla="*/ 1685925 w 2028825"/>
            <a:gd name="connsiteY6" fmla="*/ 295275 h 1047750"/>
            <a:gd name="connsiteX7" fmla="*/ 1954206 w 2028825"/>
            <a:gd name="connsiteY7" fmla="*/ 314325 h 1047750"/>
            <a:gd name="connsiteX8" fmla="*/ 2006970 w 2028825"/>
            <a:gd name="connsiteY8" fmla="*/ 336180 h 1047750"/>
            <a:gd name="connsiteX9" fmla="*/ 2028825 w 2028825"/>
            <a:gd name="connsiteY9" fmla="*/ 388944 h 1047750"/>
            <a:gd name="connsiteX10" fmla="*/ 2028825 w 2028825"/>
            <a:gd name="connsiteY10" fmla="*/ 973131 h 1047750"/>
            <a:gd name="connsiteX11" fmla="*/ 2006970 w 2028825"/>
            <a:gd name="connsiteY11" fmla="*/ 1025895 h 1047750"/>
            <a:gd name="connsiteX12" fmla="*/ 1954206 w 2028825"/>
            <a:gd name="connsiteY12" fmla="*/ 1047750 h 1047750"/>
            <a:gd name="connsiteX13" fmla="*/ 74619 w 2028825"/>
            <a:gd name="connsiteY13" fmla="*/ 1047750 h 1047750"/>
            <a:gd name="connsiteX14" fmla="*/ 21855 w 2028825"/>
            <a:gd name="connsiteY14" fmla="*/ 1025895 h 1047750"/>
            <a:gd name="connsiteX15" fmla="*/ 0 w 2028825"/>
            <a:gd name="connsiteY15" fmla="*/ 973131 h 1047750"/>
            <a:gd name="connsiteX16" fmla="*/ 0 w 2028825"/>
            <a:gd name="connsiteY16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1400175 w 2028825"/>
            <a:gd name="connsiteY5" fmla="*/ 314325 h 1047750"/>
            <a:gd name="connsiteX6" fmla="*/ 1638300 w 2028825"/>
            <a:gd name="connsiteY6" fmla="*/ 0 h 1047750"/>
            <a:gd name="connsiteX7" fmla="*/ 1685925 w 2028825"/>
            <a:gd name="connsiteY7" fmla="*/ 295275 h 1047750"/>
            <a:gd name="connsiteX8" fmla="*/ 1954206 w 2028825"/>
            <a:gd name="connsiteY8" fmla="*/ 314325 h 1047750"/>
            <a:gd name="connsiteX9" fmla="*/ 2006970 w 2028825"/>
            <a:gd name="connsiteY9" fmla="*/ 336180 h 1047750"/>
            <a:gd name="connsiteX10" fmla="*/ 2028825 w 2028825"/>
            <a:gd name="connsiteY10" fmla="*/ 388944 h 1047750"/>
            <a:gd name="connsiteX11" fmla="*/ 2028825 w 2028825"/>
            <a:gd name="connsiteY11" fmla="*/ 973131 h 1047750"/>
            <a:gd name="connsiteX12" fmla="*/ 2006970 w 2028825"/>
            <a:gd name="connsiteY12" fmla="*/ 1025895 h 1047750"/>
            <a:gd name="connsiteX13" fmla="*/ 1954206 w 2028825"/>
            <a:gd name="connsiteY13" fmla="*/ 1047750 h 1047750"/>
            <a:gd name="connsiteX14" fmla="*/ 74619 w 2028825"/>
            <a:gd name="connsiteY14" fmla="*/ 1047750 h 1047750"/>
            <a:gd name="connsiteX15" fmla="*/ 21855 w 2028825"/>
            <a:gd name="connsiteY15" fmla="*/ 1025895 h 1047750"/>
            <a:gd name="connsiteX16" fmla="*/ 0 w 2028825"/>
            <a:gd name="connsiteY16" fmla="*/ 973131 h 1047750"/>
            <a:gd name="connsiteX17" fmla="*/ 0 w 2028825"/>
            <a:gd name="connsiteY17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800100 w 2028825"/>
            <a:gd name="connsiteY5" fmla="*/ 333375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790575 w 2028825"/>
            <a:gd name="connsiteY5" fmla="*/ 304800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465144 h 1123950"/>
            <a:gd name="connsiteX1" fmla="*/ 21855 w 2028825"/>
            <a:gd name="connsiteY1" fmla="*/ 412380 h 1123950"/>
            <a:gd name="connsiteX2" fmla="*/ 74619 w 2028825"/>
            <a:gd name="connsiteY2" fmla="*/ 390525 h 1123950"/>
            <a:gd name="connsiteX3" fmla="*/ 428625 w 2028825"/>
            <a:gd name="connsiteY3" fmla="*/ 390525 h 1123950"/>
            <a:gd name="connsiteX4" fmla="*/ 333375 w 2028825"/>
            <a:gd name="connsiteY4" fmla="*/ 0 h 1123950"/>
            <a:gd name="connsiteX5" fmla="*/ 790575 w 2028825"/>
            <a:gd name="connsiteY5" fmla="*/ 381000 h 1123950"/>
            <a:gd name="connsiteX6" fmla="*/ 1400175 w 2028825"/>
            <a:gd name="connsiteY6" fmla="*/ 390525 h 1123950"/>
            <a:gd name="connsiteX7" fmla="*/ 1638300 w 2028825"/>
            <a:gd name="connsiteY7" fmla="*/ 76200 h 1123950"/>
            <a:gd name="connsiteX8" fmla="*/ 1685925 w 2028825"/>
            <a:gd name="connsiteY8" fmla="*/ 371475 h 1123950"/>
            <a:gd name="connsiteX9" fmla="*/ 1954206 w 2028825"/>
            <a:gd name="connsiteY9" fmla="*/ 390525 h 1123950"/>
            <a:gd name="connsiteX10" fmla="*/ 2006970 w 2028825"/>
            <a:gd name="connsiteY10" fmla="*/ 412380 h 1123950"/>
            <a:gd name="connsiteX11" fmla="*/ 2028825 w 2028825"/>
            <a:gd name="connsiteY11" fmla="*/ 465144 h 1123950"/>
            <a:gd name="connsiteX12" fmla="*/ 2028825 w 2028825"/>
            <a:gd name="connsiteY12" fmla="*/ 1049331 h 1123950"/>
            <a:gd name="connsiteX13" fmla="*/ 2006970 w 2028825"/>
            <a:gd name="connsiteY13" fmla="*/ 1102095 h 1123950"/>
            <a:gd name="connsiteX14" fmla="*/ 1954206 w 2028825"/>
            <a:gd name="connsiteY14" fmla="*/ 1123950 h 1123950"/>
            <a:gd name="connsiteX15" fmla="*/ 74619 w 2028825"/>
            <a:gd name="connsiteY15" fmla="*/ 1123950 h 1123950"/>
            <a:gd name="connsiteX16" fmla="*/ 21855 w 2028825"/>
            <a:gd name="connsiteY16" fmla="*/ 1102095 h 1123950"/>
            <a:gd name="connsiteX17" fmla="*/ 0 w 2028825"/>
            <a:gd name="connsiteY17" fmla="*/ 1049331 h 1123950"/>
            <a:gd name="connsiteX18" fmla="*/ 0 w 2028825"/>
            <a:gd name="connsiteY18" fmla="*/ 465144 h 11239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333375 w 2028825"/>
            <a:gd name="connsiteY4" fmla="*/ 1524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7056 w 2028825"/>
            <a:gd name="connsiteY7" fmla="*/ 538219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395091 w 2028825"/>
            <a:gd name="connsiteY6" fmla="*/ 535779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356731 h 1015537"/>
            <a:gd name="connsiteX1" fmla="*/ 21855 w 2028825"/>
            <a:gd name="connsiteY1" fmla="*/ 303967 h 1015537"/>
            <a:gd name="connsiteX2" fmla="*/ 74619 w 2028825"/>
            <a:gd name="connsiteY2" fmla="*/ 282112 h 1015537"/>
            <a:gd name="connsiteX3" fmla="*/ 351810 w 2028825"/>
            <a:gd name="connsiteY3" fmla="*/ 272587 h 1015537"/>
            <a:gd name="connsiteX4" fmla="*/ 330447 w 2028825"/>
            <a:gd name="connsiteY4" fmla="*/ 0 h 1015537"/>
            <a:gd name="connsiteX5" fmla="*/ 704723 w 2028825"/>
            <a:gd name="connsiteY5" fmla="*/ 272587 h 1015537"/>
            <a:gd name="connsiteX6" fmla="*/ 1395091 w 2028825"/>
            <a:gd name="connsiteY6" fmla="*/ 274966 h 1015537"/>
            <a:gd name="connsiteX7" fmla="*/ 1644264 w 2028825"/>
            <a:gd name="connsiteY7" fmla="*/ 271492 h 1015537"/>
            <a:gd name="connsiteX8" fmla="*/ 1758222 w 2028825"/>
            <a:gd name="connsiteY8" fmla="*/ 263062 h 1015537"/>
            <a:gd name="connsiteX9" fmla="*/ 1954206 w 2028825"/>
            <a:gd name="connsiteY9" fmla="*/ 282112 h 1015537"/>
            <a:gd name="connsiteX10" fmla="*/ 2006970 w 2028825"/>
            <a:gd name="connsiteY10" fmla="*/ 303967 h 1015537"/>
            <a:gd name="connsiteX11" fmla="*/ 2028825 w 2028825"/>
            <a:gd name="connsiteY11" fmla="*/ 356731 h 1015537"/>
            <a:gd name="connsiteX12" fmla="*/ 2028825 w 2028825"/>
            <a:gd name="connsiteY12" fmla="*/ 940918 h 1015537"/>
            <a:gd name="connsiteX13" fmla="*/ 2006970 w 2028825"/>
            <a:gd name="connsiteY13" fmla="*/ 993682 h 1015537"/>
            <a:gd name="connsiteX14" fmla="*/ 1954206 w 2028825"/>
            <a:gd name="connsiteY14" fmla="*/ 1015537 h 1015537"/>
            <a:gd name="connsiteX15" fmla="*/ 74619 w 2028825"/>
            <a:gd name="connsiteY15" fmla="*/ 1015537 h 1015537"/>
            <a:gd name="connsiteX16" fmla="*/ 21855 w 2028825"/>
            <a:gd name="connsiteY16" fmla="*/ 993682 h 1015537"/>
            <a:gd name="connsiteX17" fmla="*/ 0 w 2028825"/>
            <a:gd name="connsiteY17" fmla="*/ 940918 h 1015537"/>
            <a:gd name="connsiteX18" fmla="*/ 0 w 2028825"/>
            <a:gd name="connsiteY18" fmla="*/ 356731 h 1015537"/>
            <a:gd name="connsiteX0" fmla="*/ 0 w 2028825"/>
            <a:gd name="connsiteY0" fmla="*/ 426281 h 1085087"/>
            <a:gd name="connsiteX1" fmla="*/ 21855 w 2028825"/>
            <a:gd name="connsiteY1" fmla="*/ 373517 h 1085087"/>
            <a:gd name="connsiteX2" fmla="*/ 74619 w 2028825"/>
            <a:gd name="connsiteY2" fmla="*/ 351662 h 1085087"/>
            <a:gd name="connsiteX3" fmla="*/ 351810 w 2028825"/>
            <a:gd name="connsiteY3" fmla="*/ 342137 h 1085087"/>
            <a:gd name="connsiteX4" fmla="*/ 243242 w 2028825"/>
            <a:gd name="connsiteY4" fmla="*/ 0 h 1085087"/>
            <a:gd name="connsiteX5" fmla="*/ 704723 w 2028825"/>
            <a:gd name="connsiteY5" fmla="*/ 342137 h 1085087"/>
            <a:gd name="connsiteX6" fmla="*/ 1395091 w 2028825"/>
            <a:gd name="connsiteY6" fmla="*/ 344516 h 1085087"/>
            <a:gd name="connsiteX7" fmla="*/ 1644264 w 2028825"/>
            <a:gd name="connsiteY7" fmla="*/ 341042 h 1085087"/>
            <a:gd name="connsiteX8" fmla="*/ 1758222 w 2028825"/>
            <a:gd name="connsiteY8" fmla="*/ 332612 h 1085087"/>
            <a:gd name="connsiteX9" fmla="*/ 1954206 w 2028825"/>
            <a:gd name="connsiteY9" fmla="*/ 351662 h 1085087"/>
            <a:gd name="connsiteX10" fmla="*/ 2006970 w 2028825"/>
            <a:gd name="connsiteY10" fmla="*/ 373517 h 1085087"/>
            <a:gd name="connsiteX11" fmla="*/ 2028825 w 2028825"/>
            <a:gd name="connsiteY11" fmla="*/ 426281 h 1085087"/>
            <a:gd name="connsiteX12" fmla="*/ 2028825 w 2028825"/>
            <a:gd name="connsiteY12" fmla="*/ 1010468 h 1085087"/>
            <a:gd name="connsiteX13" fmla="*/ 2006970 w 2028825"/>
            <a:gd name="connsiteY13" fmla="*/ 1063232 h 1085087"/>
            <a:gd name="connsiteX14" fmla="*/ 1954206 w 2028825"/>
            <a:gd name="connsiteY14" fmla="*/ 1085087 h 1085087"/>
            <a:gd name="connsiteX15" fmla="*/ 74619 w 2028825"/>
            <a:gd name="connsiteY15" fmla="*/ 1085087 h 1085087"/>
            <a:gd name="connsiteX16" fmla="*/ 21855 w 2028825"/>
            <a:gd name="connsiteY16" fmla="*/ 1063232 h 1085087"/>
            <a:gd name="connsiteX17" fmla="*/ 0 w 2028825"/>
            <a:gd name="connsiteY17" fmla="*/ 1010468 h 1085087"/>
            <a:gd name="connsiteX18" fmla="*/ 0 w 2028825"/>
            <a:gd name="connsiteY18" fmla="*/ 426281 h 1085087"/>
            <a:gd name="connsiteX0" fmla="*/ 0 w 2028825"/>
            <a:gd name="connsiteY0" fmla="*/ 400980 h 1059786"/>
            <a:gd name="connsiteX1" fmla="*/ 21855 w 2028825"/>
            <a:gd name="connsiteY1" fmla="*/ 348216 h 1059786"/>
            <a:gd name="connsiteX2" fmla="*/ 74619 w 2028825"/>
            <a:gd name="connsiteY2" fmla="*/ 326361 h 1059786"/>
            <a:gd name="connsiteX3" fmla="*/ 351810 w 2028825"/>
            <a:gd name="connsiteY3" fmla="*/ 316836 h 1059786"/>
            <a:gd name="connsiteX4" fmla="*/ 322574 w 2028825"/>
            <a:gd name="connsiteY4" fmla="*/ 0 h 1059786"/>
            <a:gd name="connsiteX5" fmla="*/ 704723 w 2028825"/>
            <a:gd name="connsiteY5" fmla="*/ 316836 h 1059786"/>
            <a:gd name="connsiteX6" fmla="*/ 1395091 w 2028825"/>
            <a:gd name="connsiteY6" fmla="*/ 319215 h 1059786"/>
            <a:gd name="connsiteX7" fmla="*/ 1644264 w 2028825"/>
            <a:gd name="connsiteY7" fmla="*/ 315741 h 1059786"/>
            <a:gd name="connsiteX8" fmla="*/ 1758222 w 2028825"/>
            <a:gd name="connsiteY8" fmla="*/ 307311 h 1059786"/>
            <a:gd name="connsiteX9" fmla="*/ 1954206 w 2028825"/>
            <a:gd name="connsiteY9" fmla="*/ 326361 h 1059786"/>
            <a:gd name="connsiteX10" fmla="*/ 2006970 w 2028825"/>
            <a:gd name="connsiteY10" fmla="*/ 348216 h 1059786"/>
            <a:gd name="connsiteX11" fmla="*/ 2028825 w 2028825"/>
            <a:gd name="connsiteY11" fmla="*/ 400980 h 1059786"/>
            <a:gd name="connsiteX12" fmla="*/ 2028825 w 2028825"/>
            <a:gd name="connsiteY12" fmla="*/ 985167 h 1059786"/>
            <a:gd name="connsiteX13" fmla="*/ 2006970 w 2028825"/>
            <a:gd name="connsiteY13" fmla="*/ 1037931 h 1059786"/>
            <a:gd name="connsiteX14" fmla="*/ 1954206 w 2028825"/>
            <a:gd name="connsiteY14" fmla="*/ 1059786 h 1059786"/>
            <a:gd name="connsiteX15" fmla="*/ 74619 w 2028825"/>
            <a:gd name="connsiteY15" fmla="*/ 1059786 h 1059786"/>
            <a:gd name="connsiteX16" fmla="*/ 21855 w 2028825"/>
            <a:gd name="connsiteY16" fmla="*/ 1037931 h 1059786"/>
            <a:gd name="connsiteX17" fmla="*/ 0 w 2028825"/>
            <a:gd name="connsiteY17" fmla="*/ 985167 h 1059786"/>
            <a:gd name="connsiteX18" fmla="*/ 0 w 2028825"/>
            <a:gd name="connsiteY18" fmla="*/ 400980 h 1059786"/>
            <a:gd name="connsiteX0" fmla="*/ 0 w 2028825"/>
            <a:gd name="connsiteY0" fmla="*/ 93669 h 752475"/>
            <a:gd name="connsiteX1" fmla="*/ 21855 w 2028825"/>
            <a:gd name="connsiteY1" fmla="*/ 40905 h 752475"/>
            <a:gd name="connsiteX2" fmla="*/ 74619 w 2028825"/>
            <a:gd name="connsiteY2" fmla="*/ 19050 h 752475"/>
            <a:gd name="connsiteX3" fmla="*/ 351810 w 2028825"/>
            <a:gd name="connsiteY3" fmla="*/ 9525 h 752475"/>
            <a:gd name="connsiteX4" fmla="*/ 704723 w 2028825"/>
            <a:gd name="connsiteY4" fmla="*/ 9525 h 752475"/>
            <a:gd name="connsiteX5" fmla="*/ 1395091 w 2028825"/>
            <a:gd name="connsiteY5" fmla="*/ 11904 h 752475"/>
            <a:gd name="connsiteX6" fmla="*/ 1644264 w 2028825"/>
            <a:gd name="connsiteY6" fmla="*/ 8430 h 752475"/>
            <a:gd name="connsiteX7" fmla="*/ 1758222 w 2028825"/>
            <a:gd name="connsiteY7" fmla="*/ 0 h 752475"/>
            <a:gd name="connsiteX8" fmla="*/ 1954206 w 2028825"/>
            <a:gd name="connsiteY8" fmla="*/ 19050 h 752475"/>
            <a:gd name="connsiteX9" fmla="*/ 2006970 w 2028825"/>
            <a:gd name="connsiteY9" fmla="*/ 40905 h 752475"/>
            <a:gd name="connsiteX10" fmla="*/ 2028825 w 2028825"/>
            <a:gd name="connsiteY10" fmla="*/ 93669 h 752475"/>
            <a:gd name="connsiteX11" fmla="*/ 2028825 w 2028825"/>
            <a:gd name="connsiteY11" fmla="*/ 677856 h 752475"/>
            <a:gd name="connsiteX12" fmla="*/ 2006970 w 2028825"/>
            <a:gd name="connsiteY12" fmla="*/ 730620 h 752475"/>
            <a:gd name="connsiteX13" fmla="*/ 1954206 w 2028825"/>
            <a:gd name="connsiteY13" fmla="*/ 752475 h 752475"/>
            <a:gd name="connsiteX14" fmla="*/ 74619 w 2028825"/>
            <a:gd name="connsiteY14" fmla="*/ 752475 h 752475"/>
            <a:gd name="connsiteX15" fmla="*/ 21855 w 2028825"/>
            <a:gd name="connsiteY15" fmla="*/ 730620 h 752475"/>
            <a:gd name="connsiteX16" fmla="*/ 0 w 2028825"/>
            <a:gd name="connsiteY16" fmla="*/ 677856 h 752475"/>
            <a:gd name="connsiteX17" fmla="*/ 0 w 2028825"/>
            <a:gd name="connsiteY17" fmla="*/ 93669 h 752475"/>
            <a:gd name="connsiteX0" fmla="*/ 4141029 w 6169854"/>
            <a:gd name="connsiteY0" fmla="*/ 173456 h 849800"/>
            <a:gd name="connsiteX1" fmla="*/ 4162884 w 6169854"/>
            <a:gd name="connsiteY1" fmla="*/ 120692 h 849800"/>
            <a:gd name="connsiteX2" fmla="*/ 4215648 w 6169854"/>
            <a:gd name="connsiteY2" fmla="*/ 98837 h 849800"/>
            <a:gd name="connsiteX3" fmla="*/ 4492839 w 6169854"/>
            <a:gd name="connsiteY3" fmla="*/ 89312 h 849800"/>
            <a:gd name="connsiteX4" fmla="*/ 4845752 w 6169854"/>
            <a:gd name="connsiteY4" fmla="*/ 89312 h 849800"/>
            <a:gd name="connsiteX5" fmla="*/ 5536120 w 6169854"/>
            <a:gd name="connsiteY5" fmla="*/ 91691 h 849800"/>
            <a:gd name="connsiteX6" fmla="*/ 5785293 w 6169854"/>
            <a:gd name="connsiteY6" fmla="*/ 88217 h 849800"/>
            <a:gd name="connsiteX7" fmla="*/ 5899251 w 6169854"/>
            <a:gd name="connsiteY7" fmla="*/ 79787 h 849800"/>
            <a:gd name="connsiteX8" fmla="*/ 6095235 w 6169854"/>
            <a:gd name="connsiteY8" fmla="*/ 98837 h 849800"/>
            <a:gd name="connsiteX9" fmla="*/ 6147999 w 6169854"/>
            <a:gd name="connsiteY9" fmla="*/ 120692 h 849800"/>
            <a:gd name="connsiteX10" fmla="*/ 6169854 w 6169854"/>
            <a:gd name="connsiteY10" fmla="*/ 173456 h 849800"/>
            <a:gd name="connsiteX11" fmla="*/ 6169854 w 6169854"/>
            <a:gd name="connsiteY11" fmla="*/ 757643 h 849800"/>
            <a:gd name="connsiteX12" fmla="*/ 6147999 w 6169854"/>
            <a:gd name="connsiteY12" fmla="*/ 810407 h 849800"/>
            <a:gd name="connsiteX13" fmla="*/ 6095235 w 6169854"/>
            <a:gd name="connsiteY13" fmla="*/ 832262 h 849800"/>
            <a:gd name="connsiteX14" fmla="*/ 4215648 w 6169854"/>
            <a:gd name="connsiteY14" fmla="*/ 832262 h 849800"/>
            <a:gd name="connsiteX15" fmla="*/ 4162884 w 6169854"/>
            <a:gd name="connsiteY15" fmla="*/ 810407 h 849800"/>
            <a:gd name="connsiteX16" fmla="*/ 4141029 w 6169854"/>
            <a:gd name="connsiteY16" fmla="*/ 757643 h 849800"/>
            <a:gd name="connsiteX17" fmla="*/ 0 w 6169854"/>
            <a:gd name="connsiteY17" fmla="*/ 0 h 849800"/>
            <a:gd name="connsiteX18" fmla="*/ 4141029 w 6169854"/>
            <a:gd name="connsiteY18" fmla="*/ 173456 h 849800"/>
            <a:gd name="connsiteX0" fmla="*/ 4141029 w 6169854"/>
            <a:gd name="connsiteY0" fmla="*/ 173456 h 832262"/>
            <a:gd name="connsiteX1" fmla="*/ 4162884 w 6169854"/>
            <a:gd name="connsiteY1" fmla="*/ 120692 h 832262"/>
            <a:gd name="connsiteX2" fmla="*/ 4215648 w 6169854"/>
            <a:gd name="connsiteY2" fmla="*/ 98837 h 832262"/>
            <a:gd name="connsiteX3" fmla="*/ 4492839 w 6169854"/>
            <a:gd name="connsiteY3" fmla="*/ 89312 h 832262"/>
            <a:gd name="connsiteX4" fmla="*/ 4845752 w 6169854"/>
            <a:gd name="connsiteY4" fmla="*/ 89312 h 832262"/>
            <a:gd name="connsiteX5" fmla="*/ 5536120 w 6169854"/>
            <a:gd name="connsiteY5" fmla="*/ 91691 h 832262"/>
            <a:gd name="connsiteX6" fmla="*/ 5785293 w 6169854"/>
            <a:gd name="connsiteY6" fmla="*/ 88217 h 832262"/>
            <a:gd name="connsiteX7" fmla="*/ 5899251 w 6169854"/>
            <a:gd name="connsiteY7" fmla="*/ 79787 h 832262"/>
            <a:gd name="connsiteX8" fmla="*/ 6095235 w 6169854"/>
            <a:gd name="connsiteY8" fmla="*/ 98837 h 832262"/>
            <a:gd name="connsiteX9" fmla="*/ 6147999 w 6169854"/>
            <a:gd name="connsiteY9" fmla="*/ 120692 h 832262"/>
            <a:gd name="connsiteX10" fmla="*/ 6169854 w 6169854"/>
            <a:gd name="connsiteY10" fmla="*/ 173456 h 832262"/>
            <a:gd name="connsiteX11" fmla="*/ 6169854 w 6169854"/>
            <a:gd name="connsiteY11" fmla="*/ 757643 h 832262"/>
            <a:gd name="connsiteX12" fmla="*/ 6147999 w 6169854"/>
            <a:gd name="connsiteY12" fmla="*/ 810407 h 832262"/>
            <a:gd name="connsiteX13" fmla="*/ 6095235 w 6169854"/>
            <a:gd name="connsiteY13" fmla="*/ 832262 h 832262"/>
            <a:gd name="connsiteX14" fmla="*/ 4215648 w 6169854"/>
            <a:gd name="connsiteY14" fmla="*/ 832262 h 832262"/>
            <a:gd name="connsiteX15" fmla="*/ 4162884 w 6169854"/>
            <a:gd name="connsiteY15" fmla="*/ 810407 h 832262"/>
            <a:gd name="connsiteX16" fmla="*/ 4141029 w 6169854"/>
            <a:gd name="connsiteY16" fmla="*/ 757643 h 832262"/>
            <a:gd name="connsiteX17" fmla="*/ 4071549 w 6169854"/>
            <a:gd name="connsiteY17" fmla="*/ 359250 h 832262"/>
            <a:gd name="connsiteX18" fmla="*/ 0 w 6169854"/>
            <a:gd name="connsiteY18" fmla="*/ 0 h 832262"/>
            <a:gd name="connsiteX19" fmla="*/ 4141029 w 6169854"/>
            <a:gd name="connsiteY19" fmla="*/ 173456 h 832262"/>
            <a:gd name="connsiteX0" fmla="*/ 4141029 w 6169854"/>
            <a:gd name="connsiteY0" fmla="*/ 173456 h 832262"/>
            <a:gd name="connsiteX1" fmla="*/ 4162884 w 6169854"/>
            <a:gd name="connsiteY1" fmla="*/ 120692 h 832262"/>
            <a:gd name="connsiteX2" fmla="*/ 4215648 w 6169854"/>
            <a:gd name="connsiteY2" fmla="*/ 98837 h 832262"/>
            <a:gd name="connsiteX3" fmla="*/ 4492839 w 6169854"/>
            <a:gd name="connsiteY3" fmla="*/ 89312 h 832262"/>
            <a:gd name="connsiteX4" fmla="*/ 4845752 w 6169854"/>
            <a:gd name="connsiteY4" fmla="*/ 89312 h 832262"/>
            <a:gd name="connsiteX5" fmla="*/ 5536120 w 6169854"/>
            <a:gd name="connsiteY5" fmla="*/ 91691 h 832262"/>
            <a:gd name="connsiteX6" fmla="*/ 5785293 w 6169854"/>
            <a:gd name="connsiteY6" fmla="*/ 88217 h 832262"/>
            <a:gd name="connsiteX7" fmla="*/ 5899251 w 6169854"/>
            <a:gd name="connsiteY7" fmla="*/ 79787 h 832262"/>
            <a:gd name="connsiteX8" fmla="*/ 6095235 w 6169854"/>
            <a:gd name="connsiteY8" fmla="*/ 98837 h 832262"/>
            <a:gd name="connsiteX9" fmla="*/ 6147999 w 6169854"/>
            <a:gd name="connsiteY9" fmla="*/ 120692 h 832262"/>
            <a:gd name="connsiteX10" fmla="*/ 6169854 w 6169854"/>
            <a:gd name="connsiteY10" fmla="*/ 173456 h 832262"/>
            <a:gd name="connsiteX11" fmla="*/ 6169854 w 6169854"/>
            <a:gd name="connsiteY11" fmla="*/ 757643 h 832262"/>
            <a:gd name="connsiteX12" fmla="*/ 6147999 w 6169854"/>
            <a:gd name="connsiteY12" fmla="*/ 810407 h 832262"/>
            <a:gd name="connsiteX13" fmla="*/ 6095235 w 6169854"/>
            <a:gd name="connsiteY13" fmla="*/ 832262 h 832262"/>
            <a:gd name="connsiteX14" fmla="*/ 4215648 w 6169854"/>
            <a:gd name="connsiteY14" fmla="*/ 832262 h 832262"/>
            <a:gd name="connsiteX15" fmla="*/ 4162884 w 6169854"/>
            <a:gd name="connsiteY15" fmla="*/ 810407 h 832262"/>
            <a:gd name="connsiteX16" fmla="*/ 4141029 w 6169854"/>
            <a:gd name="connsiteY16" fmla="*/ 757643 h 832262"/>
            <a:gd name="connsiteX17" fmla="*/ 576006 w 6169854"/>
            <a:gd name="connsiteY17" fmla="*/ 487507 h 832262"/>
            <a:gd name="connsiteX18" fmla="*/ 4071549 w 6169854"/>
            <a:gd name="connsiteY18" fmla="*/ 359250 h 832262"/>
            <a:gd name="connsiteX19" fmla="*/ 0 w 6169854"/>
            <a:gd name="connsiteY19" fmla="*/ 0 h 832262"/>
            <a:gd name="connsiteX20" fmla="*/ 4141029 w 6169854"/>
            <a:gd name="connsiteY20" fmla="*/ 173456 h 832262"/>
            <a:gd name="connsiteX0" fmla="*/ 4141029 w 6169854"/>
            <a:gd name="connsiteY0" fmla="*/ 173456 h 832262"/>
            <a:gd name="connsiteX1" fmla="*/ 4162884 w 6169854"/>
            <a:gd name="connsiteY1" fmla="*/ 120692 h 832262"/>
            <a:gd name="connsiteX2" fmla="*/ 4215648 w 6169854"/>
            <a:gd name="connsiteY2" fmla="*/ 98837 h 832262"/>
            <a:gd name="connsiteX3" fmla="*/ 4492839 w 6169854"/>
            <a:gd name="connsiteY3" fmla="*/ 89312 h 832262"/>
            <a:gd name="connsiteX4" fmla="*/ 4845752 w 6169854"/>
            <a:gd name="connsiteY4" fmla="*/ 89312 h 832262"/>
            <a:gd name="connsiteX5" fmla="*/ 5536120 w 6169854"/>
            <a:gd name="connsiteY5" fmla="*/ 91691 h 832262"/>
            <a:gd name="connsiteX6" fmla="*/ 5785293 w 6169854"/>
            <a:gd name="connsiteY6" fmla="*/ 88217 h 832262"/>
            <a:gd name="connsiteX7" fmla="*/ 5899251 w 6169854"/>
            <a:gd name="connsiteY7" fmla="*/ 79787 h 832262"/>
            <a:gd name="connsiteX8" fmla="*/ 6095235 w 6169854"/>
            <a:gd name="connsiteY8" fmla="*/ 98837 h 832262"/>
            <a:gd name="connsiteX9" fmla="*/ 6147999 w 6169854"/>
            <a:gd name="connsiteY9" fmla="*/ 120692 h 832262"/>
            <a:gd name="connsiteX10" fmla="*/ 6169854 w 6169854"/>
            <a:gd name="connsiteY10" fmla="*/ 173456 h 832262"/>
            <a:gd name="connsiteX11" fmla="*/ 6169854 w 6169854"/>
            <a:gd name="connsiteY11" fmla="*/ 757643 h 832262"/>
            <a:gd name="connsiteX12" fmla="*/ 6147999 w 6169854"/>
            <a:gd name="connsiteY12" fmla="*/ 810407 h 832262"/>
            <a:gd name="connsiteX13" fmla="*/ 6095235 w 6169854"/>
            <a:gd name="connsiteY13" fmla="*/ 832262 h 832262"/>
            <a:gd name="connsiteX14" fmla="*/ 4215648 w 6169854"/>
            <a:gd name="connsiteY14" fmla="*/ 832262 h 832262"/>
            <a:gd name="connsiteX15" fmla="*/ 4162884 w 6169854"/>
            <a:gd name="connsiteY15" fmla="*/ 810407 h 832262"/>
            <a:gd name="connsiteX16" fmla="*/ 4141029 w 6169854"/>
            <a:gd name="connsiteY16" fmla="*/ 757643 h 832262"/>
            <a:gd name="connsiteX17" fmla="*/ 4058683 w 6169854"/>
            <a:gd name="connsiteY17" fmla="*/ 482120 h 832262"/>
            <a:gd name="connsiteX18" fmla="*/ 576006 w 6169854"/>
            <a:gd name="connsiteY18" fmla="*/ 487507 h 832262"/>
            <a:gd name="connsiteX19" fmla="*/ 4071549 w 6169854"/>
            <a:gd name="connsiteY19" fmla="*/ 359250 h 832262"/>
            <a:gd name="connsiteX20" fmla="*/ 0 w 6169854"/>
            <a:gd name="connsiteY20" fmla="*/ 0 h 832262"/>
            <a:gd name="connsiteX21" fmla="*/ 4141029 w 6169854"/>
            <a:gd name="connsiteY21" fmla="*/ 173456 h 832262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5899251 w 6169854"/>
            <a:gd name="connsiteY7" fmla="*/ 79787 h 896904"/>
            <a:gd name="connsiteX8" fmla="*/ 6095235 w 6169854"/>
            <a:gd name="connsiteY8" fmla="*/ 98837 h 896904"/>
            <a:gd name="connsiteX9" fmla="*/ 6147999 w 6169854"/>
            <a:gd name="connsiteY9" fmla="*/ 120692 h 896904"/>
            <a:gd name="connsiteX10" fmla="*/ 6169854 w 6169854"/>
            <a:gd name="connsiteY10" fmla="*/ 173456 h 896904"/>
            <a:gd name="connsiteX11" fmla="*/ 6169854 w 6169854"/>
            <a:gd name="connsiteY11" fmla="*/ 757643 h 896904"/>
            <a:gd name="connsiteX12" fmla="*/ 6147999 w 6169854"/>
            <a:gd name="connsiteY12" fmla="*/ 810407 h 896904"/>
            <a:gd name="connsiteX13" fmla="*/ 6095235 w 6169854"/>
            <a:gd name="connsiteY13" fmla="*/ 832262 h 896904"/>
            <a:gd name="connsiteX14" fmla="*/ 4215648 w 6169854"/>
            <a:gd name="connsiteY14" fmla="*/ 832262 h 896904"/>
            <a:gd name="connsiteX15" fmla="*/ 4162884 w 6169854"/>
            <a:gd name="connsiteY15" fmla="*/ 810407 h 896904"/>
            <a:gd name="connsiteX16" fmla="*/ 4141029 w 6169854"/>
            <a:gd name="connsiteY16" fmla="*/ 757643 h 896904"/>
            <a:gd name="connsiteX17" fmla="*/ 2574263 w 6169854"/>
            <a:gd name="connsiteY17" fmla="*/ 896904 h 896904"/>
            <a:gd name="connsiteX18" fmla="*/ 4058683 w 6169854"/>
            <a:gd name="connsiteY18" fmla="*/ 482120 h 896904"/>
            <a:gd name="connsiteX19" fmla="*/ 576006 w 6169854"/>
            <a:gd name="connsiteY19" fmla="*/ 487507 h 896904"/>
            <a:gd name="connsiteX20" fmla="*/ 4071549 w 6169854"/>
            <a:gd name="connsiteY20" fmla="*/ 359250 h 896904"/>
            <a:gd name="connsiteX21" fmla="*/ 0 w 6169854"/>
            <a:gd name="connsiteY21" fmla="*/ 0 h 896904"/>
            <a:gd name="connsiteX22" fmla="*/ 4141029 w 6169854"/>
            <a:gd name="connsiteY22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5899251 w 6169854"/>
            <a:gd name="connsiteY7" fmla="*/ 79787 h 896904"/>
            <a:gd name="connsiteX8" fmla="*/ 6095235 w 6169854"/>
            <a:gd name="connsiteY8" fmla="*/ 98837 h 896904"/>
            <a:gd name="connsiteX9" fmla="*/ 6147999 w 6169854"/>
            <a:gd name="connsiteY9" fmla="*/ 120692 h 896904"/>
            <a:gd name="connsiteX10" fmla="*/ 6169854 w 6169854"/>
            <a:gd name="connsiteY10" fmla="*/ 173456 h 896904"/>
            <a:gd name="connsiteX11" fmla="*/ 6169854 w 6169854"/>
            <a:gd name="connsiteY11" fmla="*/ 757643 h 896904"/>
            <a:gd name="connsiteX12" fmla="*/ 6147999 w 6169854"/>
            <a:gd name="connsiteY12" fmla="*/ 810407 h 896904"/>
            <a:gd name="connsiteX13" fmla="*/ 6095235 w 6169854"/>
            <a:gd name="connsiteY13" fmla="*/ 832262 h 896904"/>
            <a:gd name="connsiteX14" fmla="*/ 4215648 w 6169854"/>
            <a:gd name="connsiteY14" fmla="*/ 832262 h 896904"/>
            <a:gd name="connsiteX15" fmla="*/ 4162884 w 6169854"/>
            <a:gd name="connsiteY15" fmla="*/ 810407 h 896904"/>
            <a:gd name="connsiteX16" fmla="*/ 4141029 w 6169854"/>
            <a:gd name="connsiteY16" fmla="*/ 757643 h 896904"/>
            <a:gd name="connsiteX17" fmla="*/ 2574263 w 6169854"/>
            <a:gd name="connsiteY17" fmla="*/ 896904 h 896904"/>
            <a:gd name="connsiteX18" fmla="*/ 4096744 w 6169854"/>
            <a:gd name="connsiteY18" fmla="*/ 662578 h 896904"/>
            <a:gd name="connsiteX19" fmla="*/ 4058683 w 6169854"/>
            <a:gd name="connsiteY19" fmla="*/ 482120 h 896904"/>
            <a:gd name="connsiteX20" fmla="*/ 576006 w 6169854"/>
            <a:gd name="connsiteY20" fmla="*/ 487507 h 896904"/>
            <a:gd name="connsiteX21" fmla="*/ 4071549 w 6169854"/>
            <a:gd name="connsiteY21" fmla="*/ 359250 h 896904"/>
            <a:gd name="connsiteX22" fmla="*/ 0 w 6169854"/>
            <a:gd name="connsiteY22" fmla="*/ 0 h 896904"/>
            <a:gd name="connsiteX23" fmla="*/ 4141029 w 6169854"/>
            <a:gd name="connsiteY23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5899251 w 6169854"/>
            <a:gd name="connsiteY7" fmla="*/ 79787 h 896904"/>
            <a:gd name="connsiteX8" fmla="*/ 6095235 w 6169854"/>
            <a:gd name="connsiteY8" fmla="*/ 98837 h 896904"/>
            <a:gd name="connsiteX9" fmla="*/ 6147999 w 6169854"/>
            <a:gd name="connsiteY9" fmla="*/ 120692 h 896904"/>
            <a:gd name="connsiteX10" fmla="*/ 6169854 w 6169854"/>
            <a:gd name="connsiteY10" fmla="*/ 173456 h 896904"/>
            <a:gd name="connsiteX11" fmla="*/ 6169854 w 6169854"/>
            <a:gd name="connsiteY11" fmla="*/ 757643 h 896904"/>
            <a:gd name="connsiteX12" fmla="*/ 6147999 w 6169854"/>
            <a:gd name="connsiteY12" fmla="*/ 810407 h 896904"/>
            <a:gd name="connsiteX13" fmla="*/ 6095235 w 6169854"/>
            <a:gd name="connsiteY13" fmla="*/ 832262 h 896904"/>
            <a:gd name="connsiteX14" fmla="*/ 4215648 w 6169854"/>
            <a:gd name="connsiteY14" fmla="*/ 832262 h 896904"/>
            <a:gd name="connsiteX15" fmla="*/ 4162884 w 6169854"/>
            <a:gd name="connsiteY15" fmla="*/ 810407 h 896904"/>
            <a:gd name="connsiteX16" fmla="*/ 4141029 w 6169854"/>
            <a:gd name="connsiteY16" fmla="*/ 757643 h 896904"/>
            <a:gd name="connsiteX17" fmla="*/ 2574263 w 6169854"/>
            <a:gd name="connsiteY17" fmla="*/ 896904 h 896904"/>
            <a:gd name="connsiteX18" fmla="*/ 4096744 w 6169854"/>
            <a:gd name="connsiteY18" fmla="*/ 662578 h 896904"/>
            <a:gd name="connsiteX19" fmla="*/ 4077714 w 6169854"/>
            <a:gd name="connsiteY19" fmla="*/ 568308 h 896904"/>
            <a:gd name="connsiteX20" fmla="*/ 576006 w 6169854"/>
            <a:gd name="connsiteY20" fmla="*/ 487507 h 896904"/>
            <a:gd name="connsiteX21" fmla="*/ 4071549 w 6169854"/>
            <a:gd name="connsiteY21" fmla="*/ 359250 h 896904"/>
            <a:gd name="connsiteX22" fmla="*/ 0 w 6169854"/>
            <a:gd name="connsiteY22" fmla="*/ 0 h 896904"/>
            <a:gd name="connsiteX23" fmla="*/ 4141029 w 6169854"/>
            <a:gd name="connsiteY23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5899251 w 6169854"/>
            <a:gd name="connsiteY7" fmla="*/ 79787 h 896904"/>
            <a:gd name="connsiteX8" fmla="*/ 6095235 w 6169854"/>
            <a:gd name="connsiteY8" fmla="*/ 98837 h 896904"/>
            <a:gd name="connsiteX9" fmla="*/ 6147999 w 6169854"/>
            <a:gd name="connsiteY9" fmla="*/ 120692 h 896904"/>
            <a:gd name="connsiteX10" fmla="*/ 6169854 w 6169854"/>
            <a:gd name="connsiteY10" fmla="*/ 173456 h 896904"/>
            <a:gd name="connsiteX11" fmla="*/ 6169854 w 6169854"/>
            <a:gd name="connsiteY11" fmla="*/ 757643 h 896904"/>
            <a:gd name="connsiteX12" fmla="*/ 6147999 w 6169854"/>
            <a:gd name="connsiteY12" fmla="*/ 810407 h 896904"/>
            <a:gd name="connsiteX13" fmla="*/ 6095235 w 6169854"/>
            <a:gd name="connsiteY13" fmla="*/ 832262 h 896904"/>
            <a:gd name="connsiteX14" fmla="*/ 4215648 w 6169854"/>
            <a:gd name="connsiteY14" fmla="*/ 832262 h 896904"/>
            <a:gd name="connsiteX15" fmla="*/ 4162884 w 6169854"/>
            <a:gd name="connsiteY15" fmla="*/ 810407 h 896904"/>
            <a:gd name="connsiteX16" fmla="*/ 4141029 w 6169854"/>
            <a:gd name="connsiteY16" fmla="*/ 757643 h 896904"/>
            <a:gd name="connsiteX17" fmla="*/ 2574263 w 6169854"/>
            <a:gd name="connsiteY17" fmla="*/ 896904 h 896904"/>
            <a:gd name="connsiteX18" fmla="*/ 4096744 w 6169854"/>
            <a:gd name="connsiteY18" fmla="*/ 662578 h 896904"/>
            <a:gd name="connsiteX19" fmla="*/ 4077714 w 6169854"/>
            <a:gd name="connsiteY19" fmla="*/ 568308 h 896904"/>
            <a:gd name="connsiteX20" fmla="*/ 576006 w 6169854"/>
            <a:gd name="connsiteY20" fmla="*/ 487507 h 896904"/>
            <a:gd name="connsiteX21" fmla="*/ 4058683 w 6169854"/>
            <a:gd name="connsiteY21" fmla="*/ 452492 h 896904"/>
            <a:gd name="connsiteX22" fmla="*/ 4071549 w 6169854"/>
            <a:gd name="connsiteY22" fmla="*/ 359250 h 896904"/>
            <a:gd name="connsiteX23" fmla="*/ 0 w 6169854"/>
            <a:gd name="connsiteY23" fmla="*/ 0 h 896904"/>
            <a:gd name="connsiteX24" fmla="*/ 4141029 w 6169854"/>
            <a:gd name="connsiteY24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5899251 w 6169854"/>
            <a:gd name="connsiteY7" fmla="*/ 79787 h 896904"/>
            <a:gd name="connsiteX8" fmla="*/ 6095235 w 6169854"/>
            <a:gd name="connsiteY8" fmla="*/ 98837 h 896904"/>
            <a:gd name="connsiteX9" fmla="*/ 6147999 w 6169854"/>
            <a:gd name="connsiteY9" fmla="*/ 120692 h 896904"/>
            <a:gd name="connsiteX10" fmla="*/ 6169854 w 6169854"/>
            <a:gd name="connsiteY10" fmla="*/ 173456 h 896904"/>
            <a:gd name="connsiteX11" fmla="*/ 6169854 w 6169854"/>
            <a:gd name="connsiteY11" fmla="*/ 757643 h 896904"/>
            <a:gd name="connsiteX12" fmla="*/ 6147999 w 6169854"/>
            <a:gd name="connsiteY12" fmla="*/ 810407 h 896904"/>
            <a:gd name="connsiteX13" fmla="*/ 6095235 w 6169854"/>
            <a:gd name="connsiteY13" fmla="*/ 832262 h 896904"/>
            <a:gd name="connsiteX14" fmla="*/ 4215648 w 6169854"/>
            <a:gd name="connsiteY14" fmla="*/ 832262 h 896904"/>
            <a:gd name="connsiteX15" fmla="*/ 4162884 w 6169854"/>
            <a:gd name="connsiteY15" fmla="*/ 810407 h 896904"/>
            <a:gd name="connsiteX16" fmla="*/ 4141029 w 6169854"/>
            <a:gd name="connsiteY16" fmla="*/ 757643 h 896904"/>
            <a:gd name="connsiteX17" fmla="*/ 2574263 w 6169854"/>
            <a:gd name="connsiteY17" fmla="*/ 896904 h 896904"/>
            <a:gd name="connsiteX18" fmla="*/ 4096744 w 6169854"/>
            <a:gd name="connsiteY18" fmla="*/ 662578 h 896904"/>
            <a:gd name="connsiteX19" fmla="*/ 4077714 w 6169854"/>
            <a:gd name="connsiteY19" fmla="*/ 568308 h 896904"/>
            <a:gd name="connsiteX20" fmla="*/ 576006 w 6169854"/>
            <a:gd name="connsiteY20" fmla="*/ 487507 h 896904"/>
            <a:gd name="connsiteX21" fmla="*/ 4058683 w 6169854"/>
            <a:gd name="connsiteY21" fmla="*/ 452492 h 896904"/>
            <a:gd name="connsiteX22" fmla="*/ 4090580 w 6169854"/>
            <a:gd name="connsiteY22" fmla="*/ 275755 h 896904"/>
            <a:gd name="connsiteX23" fmla="*/ 0 w 6169854"/>
            <a:gd name="connsiteY23" fmla="*/ 0 h 896904"/>
            <a:gd name="connsiteX24" fmla="*/ 4141029 w 6169854"/>
            <a:gd name="connsiteY24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5785293 w 6169854"/>
            <a:gd name="connsiteY6" fmla="*/ 88217 h 896904"/>
            <a:gd name="connsiteX7" fmla="*/ 6095235 w 6169854"/>
            <a:gd name="connsiteY7" fmla="*/ 98837 h 896904"/>
            <a:gd name="connsiteX8" fmla="*/ 6147999 w 6169854"/>
            <a:gd name="connsiteY8" fmla="*/ 120692 h 896904"/>
            <a:gd name="connsiteX9" fmla="*/ 6169854 w 6169854"/>
            <a:gd name="connsiteY9" fmla="*/ 173456 h 896904"/>
            <a:gd name="connsiteX10" fmla="*/ 6169854 w 6169854"/>
            <a:gd name="connsiteY10" fmla="*/ 757643 h 896904"/>
            <a:gd name="connsiteX11" fmla="*/ 6147999 w 6169854"/>
            <a:gd name="connsiteY11" fmla="*/ 810407 h 896904"/>
            <a:gd name="connsiteX12" fmla="*/ 6095235 w 6169854"/>
            <a:gd name="connsiteY12" fmla="*/ 832262 h 896904"/>
            <a:gd name="connsiteX13" fmla="*/ 4215648 w 6169854"/>
            <a:gd name="connsiteY13" fmla="*/ 832262 h 896904"/>
            <a:gd name="connsiteX14" fmla="*/ 4162884 w 6169854"/>
            <a:gd name="connsiteY14" fmla="*/ 810407 h 896904"/>
            <a:gd name="connsiteX15" fmla="*/ 4141029 w 6169854"/>
            <a:gd name="connsiteY15" fmla="*/ 757643 h 896904"/>
            <a:gd name="connsiteX16" fmla="*/ 2574263 w 6169854"/>
            <a:gd name="connsiteY16" fmla="*/ 896904 h 896904"/>
            <a:gd name="connsiteX17" fmla="*/ 4096744 w 6169854"/>
            <a:gd name="connsiteY17" fmla="*/ 662578 h 896904"/>
            <a:gd name="connsiteX18" fmla="*/ 4077714 w 6169854"/>
            <a:gd name="connsiteY18" fmla="*/ 568308 h 896904"/>
            <a:gd name="connsiteX19" fmla="*/ 576006 w 6169854"/>
            <a:gd name="connsiteY19" fmla="*/ 487507 h 896904"/>
            <a:gd name="connsiteX20" fmla="*/ 4058683 w 6169854"/>
            <a:gd name="connsiteY20" fmla="*/ 452492 h 896904"/>
            <a:gd name="connsiteX21" fmla="*/ 4090580 w 6169854"/>
            <a:gd name="connsiteY21" fmla="*/ 275755 h 896904"/>
            <a:gd name="connsiteX22" fmla="*/ 0 w 6169854"/>
            <a:gd name="connsiteY22" fmla="*/ 0 h 896904"/>
            <a:gd name="connsiteX23" fmla="*/ 4141029 w 6169854"/>
            <a:gd name="connsiteY23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5536120 w 6169854"/>
            <a:gd name="connsiteY5" fmla="*/ 91691 h 896904"/>
            <a:gd name="connsiteX6" fmla="*/ 6095235 w 6169854"/>
            <a:gd name="connsiteY6" fmla="*/ 98837 h 896904"/>
            <a:gd name="connsiteX7" fmla="*/ 6147999 w 6169854"/>
            <a:gd name="connsiteY7" fmla="*/ 120692 h 896904"/>
            <a:gd name="connsiteX8" fmla="*/ 6169854 w 6169854"/>
            <a:gd name="connsiteY8" fmla="*/ 173456 h 896904"/>
            <a:gd name="connsiteX9" fmla="*/ 6169854 w 6169854"/>
            <a:gd name="connsiteY9" fmla="*/ 757643 h 896904"/>
            <a:gd name="connsiteX10" fmla="*/ 6147999 w 6169854"/>
            <a:gd name="connsiteY10" fmla="*/ 810407 h 896904"/>
            <a:gd name="connsiteX11" fmla="*/ 6095235 w 6169854"/>
            <a:gd name="connsiteY11" fmla="*/ 832262 h 896904"/>
            <a:gd name="connsiteX12" fmla="*/ 4215648 w 6169854"/>
            <a:gd name="connsiteY12" fmla="*/ 832262 h 896904"/>
            <a:gd name="connsiteX13" fmla="*/ 4162884 w 6169854"/>
            <a:gd name="connsiteY13" fmla="*/ 810407 h 896904"/>
            <a:gd name="connsiteX14" fmla="*/ 4141029 w 6169854"/>
            <a:gd name="connsiteY14" fmla="*/ 757643 h 896904"/>
            <a:gd name="connsiteX15" fmla="*/ 2574263 w 6169854"/>
            <a:gd name="connsiteY15" fmla="*/ 896904 h 896904"/>
            <a:gd name="connsiteX16" fmla="*/ 4096744 w 6169854"/>
            <a:gd name="connsiteY16" fmla="*/ 662578 h 896904"/>
            <a:gd name="connsiteX17" fmla="*/ 4077714 w 6169854"/>
            <a:gd name="connsiteY17" fmla="*/ 568308 h 896904"/>
            <a:gd name="connsiteX18" fmla="*/ 576006 w 6169854"/>
            <a:gd name="connsiteY18" fmla="*/ 487507 h 896904"/>
            <a:gd name="connsiteX19" fmla="*/ 4058683 w 6169854"/>
            <a:gd name="connsiteY19" fmla="*/ 452492 h 896904"/>
            <a:gd name="connsiteX20" fmla="*/ 4090580 w 6169854"/>
            <a:gd name="connsiteY20" fmla="*/ 275755 h 896904"/>
            <a:gd name="connsiteX21" fmla="*/ 0 w 6169854"/>
            <a:gd name="connsiteY21" fmla="*/ 0 h 896904"/>
            <a:gd name="connsiteX22" fmla="*/ 4141029 w 6169854"/>
            <a:gd name="connsiteY22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4845752 w 6169854"/>
            <a:gd name="connsiteY4" fmla="*/ 89312 h 896904"/>
            <a:gd name="connsiteX5" fmla="*/ 6095235 w 6169854"/>
            <a:gd name="connsiteY5" fmla="*/ 98837 h 896904"/>
            <a:gd name="connsiteX6" fmla="*/ 6147999 w 6169854"/>
            <a:gd name="connsiteY6" fmla="*/ 120692 h 896904"/>
            <a:gd name="connsiteX7" fmla="*/ 6169854 w 6169854"/>
            <a:gd name="connsiteY7" fmla="*/ 173456 h 896904"/>
            <a:gd name="connsiteX8" fmla="*/ 6169854 w 6169854"/>
            <a:gd name="connsiteY8" fmla="*/ 757643 h 896904"/>
            <a:gd name="connsiteX9" fmla="*/ 6147999 w 6169854"/>
            <a:gd name="connsiteY9" fmla="*/ 810407 h 896904"/>
            <a:gd name="connsiteX10" fmla="*/ 6095235 w 6169854"/>
            <a:gd name="connsiteY10" fmla="*/ 832262 h 896904"/>
            <a:gd name="connsiteX11" fmla="*/ 4215648 w 6169854"/>
            <a:gd name="connsiteY11" fmla="*/ 832262 h 896904"/>
            <a:gd name="connsiteX12" fmla="*/ 4162884 w 6169854"/>
            <a:gd name="connsiteY12" fmla="*/ 810407 h 896904"/>
            <a:gd name="connsiteX13" fmla="*/ 4141029 w 6169854"/>
            <a:gd name="connsiteY13" fmla="*/ 757643 h 896904"/>
            <a:gd name="connsiteX14" fmla="*/ 2574263 w 6169854"/>
            <a:gd name="connsiteY14" fmla="*/ 896904 h 896904"/>
            <a:gd name="connsiteX15" fmla="*/ 4096744 w 6169854"/>
            <a:gd name="connsiteY15" fmla="*/ 662578 h 896904"/>
            <a:gd name="connsiteX16" fmla="*/ 4077714 w 6169854"/>
            <a:gd name="connsiteY16" fmla="*/ 568308 h 896904"/>
            <a:gd name="connsiteX17" fmla="*/ 576006 w 6169854"/>
            <a:gd name="connsiteY17" fmla="*/ 487507 h 896904"/>
            <a:gd name="connsiteX18" fmla="*/ 4058683 w 6169854"/>
            <a:gd name="connsiteY18" fmla="*/ 452492 h 896904"/>
            <a:gd name="connsiteX19" fmla="*/ 4090580 w 6169854"/>
            <a:gd name="connsiteY19" fmla="*/ 275755 h 896904"/>
            <a:gd name="connsiteX20" fmla="*/ 0 w 6169854"/>
            <a:gd name="connsiteY20" fmla="*/ 0 h 896904"/>
            <a:gd name="connsiteX21" fmla="*/ 4141029 w 6169854"/>
            <a:gd name="connsiteY21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4492839 w 6169854"/>
            <a:gd name="connsiteY3" fmla="*/ 89312 h 896904"/>
            <a:gd name="connsiteX4" fmla="*/ 6095235 w 6169854"/>
            <a:gd name="connsiteY4" fmla="*/ 98837 h 896904"/>
            <a:gd name="connsiteX5" fmla="*/ 6147999 w 6169854"/>
            <a:gd name="connsiteY5" fmla="*/ 120692 h 896904"/>
            <a:gd name="connsiteX6" fmla="*/ 6169854 w 6169854"/>
            <a:gd name="connsiteY6" fmla="*/ 173456 h 896904"/>
            <a:gd name="connsiteX7" fmla="*/ 6169854 w 6169854"/>
            <a:gd name="connsiteY7" fmla="*/ 757643 h 896904"/>
            <a:gd name="connsiteX8" fmla="*/ 6147999 w 6169854"/>
            <a:gd name="connsiteY8" fmla="*/ 810407 h 896904"/>
            <a:gd name="connsiteX9" fmla="*/ 6095235 w 6169854"/>
            <a:gd name="connsiteY9" fmla="*/ 832262 h 896904"/>
            <a:gd name="connsiteX10" fmla="*/ 4215648 w 6169854"/>
            <a:gd name="connsiteY10" fmla="*/ 832262 h 896904"/>
            <a:gd name="connsiteX11" fmla="*/ 4162884 w 6169854"/>
            <a:gd name="connsiteY11" fmla="*/ 810407 h 896904"/>
            <a:gd name="connsiteX12" fmla="*/ 4141029 w 6169854"/>
            <a:gd name="connsiteY12" fmla="*/ 757643 h 896904"/>
            <a:gd name="connsiteX13" fmla="*/ 2574263 w 6169854"/>
            <a:gd name="connsiteY13" fmla="*/ 896904 h 896904"/>
            <a:gd name="connsiteX14" fmla="*/ 4096744 w 6169854"/>
            <a:gd name="connsiteY14" fmla="*/ 662578 h 896904"/>
            <a:gd name="connsiteX15" fmla="*/ 4077714 w 6169854"/>
            <a:gd name="connsiteY15" fmla="*/ 568308 h 896904"/>
            <a:gd name="connsiteX16" fmla="*/ 576006 w 6169854"/>
            <a:gd name="connsiteY16" fmla="*/ 487507 h 896904"/>
            <a:gd name="connsiteX17" fmla="*/ 4058683 w 6169854"/>
            <a:gd name="connsiteY17" fmla="*/ 452492 h 896904"/>
            <a:gd name="connsiteX18" fmla="*/ 4090580 w 6169854"/>
            <a:gd name="connsiteY18" fmla="*/ 275755 h 896904"/>
            <a:gd name="connsiteX19" fmla="*/ 0 w 6169854"/>
            <a:gd name="connsiteY19" fmla="*/ 0 h 896904"/>
            <a:gd name="connsiteX20" fmla="*/ 4141029 w 6169854"/>
            <a:gd name="connsiteY20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058683 w 6169854"/>
            <a:gd name="connsiteY16" fmla="*/ 452492 h 896904"/>
            <a:gd name="connsiteX17" fmla="*/ 4090580 w 6169854"/>
            <a:gd name="connsiteY17" fmla="*/ 275755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058683 w 6169854"/>
            <a:gd name="connsiteY16" fmla="*/ 452492 h 896904"/>
            <a:gd name="connsiteX17" fmla="*/ 4156278 w 6169854"/>
            <a:gd name="connsiteY17" fmla="*/ 326546 h 896904"/>
            <a:gd name="connsiteX18" fmla="*/ 4090580 w 6169854"/>
            <a:gd name="connsiteY18" fmla="*/ 275755 h 896904"/>
            <a:gd name="connsiteX19" fmla="*/ 0 w 6169854"/>
            <a:gd name="connsiteY19" fmla="*/ 0 h 896904"/>
            <a:gd name="connsiteX20" fmla="*/ 4141029 w 6169854"/>
            <a:gd name="connsiteY20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058683 w 6169854"/>
            <a:gd name="connsiteY16" fmla="*/ 452492 h 896904"/>
            <a:gd name="connsiteX17" fmla="*/ 4156278 w 6169854"/>
            <a:gd name="connsiteY17" fmla="*/ 326546 h 896904"/>
            <a:gd name="connsiteX18" fmla="*/ 4176351 w 6169854"/>
            <a:gd name="connsiteY18" fmla="*/ 264611 h 896904"/>
            <a:gd name="connsiteX19" fmla="*/ 0 w 6169854"/>
            <a:gd name="connsiteY19" fmla="*/ 0 h 896904"/>
            <a:gd name="connsiteX20" fmla="*/ 4141029 w 6169854"/>
            <a:gd name="connsiteY20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290262 w 6169854"/>
            <a:gd name="connsiteY16" fmla="*/ 474780 h 896904"/>
            <a:gd name="connsiteX17" fmla="*/ 4156278 w 6169854"/>
            <a:gd name="connsiteY17" fmla="*/ 326546 h 896904"/>
            <a:gd name="connsiteX18" fmla="*/ 4176351 w 6169854"/>
            <a:gd name="connsiteY18" fmla="*/ 264611 h 896904"/>
            <a:gd name="connsiteX19" fmla="*/ 0 w 6169854"/>
            <a:gd name="connsiteY19" fmla="*/ 0 h 896904"/>
            <a:gd name="connsiteX20" fmla="*/ 4141029 w 6169854"/>
            <a:gd name="connsiteY20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56278 w 6169854"/>
            <a:gd name="connsiteY17" fmla="*/ 326546 h 896904"/>
            <a:gd name="connsiteX18" fmla="*/ 4176351 w 6169854"/>
            <a:gd name="connsiteY18" fmla="*/ 264611 h 896904"/>
            <a:gd name="connsiteX19" fmla="*/ 0 w 6169854"/>
            <a:gd name="connsiteY19" fmla="*/ 0 h 896904"/>
            <a:gd name="connsiteX20" fmla="*/ 4141029 w 6169854"/>
            <a:gd name="connsiteY20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077714 w 6169854"/>
            <a:gd name="connsiteY14" fmla="*/ 568308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096744 w 6169854"/>
            <a:gd name="connsiteY13" fmla="*/ 662578 h 896904"/>
            <a:gd name="connsiteX14" fmla="*/ 4198150 w 6169854"/>
            <a:gd name="connsiteY14" fmla="*/ 573695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331279 w 6169854"/>
            <a:gd name="connsiteY13" fmla="*/ 689512 h 896904"/>
            <a:gd name="connsiteX14" fmla="*/ 4198150 w 6169854"/>
            <a:gd name="connsiteY14" fmla="*/ 573695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331279 w 6169854"/>
            <a:gd name="connsiteY13" fmla="*/ 689512 h 896904"/>
            <a:gd name="connsiteX14" fmla="*/ 4191812 w 6169854"/>
            <a:gd name="connsiteY14" fmla="*/ 527908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91812 w 6169854"/>
            <a:gd name="connsiteY14" fmla="*/ 527908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87337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215648 w 6169854"/>
            <a:gd name="connsiteY2" fmla="*/ 98837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162884 w 6169854"/>
            <a:gd name="connsiteY1" fmla="*/ 12069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41029 w 6169854"/>
            <a:gd name="connsiteY0" fmla="*/ 173456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41029 w 6169854"/>
            <a:gd name="connsiteY19" fmla="*/ 173456 h 896904"/>
            <a:gd name="connsiteX0" fmla="*/ 4166383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66383 w 6169854"/>
            <a:gd name="connsiteY19" fmla="*/ 168070 h 896904"/>
            <a:gd name="connsiteX0" fmla="*/ 4324853 w 6169854"/>
            <a:gd name="connsiteY0" fmla="*/ 173457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324853 w 6169854"/>
            <a:gd name="connsiteY19" fmla="*/ 173457 h 896904"/>
            <a:gd name="connsiteX0" fmla="*/ 4191739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141029 w 6169854"/>
            <a:gd name="connsiteY11" fmla="*/ 757643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91739 w 6169854"/>
            <a:gd name="connsiteY19" fmla="*/ 168070 h 896904"/>
            <a:gd name="connsiteX0" fmla="*/ 4191739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162884 w 6169854"/>
            <a:gd name="connsiteY10" fmla="*/ 810407 h 896904"/>
            <a:gd name="connsiteX11" fmla="*/ 4305836 w 6169854"/>
            <a:gd name="connsiteY11" fmla="*/ 760337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91739 w 6169854"/>
            <a:gd name="connsiteY19" fmla="*/ 168070 h 896904"/>
            <a:gd name="connsiteX0" fmla="*/ 4191739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215648 w 6169854"/>
            <a:gd name="connsiteY9" fmla="*/ 832262 h 896904"/>
            <a:gd name="connsiteX10" fmla="*/ 4264305 w 6169854"/>
            <a:gd name="connsiteY10" fmla="*/ 818487 h 896904"/>
            <a:gd name="connsiteX11" fmla="*/ 4305836 w 6169854"/>
            <a:gd name="connsiteY11" fmla="*/ 760337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91739 w 6169854"/>
            <a:gd name="connsiteY19" fmla="*/ 168070 h 896904"/>
            <a:gd name="connsiteX0" fmla="*/ 4191739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437505 w 6169854"/>
            <a:gd name="connsiteY9" fmla="*/ 832262 h 896904"/>
            <a:gd name="connsiteX10" fmla="*/ 4264305 w 6169854"/>
            <a:gd name="connsiteY10" fmla="*/ 818487 h 896904"/>
            <a:gd name="connsiteX11" fmla="*/ 4305836 w 6169854"/>
            <a:gd name="connsiteY11" fmla="*/ 760337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91739 w 6169854"/>
            <a:gd name="connsiteY19" fmla="*/ 168070 h 896904"/>
            <a:gd name="connsiteX0" fmla="*/ 4191739 w 6169854"/>
            <a:gd name="connsiteY0" fmla="*/ 168070 h 896904"/>
            <a:gd name="connsiteX1" fmla="*/ 4219933 w 6169854"/>
            <a:gd name="connsiteY1" fmla="*/ 128772 h 896904"/>
            <a:gd name="connsiteX2" fmla="*/ 4310729 w 6169854"/>
            <a:gd name="connsiteY2" fmla="*/ 96143 h 896904"/>
            <a:gd name="connsiteX3" fmla="*/ 6095235 w 6169854"/>
            <a:gd name="connsiteY3" fmla="*/ 98837 h 896904"/>
            <a:gd name="connsiteX4" fmla="*/ 6147999 w 6169854"/>
            <a:gd name="connsiteY4" fmla="*/ 120692 h 896904"/>
            <a:gd name="connsiteX5" fmla="*/ 6169854 w 6169854"/>
            <a:gd name="connsiteY5" fmla="*/ 173456 h 896904"/>
            <a:gd name="connsiteX6" fmla="*/ 6169854 w 6169854"/>
            <a:gd name="connsiteY6" fmla="*/ 757643 h 896904"/>
            <a:gd name="connsiteX7" fmla="*/ 6147999 w 6169854"/>
            <a:gd name="connsiteY7" fmla="*/ 810407 h 896904"/>
            <a:gd name="connsiteX8" fmla="*/ 6095235 w 6169854"/>
            <a:gd name="connsiteY8" fmla="*/ 832262 h 896904"/>
            <a:gd name="connsiteX9" fmla="*/ 4437505 w 6169854"/>
            <a:gd name="connsiteY9" fmla="*/ 832262 h 896904"/>
            <a:gd name="connsiteX10" fmla="*/ 4264305 w 6169854"/>
            <a:gd name="connsiteY10" fmla="*/ 818487 h 896904"/>
            <a:gd name="connsiteX11" fmla="*/ 4185400 w 6169854"/>
            <a:gd name="connsiteY11" fmla="*/ 781884 h 896904"/>
            <a:gd name="connsiteX12" fmla="*/ 2574263 w 6169854"/>
            <a:gd name="connsiteY12" fmla="*/ 896904 h 896904"/>
            <a:gd name="connsiteX13" fmla="*/ 4179148 w 6169854"/>
            <a:gd name="connsiteY13" fmla="*/ 643725 h 896904"/>
            <a:gd name="connsiteX14" fmla="*/ 4172796 w 6169854"/>
            <a:gd name="connsiteY14" fmla="*/ 530601 h 896904"/>
            <a:gd name="connsiteX15" fmla="*/ 576006 w 6169854"/>
            <a:gd name="connsiteY15" fmla="*/ 487507 h 896904"/>
            <a:gd name="connsiteX16" fmla="*/ 4168321 w 6169854"/>
            <a:gd name="connsiteY16" fmla="*/ 426491 h 896904"/>
            <a:gd name="connsiteX17" fmla="*/ 4176351 w 6169854"/>
            <a:gd name="connsiteY17" fmla="*/ 264611 h 896904"/>
            <a:gd name="connsiteX18" fmla="*/ 0 w 6169854"/>
            <a:gd name="connsiteY18" fmla="*/ 0 h 896904"/>
            <a:gd name="connsiteX19" fmla="*/ 4191739 w 6169854"/>
            <a:gd name="connsiteY19" fmla="*/ 168070 h 896904"/>
            <a:gd name="connsiteX0" fmla="*/ 3615733 w 5593848"/>
            <a:gd name="connsiteY0" fmla="*/ 71927 h 800761"/>
            <a:gd name="connsiteX1" fmla="*/ 3643927 w 5593848"/>
            <a:gd name="connsiteY1" fmla="*/ 32629 h 800761"/>
            <a:gd name="connsiteX2" fmla="*/ 3734723 w 5593848"/>
            <a:gd name="connsiteY2" fmla="*/ 0 h 800761"/>
            <a:gd name="connsiteX3" fmla="*/ 5519229 w 5593848"/>
            <a:gd name="connsiteY3" fmla="*/ 2694 h 800761"/>
            <a:gd name="connsiteX4" fmla="*/ 5571993 w 5593848"/>
            <a:gd name="connsiteY4" fmla="*/ 24549 h 800761"/>
            <a:gd name="connsiteX5" fmla="*/ 5593848 w 5593848"/>
            <a:gd name="connsiteY5" fmla="*/ 77313 h 800761"/>
            <a:gd name="connsiteX6" fmla="*/ 5593848 w 5593848"/>
            <a:gd name="connsiteY6" fmla="*/ 661500 h 800761"/>
            <a:gd name="connsiteX7" fmla="*/ 5571993 w 5593848"/>
            <a:gd name="connsiteY7" fmla="*/ 714264 h 800761"/>
            <a:gd name="connsiteX8" fmla="*/ 5519229 w 5593848"/>
            <a:gd name="connsiteY8" fmla="*/ 736119 h 800761"/>
            <a:gd name="connsiteX9" fmla="*/ 3861499 w 5593848"/>
            <a:gd name="connsiteY9" fmla="*/ 736119 h 800761"/>
            <a:gd name="connsiteX10" fmla="*/ 3688299 w 5593848"/>
            <a:gd name="connsiteY10" fmla="*/ 722344 h 800761"/>
            <a:gd name="connsiteX11" fmla="*/ 3609394 w 5593848"/>
            <a:gd name="connsiteY11" fmla="*/ 685741 h 800761"/>
            <a:gd name="connsiteX12" fmla="*/ 1998257 w 5593848"/>
            <a:gd name="connsiteY12" fmla="*/ 800761 h 800761"/>
            <a:gd name="connsiteX13" fmla="*/ 3603142 w 5593848"/>
            <a:gd name="connsiteY13" fmla="*/ 547582 h 800761"/>
            <a:gd name="connsiteX14" fmla="*/ 3596790 w 5593848"/>
            <a:gd name="connsiteY14" fmla="*/ 434458 h 800761"/>
            <a:gd name="connsiteX15" fmla="*/ 0 w 5593848"/>
            <a:gd name="connsiteY15" fmla="*/ 391364 h 800761"/>
            <a:gd name="connsiteX16" fmla="*/ 3592315 w 5593848"/>
            <a:gd name="connsiteY16" fmla="*/ 330348 h 800761"/>
            <a:gd name="connsiteX17" fmla="*/ 3600345 w 5593848"/>
            <a:gd name="connsiteY17" fmla="*/ 168468 h 800761"/>
            <a:gd name="connsiteX18" fmla="*/ 798650 w 5593848"/>
            <a:gd name="connsiteY18" fmla="*/ 53431 h 800761"/>
            <a:gd name="connsiteX19" fmla="*/ 3615733 w 5593848"/>
            <a:gd name="connsiteY19" fmla="*/ 71927 h 800761"/>
            <a:gd name="connsiteX0" fmla="*/ 2817084 w 4795199"/>
            <a:gd name="connsiteY0" fmla="*/ 71927 h 800761"/>
            <a:gd name="connsiteX1" fmla="*/ 2845278 w 4795199"/>
            <a:gd name="connsiteY1" fmla="*/ 32629 h 800761"/>
            <a:gd name="connsiteX2" fmla="*/ 2936074 w 4795199"/>
            <a:gd name="connsiteY2" fmla="*/ 0 h 800761"/>
            <a:gd name="connsiteX3" fmla="*/ 4720580 w 4795199"/>
            <a:gd name="connsiteY3" fmla="*/ 2694 h 800761"/>
            <a:gd name="connsiteX4" fmla="*/ 4773344 w 4795199"/>
            <a:gd name="connsiteY4" fmla="*/ 24549 h 800761"/>
            <a:gd name="connsiteX5" fmla="*/ 4795199 w 4795199"/>
            <a:gd name="connsiteY5" fmla="*/ 77313 h 800761"/>
            <a:gd name="connsiteX6" fmla="*/ 4795199 w 4795199"/>
            <a:gd name="connsiteY6" fmla="*/ 661500 h 800761"/>
            <a:gd name="connsiteX7" fmla="*/ 4773344 w 4795199"/>
            <a:gd name="connsiteY7" fmla="*/ 714264 h 800761"/>
            <a:gd name="connsiteX8" fmla="*/ 4720580 w 4795199"/>
            <a:gd name="connsiteY8" fmla="*/ 736119 h 800761"/>
            <a:gd name="connsiteX9" fmla="*/ 3062850 w 4795199"/>
            <a:gd name="connsiteY9" fmla="*/ 736119 h 800761"/>
            <a:gd name="connsiteX10" fmla="*/ 2889650 w 4795199"/>
            <a:gd name="connsiteY10" fmla="*/ 722344 h 800761"/>
            <a:gd name="connsiteX11" fmla="*/ 2810745 w 4795199"/>
            <a:gd name="connsiteY11" fmla="*/ 685741 h 800761"/>
            <a:gd name="connsiteX12" fmla="*/ 1199608 w 4795199"/>
            <a:gd name="connsiteY12" fmla="*/ 800761 h 800761"/>
            <a:gd name="connsiteX13" fmla="*/ 2804493 w 4795199"/>
            <a:gd name="connsiteY13" fmla="*/ 547582 h 800761"/>
            <a:gd name="connsiteX14" fmla="*/ 2798141 w 4795199"/>
            <a:gd name="connsiteY14" fmla="*/ 434458 h 800761"/>
            <a:gd name="connsiteX15" fmla="*/ 867600 w 4795199"/>
            <a:gd name="connsiteY15" fmla="*/ 469143 h 800761"/>
            <a:gd name="connsiteX16" fmla="*/ 2793666 w 4795199"/>
            <a:gd name="connsiteY16" fmla="*/ 330348 h 800761"/>
            <a:gd name="connsiteX17" fmla="*/ 2801696 w 4795199"/>
            <a:gd name="connsiteY17" fmla="*/ 168468 h 800761"/>
            <a:gd name="connsiteX18" fmla="*/ 1 w 4795199"/>
            <a:gd name="connsiteY18" fmla="*/ 53431 h 800761"/>
            <a:gd name="connsiteX19" fmla="*/ 2817084 w 4795199"/>
            <a:gd name="connsiteY19" fmla="*/ 71927 h 800761"/>
            <a:gd name="connsiteX0" fmla="*/ 2817083 w 4795198"/>
            <a:gd name="connsiteY0" fmla="*/ 71927 h 830676"/>
            <a:gd name="connsiteX1" fmla="*/ 2845277 w 4795198"/>
            <a:gd name="connsiteY1" fmla="*/ 32629 h 830676"/>
            <a:gd name="connsiteX2" fmla="*/ 2936073 w 4795198"/>
            <a:gd name="connsiteY2" fmla="*/ 0 h 830676"/>
            <a:gd name="connsiteX3" fmla="*/ 4720579 w 4795198"/>
            <a:gd name="connsiteY3" fmla="*/ 2694 h 830676"/>
            <a:gd name="connsiteX4" fmla="*/ 4773343 w 4795198"/>
            <a:gd name="connsiteY4" fmla="*/ 24549 h 830676"/>
            <a:gd name="connsiteX5" fmla="*/ 4795198 w 4795198"/>
            <a:gd name="connsiteY5" fmla="*/ 77313 h 830676"/>
            <a:gd name="connsiteX6" fmla="*/ 4795198 w 4795198"/>
            <a:gd name="connsiteY6" fmla="*/ 661500 h 830676"/>
            <a:gd name="connsiteX7" fmla="*/ 4773343 w 4795198"/>
            <a:gd name="connsiteY7" fmla="*/ 714264 h 830676"/>
            <a:gd name="connsiteX8" fmla="*/ 4720579 w 4795198"/>
            <a:gd name="connsiteY8" fmla="*/ 736119 h 830676"/>
            <a:gd name="connsiteX9" fmla="*/ 3062849 w 4795198"/>
            <a:gd name="connsiteY9" fmla="*/ 736119 h 830676"/>
            <a:gd name="connsiteX10" fmla="*/ 2889649 w 4795198"/>
            <a:gd name="connsiteY10" fmla="*/ 722344 h 830676"/>
            <a:gd name="connsiteX11" fmla="*/ 2810744 w 4795198"/>
            <a:gd name="connsiteY11" fmla="*/ 685741 h 830676"/>
            <a:gd name="connsiteX12" fmla="*/ 1796679 w 4795198"/>
            <a:gd name="connsiteY12" fmla="*/ 830676 h 830676"/>
            <a:gd name="connsiteX13" fmla="*/ 2804492 w 4795198"/>
            <a:gd name="connsiteY13" fmla="*/ 547582 h 830676"/>
            <a:gd name="connsiteX14" fmla="*/ 2798140 w 4795198"/>
            <a:gd name="connsiteY14" fmla="*/ 434458 h 830676"/>
            <a:gd name="connsiteX15" fmla="*/ 867599 w 4795198"/>
            <a:gd name="connsiteY15" fmla="*/ 469143 h 830676"/>
            <a:gd name="connsiteX16" fmla="*/ 2793665 w 4795198"/>
            <a:gd name="connsiteY16" fmla="*/ 330348 h 830676"/>
            <a:gd name="connsiteX17" fmla="*/ 2801695 w 4795198"/>
            <a:gd name="connsiteY17" fmla="*/ 168468 h 830676"/>
            <a:gd name="connsiteX18" fmla="*/ 0 w 4795198"/>
            <a:gd name="connsiteY18" fmla="*/ 53431 h 830676"/>
            <a:gd name="connsiteX19" fmla="*/ 2817083 w 4795198"/>
            <a:gd name="connsiteY19" fmla="*/ 71927 h 830676"/>
            <a:gd name="connsiteX0" fmla="*/ 2817083 w 4795198"/>
            <a:gd name="connsiteY0" fmla="*/ 71927 h 830676"/>
            <a:gd name="connsiteX1" fmla="*/ 2845277 w 4795198"/>
            <a:gd name="connsiteY1" fmla="*/ 32629 h 830676"/>
            <a:gd name="connsiteX2" fmla="*/ 2936073 w 4795198"/>
            <a:gd name="connsiteY2" fmla="*/ 0 h 830676"/>
            <a:gd name="connsiteX3" fmla="*/ 4720579 w 4795198"/>
            <a:gd name="connsiteY3" fmla="*/ 2694 h 830676"/>
            <a:gd name="connsiteX4" fmla="*/ 4773343 w 4795198"/>
            <a:gd name="connsiteY4" fmla="*/ 24549 h 830676"/>
            <a:gd name="connsiteX5" fmla="*/ 4795198 w 4795198"/>
            <a:gd name="connsiteY5" fmla="*/ 77313 h 830676"/>
            <a:gd name="connsiteX6" fmla="*/ 4795198 w 4795198"/>
            <a:gd name="connsiteY6" fmla="*/ 661500 h 830676"/>
            <a:gd name="connsiteX7" fmla="*/ 4773343 w 4795198"/>
            <a:gd name="connsiteY7" fmla="*/ 714264 h 830676"/>
            <a:gd name="connsiteX8" fmla="*/ 4720579 w 4795198"/>
            <a:gd name="connsiteY8" fmla="*/ 736119 h 830676"/>
            <a:gd name="connsiteX9" fmla="*/ 3062849 w 4795198"/>
            <a:gd name="connsiteY9" fmla="*/ 736119 h 830676"/>
            <a:gd name="connsiteX10" fmla="*/ 2889649 w 4795198"/>
            <a:gd name="connsiteY10" fmla="*/ 722344 h 830676"/>
            <a:gd name="connsiteX11" fmla="*/ 2810744 w 4795198"/>
            <a:gd name="connsiteY11" fmla="*/ 661809 h 830676"/>
            <a:gd name="connsiteX12" fmla="*/ 1796679 w 4795198"/>
            <a:gd name="connsiteY12" fmla="*/ 830676 h 830676"/>
            <a:gd name="connsiteX13" fmla="*/ 2804492 w 4795198"/>
            <a:gd name="connsiteY13" fmla="*/ 547582 h 830676"/>
            <a:gd name="connsiteX14" fmla="*/ 2798140 w 4795198"/>
            <a:gd name="connsiteY14" fmla="*/ 434458 h 830676"/>
            <a:gd name="connsiteX15" fmla="*/ 867599 w 4795198"/>
            <a:gd name="connsiteY15" fmla="*/ 469143 h 830676"/>
            <a:gd name="connsiteX16" fmla="*/ 2793665 w 4795198"/>
            <a:gd name="connsiteY16" fmla="*/ 330348 h 830676"/>
            <a:gd name="connsiteX17" fmla="*/ 2801695 w 4795198"/>
            <a:gd name="connsiteY17" fmla="*/ 168468 h 830676"/>
            <a:gd name="connsiteX18" fmla="*/ 0 w 4795198"/>
            <a:gd name="connsiteY18" fmla="*/ 53431 h 830676"/>
            <a:gd name="connsiteX19" fmla="*/ 2817083 w 4795198"/>
            <a:gd name="connsiteY19" fmla="*/ 71927 h 830676"/>
            <a:gd name="connsiteX0" fmla="*/ 1949484 w 3927599"/>
            <a:gd name="connsiteY0" fmla="*/ 71927 h 830676"/>
            <a:gd name="connsiteX1" fmla="*/ 1977678 w 3927599"/>
            <a:gd name="connsiteY1" fmla="*/ 32629 h 830676"/>
            <a:gd name="connsiteX2" fmla="*/ 2068474 w 3927599"/>
            <a:gd name="connsiteY2" fmla="*/ 0 h 830676"/>
            <a:gd name="connsiteX3" fmla="*/ 3852980 w 3927599"/>
            <a:gd name="connsiteY3" fmla="*/ 2694 h 830676"/>
            <a:gd name="connsiteX4" fmla="*/ 3905744 w 3927599"/>
            <a:gd name="connsiteY4" fmla="*/ 24549 h 830676"/>
            <a:gd name="connsiteX5" fmla="*/ 3927599 w 3927599"/>
            <a:gd name="connsiteY5" fmla="*/ 77313 h 830676"/>
            <a:gd name="connsiteX6" fmla="*/ 3927599 w 3927599"/>
            <a:gd name="connsiteY6" fmla="*/ 661500 h 830676"/>
            <a:gd name="connsiteX7" fmla="*/ 3905744 w 3927599"/>
            <a:gd name="connsiteY7" fmla="*/ 714264 h 830676"/>
            <a:gd name="connsiteX8" fmla="*/ 3852980 w 3927599"/>
            <a:gd name="connsiteY8" fmla="*/ 736119 h 830676"/>
            <a:gd name="connsiteX9" fmla="*/ 2195250 w 3927599"/>
            <a:gd name="connsiteY9" fmla="*/ 736119 h 830676"/>
            <a:gd name="connsiteX10" fmla="*/ 2022050 w 3927599"/>
            <a:gd name="connsiteY10" fmla="*/ 722344 h 830676"/>
            <a:gd name="connsiteX11" fmla="*/ 1943145 w 3927599"/>
            <a:gd name="connsiteY11" fmla="*/ 661809 h 830676"/>
            <a:gd name="connsiteX12" fmla="*/ 929080 w 3927599"/>
            <a:gd name="connsiteY12" fmla="*/ 830676 h 830676"/>
            <a:gd name="connsiteX13" fmla="*/ 1936893 w 3927599"/>
            <a:gd name="connsiteY13" fmla="*/ 547582 h 830676"/>
            <a:gd name="connsiteX14" fmla="*/ 1930541 w 3927599"/>
            <a:gd name="connsiteY14" fmla="*/ 434458 h 830676"/>
            <a:gd name="connsiteX15" fmla="*/ 0 w 3927599"/>
            <a:gd name="connsiteY15" fmla="*/ 469143 h 830676"/>
            <a:gd name="connsiteX16" fmla="*/ 1926066 w 3927599"/>
            <a:gd name="connsiteY16" fmla="*/ 330348 h 830676"/>
            <a:gd name="connsiteX17" fmla="*/ 1934096 w 3927599"/>
            <a:gd name="connsiteY17" fmla="*/ 168468 h 830676"/>
            <a:gd name="connsiteX18" fmla="*/ 798651 w 3927599"/>
            <a:gd name="connsiteY18" fmla="*/ 71380 h 830676"/>
            <a:gd name="connsiteX19" fmla="*/ 1949484 w 3927599"/>
            <a:gd name="connsiteY19" fmla="*/ 71927 h 830676"/>
            <a:gd name="connsiteX0" fmla="*/ 1150833 w 3128948"/>
            <a:gd name="connsiteY0" fmla="*/ 71927 h 830676"/>
            <a:gd name="connsiteX1" fmla="*/ 1179027 w 3128948"/>
            <a:gd name="connsiteY1" fmla="*/ 32629 h 830676"/>
            <a:gd name="connsiteX2" fmla="*/ 1269823 w 3128948"/>
            <a:gd name="connsiteY2" fmla="*/ 0 h 830676"/>
            <a:gd name="connsiteX3" fmla="*/ 3054329 w 3128948"/>
            <a:gd name="connsiteY3" fmla="*/ 2694 h 830676"/>
            <a:gd name="connsiteX4" fmla="*/ 3107093 w 3128948"/>
            <a:gd name="connsiteY4" fmla="*/ 24549 h 830676"/>
            <a:gd name="connsiteX5" fmla="*/ 3128948 w 3128948"/>
            <a:gd name="connsiteY5" fmla="*/ 77313 h 830676"/>
            <a:gd name="connsiteX6" fmla="*/ 3128948 w 3128948"/>
            <a:gd name="connsiteY6" fmla="*/ 661500 h 830676"/>
            <a:gd name="connsiteX7" fmla="*/ 3107093 w 3128948"/>
            <a:gd name="connsiteY7" fmla="*/ 714264 h 830676"/>
            <a:gd name="connsiteX8" fmla="*/ 3054329 w 3128948"/>
            <a:gd name="connsiteY8" fmla="*/ 736119 h 830676"/>
            <a:gd name="connsiteX9" fmla="*/ 1396599 w 3128948"/>
            <a:gd name="connsiteY9" fmla="*/ 736119 h 830676"/>
            <a:gd name="connsiteX10" fmla="*/ 1223399 w 3128948"/>
            <a:gd name="connsiteY10" fmla="*/ 722344 h 830676"/>
            <a:gd name="connsiteX11" fmla="*/ 1144494 w 3128948"/>
            <a:gd name="connsiteY11" fmla="*/ 661809 h 830676"/>
            <a:gd name="connsiteX12" fmla="*/ 130429 w 3128948"/>
            <a:gd name="connsiteY12" fmla="*/ 830676 h 830676"/>
            <a:gd name="connsiteX13" fmla="*/ 1138242 w 3128948"/>
            <a:gd name="connsiteY13" fmla="*/ 547582 h 830676"/>
            <a:gd name="connsiteX14" fmla="*/ 1131890 w 3128948"/>
            <a:gd name="connsiteY14" fmla="*/ 434458 h 830676"/>
            <a:gd name="connsiteX15" fmla="*/ 687088 w 3128948"/>
            <a:gd name="connsiteY15" fmla="*/ 403331 h 830676"/>
            <a:gd name="connsiteX16" fmla="*/ 1127415 w 3128948"/>
            <a:gd name="connsiteY16" fmla="*/ 330348 h 830676"/>
            <a:gd name="connsiteX17" fmla="*/ 1135445 w 3128948"/>
            <a:gd name="connsiteY17" fmla="*/ 168468 h 830676"/>
            <a:gd name="connsiteX18" fmla="*/ 0 w 3128948"/>
            <a:gd name="connsiteY18" fmla="*/ 71380 h 830676"/>
            <a:gd name="connsiteX19" fmla="*/ 1150833 w 3128948"/>
            <a:gd name="connsiteY19" fmla="*/ 71927 h 830676"/>
            <a:gd name="connsiteX0" fmla="*/ 1020403 w 2998518"/>
            <a:gd name="connsiteY0" fmla="*/ 71927 h 830676"/>
            <a:gd name="connsiteX1" fmla="*/ 1048597 w 2998518"/>
            <a:gd name="connsiteY1" fmla="*/ 32629 h 830676"/>
            <a:gd name="connsiteX2" fmla="*/ 1139393 w 2998518"/>
            <a:gd name="connsiteY2" fmla="*/ 0 h 830676"/>
            <a:gd name="connsiteX3" fmla="*/ 2923899 w 2998518"/>
            <a:gd name="connsiteY3" fmla="*/ 2694 h 830676"/>
            <a:gd name="connsiteX4" fmla="*/ 2976663 w 2998518"/>
            <a:gd name="connsiteY4" fmla="*/ 24549 h 830676"/>
            <a:gd name="connsiteX5" fmla="*/ 2998518 w 2998518"/>
            <a:gd name="connsiteY5" fmla="*/ 77313 h 830676"/>
            <a:gd name="connsiteX6" fmla="*/ 2998518 w 2998518"/>
            <a:gd name="connsiteY6" fmla="*/ 661500 h 830676"/>
            <a:gd name="connsiteX7" fmla="*/ 2976663 w 2998518"/>
            <a:gd name="connsiteY7" fmla="*/ 714264 h 830676"/>
            <a:gd name="connsiteX8" fmla="*/ 2923899 w 2998518"/>
            <a:gd name="connsiteY8" fmla="*/ 736119 h 830676"/>
            <a:gd name="connsiteX9" fmla="*/ 1266169 w 2998518"/>
            <a:gd name="connsiteY9" fmla="*/ 736119 h 830676"/>
            <a:gd name="connsiteX10" fmla="*/ 1092969 w 2998518"/>
            <a:gd name="connsiteY10" fmla="*/ 722344 h 830676"/>
            <a:gd name="connsiteX11" fmla="*/ 1014064 w 2998518"/>
            <a:gd name="connsiteY11" fmla="*/ 661809 h 830676"/>
            <a:gd name="connsiteX12" fmla="*/ -1 w 2998518"/>
            <a:gd name="connsiteY12" fmla="*/ 830676 h 830676"/>
            <a:gd name="connsiteX13" fmla="*/ 1007812 w 2998518"/>
            <a:gd name="connsiteY13" fmla="*/ 547582 h 830676"/>
            <a:gd name="connsiteX14" fmla="*/ 1001460 w 2998518"/>
            <a:gd name="connsiteY14" fmla="*/ 434458 h 830676"/>
            <a:gd name="connsiteX15" fmla="*/ 556658 w 2998518"/>
            <a:gd name="connsiteY15" fmla="*/ 403331 h 830676"/>
            <a:gd name="connsiteX16" fmla="*/ 996985 w 2998518"/>
            <a:gd name="connsiteY16" fmla="*/ 330348 h 830676"/>
            <a:gd name="connsiteX17" fmla="*/ 1005015 w 2998518"/>
            <a:gd name="connsiteY17" fmla="*/ 168468 h 830676"/>
            <a:gd name="connsiteX18" fmla="*/ 161164 w 2998518"/>
            <a:gd name="connsiteY18" fmla="*/ 65397 h 830676"/>
            <a:gd name="connsiteX19" fmla="*/ 1020403 w 2998518"/>
            <a:gd name="connsiteY19" fmla="*/ 71927 h 830676"/>
            <a:gd name="connsiteX0" fmla="*/ 1020404 w 2998519"/>
            <a:gd name="connsiteY0" fmla="*/ 71927 h 830676"/>
            <a:gd name="connsiteX1" fmla="*/ 1048598 w 2998519"/>
            <a:gd name="connsiteY1" fmla="*/ 32629 h 830676"/>
            <a:gd name="connsiteX2" fmla="*/ 1139394 w 2998519"/>
            <a:gd name="connsiteY2" fmla="*/ 0 h 830676"/>
            <a:gd name="connsiteX3" fmla="*/ 2923900 w 2998519"/>
            <a:gd name="connsiteY3" fmla="*/ 2694 h 830676"/>
            <a:gd name="connsiteX4" fmla="*/ 2976664 w 2998519"/>
            <a:gd name="connsiteY4" fmla="*/ 24549 h 830676"/>
            <a:gd name="connsiteX5" fmla="*/ 2998519 w 2998519"/>
            <a:gd name="connsiteY5" fmla="*/ 77313 h 830676"/>
            <a:gd name="connsiteX6" fmla="*/ 2998519 w 2998519"/>
            <a:gd name="connsiteY6" fmla="*/ 661500 h 830676"/>
            <a:gd name="connsiteX7" fmla="*/ 2976664 w 2998519"/>
            <a:gd name="connsiteY7" fmla="*/ 714264 h 830676"/>
            <a:gd name="connsiteX8" fmla="*/ 2923900 w 2998519"/>
            <a:gd name="connsiteY8" fmla="*/ 736119 h 830676"/>
            <a:gd name="connsiteX9" fmla="*/ 1266170 w 2998519"/>
            <a:gd name="connsiteY9" fmla="*/ 736119 h 830676"/>
            <a:gd name="connsiteX10" fmla="*/ 1092970 w 2998519"/>
            <a:gd name="connsiteY10" fmla="*/ 722344 h 830676"/>
            <a:gd name="connsiteX11" fmla="*/ 1014065 w 2998519"/>
            <a:gd name="connsiteY11" fmla="*/ 661809 h 830676"/>
            <a:gd name="connsiteX12" fmla="*/ 0 w 2998519"/>
            <a:gd name="connsiteY12" fmla="*/ 830676 h 830676"/>
            <a:gd name="connsiteX13" fmla="*/ 1007813 w 2998519"/>
            <a:gd name="connsiteY13" fmla="*/ 547582 h 830676"/>
            <a:gd name="connsiteX14" fmla="*/ 1001461 w 2998519"/>
            <a:gd name="connsiteY14" fmla="*/ 434458 h 830676"/>
            <a:gd name="connsiteX15" fmla="*/ 820482 w 2998519"/>
            <a:gd name="connsiteY15" fmla="*/ 385382 h 830676"/>
            <a:gd name="connsiteX16" fmla="*/ 996986 w 2998519"/>
            <a:gd name="connsiteY16" fmla="*/ 330348 h 830676"/>
            <a:gd name="connsiteX17" fmla="*/ 1005016 w 2998519"/>
            <a:gd name="connsiteY17" fmla="*/ 168468 h 830676"/>
            <a:gd name="connsiteX18" fmla="*/ 161165 w 2998519"/>
            <a:gd name="connsiteY18" fmla="*/ 65397 h 830676"/>
            <a:gd name="connsiteX19" fmla="*/ 1020404 w 2998519"/>
            <a:gd name="connsiteY19" fmla="*/ 71927 h 830676"/>
            <a:gd name="connsiteX0" fmla="*/ 859239 w 2837354"/>
            <a:gd name="connsiteY0" fmla="*/ 71927 h 736119"/>
            <a:gd name="connsiteX1" fmla="*/ 887433 w 2837354"/>
            <a:gd name="connsiteY1" fmla="*/ 32629 h 736119"/>
            <a:gd name="connsiteX2" fmla="*/ 978229 w 2837354"/>
            <a:gd name="connsiteY2" fmla="*/ 0 h 736119"/>
            <a:gd name="connsiteX3" fmla="*/ 2762735 w 2837354"/>
            <a:gd name="connsiteY3" fmla="*/ 2694 h 736119"/>
            <a:gd name="connsiteX4" fmla="*/ 2815499 w 2837354"/>
            <a:gd name="connsiteY4" fmla="*/ 24549 h 736119"/>
            <a:gd name="connsiteX5" fmla="*/ 2837354 w 2837354"/>
            <a:gd name="connsiteY5" fmla="*/ 77313 h 736119"/>
            <a:gd name="connsiteX6" fmla="*/ 2837354 w 2837354"/>
            <a:gd name="connsiteY6" fmla="*/ 661500 h 736119"/>
            <a:gd name="connsiteX7" fmla="*/ 2815499 w 2837354"/>
            <a:gd name="connsiteY7" fmla="*/ 714264 h 736119"/>
            <a:gd name="connsiteX8" fmla="*/ 2762735 w 2837354"/>
            <a:gd name="connsiteY8" fmla="*/ 736119 h 736119"/>
            <a:gd name="connsiteX9" fmla="*/ 1105005 w 2837354"/>
            <a:gd name="connsiteY9" fmla="*/ 736119 h 736119"/>
            <a:gd name="connsiteX10" fmla="*/ 931805 w 2837354"/>
            <a:gd name="connsiteY10" fmla="*/ 722344 h 736119"/>
            <a:gd name="connsiteX11" fmla="*/ 852900 w 2837354"/>
            <a:gd name="connsiteY11" fmla="*/ 661809 h 736119"/>
            <a:gd name="connsiteX12" fmla="*/ 846648 w 2837354"/>
            <a:gd name="connsiteY12" fmla="*/ 547582 h 736119"/>
            <a:gd name="connsiteX13" fmla="*/ 840296 w 2837354"/>
            <a:gd name="connsiteY13" fmla="*/ 434458 h 736119"/>
            <a:gd name="connsiteX14" fmla="*/ 659317 w 2837354"/>
            <a:gd name="connsiteY14" fmla="*/ 385382 h 736119"/>
            <a:gd name="connsiteX15" fmla="*/ 835821 w 2837354"/>
            <a:gd name="connsiteY15" fmla="*/ 330348 h 736119"/>
            <a:gd name="connsiteX16" fmla="*/ 843851 w 2837354"/>
            <a:gd name="connsiteY16" fmla="*/ 168468 h 736119"/>
            <a:gd name="connsiteX17" fmla="*/ 0 w 2837354"/>
            <a:gd name="connsiteY17" fmla="*/ 65397 h 736119"/>
            <a:gd name="connsiteX18" fmla="*/ 859239 w 2837354"/>
            <a:gd name="connsiteY18" fmla="*/ 71927 h 736119"/>
            <a:gd name="connsiteX0" fmla="*/ 859239 w 2837354"/>
            <a:gd name="connsiteY0" fmla="*/ 71927 h 829383"/>
            <a:gd name="connsiteX1" fmla="*/ 887433 w 2837354"/>
            <a:gd name="connsiteY1" fmla="*/ 32629 h 829383"/>
            <a:gd name="connsiteX2" fmla="*/ 978229 w 2837354"/>
            <a:gd name="connsiteY2" fmla="*/ 0 h 829383"/>
            <a:gd name="connsiteX3" fmla="*/ 2762735 w 2837354"/>
            <a:gd name="connsiteY3" fmla="*/ 2694 h 829383"/>
            <a:gd name="connsiteX4" fmla="*/ 2815499 w 2837354"/>
            <a:gd name="connsiteY4" fmla="*/ 24549 h 829383"/>
            <a:gd name="connsiteX5" fmla="*/ 2837354 w 2837354"/>
            <a:gd name="connsiteY5" fmla="*/ 77313 h 829383"/>
            <a:gd name="connsiteX6" fmla="*/ 2837354 w 2837354"/>
            <a:gd name="connsiteY6" fmla="*/ 661500 h 829383"/>
            <a:gd name="connsiteX7" fmla="*/ 2815499 w 2837354"/>
            <a:gd name="connsiteY7" fmla="*/ 714264 h 829383"/>
            <a:gd name="connsiteX8" fmla="*/ 2762735 w 2837354"/>
            <a:gd name="connsiteY8" fmla="*/ 736119 h 829383"/>
            <a:gd name="connsiteX9" fmla="*/ 2101744 w 2837354"/>
            <a:gd name="connsiteY9" fmla="*/ 829383 h 829383"/>
            <a:gd name="connsiteX10" fmla="*/ 1105005 w 2837354"/>
            <a:gd name="connsiteY10" fmla="*/ 736119 h 829383"/>
            <a:gd name="connsiteX11" fmla="*/ 931805 w 2837354"/>
            <a:gd name="connsiteY11" fmla="*/ 722344 h 829383"/>
            <a:gd name="connsiteX12" fmla="*/ 852900 w 2837354"/>
            <a:gd name="connsiteY12" fmla="*/ 661809 h 829383"/>
            <a:gd name="connsiteX13" fmla="*/ 846648 w 2837354"/>
            <a:gd name="connsiteY13" fmla="*/ 547582 h 829383"/>
            <a:gd name="connsiteX14" fmla="*/ 840296 w 2837354"/>
            <a:gd name="connsiteY14" fmla="*/ 434458 h 829383"/>
            <a:gd name="connsiteX15" fmla="*/ 659317 w 2837354"/>
            <a:gd name="connsiteY15" fmla="*/ 385382 h 829383"/>
            <a:gd name="connsiteX16" fmla="*/ 835821 w 2837354"/>
            <a:gd name="connsiteY16" fmla="*/ 330348 h 829383"/>
            <a:gd name="connsiteX17" fmla="*/ 843851 w 2837354"/>
            <a:gd name="connsiteY17" fmla="*/ 168468 h 829383"/>
            <a:gd name="connsiteX18" fmla="*/ 0 w 2837354"/>
            <a:gd name="connsiteY18" fmla="*/ 65397 h 829383"/>
            <a:gd name="connsiteX19" fmla="*/ 859239 w 2837354"/>
            <a:gd name="connsiteY19" fmla="*/ 71927 h 829383"/>
            <a:gd name="connsiteX0" fmla="*/ 859239 w 2837354"/>
            <a:gd name="connsiteY0" fmla="*/ 71927 h 829383"/>
            <a:gd name="connsiteX1" fmla="*/ 887433 w 2837354"/>
            <a:gd name="connsiteY1" fmla="*/ 32629 h 829383"/>
            <a:gd name="connsiteX2" fmla="*/ 978229 w 2837354"/>
            <a:gd name="connsiteY2" fmla="*/ 0 h 829383"/>
            <a:gd name="connsiteX3" fmla="*/ 2762735 w 2837354"/>
            <a:gd name="connsiteY3" fmla="*/ 2694 h 829383"/>
            <a:gd name="connsiteX4" fmla="*/ 2815499 w 2837354"/>
            <a:gd name="connsiteY4" fmla="*/ 24549 h 829383"/>
            <a:gd name="connsiteX5" fmla="*/ 2837354 w 2837354"/>
            <a:gd name="connsiteY5" fmla="*/ 77313 h 829383"/>
            <a:gd name="connsiteX6" fmla="*/ 2837354 w 2837354"/>
            <a:gd name="connsiteY6" fmla="*/ 661500 h 829383"/>
            <a:gd name="connsiteX7" fmla="*/ 2815499 w 2837354"/>
            <a:gd name="connsiteY7" fmla="*/ 714264 h 829383"/>
            <a:gd name="connsiteX8" fmla="*/ 2762735 w 2837354"/>
            <a:gd name="connsiteY8" fmla="*/ 736119 h 829383"/>
            <a:gd name="connsiteX9" fmla="*/ 2101744 w 2837354"/>
            <a:gd name="connsiteY9" fmla="*/ 829383 h 829383"/>
            <a:gd name="connsiteX10" fmla="*/ 1851806 w 2837354"/>
            <a:gd name="connsiteY10" fmla="*/ 739638 h 829383"/>
            <a:gd name="connsiteX11" fmla="*/ 1105005 w 2837354"/>
            <a:gd name="connsiteY11" fmla="*/ 736119 h 829383"/>
            <a:gd name="connsiteX12" fmla="*/ 931805 w 2837354"/>
            <a:gd name="connsiteY12" fmla="*/ 722344 h 829383"/>
            <a:gd name="connsiteX13" fmla="*/ 852900 w 2837354"/>
            <a:gd name="connsiteY13" fmla="*/ 661809 h 829383"/>
            <a:gd name="connsiteX14" fmla="*/ 846648 w 2837354"/>
            <a:gd name="connsiteY14" fmla="*/ 547582 h 829383"/>
            <a:gd name="connsiteX15" fmla="*/ 840296 w 2837354"/>
            <a:gd name="connsiteY15" fmla="*/ 434458 h 829383"/>
            <a:gd name="connsiteX16" fmla="*/ 659317 w 2837354"/>
            <a:gd name="connsiteY16" fmla="*/ 385382 h 829383"/>
            <a:gd name="connsiteX17" fmla="*/ 835821 w 2837354"/>
            <a:gd name="connsiteY17" fmla="*/ 330348 h 829383"/>
            <a:gd name="connsiteX18" fmla="*/ 843851 w 2837354"/>
            <a:gd name="connsiteY18" fmla="*/ 168468 h 829383"/>
            <a:gd name="connsiteX19" fmla="*/ 0 w 2837354"/>
            <a:gd name="connsiteY19" fmla="*/ 65397 h 829383"/>
            <a:gd name="connsiteX20" fmla="*/ 859239 w 2837354"/>
            <a:gd name="connsiteY20" fmla="*/ 71927 h 829383"/>
            <a:gd name="connsiteX0" fmla="*/ 859239 w 2837354"/>
            <a:gd name="connsiteY0" fmla="*/ 71927 h 829383"/>
            <a:gd name="connsiteX1" fmla="*/ 887433 w 2837354"/>
            <a:gd name="connsiteY1" fmla="*/ 32629 h 829383"/>
            <a:gd name="connsiteX2" fmla="*/ 978229 w 2837354"/>
            <a:gd name="connsiteY2" fmla="*/ 0 h 829383"/>
            <a:gd name="connsiteX3" fmla="*/ 2762735 w 2837354"/>
            <a:gd name="connsiteY3" fmla="*/ 2694 h 829383"/>
            <a:gd name="connsiteX4" fmla="*/ 2815499 w 2837354"/>
            <a:gd name="connsiteY4" fmla="*/ 24549 h 829383"/>
            <a:gd name="connsiteX5" fmla="*/ 2837354 w 2837354"/>
            <a:gd name="connsiteY5" fmla="*/ 77313 h 829383"/>
            <a:gd name="connsiteX6" fmla="*/ 2837354 w 2837354"/>
            <a:gd name="connsiteY6" fmla="*/ 661500 h 829383"/>
            <a:gd name="connsiteX7" fmla="*/ 2815499 w 2837354"/>
            <a:gd name="connsiteY7" fmla="*/ 714264 h 829383"/>
            <a:gd name="connsiteX8" fmla="*/ 2762735 w 2837354"/>
            <a:gd name="connsiteY8" fmla="*/ 736119 h 829383"/>
            <a:gd name="connsiteX9" fmla="*/ 2185056 w 2837354"/>
            <a:gd name="connsiteY9" fmla="*/ 739638 h 829383"/>
            <a:gd name="connsiteX10" fmla="*/ 2101744 w 2837354"/>
            <a:gd name="connsiteY10" fmla="*/ 829383 h 829383"/>
            <a:gd name="connsiteX11" fmla="*/ 1851806 w 2837354"/>
            <a:gd name="connsiteY11" fmla="*/ 739638 h 829383"/>
            <a:gd name="connsiteX12" fmla="*/ 1105005 w 2837354"/>
            <a:gd name="connsiteY12" fmla="*/ 736119 h 829383"/>
            <a:gd name="connsiteX13" fmla="*/ 931805 w 2837354"/>
            <a:gd name="connsiteY13" fmla="*/ 722344 h 829383"/>
            <a:gd name="connsiteX14" fmla="*/ 852900 w 2837354"/>
            <a:gd name="connsiteY14" fmla="*/ 661809 h 829383"/>
            <a:gd name="connsiteX15" fmla="*/ 846648 w 2837354"/>
            <a:gd name="connsiteY15" fmla="*/ 547582 h 829383"/>
            <a:gd name="connsiteX16" fmla="*/ 840296 w 2837354"/>
            <a:gd name="connsiteY16" fmla="*/ 434458 h 829383"/>
            <a:gd name="connsiteX17" fmla="*/ 659317 w 2837354"/>
            <a:gd name="connsiteY17" fmla="*/ 385382 h 829383"/>
            <a:gd name="connsiteX18" fmla="*/ 835821 w 2837354"/>
            <a:gd name="connsiteY18" fmla="*/ 330348 h 829383"/>
            <a:gd name="connsiteX19" fmla="*/ 843851 w 2837354"/>
            <a:gd name="connsiteY19" fmla="*/ 168468 h 829383"/>
            <a:gd name="connsiteX20" fmla="*/ 0 w 2837354"/>
            <a:gd name="connsiteY20" fmla="*/ 65397 h 829383"/>
            <a:gd name="connsiteX21" fmla="*/ 859239 w 2837354"/>
            <a:gd name="connsiteY21" fmla="*/ 71927 h 829383"/>
            <a:gd name="connsiteX0" fmla="*/ 859239 w 2837354"/>
            <a:gd name="connsiteY0" fmla="*/ 71927 h 823400"/>
            <a:gd name="connsiteX1" fmla="*/ 887433 w 2837354"/>
            <a:gd name="connsiteY1" fmla="*/ 32629 h 823400"/>
            <a:gd name="connsiteX2" fmla="*/ 978229 w 2837354"/>
            <a:gd name="connsiteY2" fmla="*/ 0 h 823400"/>
            <a:gd name="connsiteX3" fmla="*/ 2762735 w 2837354"/>
            <a:gd name="connsiteY3" fmla="*/ 2694 h 823400"/>
            <a:gd name="connsiteX4" fmla="*/ 2815499 w 2837354"/>
            <a:gd name="connsiteY4" fmla="*/ 24549 h 823400"/>
            <a:gd name="connsiteX5" fmla="*/ 2837354 w 2837354"/>
            <a:gd name="connsiteY5" fmla="*/ 77313 h 823400"/>
            <a:gd name="connsiteX6" fmla="*/ 2837354 w 2837354"/>
            <a:gd name="connsiteY6" fmla="*/ 661500 h 823400"/>
            <a:gd name="connsiteX7" fmla="*/ 2815499 w 2837354"/>
            <a:gd name="connsiteY7" fmla="*/ 714264 h 823400"/>
            <a:gd name="connsiteX8" fmla="*/ 2762735 w 2837354"/>
            <a:gd name="connsiteY8" fmla="*/ 736119 h 823400"/>
            <a:gd name="connsiteX9" fmla="*/ 2185056 w 2837354"/>
            <a:gd name="connsiteY9" fmla="*/ 739638 h 823400"/>
            <a:gd name="connsiteX10" fmla="*/ 1962890 w 2837354"/>
            <a:gd name="connsiteY10" fmla="*/ 823400 h 823400"/>
            <a:gd name="connsiteX11" fmla="*/ 1851806 w 2837354"/>
            <a:gd name="connsiteY11" fmla="*/ 739638 h 823400"/>
            <a:gd name="connsiteX12" fmla="*/ 1105005 w 2837354"/>
            <a:gd name="connsiteY12" fmla="*/ 736119 h 823400"/>
            <a:gd name="connsiteX13" fmla="*/ 931805 w 2837354"/>
            <a:gd name="connsiteY13" fmla="*/ 722344 h 823400"/>
            <a:gd name="connsiteX14" fmla="*/ 852900 w 2837354"/>
            <a:gd name="connsiteY14" fmla="*/ 661809 h 823400"/>
            <a:gd name="connsiteX15" fmla="*/ 846648 w 2837354"/>
            <a:gd name="connsiteY15" fmla="*/ 547582 h 823400"/>
            <a:gd name="connsiteX16" fmla="*/ 840296 w 2837354"/>
            <a:gd name="connsiteY16" fmla="*/ 434458 h 823400"/>
            <a:gd name="connsiteX17" fmla="*/ 659317 w 2837354"/>
            <a:gd name="connsiteY17" fmla="*/ 385382 h 823400"/>
            <a:gd name="connsiteX18" fmla="*/ 835821 w 2837354"/>
            <a:gd name="connsiteY18" fmla="*/ 330348 h 823400"/>
            <a:gd name="connsiteX19" fmla="*/ 843851 w 2837354"/>
            <a:gd name="connsiteY19" fmla="*/ 168468 h 823400"/>
            <a:gd name="connsiteX20" fmla="*/ 0 w 2837354"/>
            <a:gd name="connsiteY20" fmla="*/ 65397 h 823400"/>
            <a:gd name="connsiteX21" fmla="*/ 859239 w 2837354"/>
            <a:gd name="connsiteY21" fmla="*/ 71927 h 823400"/>
            <a:gd name="connsiteX0" fmla="*/ 859239 w 2837354"/>
            <a:gd name="connsiteY0" fmla="*/ 71927 h 823400"/>
            <a:gd name="connsiteX1" fmla="*/ 887433 w 2837354"/>
            <a:gd name="connsiteY1" fmla="*/ 32629 h 823400"/>
            <a:gd name="connsiteX2" fmla="*/ 978229 w 2837354"/>
            <a:gd name="connsiteY2" fmla="*/ 0 h 823400"/>
            <a:gd name="connsiteX3" fmla="*/ 2762735 w 2837354"/>
            <a:gd name="connsiteY3" fmla="*/ 2694 h 823400"/>
            <a:gd name="connsiteX4" fmla="*/ 2815499 w 2837354"/>
            <a:gd name="connsiteY4" fmla="*/ 24549 h 823400"/>
            <a:gd name="connsiteX5" fmla="*/ 2837354 w 2837354"/>
            <a:gd name="connsiteY5" fmla="*/ 77313 h 823400"/>
            <a:gd name="connsiteX6" fmla="*/ 2837354 w 2837354"/>
            <a:gd name="connsiteY6" fmla="*/ 661500 h 823400"/>
            <a:gd name="connsiteX7" fmla="*/ 2815499 w 2837354"/>
            <a:gd name="connsiteY7" fmla="*/ 714264 h 823400"/>
            <a:gd name="connsiteX8" fmla="*/ 2762735 w 2837354"/>
            <a:gd name="connsiteY8" fmla="*/ 736119 h 823400"/>
            <a:gd name="connsiteX9" fmla="*/ 2185056 w 2837354"/>
            <a:gd name="connsiteY9" fmla="*/ 739638 h 823400"/>
            <a:gd name="connsiteX10" fmla="*/ 1962890 w 2837354"/>
            <a:gd name="connsiteY10" fmla="*/ 823400 h 823400"/>
            <a:gd name="connsiteX11" fmla="*/ 1851806 w 2837354"/>
            <a:gd name="connsiteY11" fmla="*/ 739638 h 823400"/>
            <a:gd name="connsiteX12" fmla="*/ 1105005 w 2837354"/>
            <a:gd name="connsiteY12" fmla="*/ 736119 h 823400"/>
            <a:gd name="connsiteX13" fmla="*/ 931805 w 2837354"/>
            <a:gd name="connsiteY13" fmla="*/ 722344 h 823400"/>
            <a:gd name="connsiteX14" fmla="*/ 852900 w 2837354"/>
            <a:gd name="connsiteY14" fmla="*/ 661809 h 823400"/>
            <a:gd name="connsiteX15" fmla="*/ 846648 w 2837354"/>
            <a:gd name="connsiteY15" fmla="*/ 547582 h 823400"/>
            <a:gd name="connsiteX16" fmla="*/ 840296 w 2837354"/>
            <a:gd name="connsiteY16" fmla="*/ 434458 h 823400"/>
            <a:gd name="connsiteX17" fmla="*/ 589890 w 2837354"/>
            <a:gd name="connsiteY17" fmla="*/ 391365 h 823400"/>
            <a:gd name="connsiteX18" fmla="*/ 835821 w 2837354"/>
            <a:gd name="connsiteY18" fmla="*/ 330348 h 823400"/>
            <a:gd name="connsiteX19" fmla="*/ 843851 w 2837354"/>
            <a:gd name="connsiteY19" fmla="*/ 168468 h 823400"/>
            <a:gd name="connsiteX20" fmla="*/ 0 w 2837354"/>
            <a:gd name="connsiteY20" fmla="*/ 65397 h 823400"/>
            <a:gd name="connsiteX21" fmla="*/ 859239 w 2837354"/>
            <a:gd name="connsiteY21" fmla="*/ 71927 h 823400"/>
            <a:gd name="connsiteX0" fmla="*/ 859239 w 2837354"/>
            <a:gd name="connsiteY0" fmla="*/ 71927 h 841349"/>
            <a:gd name="connsiteX1" fmla="*/ 887433 w 2837354"/>
            <a:gd name="connsiteY1" fmla="*/ 32629 h 841349"/>
            <a:gd name="connsiteX2" fmla="*/ 978229 w 2837354"/>
            <a:gd name="connsiteY2" fmla="*/ 0 h 841349"/>
            <a:gd name="connsiteX3" fmla="*/ 2762735 w 2837354"/>
            <a:gd name="connsiteY3" fmla="*/ 2694 h 841349"/>
            <a:gd name="connsiteX4" fmla="*/ 2815499 w 2837354"/>
            <a:gd name="connsiteY4" fmla="*/ 24549 h 841349"/>
            <a:gd name="connsiteX5" fmla="*/ 2837354 w 2837354"/>
            <a:gd name="connsiteY5" fmla="*/ 77313 h 841349"/>
            <a:gd name="connsiteX6" fmla="*/ 2837354 w 2837354"/>
            <a:gd name="connsiteY6" fmla="*/ 661500 h 841349"/>
            <a:gd name="connsiteX7" fmla="*/ 2815499 w 2837354"/>
            <a:gd name="connsiteY7" fmla="*/ 714264 h 841349"/>
            <a:gd name="connsiteX8" fmla="*/ 2762735 w 2837354"/>
            <a:gd name="connsiteY8" fmla="*/ 736119 h 841349"/>
            <a:gd name="connsiteX9" fmla="*/ 2185056 w 2837354"/>
            <a:gd name="connsiteY9" fmla="*/ 739638 h 841349"/>
            <a:gd name="connsiteX10" fmla="*/ 1865692 w 2837354"/>
            <a:gd name="connsiteY10" fmla="*/ 841349 h 841349"/>
            <a:gd name="connsiteX11" fmla="*/ 1851806 w 2837354"/>
            <a:gd name="connsiteY11" fmla="*/ 739638 h 841349"/>
            <a:gd name="connsiteX12" fmla="*/ 1105005 w 2837354"/>
            <a:gd name="connsiteY12" fmla="*/ 736119 h 841349"/>
            <a:gd name="connsiteX13" fmla="*/ 931805 w 2837354"/>
            <a:gd name="connsiteY13" fmla="*/ 722344 h 841349"/>
            <a:gd name="connsiteX14" fmla="*/ 852900 w 2837354"/>
            <a:gd name="connsiteY14" fmla="*/ 661809 h 841349"/>
            <a:gd name="connsiteX15" fmla="*/ 846648 w 2837354"/>
            <a:gd name="connsiteY15" fmla="*/ 547582 h 841349"/>
            <a:gd name="connsiteX16" fmla="*/ 840296 w 2837354"/>
            <a:gd name="connsiteY16" fmla="*/ 434458 h 841349"/>
            <a:gd name="connsiteX17" fmla="*/ 589890 w 2837354"/>
            <a:gd name="connsiteY17" fmla="*/ 391365 h 841349"/>
            <a:gd name="connsiteX18" fmla="*/ 835821 w 2837354"/>
            <a:gd name="connsiteY18" fmla="*/ 330348 h 841349"/>
            <a:gd name="connsiteX19" fmla="*/ 843851 w 2837354"/>
            <a:gd name="connsiteY19" fmla="*/ 168468 h 841349"/>
            <a:gd name="connsiteX20" fmla="*/ 0 w 2837354"/>
            <a:gd name="connsiteY20" fmla="*/ 65397 h 841349"/>
            <a:gd name="connsiteX21" fmla="*/ 859239 w 2837354"/>
            <a:gd name="connsiteY21" fmla="*/ 71927 h 841349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46648 w 2837354"/>
            <a:gd name="connsiteY15" fmla="*/ 547582 h 877247"/>
            <a:gd name="connsiteX16" fmla="*/ 840296 w 2837354"/>
            <a:gd name="connsiteY16" fmla="*/ 434458 h 877247"/>
            <a:gd name="connsiteX17" fmla="*/ 589890 w 2837354"/>
            <a:gd name="connsiteY17" fmla="*/ 391365 h 877247"/>
            <a:gd name="connsiteX18" fmla="*/ 835821 w 2837354"/>
            <a:gd name="connsiteY18" fmla="*/ 330348 h 877247"/>
            <a:gd name="connsiteX19" fmla="*/ 843851 w 2837354"/>
            <a:gd name="connsiteY19" fmla="*/ 168468 h 877247"/>
            <a:gd name="connsiteX20" fmla="*/ 0 w 2837354"/>
            <a:gd name="connsiteY20" fmla="*/ 65397 h 877247"/>
            <a:gd name="connsiteX21" fmla="*/ 859239 w 2837354"/>
            <a:gd name="connsiteY21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46648 w 2837354"/>
            <a:gd name="connsiteY15" fmla="*/ 547582 h 877247"/>
            <a:gd name="connsiteX16" fmla="*/ 840296 w 2837354"/>
            <a:gd name="connsiteY16" fmla="*/ 434458 h 877247"/>
            <a:gd name="connsiteX17" fmla="*/ 469338 w 2837354"/>
            <a:gd name="connsiteY17" fmla="*/ 441038 h 877247"/>
            <a:gd name="connsiteX18" fmla="*/ 835821 w 2837354"/>
            <a:gd name="connsiteY18" fmla="*/ 330348 h 877247"/>
            <a:gd name="connsiteX19" fmla="*/ 843851 w 2837354"/>
            <a:gd name="connsiteY19" fmla="*/ 168468 h 877247"/>
            <a:gd name="connsiteX20" fmla="*/ 0 w 2837354"/>
            <a:gd name="connsiteY20" fmla="*/ 65397 h 877247"/>
            <a:gd name="connsiteX21" fmla="*/ 859239 w 2837354"/>
            <a:gd name="connsiteY21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46648 w 2837354"/>
            <a:gd name="connsiteY15" fmla="*/ 547582 h 877247"/>
            <a:gd name="connsiteX16" fmla="*/ 840296 w 2837354"/>
            <a:gd name="connsiteY16" fmla="*/ 434458 h 877247"/>
            <a:gd name="connsiteX17" fmla="*/ 662221 w 2837354"/>
            <a:gd name="connsiteY17" fmla="*/ 469422 h 877247"/>
            <a:gd name="connsiteX18" fmla="*/ 835821 w 2837354"/>
            <a:gd name="connsiteY18" fmla="*/ 330348 h 877247"/>
            <a:gd name="connsiteX19" fmla="*/ 843851 w 2837354"/>
            <a:gd name="connsiteY19" fmla="*/ 168468 h 877247"/>
            <a:gd name="connsiteX20" fmla="*/ 0 w 2837354"/>
            <a:gd name="connsiteY20" fmla="*/ 65397 h 877247"/>
            <a:gd name="connsiteX21" fmla="*/ 859239 w 2837354"/>
            <a:gd name="connsiteY21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40296 w 2837354"/>
            <a:gd name="connsiteY15" fmla="*/ 434458 h 877247"/>
            <a:gd name="connsiteX16" fmla="*/ 662221 w 2837354"/>
            <a:gd name="connsiteY16" fmla="*/ 469422 h 877247"/>
            <a:gd name="connsiteX17" fmla="*/ 835821 w 2837354"/>
            <a:gd name="connsiteY17" fmla="*/ 330348 h 877247"/>
            <a:gd name="connsiteX18" fmla="*/ 843851 w 2837354"/>
            <a:gd name="connsiteY18" fmla="*/ 168468 h 877247"/>
            <a:gd name="connsiteX19" fmla="*/ 0 w 2837354"/>
            <a:gd name="connsiteY19" fmla="*/ 65397 h 877247"/>
            <a:gd name="connsiteX20" fmla="*/ 859239 w 2837354"/>
            <a:gd name="connsiteY20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64407 w 2837354"/>
            <a:gd name="connsiteY15" fmla="*/ 512515 h 877247"/>
            <a:gd name="connsiteX16" fmla="*/ 662221 w 2837354"/>
            <a:gd name="connsiteY16" fmla="*/ 469422 h 877247"/>
            <a:gd name="connsiteX17" fmla="*/ 835821 w 2837354"/>
            <a:gd name="connsiteY17" fmla="*/ 330348 h 877247"/>
            <a:gd name="connsiteX18" fmla="*/ 843851 w 2837354"/>
            <a:gd name="connsiteY18" fmla="*/ 168468 h 877247"/>
            <a:gd name="connsiteX19" fmla="*/ 0 w 2837354"/>
            <a:gd name="connsiteY19" fmla="*/ 65397 h 877247"/>
            <a:gd name="connsiteX20" fmla="*/ 859239 w 2837354"/>
            <a:gd name="connsiteY20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64407 w 2837354"/>
            <a:gd name="connsiteY15" fmla="*/ 512515 h 877247"/>
            <a:gd name="connsiteX16" fmla="*/ 662221 w 2837354"/>
            <a:gd name="connsiteY16" fmla="*/ 469422 h 877247"/>
            <a:gd name="connsiteX17" fmla="*/ 823766 w 2837354"/>
            <a:gd name="connsiteY17" fmla="*/ 387117 h 877247"/>
            <a:gd name="connsiteX18" fmla="*/ 843851 w 2837354"/>
            <a:gd name="connsiteY18" fmla="*/ 168468 h 877247"/>
            <a:gd name="connsiteX19" fmla="*/ 0 w 2837354"/>
            <a:gd name="connsiteY19" fmla="*/ 65397 h 877247"/>
            <a:gd name="connsiteX20" fmla="*/ 859239 w 2837354"/>
            <a:gd name="connsiteY20" fmla="*/ 71927 h 877247"/>
            <a:gd name="connsiteX0" fmla="*/ 859239 w 2837354"/>
            <a:gd name="connsiteY0" fmla="*/ 71927 h 877247"/>
            <a:gd name="connsiteX1" fmla="*/ 887433 w 2837354"/>
            <a:gd name="connsiteY1" fmla="*/ 32629 h 877247"/>
            <a:gd name="connsiteX2" fmla="*/ 978229 w 2837354"/>
            <a:gd name="connsiteY2" fmla="*/ 0 h 877247"/>
            <a:gd name="connsiteX3" fmla="*/ 2762735 w 2837354"/>
            <a:gd name="connsiteY3" fmla="*/ 2694 h 877247"/>
            <a:gd name="connsiteX4" fmla="*/ 2815499 w 2837354"/>
            <a:gd name="connsiteY4" fmla="*/ 24549 h 877247"/>
            <a:gd name="connsiteX5" fmla="*/ 2837354 w 2837354"/>
            <a:gd name="connsiteY5" fmla="*/ 77313 h 877247"/>
            <a:gd name="connsiteX6" fmla="*/ 2837354 w 2837354"/>
            <a:gd name="connsiteY6" fmla="*/ 661500 h 877247"/>
            <a:gd name="connsiteX7" fmla="*/ 2815499 w 2837354"/>
            <a:gd name="connsiteY7" fmla="*/ 714264 h 877247"/>
            <a:gd name="connsiteX8" fmla="*/ 2762735 w 2837354"/>
            <a:gd name="connsiteY8" fmla="*/ 736119 h 877247"/>
            <a:gd name="connsiteX9" fmla="*/ 2185056 w 2837354"/>
            <a:gd name="connsiteY9" fmla="*/ 739638 h 877247"/>
            <a:gd name="connsiteX10" fmla="*/ 1754608 w 2837354"/>
            <a:gd name="connsiteY10" fmla="*/ 877247 h 877247"/>
            <a:gd name="connsiteX11" fmla="*/ 1851806 w 2837354"/>
            <a:gd name="connsiteY11" fmla="*/ 739638 h 877247"/>
            <a:gd name="connsiteX12" fmla="*/ 1105005 w 2837354"/>
            <a:gd name="connsiteY12" fmla="*/ 736119 h 877247"/>
            <a:gd name="connsiteX13" fmla="*/ 931805 w 2837354"/>
            <a:gd name="connsiteY13" fmla="*/ 722344 h 877247"/>
            <a:gd name="connsiteX14" fmla="*/ 852900 w 2837354"/>
            <a:gd name="connsiteY14" fmla="*/ 661809 h 877247"/>
            <a:gd name="connsiteX15" fmla="*/ 864407 w 2837354"/>
            <a:gd name="connsiteY15" fmla="*/ 512515 h 877247"/>
            <a:gd name="connsiteX16" fmla="*/ 662221 w 2837354"/>
            <a:gd name="connsiteY16" fmla="*/ 469422 h 877247"/>
            <a:gd name="connsiteX17" fmla="*/ 823766 w 2837354"/>
            <a:gd name="connsiteY17" fmla="*/ 408406 h 877247"/>
            <a:gd name="connsiteX18" fmla="*/ 843851 w 2837354"/>
            <a:gd name="connsiteY18" fmla="*/ 168468 h 877247"/>
            <a:gd name="connsiteX19" fmla="*/ 0 w 2837354"/>
            <a:gd name="connsiteY19" fmla="*/ 65397 h 877247"/>
            <a:gd name="connsiteX20" fmla="*/ 859239 w 2837354"/>
            <a:gd name="connsiteY20" fmla="*/ 71927 h 877247"/>
            <a:gd name="connsiteX0" fmla="*/ 823073 w 2801188"/>
            <a:gd name="connsiteY0" fmla="*/ 71927 h 877247"/>
            <a:gd name="connsiteX1" fmla="*/ 851267 w 2801188"/>
            <a:gd name="connsiteY1" fmla="*/ 32629 h 877247"/>
            <a:gd name="connsiteX2" fmla="*/ 942063 w 2801188"/>
            <a:gd name="connsiteY2" fmla="*/ 0 h 877247"/>
            <a:gd name="connsiteX3" fmla="*/ 2726569 w 2801188"/>
            <a:gd name="connsiteY3" fmla="*/ 2694 h 877247"/>
            <a:gd name="connsiteX4" fmla="*/ 2779333 w 2801188"/>
            <a:gd name="connsiteY4" fmla="*/ 24549 h 877247"/>
            <a:gd name="connsiteX5" fmla="*/ 2801188 w 2801188"/>
            <a:gd name="connsiteY5" fmla="*/ 77313 h 877247"/>
            <a:gd name="connsiteX6" fmla="*/ 2801188 w 2801188"/>
            <a:gd name="connsiteY6" fmla="*/ 661500 h 877247"/>
            <a:gd name="connsiteX7" fmla="*/ 2779333 w 2801188"/>
            <a:gd name="connsiteY7" fmla="*/ 714264 h 877247"/>
            <a:gd name="connsiteX8" fmla="*/ 2726569 w 2801188"/>
            <a:gd name="connsiteY8" fmla="*/ 736119 h 877247"/>
            <a:gd name="connsiteX9" fmla="*/ 2148890 w 2801188"/>
            <a:gd name="connsiteY9" fmla="*/ 739638 h 877247"/>
            <a:gd name="connsiteX10" fmla="*/ 1718442 w 2801188"/>
            <a:gd name="connsiteY10" fmla="*/ 877247 h 877247"/>
            <a:gd name="connsiteX11" fmla="*/ 1815640 w 2801188"/>
            <a:gd name="connsiteY11" fmla="*/ 739638 h 877247"/>
            <a:gd name="connsiteX12" fmla="*/ 1068839 w 2801188"/>
            <a:gd name="connsiteY12" fmla="*/ 736119 h 877247"/>
            <a:gd name="connsiteX13" fmla="*/ 895639 w 2801188"/>
            <a:gd name="connsiteY13" fmla="*/ 722344 h 877247"/>
            <a:gd name="connsiteX14" fmla="*/ 816734 w 2801188"/>
            <a:gd name="connsiteY14" fmla="*/ 661809 h 877247"/>
            <a:gd name="connsiteX15" fmla="*/ 828241 w 2801188"/>
            <a:gd name="connsiteY15" fmla="*/ 512515 h 877247"/>
            <a:gd name="connsiteX16" fmla="*/ 626055 w 2801188"/>
            <a:gd name="connsiteY16" fmla="*/ 469422 h 877247"/>
            <a:gd name="connsiteX17" fmla="*/ 787600 w 2801188"/>
            <a:gd name="connsiteY17" fmla="*/ 408406 h 877247"/>
            <a:gd name="connsiteX18" fmla="*/ 807685 w 2801188"/>
            <a:gd name="connsiteY18" fmla="*/ 168468 h 877247"/>
            <a:gd name="connsiteX19" fmla="*/ 0 w 2801188"/>
            <a:gd name="connsiteY19" fmla="*/ 1532 h 877247"/>
            <a:gd name="connsiteX20" fmla="*/ 823073 w 2801188"/>
            <a:gd name="connsiteY20" fmla="*/ 71927 h 877247"/>
            <a:gd name="connsiteX0" fmla="*/ 823073 w 2801188"/>
            <a:gd name="connsiteY0" fmla="*/ 71927 h 877247"/>
            <a:gd name="connsiteX1" fmla="*/ 851267 w 2801188"/>
            <a:gd name="connsiteY1" fmla="*/ 32629 h 877247"/>
            <a:gd name="connsiteX2" fmla="*/ 942063 w 2801188"/>
            <a:gd name="connsiteY2" fmla="*/ 0 h 877247"/>
            <a:gd name="connsiteX3" fmla="*/ 2726569 w 2801188"/>
            <a:gd name="connsiteY3" fmla="*/ 2694 h 877247"/>
            <a:gd name="connsiteX4" fmla="*/ 2779333 w 2801188"/>
            <a:gd name="connsiteY4" fmla="*/ 24549 h 877247"/>
            <a:gd name="connsiteX5" fmla="*/ 2801188 w 2801188"/>
            <a:gd name="connsiteY5" fmla="*/ 77313 h 877247"/>
            <a:gd name="connsiteX6" fmla="*/ 2801188 w 2801188"/>
            <a:gd name="connsiteY6" fmla="*/ 661500 h 877247"/>
            <a:gd name="connsiteX7" fmla="*/ 2779333 w 2801188"/>
            <a:gd name="connsiteY7" fmla="*/ 714264 h 877247"/>
            <a:gd name="connsiteX8" fmla="*/ 2726569 w 2801188"/>
            <a:gd name="connsiteY8" fmla="*/ 736119 h 877247"/>
            <a:gd name="connsiteX9" fmla="*/ 2148890 w 2801188"/>
            <a:gd name="connsiteY9" fmla="*/ 739638 h 877247"/>
            <a:gd name="connsiteX10" fmla="*/ 1718442 w 2801188"/>
            <a:gd name="connsiteY10" fmla="*/ 877247 h 877247"/>
            <a:gd name="connsiteX11" fmla="*/ 1815640 w 2801188"/>
            <a:gd name="connsiteY11" fmla="*/ 739638 h 877247"/>
            <a:gd name="connsiteX12" fmla="*/ 1068839 w 2801188"/>
            <a:gd name="connsiteY12" fmla="*/ 736119 h 877247"/>
            <a:gd name="connsiteX13" fmla="*/ 895639 w 2801188"/>
            <a:gd name="connsiteY13" fmla="*/ 722344 h 877247"/>
            <a:gd name="connsiteX14" fmla="*/ 816734 w 2801188"/>
            <a:gd name="connsiteY14" fmla="*/ 661809 h 877247"/>
            <a:gd name="connsiteX15" fmla="*/ 780020 w 2801188"/>
            <a:gd name="connsiteY15" fmla="*/ 512515 h 877247"/>
            <a:gd name="connsiteX16" fmla="*/ 626055 w 2801188"/>
            <a:gd name="connsiteY16" fmla="*/ 469422 h 877247"/>
            <a:gd name="connsiteX17" fmla="*/ 787600 w 2801188"/>
            <a:gd name="connsiteY17" fmla="*/ 408406 h 877247"/>
            <a:gd name="connsiteX18" fmla="*/ 807685 w 2801188"/>
            <a:gd name="connsiteY18" fmla="*/ 168468 h 877247"/>
            <a:gd name="connsiteX19" fmla="*/ 0 w 2801188"/>
            <a:gd name="connsiteY19" fmla="*/ 1532 h 877247"/>
            <a:gd name="connsiteX20" fmla="*/ 823073 w 2801188"/>
            <a:gd name="connsiteY20" fmla="*/ 71927 h 877247"/>
            <a:gd name="connsiteX0" fmla="*/ 823073 w 2801188"/>
            <a:gd name="connsiteY0" fmla="*/ 71927 h 877247"/>
            <a:gd name="connsiteX1" fmla="*/ 851267 w 2801188"/>
            <a:gd name="connsiteY1" fmla="*/ 32629 h 877247"/>
            <a:gd name="connsiteX2" fmla="*/ 942063 w 2801188"/>
            <a:gd name="connsiteY2" fmla="*/ 0 h 877247"/>
            <a:gd name="connsiteX3" fmla="*/ 2726569 w 2801188"/>
            <a:gd name="connsiteY3" fmla="*/ 2694 h 877247"/>
            <a:gd name="connsiteX4" fmla="*/ 2779333 w 2801188"/>
            <a:gd name="connsiteY4" fmla="*/ 24549 h 877247"/>
            <a:gd name="connsiteX5" fmla="*/ 2801188 w 2801188"/>
            <a:gd name="connsiteY5" fmla="*/ 77313 h 877247"/>
            <a:gd name="connsiteX6" fmla="*/ 2801188 w 2801188"/>
            <a:gd name="connsiteY6" fmla="*/ 661500 h 877247"/>
            <a:gd name="connsiteX7" fmla="*/ 2779333 w 2801188"/>
            <a:gd name="connsiteY7" fmla="*/ 714264 h 877247"/>
            <a:gd name="connsiteX8" fmla="*/ 2726569 w 2801188"/>
            <a:gd name="connsiteY8" fmla="*/ 736119 h 877247"/>
            <a:gd name="connsiteX9" fmla="*/ 2148890 w 2801188"/>
            <a:gd name="connsiteY9" fmla="*/ 739638 h 877247"/>
            <a:gd name="connsiteX10" fmla="*/ 1718442 w 2801188"/>
            <a:gd name="connsiteY10" fmla="*/ 877247 h 877247"/>
            <a:gd name="connsiteX11" fmla="*/ 1815640 w 2801188"/>
            <a:gd name="connsiteY11" fmla="*/ 739638 h 877247"/>
            <a:gd name="connsiteX12" fmla="*/ 1068839 w 2801188"/>
            <a:gd name="connsiteY12" fmla="*/ 736119 h 877247"/>
            <a:gd name="connsiteX13" fmla="*/ 895639 w 2801188"/>
            <a:gd name="connsiteY13" fmla="*/ 722344 h 877247"/>
            <a:gd name="connsiteX14" fmla="*/ 816734 w 2801188"/>
            <a:gd name="connsiteY14" fmla="*/ 661809 h 877247"/>
            <a:gd name="connsiteX15" fmla="*/ 780020 w 2801188"/>
            <a:gd name="connsiteY15" fmla="*/ 512515 h 877247"/>
            <a:gd name="connsiteX16" fmla="*/ 626055 w 2801188"/>
            <a:gd name="connsiteY16" fmla="*/ 469422 h 877247"/>
            <a:gd name="connsiteX17" fmla="*/ 787600 w 2801188"/>
            <a:gd name="connsiteY17" fmla="*/ 408406 h 877247"/>
            <a:gd name="connsiteX18" fmla="*/ 783575 w 2801188"/>
            <a:gd name="connsiteY18" fmla="*/ 211045 h 877247"/>
            <a:gd name="connsiteX19" fmla="*/ 0 w 2801188"/>
            <a:gd name="connsiteY19" fmla="*/ 1532 h 877247"/>
            <a:gd name="connsiteX20" fmla="*/ 823073 w 2801188"/>
            <a:gd name="connsiteY20" fmla="*/ 71927 h 877247"/>
            <a:gd name="connsiteX0" fmla="*/ 823073 w 2801188"/>
            <a:gd name="connsiteY0" fmla="*/ 71927 h 899597"/>
            <a:gd name="connsiteX1" fmla="*/ 851267 w 2801188"/>
            <a:gd name="connsiteY1" fmla="*/ 32629 h 899597"/>
            <a:gd name="connsiteX2" fmla="*/ 942063 w 2801188"/>
            <a:gd name="connsiteY2" fmla="*/ 0 h 899597"/>
            <a:gd name="connsiteX3" fmla="*/ 2726569 w 2801188"/>
            <a:gd name="connsiteY3" fmla="*/ 2694 h 899597"/>
            <a:gd name="connsiteX4" fmla="*/ 2779333 w 2801188"/>
            <a:gd name="connsiteY4" fmla="*/ 24549 h 899597"/>
            <a:gd name="connsiteX5" fmla="*/ 2801188 w 2801188"/>
            <a:gd name="connsiteY5" fmla="*/ 77313 h 899597"/>
            <a:gd name="connsiteX6" fmla="*/ 2801188 w 2801188"/>
            <a:gd name="connsiteY6" fmla="*/ 661500 h 899597"/>
            <a:gd name="connsiteX7" fmla="*/ 2779333 w 2801188"/>
            <a:gd name="connsiteY7" fmla="*/ 714264 h 899597"/>
            <a:gd name="connsiteX8" fmla="*/ 2726569 w 2801188"/>
            <a:gd name="connsiteY8" fmla="*/ 736119 h 899597"/>
            <a:gd name="connsiteX9" fmla="*/ 2148890 w 2801188"/>
            <a:gd name="connsiteY9" fmla="*/ 739638 h 899597"/>
            <a:gd name="connsiteX10" fmla="*/ 1935436 w 2801188"/>
            <a:gd name="connsiteY10" fmla="*/ 899597 h 899597"/>
            <a:gd name="connsiteX11" fmla="*/ 1815640 w 2801188"/>
            <a:gd name="connsiteY11" fmla="*/ 739638 h 899597"/>
            <a:gd name="connsiteX12" fmla="*/ 1068839 w 2801188"/>
            <a:gd name="connsiteY12" fmla="*/ 736119 h 899597"/>
            <a:gd name="connsiteX13" fmla="*/ 895639 w 2801188"/>
            <a:gd name="connsiteY13" fmla="*/ 722344 h 899597"/>
            <a:gd name="connsiteX14" fmla="*/ 816734 w 2801188"/>
            <a:gd name="connsiteY14" fmla="*/ 661809 h 899597"/>
            <a:gd name="connsiteX15" fmla="*/ 780020 w 2801188"/>
            <a:gd name="connsiteY15" fmla="*/ 512515 h 899597"/>
            <a:gd name="connsiteX16" fmla="*/ 626055 w 2801188"/>
            <a:gd name="connsiteY16" fmla="*/ 469422 h 899597"/>
            <a:gd name="connsiteX17" fmla="*/ 787600 w 2801188"/>
            <a:gd name="connsiteY17" fmla="*/ 408406 h 899597"/>
            <a:gd name="connsiteX18" fmla="*/ 783575 w 2801188"/>
            <a:gd name="connsiteY18" fmla="*/ 211045 h 899597"/>
            <a:gd name="connsiteX19" fmla="*/ 0 w 2801188"/>
            <a:gd name="connsiteY19" fmla="*/ 1532 h 899597"/>
            <a:gd name="connsiteX20" fmla="*/ 823073 w 2801188"/>
            <a:gd name="connsiteY20" fmla="*/ 71927 h 899597"/>
            <a:gd name="connsiteX0" fmla="*/ 823073 w 2801188"/>
            <a:gd name="connsiteY0" fmla="*/ 71927 h 849309"/>
            <a:gd name="connsiteX1" fmla="*/ 851267 w 2801188"/>
            <a:gd name="connsiteY1" fmla="*/ 32629 h 849309"/>
            <a:gd name="connsiteX2" fmla="*/ 942063 w 2801188"/>
            <a:gd name="connsiteY2" fmla="*/ 0 h 849309"/>
            <a:gd name="connsiteX3" fmla="*/ 2726569 w 2801188"/>
            <a:gd name="connsiteY3" fmla="*/ 2694 h 849309"/>
            <a:gd name="connsiteX4" fmla="*/ 2779333 w 2801188"/>
            <a:gd name="connsiteY4" fmla="*/ 24549 h 849309"/>
            <a:gd name="connsiteX5" fmla="*/ 2801188 w 2801188"/>
            <a:gd name="connsiteY5" fmla="*/ 77313 h 849309"/>
            <a:gd name="connsiteX6" fmla="*/ 2801188 w 2801188"/>
            <a:gd name="connsiteY6" fmla="*/ 661500 h 849309"/>
            <a:gd name="connsiteX7" fmla="*/ 2779333 w 2801188"/>
            <a:gd name="connsiteY7" fmla="*/ 714264 h 849309"/>
            <a:gd name="connsiteX8" fmla="*/ 2726569 w 2801188"/>
            <a:gd name="connsiteY8" fmla="*/ 736119 h 849309"/>
            <a:gd name="connsiteX9" fmla="*/ 2148890 w 2801188"/>
            <a:gd name="connsiteY9" fmla="*/ 739638 h 849309"/>
            <a:gd name="connsiteX10" fmla="*/ 1971602 w 2801188"/>
            <a:gd name="connsiteY10" fmla="*/ 849309 h 849309"/>
            <a:gd name="connsiteX11" fmla="*/ 1815640 w 2801188"/>
            <a:gd name="connsiteY11" fmla="*/ 739638 h 849309"/>
            <a:gd name="connsiteX12" fmla="*/ 1068839 w 2801188"/>
            <a:gd name="connsiteY12" fmla="*/ 736119 h 849309"/>
            <a:gd name="connsiteX13" fmla="*/ 895639 w 2801188"/>
            <a:gd name="connsiteY13" fmla="*/ 722344 h 849309"/>
            <a:gd name="connsiteX14" fmla="*/ 816734 w 2801188"/>
            <a:gd name="connsiteY14" fmla="*/ 661809 h 849309"/>
            <a:gd name="connsiteX15" fmla="*/ 780020 w 2801188"/>
            <a:gd name="connsiteY15" fmla="*/ 512515 h 849309"/>
            <a:gd name="connsiteX16" fmla="*/ 626055 w 2801188"/>
            <a:gd name="connsiteY16" fmla="*/ 469422 h 849309"/>
            <a:gd name="connsiteX17" fmla="*/ 787600 w 2801188"/>
            <a:gd name="connsiteY17" fmla="*/ 408406 h 849309"/>
            <a:gd name="connsiteX18" fmla="*/ 783575 w 2801188"/>
            <a:gd name="connsiteY18" fmla="*/ 211045 h 849309"/>
            <a:gd name="connsiteX19" fmla="*/ 0 w 2801188"/>
            <a:gd name="connsiteY19" fmla="*/ 1532 h 849309"/>
            <a:gd name="connsiteX20" fmla="*/ 823073 w 2801188"/>
            <a:gd name="connsiteY20" fmla="*/ 71927 h 849309"/>
            <a:gd name="connsiteX0" fmla="*/ 835128 w 2813243"/>
            <a:gd name="connsiteY0" fmla="*/ 71927 h 849309"/>
            <a:gd name="connsiteX1" fmla="*/ 863322 w 2813243"/>
            <a:gd name="connsiteY1" fmla="*/ 32629 h 849309"/>
            <a:gd name="connsiteX2" fmla="*/ 954118 w 2813243"/>
            <a:gd name="connsiteY2" fmla="*/ 0 h 849309"/>
            <a:gd name="connsiteX3" fmla="*/ 2738624 w 2813243"/>
            <a:gd name="connsiteY3" fmla="*/ 2694 h 849309"/>
            <a:gd name="connsiteX4" fmla="*/ 2791388 w 2813243"/>
            <a:gd name="connsiteY4" fmla="*/ 24549 h 849309"/>
            <a:gd name="connsiteX5" fmla="*/ 2813243 w 2813243"/>
            <a:gd name="connsiteY5" fmla="*/ 77313 h 849309"/>
            <a:gd name="connsiteX6" fmla="*/ 2813243 w 2813243"/>
            <a:gd name="connsiteY6" fmla="*/ 661500 h 849309"/>
            <a:gd name="connsiteX7" fmla="*/ 2791388 w 2813243"/>
            <a:gd name="connsiteY7" fmla="*/ 714264 h 849309"/>
            <a:gd name="connsiteX8" fmla="*/ 2738624 w 2813243"/>
            <a:gd name="connsiteY8" fmla="*/ 736119 h 849309"/>
            <a:gd name="connsiteX9" fmla="*/ 2160945 w 2813243"/>
            <a:gd name="connsiteY9" fmla="*/ 739638 h 849309"/>
            <a:gd name="connsiteX10" fmla="*/ 1983657 w 2813243"/>
            <a:gd name="connsiteY10" fmla="*/ 849309 h 849309"/>
            <a:gd name="connsiteX11" fmla="*/ 1827695 w 2813243"/>
            <a:gd name="connsiteY11" fmla="*/ 739638 h 849309"/>
            <a:gd name="connsiteX12" fmla="*/ 1080894 w 2813243"/>
            <a:gd name="connsiteY12" fmla="*/ 736119 h 849309"/>
            <a:gd name="connsiteX13" fmla="*/ 907694 w 2813243"/>
            <a:gd name="connsiteY13" fmla="*/ 722344 h 849309"/>
            <a:gd name="connsiteX14" fmla="*/ 828789 w 2813243"/>
            <a:gd name="connsiteY14" fmla="*/ 661809 h 849309"/>
            <a:gd name="connsiteX15" fmla="*/ 792075 w 2813243"/>
            <a:gd name="connsiteY15" fmla="*/ 512515 h 849309"/>
            <a:gd name="connsiteX16" fmla="*/ 638110 w 2813243"/>
            <a:gd name="connsiteY16" fmla="*/ 469422 h 849309"/>
            <a:gd name="connsiteX17" fmla="*/ 799655 w 2813243"/>
            <a:gd name="connsiteY17" fmla="*/ 408406 h 849309"/>
            <a:gd name="connsiteX18" fmla="*/ 795630 w 2813243"/>
            <a:gd name="connsiteY18" fmla="*/ 211045 h 849309"/>
            <a:gd name="connsiteX19" fmla="*/ 0 w 2813243"/>
            <a:gd name="connsiteY19" fmla="*/ 157984 h 849309"/>
            <a:gd name="connsiteX20" fmla="*/ 835128 w 2813243"/>
            <a:gd name="connsiteY20" fmla="*/ 71927 h 849309"/>
            <a:gd name="connsiteX0" fmla="*/ 871294 w 2849409"/>
            <a:gd name="connsiteY0" fmla="*/ 71927 h 849309"/>
            <a:gd name="connsiteX1" fmla="*/ 899488 w 2849409"/>
            <a:gd name="connsiteY1" fmla="*/ 32629 h 849309"/>
            <a:gd name="connsiteX2" fmla="*/ 990284 w 2849409"/>
            <a:gd name="connsiteY2" fmla="*/ 0 h 849309"/>
            <a:gd name="connsiteX3" fmla="*/ 2774790 w 2849409"/>
            <a:gd name="connsiteY3" fmla="*/ 2694 h 849309"/>
            <a:gd name="connsiteX4" fmla="*/ 2827554 w 2849409"/>
            <a:gd name="connsiteY4" fmla="*/ 24549 h 849309"/>
            <a:gd name="connsiteX5" fmla="*/ 2849409 w 2849409"/>
            <a:gd name="connsiteY5" fmla="*/ 77313 h 849309"/>
            <a:gd name="connsiteX6" fmla="*/ 2849409 w 2849409"/>
            <a:gd name="connsiteY6" fmla="*/ 661500 h 849309"/>
            <a:gd name="connsiteX7" fmla="*/ 2827554 w 2849409"/>
            <a:gd name="connsiteY7" fmla="*/ 714264 h 849309"/>
            <a:gd name="connsiteX8" fmla="*/ 2774790 w 2849409"/>
            <a:gd name="connsiteY8" fmla="*/ 736119 h 849309"/>
            <a:gd name="connsiteX9" fmla="*/ 2197111 w 2849409"/>
            <a:gd name="connsiteY9" fmla="*/ 739638 h 849309"/>
            <a:gd name="connsiteX10" fmla="*/ 2019823 w 2849409"/>
            <a:gd name="connsiteY10" fmla="*/ 849309 h 849309"/>
            <a:gd name="connsiteX11" fmla="*/ 1863861 w 2849409"/>
            <a:gd name="connsiteY11" fmla="*/ 739638 h 849309"/>
            <a:gd name="connsiteX12" fmla="*/ 1117060 w 2849409"/>
            <a:gd name="connsiteY12" fmla="*/ 736119 h 849309"/>
            <a:gd name="connsiteX13" fmla="*/ 943860 w 2849409"/>
            <a:gd name="connsiteY13" fmla="*/ 722344 h 849309"/>
            <a:gd name="connsiteX14" fmla="*/ 864955 w 2849409"/>
            <a:gd name="connsiteY14" fmla="*/ 661809 h 849309"/>
            <a:gd name="connsiteX15" fmla="*/ 828241 w 2849409"/>
            <a:gd name="connsiteY15" fmla="*/ 512515 h 849309"/>
            <a:gd name="connsiteX16" fmla="*/ 674276 w 2849409"/>
            <a:gd name="connsiteY16" fmla="*/ 469422 h 849309"/>
            <a:gd name="connsiteX17" fmla="*/ 835821 w 2849409"/>
            <a:gd name="connsiteY17" fmla="*/ 408406 h 849309"/>
            <a:gd name="connsiteX18" fmla="*/ 831796 w 2849409"/>
            <a:gd name="connsiteY18" fmla="*/ 211045 h 849309"/>
            <a:gd name="connsiteX19" fmla="*/ 0 w 2849409"/>
            <a:gd name="connsiteY19" fmla="*/ 141222 h 849309"/>
            <a:gd name="connsiteX20" fmla="*/ 871294 w 2849409"/>
            <a:gd name="connsiteY20" fmla="*/ 71927 h 849309"/>
            <a:gd name="connsiteX0" fmla="*/ 256479 w 2234594"/>
            <a:gd name="connsiteY0" fmla="*/ 71927 h 849309"/>
            <a:gd name="connsiteX1" fmla="*/ 284673 w 2234594"/>
            <a:gd name="connsiteY1" fmla="*/ 32629 h 849309"/>
            <a:gd name="connsiteX2" fmla="*/ 375469 w 2234594"/>
            <a:gd name="connsiteY2" fmla="*/ 0 h 849309"/>
            <a:gd name="connsiteX3" fmla="*/ 2159975 w 2234594"/>
            <a:gd name="connsiteY3" fmla="*/ 2694 h 849309"/>
            <a:gd name="connsiteX4" fmla="*/ 2212739 w 2234594"/>
            <a:gd name="connsiteY4" fmla="*/ 24549 h 849309"/>
            <a:gd name="connsiteX5" fmla="*/ 2234594 w 2234594"/>
            <a:gd name="connsiteY5" fmla="*/ 77313 h 849309"/>
            <a:gd name="connsiteX6" fmla="*/ 2234594 w 2234594"/>
            <a:gd name="connsiteY6" fmla="*/ 661500 h 849309"/>
            <a:gd name="connsiteX7" fmla="*/ 2212739 w 2234594"/>
            <a:gd name="connsiteY7" fmla="*/ 714264 h 849309"/>
            <a:gd name="connsiteX8" fmla="*/ 2159975 w 2234594"/>
            <a:gd name="connsiteY8" fmla="*/ 736119 h 849309"/>
            <a:gd name="connsiteX9" fmla="*/ 1582296 w 2234594"/>
            <a:gd name="connsiteY9" fmla="*/ 739638 h 849309"/>
            <a:gd name="connsiteX10" fmla="*/ 1405008 w 2234594"/>
            <a:gd name="connsiteY10" fmla="*/ 849309 h 849309"/>
            <a:gd name="connsiteX11" fmla="*/ 1249046 w 2234594"/>
            <a:gd name="connsiteY11" fmla="*/ 739638 h 849309"/>
            <a:gd name="connsiteX12" fmla="*/ 502245 w 2234594"/>
            <a:gd name="connsiteY12" fmla="*/ 736119 h 849309"/>
            <a:gd name="connsiteX13" fmla="*/ 329045 w 2234594"/>
            <a:gd name="connsiteY13" fmla="*/ 722344 h 849309"/>
            <a:gd name="connsiteX14" fmla="*/ 250140 w 2234594"/>
            <a:gd name="connsiteY14" fmla="*/ 661809 h 849309"/>
            <a:gd name="connsiteX15" fmla="*/ 213426 w 2234594"/>
            <a:gd name="connsiteY15" fmla="*/ 512515 h 849309"/>
            <a:gd name="connsiteX16" fmla="*/ 59461 w 2234594"/>
            <a:gd name="connsiteY16" fmla="*/ 469422 h 849309"/>
            <a:gd name="connsiteX17" fmla="*/ 221006 w 2234594"/>
            <a:gd name="connsiteY17" fmla="*/ 408406 h 849309"/>
            <a:gd name="connsiteX18" fmla="*/ 216981 w 2234594"/>
            <a:gd name="connsiteY18" fmla="*/ 211045 h 849309"/>
            <a:gd name="connsiteX19" fmla="*/ 0 w 2234594"/>
            <a:gd name="connsiteY19" fmla="*/ 118773 h 849309"/>
            <a:gd name="connsiteX20" fmla="*/ 256479 w 2234594"/>
            <a:gd name="connsiteY20" fmla="*/ 71927 h 849309"/>
            <a:gd name="connsiteX0" fmla="*/ 256479 w 2234594"/>
            <a:gd name="connsiteY0" fmla="*/ 71927 h 849309"/>
            <a:gd name="connsiteX1" fmla="*/ 284673 w 2234594"/>
            <a:gd name="connsiteY1" fmla="*/ 32629 h 849309"/>
            <a:gd name="connsiteX2" fmla="*/ 375469 w 2234594"/>
            <a:gd name="connsiteY2" fmla="*/ 0 h 849309"/>
            <a:gd name="connsiteX3" fmla="*/ 2159975 w 2234594"/>
            <a:gd name="connsiteY3" fmla="*/ 2694 h 849309"/>
            <a:gd name="connsiteX4" fmla="*/ 2212739 w 2234594"/>
            <a:gd name="connsiteY4" fmla="*/ 24549 h 849309"/>
            <a:gd name="connsiteX5" fmla="*/ 2234594 w 2234594"/>
            <a:gd name="connsiteY5" fmla="*/ 77313 h 849309"/>
            <a:gd name="connsiteX6" fmla="*/ 2234594 w 2234594"/>
            <a:gd name="connsiteY6" fmla="*/ 661500 h 849309"/>
            <a:gd name="connsiteX7" fmla="*/ 2212739 w 2234594"/>
            <a:gd name="connsiteY7" fmla="*/ 714264 h 849309"/>
            <a:gd name="connsiteX8" fmla="*/ 2159975 w 2234594"/>
            <a:gd name="connsiteY8" fmla="*/ 736119 h 849309"/>
            <a:gd name="connsiteX9" fmla="*/ 1582296 w 2234594"/>
            <a:gd name="connsiteY9" fmla="*/ 739638 h 849309"/>
            <a:gd name="connsiteX10" fmla="*/ 115101 w 2234594"/>
            <a:gd name="connsiteY10" fmla="*/ 849309 h 849309"/>
            <a:gd name="connsiteX11" fmla="*/ 1249046 w 2234594"/>
            <a:gd name="connsiteY11" fmla="*/ 739638 h 849309"/>
            <a:gd name="connsiteX12" fmla="*/ 502245 w 2234594"/>
            <a:gd name="connsiteY12" fmla="*/ 736119 h 849309"/>
            <a:gd name="connsiteX13" fmla="*/ 329045 w 2234594"/>
            <a:gd name="connsiteY13" fmla="*/ 722344 h 849309"/>
            <a:gd name="connsiteX14" fmla="*/ 250140 w 2234594"/>
            <a:gd name="connsiteY14" fmla="*/ 661809 h 849309"/>
            <a:gd name="connsiteX15" fmla="*/ 213426 w 2234594"/>
            <a:gd name="connsiteY15" fmla="*/ 512515 h 849309"/>
            <a:gd name="connsiteX16" fmla="*/ 59461 w 2234594"/>
            <a:gd name="connsiteY16" fmla="*/ 469422 h 849309"/>
            <a:gd name="connsiteX17" fmla="*/ 221006 w 2234594"/>
            <a:gd name="connsiteY17" fmla="*/ 408406 h 849309"/>
            <a:gd name="connsiteX18" fmla="*/ 216981 w 2234594"/>
            <a:gd name="connsiteY18" fmla="*/ 211045 h 849309"/>
            <a:gd name="connsiteX19" fmla="*/ 0 w 2234594"/>
            <a:gd name="connsiteY19" fmla="*/ 118773 h 849309"/>
            <a:gd name="connsiteX20" fmla="*/ 256479 w 2234594"/>
            <a:gd name="connsiteY20" fmla="*/ 71927 h 849309"/>
            <a:gd name="connsiteX0" fmla="*/ 256479 w 2234594"/>
            <a:gd name="connsiteY0" fmla="*/ 71927 h 739638"/>
            <a:gd name="connsiteX1" fmla="*/ 284673 w 2234594"/>
            <a:gd name="connsiteY1" fmla="*/ 32629 h 739638"/>
            <a:gd name="connsiteX2" fmla="*/ 375469 w 2234594"/>
            <a:gd name="connsiteY2" fmla="*/ 0 h 739638"/>
            <a:gd name="connsiteX3" fmla="*/ 2159975 w 2234594"/>
            <a:gd name="connsiteY3" fmla="*/ 2694 h 739638"/>
            <a:gd name="connsiteX4" fmla="*/ 2212739 w 2234594"/>
            <a:gd name="connsiteY4" fmla="*/ 24549 h 739638"/>
            <a:gd name="connsiteX5" fmla="*/ 2234594 w 2234594"/>
            <a:gd name="connsiteY5" fmla="*/ 77313 h 739638"/>
            <a:gd name="connsiteX6" fmla="*/ 2234594 w 2234594"/>
            <a:gd name="connsiteY6" fmla="*/ 661500 h 739638"/>
            <a:gd name="connsiteX7" fmla="*/ 2212739 w 2234594"/>
            <a:gd name="connsiteY7" fmla="*/ 714264 h 739638"/>
            <a:gd name="connsiteX8" fmla="*/ 2159975 w 2234594"/>
            <a:gd name="connsiteY8" fmla="*/ 736119 h 739638"/>
            <a:gd name="connsiteX9" fmla="*/ 1582296 w 2234594"/>
            <a:gd name="connsiteY9" fmla="*/ 739638 h 739638"/>
            <a:gd name="connsiteX10" fmla="*/ 1249046 w 2234594"/>
            <a:gd name="connsiteY10" fmla="*/ 739638 h 739638"/>
            <a:gd name="connsiteX11" fmla="*/ 502245 w 2234594"/>
            <a:gd name="connsiteY11" fmla="*/ 736119 h 739638"/>
            <a:gd name="connsiteX12" fmla="*/ 329045 w 2234594"/>
            <a:gd name="connsiteY12" fmla="*/ 722344 h 739638"/>
            <a:gd name="connsiteX13" fmla="*/ 250140 w 2234594"/>
            <a:gd name="connsiteY13" fmla="*/ 661809 h 739638"/>
            <a:gd name="connsiteX14" fmla="*/ 213426 w 2234594"/>
            <a:gd name="connsiteY14" fmla="*/ 512515 h 739638"/>
            <a:gd name="connsiteX15" fmla="*/ 59461 w 2234594"/>
            <a:gd name="connsiteY15" fmla="*/ 469422 h 739638"/>
            <a:gd name="connsiteX16" fmla="*/ 221006 w 2234594"/>
            <a:gd name="connsiteY16" fmla="*/ 408406 h 739638"/>
            <a:gd name="connsiteX17" fmla="*/ 216981 w 2234594"/>
            <a:gd name="connsiteY17" fmla="*/ 211045 h 739638"/>
            <a:gd name="connsiteX18" fmla="*/ 0 w 2234594"/>
            <a:gd name="connsiteY18" fmla="*/ 118773 h 739638"/>
            <a:gd name="connsiteX19" fmla="*/ 256479 w 2234594"/>
            <a:gd name="connsiteY19" fmla="*/ 71927 h 739638"/>
            <a:gd name="connsiteX0" fmla="*/ 268297 w 2246412"/>
            <a:gd name="connsiteY0" fmla="*/ 71927 h 739638"/>
            <a:gd name="connsiteX1" fmla="*/ 296491 w 2246412"/>
            <a:gd name="connsiteY1" fmla="*/ 32629 h 739638"/>
            <a:gd name="connsiteX2" fmla="*/ 387287 w 2246412"/>
            <a:gd name="connsiteY2" fmla="*/ 0 h 739638"/>
            <a:gd name="connsiteX3" fmla="*/ 2171793 w 2246412"/>
            <a:gd name="connsiteY3" fmla="*/ 2694 h 739638"/>
            <a:gd name="connsiteX4" fmla="*/ 2224557 w 2246412"/>
            <a:gd name="connsiteY4" fmla="*/ 24549 h 739638"/>
            <a:gd name="connsiteX5" fmla="*/ 2246412 w 2246412"/>
            <a:gd name="connsiteY5" fmla="*/ 77313 h 739638"/>
            <a:gd name="connsiteX6" fmla="*/ 2246412 w 2246412"/>
            <a:gd name="connsiteY6" fmla="*/ 661500 h 739638"/>
            <a:gd name="connsiteX7" fmla="*/ 2224557 w 2246412"/>
            <a:gd name="connsiteY7" fmla="*/ 714264 h 739638"/>
            <a:gd name="connsiteX8" fmla="*/ 2171793 w 2246412"/>
            <a:gd name="connsiteY8" fmla="*/ 736119 h 739638"/>
            <a:gd name="connsiteX9" fmla="*/ 1594114 w 2246412"/>
            <a:gd name="connsiteY9" fmla="*/ 739638 h 739638"/>
            <a:gd name="connsiteX10" fmla="*/ 1260864 w 2246412"/>
            <a:gd name="connsiteY10" fmla="*/ 739638 h 739638"/>
            <a:gd name="connsiteX11" fmla="*/ 514063 w 2246412"/>
            <a:gd name="connsiteY11" fmla="*/ 736119 h 739638"/>
            <a:gd name="connsiteX12" fmla="*/ 340863 w 2246412"/>
            <a:gd name="connsiteY12" fmla="*/ 722344 h 739638"/>
            <a:gd name="connsiteX13" fmla="*/ 261958 w 2246412"/>
            <a:gd name="connsiteY13" fmla="*/ 661809 h 739638"/>
            <a:gd name="connsiteX14" fmla="*/ 0 w 2246412"/>
            <a:gd name="connsiteY14" fmla="*/ 656080 h 739638"/>
            <a:gd name="connsiteX15" fmla="*/ 225244 w 2246412"/>
            <a:gd name="connsiteY15" fmla="*/ 512515 h 739638"/>
            <a:gd name="connsiteX16" fmla="*/ 71279 w 2246412"/>
            <a:gd name="connsiteY16" fmla="*/ 469422 h 739638"/>
            <a:gd name="connsiteX17" fmla="*/ 232824 w 2246412"/>
            <a:gd name="connsiteY17" fmla="*/ 408406 h 739638"/>
            <a:gd name="connsiteX18" fmla="*/ 228799 w 2246412"/>
            <a:gd name="connsiteY18" fmla="*/ 211045 h 739638"/>
            <a:gd name="connsiteX19" fmla="*/ 11818 w 2246412"/>
            <a:gd name="connsiteY19" fmla="*/ 118773 h 739638"/>
            <a:gd name="connsiteX20" fmla="*/ 268297 w 2246412"/>
            <a:gd name="connsiteY20" fmla="*/ 71927 h 739638"/>
            <a:gd name="connsiteX0" fmla="*/ 287203 w 2265318"/>
            <a:gd name="connsiteY0" fmla="*/ 71927 h 739638"/>
            <a:gd name="connsiteX1" fmla="*/ 315397 w 2265318"/>
            <a:gd name="connsiteY1" fmla="*/ 32629 h 739638"/>
            <a:gd name="connsiteX2" fmla="*/ 406193 w 2265318"/>
            <a:gd name="connsiteY2" fmla="*/ 0 h 739638"/>
            <a:gd name="connsiteX3" fmla="*/ 2190699 w 2265318"/>
            <a:gd name="connsiteY3" fmla="*/ 2694 h 739638"/>
            <a:gd name="connsiteX4" fmla="*/ 2243463 w 2265318"/>
            <a:gd name="connsiteY4" fmla="*/ 24549 h 739638"/>
            <a:gd name="connsiteX5" fmla="*/ 2265318 w 2265318"/>
            <a:gd name="connsiteY5" fmla="*/ 77313 h 739638"/>
            <a:gd name="connsiteX6" fmla="*/ 2265318 w 2265318"/>
            <a:gd name="connsiteY6" fmla="*/ 661500 h 739638"/>
            <a:gd name="connsiteX7" fmla="*/ 2243463 w 2265318"/>
            <a:gd name="connsiteY7" fmla="*/ 714264 h 739638"/>
            <a:gd name="connsiteX8" fmla="*/ 2190699 w 2265318"/>
            <a:gd name="connsiteY8" fmla="*/ 736119 h 739638"/>
            <a:gd name="connsiteX9" fmla="*/ 1613020 w 2265318"/>
            <a:gd name="connsiteY9" fmla="*/ 739638 h 739638"/>
            <a:gd name="connsiteX10" fmla="*/ 1279770 w 2265318"/>
            <a:gd name="connsiteY10" fmla="*/ 739638 h 739638"/>
            <a:gd name="connsiteX11" fmla="*/ 532969 w 2265318"/>
            <a:gd name="connsiteY11" fmla="*/ 736119 h 739638"/>
            <a:gd name="connsiteX12" fmla="*/ 359769 w 2265318"/>
            <a:gd name="connsiteY12" fmla="*/ 722344 h 739638"/>
            <a:gd name="connsiteX13" fmla="*/ 280864 w 2265318"/>
            <a:gd name="connsiteY13" fmla="*/ 661809 h 739638"/>
            <a:gd name="connsiteX14" fmla="*/ 18906 w 2265318"/>
            <a:gd name="connsiteY14" fmla="*/ 656080 h 739638"/>
            <a:gd name="connsiteX15" fmla="*/ 260258 w 2265318"/>
            <a:gd name="connsiteY15" fmla="*/ 588674 h 739638"/>
            <a:gd name="connsiteX16" fmla="*/ 244150 w 2265318"/>
            <a:gd name="connsiteY16" fmla="*/ 512515 h 739638"/>
            <a:gd name="connsiteX17" fmla="*/ 90185 w 2265318"/>
            <a:gd name="connsiteY17" fmla="*/ 469422 h 739638"/>
            <a:gd name="connsiteX18" fmla="*/ 251730 w 2265318"/>
            <a:gd name="connsiteY18" fmla="*/ 408406 h 739638"/>
            <a:gd name="connsiteX19" fmla="*/ 247705 w 2265318"/>
            <a:gd name="connsiteY19" fmla="*/ 211045 h 739638"/>
            <a:gd name="connsiteX20" fmla="*/ 30724 w 2265318"/>
            <a:gd name="connsiteY20" fmla="*/ 118773 h 739638"/>
            <a:gd name="connsiteX21" fmla="*/ 287203 w 2265318"/>
            <a:gd name="connsiteY21" fmla="*/ 71927 h 739638"/>
            <a:gd name="connsiteX0" fmla="*/ 287203 w 2265318"/>
            <a:gd name="connsiteY0" fmla="*/ 71927 h 739638"/>
            <a:gd name="connsiteX1" fmla="*/ 315397 w 2265318"/>
            <a:gd name="connsiteY1" fmla="*/ 32629 h 739638"/>
            <a:gd name="connsiteX2" fmla="*/ 406193 w 2265318"/>
            <a:gd name="connsiteY2" fmla="*/ 0 h 739638"/>
            <a:gd name="connsiteX3" fmla="*/ 2190699 w 2265318"/>
            <a:gd name="connsiteY3" fmla="*/ 2694 h 739638"/>
            <a:gd name="connsiteX4" fmla="*/ 2243463 w 2265318"/>
            <a:gd name="connsiteY4" fmla="*/ 24549 h 739638"/>
            <a:gd name="connsiteX5" fmla="*/ 2265318 w 2265318"/>
            <a:gd name="connsiteY5" fmla="*/ 77313 h 739638"/>
            <a:gd name="connsiteX6" fmla="*/ 2265318 w 2265318"/>
            <a:gd name="connsiteY6" fmla="*/ 661500 h 739638"/>
            <a:gd name="connsiteX7" fmla="*/ 2243463 w 2265318"/>
            <a:gd name="connsiteY7" fmla="*/ 714264 h 739638"/>
            <a:gd name="connsiteX8" fmla="*/ 2190699 w 2265318"/>
            <a:gd name="connsiteY8" fmla="*/ 736119 h 739638"/>
            <a:gd name="connsiteX9" fmla="*/ 1613020 w 2265318"/>
            <a:gd name="connsiteY9" fmla="*/ 739638 h 739638"/>
            <a:gd name="connsiteX10" fmla="*/ 1279770 w 2265318"/>
            <a:gd name="connsiteY10" fmla="*/ 739638 h 739638"/>
            <a:gd name="connsiteX11" fmla="*/ 532969 w 2265318"/>
            <a:gd name="connsiteY11" fmla="*/ 736119 h 739638"/>
            <a:gd name="connsiteX12" fmla="*/ 359769 w 2265318"/>
            <a:gd name="connsiteY12" fmla="*/ 722344 h 739638"/>
            <a:gd name="connsiteX13" fmla="*/ 280864 w 2265318"/>
            <a:gd name="connsiteY13" fmla="*/ 661809 h 739638"/>
            <a:gd name="connsiteX14" fmla="*/ 18906 w 2265318"/>
            <a:gd name="connsiteY14" fmla="*/ 656080 h 739638"/>
            <a:gd name="connsiteX15" fmla="*/ 260258 w 2265318"/>
            <a:gd name="connsiteY15" fmla="*/ 588674 h 739638"/>
            <a:gd name="connsiteX16" fmla="*/ 244150 w 2265318"/>
            <a:gd name="connsiteY16" fmla="*/ 512515 h 739638"/>
            <a:gd name="connsiteX17" fmla="*/ 90185 w 2265318"/>
            <a:gd name="connsiteY17" fmla="*/ 469422 h 739638"/>
            <a:gd name="connsiteX18" fmla="*/ 270294 w 2265318"/>
            <a:gd name="connsiteY18" fmla="*/ 313581 h 739638"/>
            <a:gd name="connsiteX19" fmla="*/ 247705 w 2265318"/>
            <a:gd name="connsiteY19" fmla="*/ 211045 h 739638"/>
            <a:gd name="connsiteX20" fmla="*/ 30724 w 2265318"/>
            <a:gd name="connsiteY20" fmla="*/ 118773 h 739638"/>
            <a:gd name="connsiteX21" fmla="*/ 287203 w 2265318"/>
            <a:gd name="connsiteY21" fmla="*/ 71927 h 739638"/>
            <a:gd name="connsiteX0" fmla="*/ 287203 w 2265318"/>
            <a:gd name="connsiteY0" fmla="*/ 71927 h 739638"/>
            <a:gd name="connsiteX1" fmla="*/ 315397 w 2265318"/>
            <a:gd name="connsiteY1" fmla="*/ 32629 h 739638"/>
            <a:gd name="connsiteX2" fmla="*/ 406193 w 2265318"/>
            <a:gd name="connsiteY2" fmla="*/ 0 h 739638"/>
            <a:gd name="connsiteX3" fmla="*/ 2190699 w 2265318"/>
            <a:gd name="connsiteY3" fmla="*/ 2694 h 739638"/>
            <a:gd name="connsiteX4" fmla="*/ 2243463 w 2265318"/>
            <a:gd name="connsiteY4" fmla="*/ 24549 h 739638"/>
            <a:gd name="connsiteX5" fmla="*/ 2265318 w 2265318"/>
            <a:gd name="connsiteY5" fmla="*/ 77313 h 739638"/>
            <a:gd name="connsiteX6" fmla="*/ 2265318 w 2265318"/>
            <a:gd name="connsiteY6" fmla="*/ 661500 h 739638"/>
            <a:gd name="connsiteX7" fmla="*/ 2243463 w 2265318"/>
            <a:gd name="connsiteY7" fmla="*/ 714264 h 739638"/>
            <a:gd name="connsiteX8" fmla="*/ 2190699 w 2265318"/>
            <a:gd name="connsiteY8" fmla="*/ 736119 h 739638"/>
            <a:gd name="connsiteX9" fmla="*/ 1613020 w 2265318"/>
            <a:gd name="connsiteY9" fmla="*/ 739638 h 739638"/>
            <a:gd name="connsiteX10" fmla="*/ 1279770 w 2265318"/>
            <a:gd name="connsiteY10" fmla="*/ 739638 h 739638"/>
            <a:gd name="connsiteX11" fmla="*/ 532969 w 2265318"/>
            <a:gd name="connsiteY11" fmla="*/ 736119 h 739638"/>
            <a:gd name="connsiteX12" fmla="*/ 359769 w 2265318"/>
            <a:gd name="connsiteY12" fmla="*/ 722344 h 739638"/>
            <a:gd name="connsiteX13" fmla="*/ 280864 w 2265318"/>
            <a:gd name="connsiteY13" fmla="*/ 661809 h 739638"/>
            <a:gd name="connsiteX14" fmla="*/ 18906 w 2265318"/>
            <a:gd name="connsiteY14" fmla="*/ 656080 h 739638"/>
            <a:gd name="connsiteX15" fmla="*/ 260258 w 2265318"/>
            <a:gd name="connsiteY15" fmla="*/ 588674 h 739638"/>
            <a:gd name="connsiteX16" fmla="*/ 244150 w 2265318"/>
            <a:gd name="connsiteY16" fmla="*/ 512515 h 739638"/>
            <a:gd name="connsiteX17" fmla="*/ 90185 w 2265318"/>
            <a:gd name="connsiteY17" fmla="*/ 469422 h 739638"/>
            <a:gd name="connsiteX18" fmla="*/ 247705 w 2265318"/>
            <a:gd name="connsiteY18" fmla="*/ 211045 h 739638"/>
            <a:gd name="connsiteX19" fmla="*/ 30724 w 2265318"/>
            <a:gd name="connsiteY19" fmla="*/ 118773 h 739638"/>
            <a:gd name="connsiteX20" fmla="*/ 287203 w 2265318"/>
            <a:gd name="connsiteY20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21053 w 2342221"/>
            <a:gd name="connsiteY16" fmla="*/ 512515 h 739638"/>
            <a:gd name="connsiteX17" fmla="*/ 0 w 2342221"/>
            <a:gd name="connsiteY17" fmla="*/ 325287 h 739638"/>
            <a:gd name="connsiteX18" fmla="*/ 324608 w 2342221"/>
            <a:gd name="connsiteY18" fmla="*/ 211045 h 739638"/>
            <a:gd name="connsiteX19" fmla="*/ 107627 w 2342221"/>
            <a:gd name="connsiteY19" fmla="*/ 118773 h 739638"/>
            <a:gd name="connsiteX20" fmla="*/ 364106 w 2342221"/>
            <a:gd name="connsiteY20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21053 w 2342221"/>
            <a:gd name="connsiteY16" fmla="*/ 512515 h 739638"/>
            <a:gd name="connsiteX17" fmla="*/ 0 w 2342221"/>
            <a:gd name="connsiteY17" fmla="*/ 325287 h 739638"/>
            <a:gd name="connsiteX18" fmla="*/ 392857 w 2342221"/>
            <a:gd name="connsiteY18" fmla="*/ 299648 h 739638"/>
            <a:gd name="connsiteX19" fmla="*/ 324608 w 2342221"/>
            <a:gd name="connsiteY19" fmla="*/ 211045 h 739638"/>
            <a:gd name="connsiteX20" fmla="*/ 107627 w 2342221"/>
            <a:gd name="connsiteY20" fmla="*/ 118773 h 739638"/>
            <a:gd name="connsiteX21" fmla="*/ 364106 w 2342221"/>
            <a:gd name="connsiteY21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21053 w 2342221"/>
            <a:gd name="connsiteY16" fmla="*/ 512515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324608 w 2342221"/>
            <a:gd name="connsiteY19" fmla="*/ 211045 h 739638"/>
            <a:gd name="connsiteX20" fmla="*/ 107627 w 2342221"/>
            <a:gd name="connsiteY20" fmla="*/ 118773 h 739638"/>
            <a:gd name="connsiteX21" fmla="*/ 364106 w 2342221"/>
            <a:gd name="connsiteY21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21053 w 2342221"/>
            <a:gd name="connsiteY16" fmla="*/ 512515 h 739638"/>
            <a:gd name="connsiteX17" fmla="*/ 374292 w 2342221"/>
            <a:gd name="connsiteY17" fmla="*/ 394474 h 739638"/>
            <a:gd name="connsiteX18" fmla="*/ 0 w 2342221"/>
            <a:gd name="connsiteY18" fmla="*/ 325287 h 739638"/>
            <a:gd name="connsiteX19" fmla="*/ 337161 w 2342221"/>
            <a:gd name="connsiteY19" fmla="*/ 295855 h 739638"/>
            <a:gd name="connsiteX20" fmla="*/ 324608 w 2342221"/>
            <a:gd name="connsiteY20" fmla="*/ 211045 h 739638"/>
            <a:gd name="connsiteX21" fmla="*/ 107627 w 2342221"/>
            <a:gd name="connsiteY21" fmla="*/ 118773 h 739638"/>
            <a:gd name="connsiteX22" fmla="*/ 364106 w 2342221"/>
            <a:gd name="connsiteY22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74292 w 2342221"/>
            <a:gd name="connsiteY16" fmla="*/ 394474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324608 w 2342221"/>
            <a:gd name="connsiteY19" fmla="*/ 211045 h 739638"/>
            <a:gd name="connsiteX20" fmla="*/ 107627 w 2342221"/>
            <a:gd name="connsiteY20" fmla="*/ 118773 h 739638"/>
            <a:gd name="connsiteX21" fmla="*/ 364106 w 2342221"/>
            <a:gd name="connsiteY21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74292 w 2342221"/>
            <a:gd name="connsiteY16" fmla="*/ 394474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380305 w 2342221"/>
            <a:gd name="connsiteY19" fmla="*/ 207252 h 739638"/>
            <a:gd name="connsiteX20" fmla="*/ 107627 w 2342221"/>
            <a:gd name="connsiteY20" fmla="*/ 118773 h 739638"/>
            <a:gd name="connsiteX21" fmla="*/ 364106 w 2342221"/>
            <a:gd name="connsiteY21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74292 w 2342221"/>
            <a:gd name="connsiteY16" fmla="*/ 394474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107627 w 2342221"/>
            <a:gd name="connsiteY19" fmla="*/ 118773 h 739638"/>
            <a:gd name="connsiteX20" fmla="*/ 364106 w 2342221"/>
            <a:gd name="connsiteY20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74292 w 2342221"/>
            <a:gd name="connsiteY16" fmla="*/ 394474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318596 w 2342221"/>
            <a:gd name="connsiteY19" fmla="*/ 155514 h 739638"/>
            <a:gd name="connsiteX20" fmla="*/ 107627 w 2342221"/>
            <a:gd name="connsiteY20" fmla="*/ 118773 h 739638"/>
            <a:gd name="connsiteX21" fmla="*/ 364106 w 2342221"/>
            <a:gd name="connsiteY21" fmla="*/ 71927 h 739638"/>
            <a:gd name="connsiteX0" fmla="*/ 364106 w 2342221"/>
            <a:gd name="connsiteY0" fmla="*/ 71927 h 739638"/>
            <a:gd name="connsiteX1" fmla="*/ 392300 w 2342221"/>
            <a:gd name="connsiteY1" fmla="*/ 32629 h 739638"/>
            <a:gd name="connsiteX2" fmla="*/ 483096 w 2342221"/>
            <a:gd name="connsiteY2" fmla="*/ 0 h 739638"/>
            <a:gd name="connsiteX3" fmla="*/ 2267602 w 2342221"/>
            <a:gd name="connsiteY3" fmla="*/ 2694 h 739638"/>
            <a:gd name="connsiteX4" fmla="*/ 2320366 w 2342221"/>
            <a:gd name="connsiteY4" fmla="*/ 24549 h 739638"/>
            <a:gd name="connsiteX5" fmla="*/ 2342221 w 2342221"/>
            <a:gd name="connsiteY5" fmla="*/ 77313 h 739638"/>
            <a:gd name="connsiteX6" fmla="*/ 2342221 w 2342221"/>
            <a:gd name="connsiteY6" fmla="*/ 661500 h 739638"/>
            <a:gd name="connsiteX7" fmla="*/ 2320366 w 2342221"/>
            <a:gd name="connsiteY7" fmla="*/ 714264 h 739638"/>
            <a:gd name="connsiteX8" fmla="*/ 2267602 w 2342221"/>
            <a:gd name="connsiteY8" fmla="*/ 736119 h 739638"/>
            <a:gd name="connsiteX9" fmla="*/ 1689923 w 2342221"/>
            <a:gd name="connsiteY9" fmla="*/ 739638 h 739638"/>
            <a:gd name="connsiteX10" fmla="*/ 1356673 w 2342221"/>
            <a:gd name="connsiteY10" fmla="*/ 739638 h 739638"/>
            <a:gd name="connsiteX11" fmla="*/ 609872 w 2342221"/>
            <a:gd name="connsiteY11" fmla="*/ 736119 h 739638"/>
            <a:gd name="connsiteX12" fmla="*/ 436672 w 2342221"/>
            <a:gd name="connsiteY12" fmla="*/ 722344 h 739638"/>
            <a:gd name="connsiteX13" fmla="*/ 357767 w 2342221"/>
            <a:gd name="connsiteY13" fmla="*/ 661809 h 739638"/>
            <a:gd name="connsiteX14" fmla="*/ 95809 w 2342221"/>
            <a:gd name="connsiteY14" fmla="*/ 656080 h 739638"/>
            <a:gd name="connsiteX15" fmla="*/ 337161 w 2342221"/>
            <a:gd name="connsiteY15" fmla="*/ 588674 h 739638"/>
            <a:gd name="connsiteX16" fmla="*/ 374292 w 2342221"/>
            <a:gd name="connsiteY16" fmla="*/ 394474 h 739638"/>
            <a:gd name="connsiteX17" fmla="*/ 0 w 2342221"/>
            <a:gd name="connsiteY17" fmla="*/ 325287 h 739638"/>
            <a:gd name="connsiteX18" fmla="*/ 337161 w 2342221"/>
            <a:gd name="connsiteY18" fmla="*/ 295855 h 739638"/>
            <a:gd name="connsiteX19" fmla="*/ 318596 w 2342221"/>
            <a:gd name="connsiteY19" fmla="*/ 155514 h 739638"/>
            <a:gd name="connsiteX20" fmla="*/ 14800 w 2342221"/>
            <a:gd name="connsiteY20" fmla="*/ 50499 h 739638"/>
            <a:gd name="connsiteX21" fmla="*/ 364106 w 2342221"/>
            <a:gd name="connsiteY21" fmla="*/ 71927 h 739638"/>
            <a:gd name="connsiteX0" fmla="*/ 405002 w 2383117"/>
            <a:gd name="connsiteY0" fmla="*/ 71927 h 739638"/>
            <a:gd name="connsiteX1" fmla="*/ 433196 w 2383117"/>
            <a:gd name="connsiteY1" fmla="*/ 32629 h 739638"/>
            <a:gd name="connsiteX2" fmla="*/ 523992 w 2383117"/>
            <a:gd name="connsiteY2" fmla="*/ 0 h 739638"/>
            <a:gd name="connsiteX3" fmla="*/ 2308498 w 2383117"/>
            <a:gd name="connsiteY3" fmla="*/ 2694 h 739638"/>
            <a:gd name="connsiteX4" fmla="*/ 2361262 w 2383117"/>
            <a:gd name="connsiteY4" fmla="*/ 24549 h 739638"/>
            <a:gd name="connsiteX5" fmla="*/ 2383117 w 2383117"/>
            <a:gd name="connsiteY5" fmla="*/ 77313 h 739638"/>
            <a:gd name="connsiteX6" fmla="*/ 2383117 w 2383117"/>
            <a:gd name="connsiteY6" fmla="*/ 661500 h 739638"/>
            <a:gd name="connsiteX7" fmla="*/ 2361262 w 2383117"/>
            <a:gd name="connsiteY7" fmla="*/ 714264 h 739638"/>
            <a:gd name="connsiteX8" fmla="*/ 2308498 w 2383117"/>
            <a:gd name="connsiteY8" fmla="*/ 736119 h 739638"/>
            <a:gd name="connsiteX9" fmla="*/ 1730819 w 2383117"/>
            <a:gd name="connsiteY9" fmla="*/ 739638 h 739638"/>
            <a:gd name="connsiteX10" fmla="*/ 1397569 w 2383117"/>
            <a:gd name="connsiteY10" fmla="*/ 739638 h 739638"/>
            <a:gd name="connsiteX11" fmla="*/ 650768 w 2383117"/>
            <a:gd name="connsiteY11" fmla="*/ 736119 h 739638"/>
            <a:gd name="connsiteX12" fmla="*/ 477568 w 2383117"/>
            <a:gd name="connsiteY12" fmla="*/ 722344 h 739638"/>
            <a:gd name="connsiteX13" fmla="*/ 398663 w 2383117"/>
            <a:gd name="connsiteY13" fmla="*/ 661809 h 739638"/>
            <a:gd name="connsiteX14" fmla="*/ 136705 w 2383117"/>
            <a:gd name="connsiteY14" fmla="*/ 656080 h 739638"/>
            <a:gd name="connsiteX15" fmla="*/ 378057 w 2383117"/>
            <a:gd name="connsiteY15" fmla="*/ 588674 h 739638"/>
            <a:gd name="connsiteX16" fmla="*/ 415188 w 2383117"/>
            <a:gd name="connsiteY16" fmla="*/ 394474 h 739638"/>
            <a:gd name="connsiteX17" fmla="*/ 40896 w 2383117"/>
            <a:gd name="connsiteY17" fmla="*/ 325287 h 739638"/>
            <a:gd name="connsiteX18" fmla="*/ 378057 w 2383117"/>
            <a:gd name="connsiteY18" fmla="*/ 295855 h 739638"/>
            <a:gd name="connsiteX19" fmla="*/ 359492 w 2383117"/>
            <a:gd name="connsiteY19" fmla="*/ 155514 h 739638"/>
            <a:gd name="connsiteX20" fmla="*/ 0 w 2383117"/>
            <a:gd name="connsiteY20" fmla="*/ 77050 h 739638"/>
            <a:gd name="connsiteX21" fmla="*/ 405002 w 2383117"/>
            <a:gd name="connsiteY21" fmla="*/ 71927 h 739638"/>
            <a:gd name="connsiteX0" fmla="*/ 405002 w 2383117"/>
            <a:gd name="connsiteY0" fmla="*/ 71927 h 739638"/>
            <a:gd name="connsiteX1" fmla="*/ 433196 w 2383117"/>
            <a:gd name="connsiteY1" fmla="*/ 32629 h 739638"/>
            <a:gd name="connsiteX2" fmla="*/ 523992 w 2383117"/>
            <a:gd name="connsiteY2" fmla="*/ 0 h 739638"/>
            <a:gd name="connsiteX3" fmla="*/ 2308498 w 2383117"/>
            <a:gd name="connsiteY3" fmla="*/ 2694 h 739638"/>
            <a:gd name="connsiteX4" fmla="*/ 2361262 w 2383117"/>
            <a:gd name="connsiteY4" fmla="*/ 24549 h 739638"/>
            <a:gd name="connsiteX5" fmla="*/ 2383117 w 2383117"/>
            <a:gd name="connsiteY5" fmla="*/ 77313 h 739638"/>
            <a:gd name="connsiteX6" fmla="*/ 2383117 w 2383117"/>
            <a:gd name="connsiteY6" fmla="*/ 661500 h 739638"/>
            <a:gd name="connsiteX7" fmla="*/ 2361262 w 2383117"/>
            <a:gd name="connsiteY7" fmla="*/ 714264 h 739638"/>
            <a:gd name="connsiteX8" fmla="*/ 2308498 w 2383117"/>
            <a:gd name="connsiteY8" fmla="*/ 736119 h 739638"/>
            <a:gd name="connsiteX9" fmla="*/ 1730819 w 2383117"/>
            <a:gd name="connsiteY9" fmla="*/ 739638 h 739638"/>
            <a:gd name="connsiteX10" fmla="*/ 1397569 w 2383117"/>
            <a:gd name="connsiteY10" fmla="*/ 739638 h 739638"/>
            <a:gd name="connsiteX11" fmla="*/ 650768 w 2383117"/>
            <a:gd name="connsiteY11" fmla="*/ 736119 h 739638"/>
            <a:gd name="connsiteX12" fmla="*/ 477568 w 2383117"/>
            <a:gd name="connsiteY12" fmla="*/ 722344 h 739638"/>
            <a:gd name="connsiteX13" fmla="*/ 398663 w 2383117"/>
            <a:gd name="connsiteY13" fmla="*/ 661809 h 739638"/>
            <a:gd name="connsiteX14" fmla="*/ 136705 w 2383117"/>
            <a:gd name="connsiteY14" fmla="*/ 656080 h 739638"/>
            <a:gd name="connsiteX15" fmla="*/ 378057 w 2383117"/>
            <a:gd name="connsiteY15" fmla="*/ 588674 h 739638"/>
            <a:gd name="connsiteX16" fmla="*/ 415188 w 2383117"/>
            <a:gd name="connsiteY16" fmla="*/ 394474 h 739638"/>
            <a:gd name="connsiteX17" fmla="*/ 40896 w 2383117"/>
            <a:gd name="connsiteY17" fmla="*/ 325287 h 739638"/>
            <a:gd name="connsiteX18" fmla="*/ 378057 w 2383117"/>
            <a:gd name="connsiteY18" fmla="*/ 295855 h 739638"/>
            <a:gd name="connsiteX19" fmla="*/ 359492 w 2383117"/>
            <a:gd name="connsiteY19" fmla="*/ 155514 h 739638"/>
            <a:gd name="connsiteX20" fmla="*/ 0 w 2383117"/>
            <a:gd name="connsiteY20" fmla="*/ 77050 h 739638"/>
            <a:gd name="connsiteX21" fmla="*/ 405002 w 2383117"/>
            <a:gd name="connsiteY21" fmla="*/ 71927 h 739638"/>
            <a:gd name="connsiteX0" fmla="*/ 405002 w 2383117"/>
            <a:gd name="connsiteY0" fmla="*/ 71927 h 739638"/>
            <a:gd name="connsiteX1" fmla="*/ 433196 w 2383117"/>
            <a:gd name="connsiteY1" fmla="*/ 32629 h 739638"/>
            <a:gd name="connsiteX2" fmla="*/ 523992 w 2383117"/>
            <a:gd name="connsiteY2" fmla="*/ 0 h 739638"/>
            <a:gd name="connsiteX3" fmla="*/ 2308498 w 2383117"/>
            <a:gd name="connsiteY3" fmla="*/ 2694 h 739638"/>
            <a:gd name="connsiteX4" fmla="*/ 2361262 w 2383117"/>
            <a:gd name="connsiteY4" fmla="*/ 24549 h 739638"/>
            <a:gd name="connsiteX5" fmla="*/ 2383117 w 2383117"/>
            <a:gd name="connsiteY5" fmla="*/ 77313 h 739638"/>
            <a:gd name="connsiteX6" fmla="*/ 2383117 w 2383117"/>
            <a:gd name="connsiteY6" fmla="*/ 661500 h 739638"/>
            <a:gd name="connsiteX7" fmla="*/ 2361262 w 2383117"/>
            <a:gd name="connsiteY7" fmla="*/ 714264 h 739638"/>
            <a:gd name="connsiteX8" fmla="*/ 2308498 w 2383117"/>
            <a:gd name="connsiteY8" fmla="*/ 736119 h 739638"/>
            <a:gd name="connsiteX9" fmla="*/ 1730819 w 2383117"/>
            <a:gd name="connsiteY9" fmla="*/ 739638 h 739638"/>
            <a:gd name="connsiteX10" fmla="*/ 1397569 w 2383117"/>
            <a:gd name="connsiteY10" fmla="*/ 739638 h 739638"/>
            <a:gd name="connsiteX11" fmla="*/ 650768 w 2383117"/>
            <a:gd name="connsiteY11" fmla="*/ 736119 h 739638"/>
            <a:gd name="connsiteX12" fmla="*/ 477568 w 2383117"/>
            <a:gd name="connsiteY12" fmla="*/ 722344 h 739638"/>
            <a:gd name="connsiteX13" fmla="*/ 398663 w 2383117"/>
            <a:gd name="connsiteY13" fmla="*/ 661809 h 739638"/>
            <a:gd name="connsiteX14" fmla="*/ 136705 w 2383117"/>
            <a:gd name="connsiteY14" fmla="*/ 656080 h 739638"/>
            <a:gd name="connsiteX15" fmla="*/ 378057 w 2383117"/>
            <a:gd name="connsiteY15" fmla="*/ 588674 h 739638"/>
            <a:gd name="connsiteX16" fmla="*/ 415188 w 2383117"/>
            <a:gd name="connsiteY16" fmla="*/ 394474 h 739638"/>
            <a:gd name="connsiteX17" fmla="*/ 40896 w 2383117"/>
            <a:gd name="connsiteY17" fmla="*/ 325287 h 739638"/>
            <a:gd name="connsiteX18" fmla="*/ 378057 w 2383117"/>
            <a:gd name="connsiteY18" fmla="*/ 295855 h 739638"/>
            <a:gd name="connsiteX19" fmla="*/ 359492 w 2383117"/>
            <a:gd name="connsiteY19" fmla="*/ 155514 h 739638"/>
            <a:gd name="connsiteX20" fmla="*/ 0 w 2383117"/>
            <a:gd name="connsiteY20" fmla="*/ 77050 h 739638"/>
            <a:gd name="connsiteX21" fmla="*/ 405002 w 2383117"/>
            <a:gd name="connsiteY21" fmla="*/ 71927 h 739638"/>
            <a:gd name="connsiteX0" fmla="*/ 494063 w 2472178"/>
            <a:gd name="connsiteY0" fmla="*/ 71927 h 739638"/>
            <a:gd name="connsiteX1" fmla="*/ 522257 w 2472178"/>
            <a:gd name="connsiteY1" fmla="*/ 32629 h 739638"/>
            <a:gd name="connsiteX2" fmla="*/ 613053 w 2472178"/>
            <a:gd name="connsiteY2" fmla="*/ 0 h 739638"/>
            <a:gd name="connsiteX3" fmla="*/ 2397559 w 2472178"/>
            <a:gd name="connsiteY3" fmla="*/ 2694 h 739638"/>
            <a:gd name="connsiteX4" fmla="*/ 2450323 w 2472178"/>
            <a:gd name="connsiteY4" fmla="*/ 24549 h 739638"/>
            <a:gd name="connsiteX5" fmla="*/ 2472178 w 2472178"/>
            <a:gd name="connsiteY5" fmla="*/ 77313 h 739638"/>
            <a:gd name="connsiteX6" fmla="*/ 2472178 w 2472178"/>
            <a:gd name="connsiteY6" fmla="*/ 661500 h 739638"/>
            <a:gd name="connsiteX7" fmla="*/ 2450323 w 2472178"/>
            <a:gd name="connsiteY7" fmla="*/ 714264 h 739638"/>
            <a:gd name="connsiteX8" fmla="*/ 2397559 w 2472178"/>
            <a:gd name="connsiteY8" fmla="*/ 736119 h 739638"/>
            <a:gd name="connsiteX9" fmla="*/ 1819880 w 2472178"/>
            <a:gd name="connsiteY9" fmla="*/ 739638 h 739638"/>
            <a:gd name="connsiteX10" fmla="*/ 1486630 w 2472178"/>
            <a:gd name="connsiteY10" fmla="*/ 739638 h 739638"/>
            <a:gd name="connsiteX11" fmla="*/ 739829 w 2472178"/>
            <a:gd name="connsiteY11" fmla="*/ 736119 h 739638"/>
            <a:gd name="connsiteX12" fmla="*/ 566629 w 2472178"/>
            <a:gd name="connsiteY12" fmla="*/ 722344 h 739638"/>
            <a:gd name="connsiteX13" fmla="*/ 487724 w 2472178"/>
            <a:gd name="connsiteY13" fmla="*/ 661809 h 739638"/>
            <a:gd name="connsiteX14" fmla="*/ 225766 w 2472178"/>
            <a:gd name="connsiteY14" fmla="*/ 656080 h 739638"/>
            <a:gd name="connsiteX15" fmla="*/ 467118 w 2472178"/>
            <a:gd name="connsiteY15" fmla="*/ 588674 h 739638"/>
            <a:gd name="connsiteX16" fmla="*/ 504249 w 2472178"/>
            <a:gd name="connsiteY16" fmla="*/ 394474 h 739638"/>
            <a:gd name="connsiteX17" fmla="*/ 0 w 2472178"/>
            <a:gd name="connsiteY17" fmla="*/ 344252 h 739638"/>
            <a:gd name="connsiteX18" fmla="*/ 467118 w 2472178"/>
            <a:gd name="connsiteY18" fmla="*/ 295855 h 739638"/>
            <a:gd name="connsiteX19" fmla="*/ 448553 w 2472178"/>
            <a:gd name="connsiteY19" fmla="*/ 155514 h 739638"/>
            <a:gd name="connsiteX20" fmla="*/ 89061 w 2472178"/>
            <a:gd name="connsiteY20" fmla="*/ 77050 h 739638"/>
            <a:gd name="connsiteX21" fmla="*/ 494063 w 2472178"/>
            <a:gd name="connsiteY21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20173 w 2525233"/>
            <a:gd name="connsiteY15" fmla="*/ 588674 h 739638"/>
            <a:gd name="connsiteX16" fmla="*/ 557304 w 2525233"/>
            <a:gd name="connsiteY16" fmla="*/ 394474 h 739638"/>
            <a:gd name="connsiteX17" fmla="*/ 53055 w 2525233"/>
            <a:gd name="connsiteY17" fmla="*/ 344252 h 739638"/>
            <a:gd name="connsiteX18" fmla="*/ 520173 w 2525233"/>
            <a:gd name="connsiteY18" fmla="*/ 295855 h 739638"/>
            <a:gd name="connsiteX19" fmla="*/ 501608 w 2525233"/>
            <a:gd name="connsiteY19" fmla="*/ 155514 h 739638"/>
            <a:gd name="connsiteX20" fmla="*/ 142116 w 2525233"/>
            <a:gd name="connsiteY20" fmla="*/ 77050 h 739638"/>
            <a:gd name="connsiteX21" fmla="*/ 547118 w 2525233"/>
            <a:gd name="connsiteY21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20173 w 2525233"/>
            <a:gd name="connsiteY15" fmla="*/ 588674 h 739638"/>
            <a:gd name="connsiteX16" fmla="*/ 557304 w 2525233"/>
            <a:gd name="connsiteY16" fmla="*/ 394474 h 739638"/>
            <a:gd name="connsiteX17" fmla="*/ 53055 w 2525233"/>
            <a:gd name="connsiteY17" fmla="*/ 344252 h 739638"/>
            <a:gd name="connsiteX18" fmla="*/ 520173 w 2525233"/>
            <a:gd name="connsiteY18" fmla="*/ 295855 h 739638"/>
            <a:gd name="connsiteX19" fmla="*/ 501608 w 2525233"/>
            <a:gd name="connsiteY19" fmla="*/ 155514 h 739638"/>
            <a:gd name="connsiteX20" fmla="*/ 142116 w 2525233"/>
            <a:gd name="connsiteY20" fmla="*/ 77050 h 739638"/>
            <a:gd name="connsiteX21" fmla="*/ 547118 w 2525233"/>
            <a:gd name="connsiteY21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57304 w 2525233"/>
            <a:gd name="connsiteY16" fmla="*/ 394474 h 739638"/>
            <a:gd name="connsiteX17" fmla="*/ 53055 w 2525233"/>
            <a:gd name="connsiteY17" fmla="*/ 344252 h 739638"/>
            <a:gd name="connsiteX18" fmla="*/ 520173 w 2525233"/>
            <a:gd name="connsiteY18" fmla="*/ 295855 h 739638"/>
            <a:gd name="connsiteX19" fmla="*/ 501608 w 2525233"/>
            <a:gd name="connsiteY19" fmla="*/ 155514 h 739638"/>
            <a:gd name="connsiteX20" fmla="*/ 142116 w 2525233"/>
            <a:gd name="connsiteY20" fmla="*/ 77050 h 739638"/>
            <a:gd name="connsiteX21" fmla="*/ 547118 w 2525233"/>
            <a:gd name="connsiteY21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57304 w 2525233"/>
            <a:gd name="connsiteY16" fmla="*/ 394474 h 739638"/>
            <a:gd name="connsiteX17" fmla="*/ 53055 w 2525233"/>
            <a:gd name="connsiteY17" fmla="*/ 344252 h 739638"/>
            <a:gd name="connsiteX18" fmla="*/ 520173 w 2525233"/>
            <a:gd name="connsiteY18" fmla="*/ 295855 h 739638"/>
            <a:gd name="connsiteX19" fmla="*/ 501608 w 2525233"/>
            <a:gd name="connsiteY19" fmla="*/ 155514 h 739638"/>
            <a:gd name="connsiteX20" fmla="*/ 142116 w 2525233"/>
            <a:gd name="connsiteY20" fmla="*/ 77050 h 739638"/>
            <a:gd name="connsiteX21" fmla="*/ 547118 w 2525233"/>
            <a:gd name="connsiteY21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57304 w 2525233"/>
            <a:gd name="connsiteY16" fmla="*/ 394474 h 739638"/>
            <a:gd name="connsiteX17" fmla="*/ 520173 w 2525233"/>
            <a:gd name="connsiteY17" fmla="*/ 295855 h 739638"/>
            <a:gd name="connsiteX18" fmla="*/ 501608 w 2525233"/>
            <a:gd name="connsiteY18" fmla="*/ 155514 h 739638"/>
            <a:gd name="connsiteX19" fmla="*/ 142116 w 2525233"/>
            <a:gd name="connsiteY19" fmla="*/ 77050 h 739638"/>
            <a:gd name="connsiteX20" fmla="*/ 547118 w 2525233"/>
            <a:gd name="connsiteY20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57304 w 2525233"/>
            <a:gd name="connsiteY16" fmla="*/ 394474 h 739638"/>
            <a:gd name="connsiteX17" fmla="*/ 501608 w 2525233"/>
            <a:gd name="connsiteY17" fmla="*/ 155514 h 739638"/>
            <a:gd name="connsiteX18" fmla="*/ 142116 w 2525233"/>
            <a:gd name="connsiteY18" fmla="*/ 77050 h 739638"/>
            <a:gd name="connsiteX19" fmla="*/ 547118 w 2525233"/>
            <a:gd name="connsiteY19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01608 w 2525233"/>
            <a:gd name="connsiteY16" fmla="*/ 155514 h 739638"/>
            <a:gd name="connsiteX17" fmla="*/ 142116 w 2525233"/>
            <a:gd name="connsiteY17" fmla="*/ 77050 h 739638"/>
            <a:gd name="connsiteX18" fmla="*/ 547118 w 2525233"/>
            <a:gd name="connsiteY18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01608 w 2525233"/>
            <a:gd name="connsiteY16" fmla="*/ 155514 h 739638"/>
            <a:gd name="connsiteX17" fmla="*/ 142116 w 2525233"/>
            <a:gd name="connsiteY17" fmla="*/ 77050 h 739638"/>
            <a:gd name="connsiteX18" fmla="*/ 547118 w 2525233"/>
            <a:gd name="connsiteY18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01608 w 2525233"/>
            <a:gd name="connsiteY16" fmla="*/ 155514 h 739638"/>
            <a:gd name="connsiteX17" fmla="*/ 142116 w 2525233"/>
            <a:gd name="connsiteY17" fmla="*/ 77050 h 739638"/>
            <a:gd name="connsiteX18" fmla="*/ 547118 w 2525233"/>
            <a:gd name="connsiteY18" fmla="*/ 71927 h 739638"/>
            <a:gd name="connsiteX0" fmla="*/ 547118 w 2525233"/>
            <a:gd name="connsiteY0" fmla="*/ 71927 h 739638"/>
            <a:gd name="connsiteX1" fmla="*/ 575312 w 2525233"/>
            <a:gd name="connsiteY1" fmla="*/ 32629 h 739638"/>
            <a:gd name="connsiteX2" fmla="*/ 666108 w 2525233"/>
            <a:gd name="connsiteY2" fmla="*/ 0 h 739638"/>
            <a:gd name="connsiteX3" fmla="*/ 2450614 w 2525233"/>
            <a:gd name="connsiteY3" fmla="*/ 2694 h 739638"/>
            <a:gd name="connsiteX4" fmla="*/ 2503378 w 2525233"/>
            <a:gd name="connsiteY4" fmla="*/ 24549 h 739638"/>
            <a:gd name="connsiteX5" fmla="*/ 2525233 w 2525233"/>
            <a:gd name="connsiteY5" fmla="*/ 77313 h 739638"/>
            <a:gd name="connsiteX6" fmla="*/ 2525233 w 2525233"/>
            <a:gd name="connsiteY6" fmla="*/ 661500 h 739638"/>
            <a:gd name="connsiteX7" fmla="*/ 2503378 w 2525233"/>
            <a:gd name="connsiteY7" fmla="*/ 714264 h 739638"/>
            <a:gd name="connsiteX8" fmla="*/ 2450614 w 2525233"/>
            <a:gd name="connsiteY8" fmla="*/ 736119 h 739638"/>
            <a:gd name="connsiteX9" fmla="*/ 1872935 w 2525233"/>
            <a:gd name="connsiteY9" fmla="*/ 739638 h 739638"/>
            <a:gd name="connsiteX10" fmla="*/ 1539685 w 2525233"/>
            <a:gd name="connsiteY10" fmla="*/ 739638 h 739638"/>
            <a:gd name="connsiteX11" fmla="*/ 792884 w 2525233"/>
            <a:gd name="connsiteY11" fmla="*/ 736119 h 739638"/>
            <a:gd name="connsiteX12" fmla="*/ 619684 w 2525233"/>
            <a:gd name="connsiteY12" fmla="*/ 722344 h 739638"/>
            <a:gd name="connsiteX13" fmla="*/ 540779 w 2525233"/>
            <a:gd name="connsiteY13" fmla="*/ 661809 h 739638"/>
            <a:gd name="connsiteX14" fmla="*/ 18906 w 2525233"/>
            <a:gd name="connsiteY14" fmla="*/ 663666 h 739638"/>
            <a:gd name="connsiteX15" fmla="*/ 594435 w 2525233"/>
            <a:gd name="connsiteY15" fmla="*/ 577295 h 739638"/>
            <a:gd name="connsiteX16" fmla="*/ 501608 w 2525233"/>
            <a:gd name="connsiteY16" fmla="*/ 155514 h 739638"/>
            <a:gd name="connsiteX17" fmla="*/ 86420 w 2525233"/>
            <a:gd name="connsiteY17" fmla="*/ 103601 h 739638"/>
            <a:gd name="connsiteX18" fmla="*/ 547118 w 2525233"/>
            <a:gd name="connsiteY18" fmla="*/ 71927 h 739638"/>
            <a:gd name="connsiteX0" fmla="*/ 460698 w 2438813"/>
            <a:gd name="connsiteY0" fmla="*/ 71927 h 739638"/>
            <a:gd name="connsiteX1" fmla="*/ 488892 w 2438813"/>
            <a:gd name="connsiteY1" fmla="*/ 32629 h 739638"/>
            <a:gd name="connsiteX2" fmla="*/ 579688 w 2438813"/>
            <a:gd name="connsiteY2" fmla="*/ 0 h 739638"/>
            <a:gd name="connsiteX3" fmla="*/ 2364194 w 2438813"/>
            <a:gd name="connsiteY3" fmla="*/ 2694 h 739638"/>
            <a:gd name="connsiteX4" fmla="*/ 2416958 w 2438813"/>
            <a:gd name="connsiteY4" fmla="*/ 24549 h 739638"/>
            <a:gd name="connsiteX5" fmla="*/ 2438813 w 2438813"/>
            <a:gd name="connsiteY5" fmla="*/ 77313 h 739638"/>
            <a:gd name="connsiteX6" fmla="*/ 2438813 w 2438813"/>
            <a:gd name="connsiteY6" fmla="*/ 661500 h 739638"/>
            <a:gd name="connsiteX7" fmla="*/ 2416958 w 2438813"/>
            <a:gd name="connsiteY7" fmla="*/ 714264 h 739638"/>
            <a:gd name="connsiteX8" fmla="*/ 2364194 w 2438813"/>
            <a:gd name="connsiteY8" fmla="*/ 736119 h 739638"/>
            <a:gd name="connsiteX9" fmla="*/ 1786515 w 2438813"/>
            <a:gd name="connsiteY9" fmla="*/ 739638 h 739638"/>
            <a:gd name="connsiteX10" fmla="*/ 1453265 w 2438813"/>
            <a:gd name="connsiteY10" fmla="*/ 739638 h 739638"/>
            <a:gd name="connsiteX11" fmla="*/ 706464 w 2438813"/>
            <a:gd name="connsiteY11" fmla="*/ 736119 h 739638"/>
            <a:gd name="connsiteX12" fmla="*/ 533264 w 2438813"/>
            <a:gd name="connsiteY12" fmla="*/ 722344 h 739638"/>
            <a:gd name="connsiteX13" fmla="*/ 454359 w 2438813"/>
            <a:gd name="connsiteY13" fmla="*/ 661809 h 739638"/>
            <a:gd name="connsiteX14" fmla="*/ 81010 w 2438813"/>
            <a:gd name="connsiteY14" fmla="*/ 644701 h 739638"/>
            <a:gd name="connsiteX15" fmla="*/ 508015 w 2438813"/>
            <a:gd name="connsiteY15" fmla="*/ 577295 h 739638"/>
            <a:gd name="connsiteX16" fmla="*/ 415188 w 2438813"/>
            <a:gd name="connsiteY16" fmla="*/ 155514 h 739638"/>
            <a:gd name="connsiteX17" fmla="*/ 0 w 2438813"/>
            <a:gd name="connsiteY17" fmla="*/ 103601 h 739638"/>
            <a:gd name="connsiteX18" fmla="*/ 460698 w 2438813"/>
            <a:gd name="connsiteY18" fmla="*/ 71927 h 73963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2438813" h="739638">
              <a:moveTo>
                <a:pt x="460698" y="71927"/>
              </a:moveTo>
              <a:cubicBezTo>
                <a:pt x="460698" y="52137"/>
                <a:pt x="469060" y="44617"/>
                <a:pt x="488892" y="32629"/>
              </a:cubicBezTo>
              <a:cubicBezTo>
                <a:pt x="508724" y="20641"/>
                <a:pt x="523006" y="13167"/>
                <a:pt x="579688" y="0"/>
              </a:cubicBezTo>
              <a:lnTo>
                <a:pt x="2364194" y="2694"/>
              </a:lnTo>
              <a:cubicBezTo>
                <a:pt x="2383984" y="2694"/>
                <a:pt x="2402964" y="10556"/>
                <a:pt x="2416958" y="24549"/>
              </a:cubicBezTo>
              <a:cubicBezTo>
                <a:pt x="2430952" y="38543"/>
                <a:pt x="2438813" y="57522"/>
                <a:pt x="2438813" y="77313"/>
              </a:cubicBezTo>
              <a:lnTo>
                <a:pt x="2438813" y="661500"/>
              </a:lnTo>
              <a:cubicBezTo>
                <a:pt x="2438813" y="681290"/>
                <a:pt x="2430951" y="700270"/>
                <a:pt x="2416958" y="714264"/>
              </a:cubicBezTo>
              <a:cubicBezTo>
                <a:pt x="2402964" y="728258"/>
                <a:pt x="2422983" y="726904"/>
                <a:pt x="2364194" y="736119"/>
              </a:cubicBezTo>
              <a:lnTo>
                <a:pt x="1786515" y="739638"/>
              </a:lnTo>
              <a:lnTo>
                <a:pt x="1453265" y="739638"/>
              </a:lnTo>
              <a:lnTo>
                <a:pt x="706464" y="736119"/>
              </a:lnTo>
              <a:cubicBezTo>
                <a:pt x="686674" y="736119"/>
                <a:pt x="575282" y="734729"/>
                <a:pt x="533264" y="722344"/>
              </a:cubicBezTo>
              <a:cubicBezTo>
                <a:pt x="491247" y="709959"/>
                <a:pt x="474039" y="684087"/>
                <a:pt x="454359" y="661809"/>
              </a:cubicBezTo>
              <a:lnTo>
                <a:pt x="81010" y="644701"/>
              </a:lnTo>
              <a:cubicBezTo>
                <a:pt x="62104" y="628018"/>
                <a:pt x="331644" y="609517"/>
                <a:pt x="508015" y="577295"/>
              </a:cubicBezTo>
              <a:cubicBezTo>
                <a:pt x="439942" y="481224"/>
                <a:pt x="490574" y="238888"/>
                <a:pt x="415188" y="155514"/>
              </a:cubicBezTo>
              <a:lnTo>
                <a:pt x="0" y="103601"/>
              </a:lnTo>
              <a:lnTo>
                <a:pt x="460698" y="71927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　　 データが存在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　　  しない場合表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　　示されない。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5715</xdr:colOff>
      <xdr:row>53</xdr:row>
      <xdr:rowOff>74294</xdr:rowOff>
    </xdr:from>
    <xdr:to>
      <xdr:col>26</xdr:col>
      <xdr:colOff>158115</xdr:colOff>
      <xdr:row>54</xdr:row>
      <xdr:rowOff>36194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2EBA22AF-172F-4A49-B862-1A633B833764}"/>
            </a:ext>
          </a:extLst>
        </xdr:cNvPr>
        <xdr:cNvSpPr/>
      </xdr:nvSpPr>
      <xdr:spPr>
        <a:xfrm>
          <a:off x="5006340" y="9199244"/>
          <a:ext cx="352425" cy="1333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196215</xdr:colOff>
      <xdr:row>53</xdr:row>
      <xdr:rowOff>45719</xdr:rowOff>
    </xdr:from>
    <xdr:to>
      <xdr:col>33</xdr:col>
      <xdr:colOff>148590</xdr:colOff>
      <xdr:row>54</xdr:row>
      <xdr:rowOff>7619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9DF912CB-1AFB-4FA8-8D2A-1D8757E7C0B8}"/>
            </a:ext>
          </a:extLst>
        </xdr:cNvPr>
        <xdr:cNvSpPr/>
      </xdr:nvSpPr>
      <xdr:spPr>
        <a:xfrm>
          <a:off x="6396990" y="9170669"/>
          <a:ext cx="352425" cy="1333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37</xdr:row>
      <xdr:rowOff>0</xdr:rowOff>
    </xdr:from>
    <xdr:to>
      <xdr:col>50</xdr:col>
      <xdr:colOff>169801</xdr:colOff>
      <xdr:row>45</xdr:row>
      <xdr:rowOff>862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8DC21D9-91A8-4981-996C-3D872AB41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61" t="57886" r="4767" b="26806"/>
        <a:stretch/>
      </xdr:blipFill>
      <xdr:spPr>
        <a:xfrm>
          <a:off x="211455" y="6381750"/>
          <a:ext cx="9007096" cy="137246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46732</xdr:colOff>
      <xdr:row>5</xdr:row>
      <xdr:rowOff>125170</xdr:rowOff>
    </xdr:from>
    <xdr:to>
      <xdr:col>51</xdr:col>
      <xdr:colOff>3173</xdr:colOff>
      <xdr:row>36</xdr:row>
      <xdr:rowOff>130402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8DF9432-9BB2-4A61-A7E3-DEF8B2CCFD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61" t="13789" r="4767" b="26806"/>
        <a:stretch/>
      </xdr:blipFill>
      <xdr:spPr>
        <a:xfrm>
          <a:off x="227707" y="1020520"/>
          <a:ext cx="9005191" cy="532018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120016</xdr:colOff>
      <xdr:row>28</xdr:row>
      <xdr:rowOff>152400</xdr:rowOff>
    </xdr:from>
    <xdr:to>
      <xdr:col>51</xdr:col>
      <xdr:colOff>76201</xdr:colOff>
      <xdr:row>37</xdr:row>
      <xdr:rowOff>18391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81E8F2-73F9-45A1-8B04-8CAAE5C44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6" y="4991100"/>
          <a:ext cx="9185910" cy="1409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93343</xdr:colOff>
      <xdr:row>29</xdr:row>
      <xdr:rowOff>1908</xdr:rowOff>
    </xdr:from>
    <xdr:to>
      <xdr:col>50</xdr:col>
      <xdr:colOff>0</xdr:colOff>
      <xdr:row>37</xdr:row>
      <xdr:rowOff>19050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D29953A-7EF7-4CB5-AA2A-2ABE0AF818D2}"/>
            </a:ext>
          </a:extLst>
        </xdr:cNvPr>
        <xdr:cNvSpPr/>
      </xdr:nvSpPr>
      <xdr:spPr>
        <a:xfrm>
          <a:off x="274318" y="5012058"/>
          <a:ext cx="8774432" cy="1388742"/>
        </a:xfrm>
        <a:prstGeom prst="rect">
          <a:avLst/>
        </a:prstGeom>
        <a:noFill/>
        <a:ln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26</xdr:col>
      <xdr:colOff>24766</xdr:colOff>
      <xdr:row>35</xdr:row>
      <xdr:rowOff>47625</xdr:rowOff>
    </xdr:from>
    <xdr:to>
      <xdr:col>27</xdr:col>
      <xdr:colOff>177166</xdr:colOff>
      <xdr:row>36</xdr:row>
      <xdr:rowOff>9525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53018A0-12D1-4F28-822F-9DB30B906D2E}"/>
            </a:ext>
          </a:extLst>
        </xdr:cNvPr>
        <xdr:cNvSpPr/>
      </xdr:nvSpPr>
      <xdr:spPr>
        <a:xfrm>
          <a:off x="5225416" y="6086475"/>
          <a:ext cx="352425" cy="1333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186691</xdr:colOff>
      <xdr:row>35</xdr:row>
      <xdr:rowOff>76200</xdr:rowOff>
    </xdr:from>
    <xdr:to>
      <xdr:col>35</xdr:col>
      <xdr:colOff>139066</xdr:colOff>
      <xdr:row>36</xdr:row>
      <xdr:rowOff>38100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8A90D28-919A-49AD-A15B-F4A182118299}"/>
            </a:ext>
          </a:extLst>
        </xdr:cNvPr>
        <xdr:cNvSpPr/>
      </xdr:nvSpPr>
      <xdr:spPr>
        <a:xfrm>
          <a:off x="6787516" y="6115050"/>
          <a:ext cx="352425" cy="1333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</xdr:colOff>
      <xdr:row>40</xdr:row>
      <xdr:rowOff>38100</xdr:rowOff>
    </xdr:from>
    <xdr:to>
      <xdr:col>51</xdr:col>
      <xdr:colOff>51261</xdr:colOff>
      <xdr:row>47</xdr:row>
      <xdr:rowOff>91440</xdr:rowOff>
    </xdr:to>
    <xdr:pic>
      <xdr:nvPicPr>
        <xdr:cNvPr id="6" name="図 5" descr="キャプチャ.PNG">
          <a:extLst>
            <a:ext uri="{FF2B5EF4-FFF2-40B4-BE49-F238E27FC236}">
              <a16:creationId xmlns:a16="http://schemas.microsoft.com/office/drawing/2014/main" id="{2B2576C6-8E7E-4F9D-89B3-57D98A66D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78151"/>
        <a:stretch/>
      </xdr:blipFill>
      <xdr:spPr>
        <a:xfrm>
          <a:off x="396240" y="6934200"/>
          <a:ext cx="8879031" cy="124587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57150</xdr:colOff>
      <xdr:row>6</xdr:row>
      <xdr:rowOff>123825</xdr:rowOff>
    </xdr:from>
    <xdr:to>
      <xdr:col>51</xdr:col>
      <xdr:colOff>60786</xdr:colOff>
      <xdr:row>39</xdr:row>
      <xdr:rowOff>38100</xdr:rowOff>
    </xdr:to>
    <xdr:pic>
      <xdr:nvPicPr>
        <xdr:cNvPr id="5" name="図 4" descr="キャプチャ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1190625"/>
          <a:ext cx="9801051" cy="557212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43815</xdr:colOff>
      <xdr:row>32</xdr:row>
      <xdr:rowOff>9525</xdr:rowOff>
    </xdr:from>
    <xdr:to>
      <xdr:col>52</xdr:col>
      <xdr:colOff>1905</xdr:colOff>
      <xdr:row>40</xdr:row>
      <xdr:rowOff>50776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48FDEA8-4C08-4464-AF7B-66A467101A20}"/>
            </a:ext>
          </a:extLst>
        </xdr:cNvPr>
        <xdr:cNvGrpSpPr/>
      </xdr:nvGrpSpPr>
      <xdr:grpSpPr>
        <a:xfrm>
          <a:off x="243840" y="5534025"/>
          <a:ext cx="10159365" cy="1412851"/>
          <a:chOff x="7239000" y="7581900"/>
          <a:chExt cx="9182100" cy="1409041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DCF76C98-EBEB-4298-B965-9AF26CCA31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39000" y="7581900"/>
            <a:ext cx="9182100" cy="14090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C6659858-9F53-48B0-8048-E4AD0E2C0A9E}"/>
              </a:ext>
            </a:extLst>
          </xdr:cNvPr>
          <xdr:cNvSpPr/>
        </xdr:nvSpPr>
        <xdr:spPr>
          <a:xfrm>
            <a:off x="7389492" y="7599048"/>
            <a:ext cx="8778242" cy="1388742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26</xdr:col>
      <xdr:colOff>158115</xdr:colOff>
      <xdr:row>38</xdr:row>
      <xdr:rowOff>104775</xdr:rowOff>
    </xdr:from>
    <xdr:to>
      <xdr:col>28</xdr:col>
      <xdr:colOff>110490</xdr:colOff>
      <xdr:row>39</xdr:row>
      <xdr:rowOff>66675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1FAC821-B1C8-47BD-9EF8-E07E8AB2133F}"/>
            </a:ext>
          </a:extLst>
        </xdr:cNvPr>
        <xdr:cNvSpPr/>
      </xdr:nvSpPr>
      <xdr:spPr>
        <a:xfrm>
          <a:off x="5358765" y="6657975"/>
          <a:ext cx="352425" cy="1333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129540</xdr:colOff>
      <xdr:row>38</xdr:row>
      <xdr:rowOff>95250</xdr:rowOff>
    </xdr:from>
    <xdr:to>
      <xdr:col>36</xdr:col>
      <xdr:colOff>81915</xdr:colOff>
      <xdr:row>39</xdr:row>
      <xdr:rowOff>57150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F7FEC5E-E944-4127-9BD8-27B292EDAB02}"/>
            </a:ext>
          </a:extLst>
        </xdr:cNvPr>
        <xdr:cNvSpPr/>
      </xdr:nvSpPr>
      <xdr:spPr>
        <a:xfrm>
          <a:off x="6930390" y="6648450"/>
          <a:ext cx="352425" cy="1333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5</xdr:row>
      <xdr:rowOff>133350</xdr:rowOff>
    </xdr:from>
    <xdr:to>
      <xdr:col>41</xdr:col>
      <xdr:colOff>74062</xdr:colOff>
      <xdr:row>39</xdr:row>
      <xdr:rowOff>142315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CE2024B-724D-42C9-A893-36D3FF68E5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68" t="13297" r="4951" b="1180"/>
        <a:stretch/>
      </xdr:blipFill>
      <xdr:spPr>
        <a:xfrm>
          <a:off x="485775" y="1028700"/>
          <a:ext cx="7789312" cy="583826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171449</xdr:colOff>
      <xdr:row>28</xdr:row>
      <xdr:rowOff>78153</xdr:rowOff>
    </xdr:from>
    <xdr:to>
      <xdr:col>42</xdr:col>
      <xdr:colOff>29071</xdr:colOff>
      <xdr:row>35</xdr:row>
      <xdr:rowOff>38100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71E14D9B-8F0F-4763-889D-E4B793D9FFAA}"/>
            </a:ext>
          </a:extLst>
        </xdr:cNvPr>
        <xdr:cNvGrpSpPr/>
      </xdr:nvGrpSpPr>
      <xdr:grpSpPr>
        <a:xfrm>
          <a:off x="371474" y="4916853"/>
          <a:ext cx="8058647" cy="1160097"/>
          <a:chOff x="7248530" y="7599048"/>
          <a:chExt cx="7269391" cy="1160143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6E2291D1-2AF8-4EA9-AD2E-D648A1F4FBD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48530" y="7629397"/>
            <a:ext cx="7269391" cy="111552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34B33567-EBCB-438E-BA45-EBC923EEBD78}"/>
              </a:ext>
            </a:extLst>
          </xdr:cNvPr>
          <xdr:cNvSpPr/>
        </xdr:nvSpPr>
        <xdr:spPr>
          <a:xfrm>
            <a:off x="7332406" y="7599048"/>
            <a:ext cx="6954729" cy="1160143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62865</xdr:colOff>
      <xdr:row>35</xdr:row>
      <xdr:rowOff>106680</xdr:rowOff>
    </xdr:from>
    <xdr:to>
      <xdr:col>41</xdr:col>
      <xdr:colOff>41677</xdr:colOff>
      <xdr:row>47</xdr:row>
      <xdr:rowOff>58495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CA79F7B-4927-4E6B-B0D2-53F3D3F96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68" t="69498" r="4951" b="1180"/>
        <a:stretch/>
      </xdr:blipFill>
      <xdr:spPr>
        <a:xfrm>
          <a:off x="424815" y="6145530"/>
          <a:ext cx="7036837" cy="200921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21</xdr:col>
      <xdr:colOff>142874</xdr:colOff>
      <xdr:row>33</xdr:row>
      <xdr:rowOff>163878</xdr:rowOff>
    </xdr:from>
    <xdr:to>
      <xdr:col>23</xdr:col>
      <xdr:colOff>95249</xdr:colOff>
      <xdr:row>34</xdr:row>
      <xdr:rowOff>125778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8E849DB-0A0D-42F4-B379-45D88645E61E}"/>
            </a:ext>
          </a:extLst>
        </xdr:cNvPr>
        <xdr:cNvSpPr/>
      </xdr:nvSpPr>
      <xdr:spPr>
        <a:xfrm>
          <a:off x="4343399" y="5859828"/>
          <a:ext cx="352425" cy="1333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9524</xdr:colOff>
      <xdr:row>33</xdr:row>
      <xdr:rowOff>135303</xdr:rowOff>
    </xdr:from>
    <xdr:to>
      <xdr:col>29</xdr:col>
      <xdr:colOff>161924</xdr:colOff>
      <xdr:row>34</xdr:row>
      <xdr:rowOff>97203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1A40C58-2D60-48E1-9B40-CE948A0D8DB6}"/>
            </a:ext>
          </a:extLst>
        </xdr:cNvPr>
        <xdr:cNvSpPr/>
      </xdr:nvSpPr>
      <xdr:spPr>
        <a:xfrm>
          <a:off x="5610224" y="5831253"/>
          <a:ext cx="352425" cy="1333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6</xdr:row>
      <xdr:rowOff>0</xdr:rowOff>
    </xdr:from>
    <xdr:to>
      <xdr:col>47</xdr:col>
      <xdr:colOff>11207</xdr:colOff>
      <xdr:row>15</xdr:row>
      <xdr:rowOff>160380</xdr:rowOff>
    </xdr:to>
    <xdr:pic>
      <xdr:nvPicPr>
        <xdr:cNvPr id="3" name="図 2" descr="ユーザー詳細画面_講師(管理者権限)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5119" y="1221441"/>
          <a:ext cx="8886264" cy="16731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6</xdr:row>
      <xdr:rowOff>1</xdr:rowOff>
    </xdr:from>
    <xdr:to>
      <xdr:col>47</xdr:col>
      <xdr:colOff>13608</xdr:colOff>
      <xdr:row>16</xdr:row>
      <xdr:rowOff>64474</xdr:rowOff>
    </xdr:to>
    <xdr:pic>
      <xdr:nvPicPr>
        <xdr:cNvPr id="2" name="図 1" descr="ユーザー詳細画面_企業担当者(管理者権限)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322" y="1265465"/>
          <a:ext cx="8994322" cy="1833402"/>
        </a:xfrm>
        <a:prstGeom prst="rect">
          <a:avLst/>
        </a:prstGeom>
      </xdr:spPr>
    </xdr:pic>
    <xdr:clientData/>
  </xdr:twoCellAnchor>
  <xdr:twoCellAnchor>
    <xdr:from>
      <xdr:col>13</xdr:col>
      <xdr:colOff>164399</xdr:colOff>
      <xdr:row>14</xdr:row>
      <xdr:rowOff>32881</xdr:rowOff>
    </xdr:from>
    <xdr:to>
      <xdr:col>28</xdr:col>
      <xdr:colOff>47626</xdr:colOff>
      <xdr:row>18</xdr:row>
      <xdr:rowOff>28574</xdr:rowOff>
    </xdr:to>
    <xdr:sp macro="" textlink="">
      <xdr:nvSpPr>
        <xdr:cNvPr id="3" name="フリーフォーム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764724" y="2642731"/>
          <a:ext cx="2883602" cy="681493"/>
        </a:xfrm>
        <a:custGeom>
          <a:avLst/>
          <a:gdLst>
            <a:gd name="connsiteX0" fmla="*/ 0 w 2028825"/>
            <a:gd name="connsiteY0" fmla="*/ 74619 h 733425"/>
            <a:gd name="connsiteX1" fmla="*/ 21855 w 2028825"/>
            <a:gd name="connsiteY1" fmla="*/ 21855 h 733425"/>
            <a:gd name="connsiteX2" fmla="*/ 74619 w 2028825"/>
            <a:gd name="connsiteY2" fmla="*/ 0 h 733425"/>
            <a:gd name="connsiteX3" fmla="*/ 1954206 w 2028825"/>
            <a:gd name="connsiteY3" fmla="*/ 0 h 733425"/>
            <a:gd name="connsiteX4" fmla="*/ 2006970 w 2028825"/>
            <a:gd name="connsiteY4" fmla="*/ 21855 h 733425"/>
            <a:gd name="connsiteX5" fmla="*/ 2028825 w 2028825"/>
            <a:gd name="connsiteY5" fmla="*/ 74619 h 733425"/>
            <a:gd name="connsiteX6" fmla="*/ 2028825 w 2028825"/>
            <a:gd name="connsiteY6" fmla="*/ 658806 h 733425"/>
            <a:gd name="connsiteX7" fmla="*/ 2006970 w 2028825"/>
            <a:gd name="connsiteY7" fmla="*/ 711570 h 733425"/>
            <a:gd name="connsiteX8" fmla="*/ 1954206 w 2028825"/>
            <a:gd name="connsiteY8" fmla="*/ 733425 h 733425"/>
            <a:gd name="connsiteX9" fmla="*/ 74619 w 2028825"/>
            <a:gd name="connsiteY9" fmla="*/ 733425 h 733425"/>
            <a:gd name="connsiteX10" fmla="*/ 21855 w 2028825"/>
            <a:gd name="connsiteY10" fmla="*/ 711570 h 733425"/>
            <a:gd name="connsiteX11" fmla="*/ 0 w 2028825"/>
            <a:gd name="connsiteY11" fmla="*/ 658806 h 733425"/>
            <a:gd name="connsiteX12" fmla="*/ 0 w 2028825"/>
            <a:gd name="connsiteY12" fmla="*/ 74619 h 733425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2144232 w 2218851"/>
            <a:gd name="connsiteY4" fmla="*/ 314325 h 1047750"/>
            <a:gd name="connsiteX5" fmla="*/ 2196996 w 2218851"/>
            <a:gd name="connsiteY5" fmla="*/ 336180 h 1047750"/>
            <a:gd name="connsiteX6" fmla="*/ 2218851 w 2218851"/>
            <a:gd name="connsiteY6" fmla="*/ 388944 h 1047750"/>
            <a:gd name="connsiteX7" fmla="*/ 2218851 w 2218851"/>
            <a:gd name="connsiteY7" fmla="*/ 973131 h 1047750"/>
            <a:gd name="connsiteX8" fmla="*/ 2196996 w 2218851"/>
            <a:gd name="connsiteY8" fmla="*/ 1025895 h 1047750"/>
            <a:gd name="connsiteX9" fmla="*/ 2144232 w 2218851"/>
            <a:gd name="connsiteY9" fmla="*/ 1047750 h 1047750"/>
            <a:gd name="connsiteX10" fmla="*/ 264645 w 2218851"/>
            <a:gd name="connsiteY10" fmla="*/ 1047750 h 1047750"/>
            <a:gd name="connsiteX11" fmla="*/ 211881 w 2218851"/>
            <a:gd name="connsiteY11" fmla="*/ 1025895 h 1047750"/>
            <a:gd name="connsiteX12" fmla="*/ 190026 w 2218851"/>
            <a:gd name="connsiteY12" fmla="*/ 973131 h 1047750"/>
            <a:gd name="connsiteX13" fmla="*/ 190026 w 2218851"/>
            <a:gd name="connsiteY13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3333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190026 w 2218851"/>
            <a:gd name="connsiteY0" fmla="*/ 388944 h 1047750"/>
            <a:gd name="connsiteX1" fmla="*/ 211881 w 2218851"/>
            <a:gd name="connsiteY1" fmla="*/ 336180 h 1047750"/>
            <a:gd name="connsiteX2" fmla="*/ 264645 w 2218851"/>
            <a:gd name="connsiteY2" fmla="*/ 314325 h 1047750"/>
            <a:gd name="connsiteX3" fmla="*/ 1828326 w 2218851"/>
            <a:gd name="connsiteY3" fmla="*/ 0 h 1047750"/>
            <a:gd name="connsiteX4" fmla="*/ 1875951 w 2218851"/>
            <a:gd name="connsiteY4" fmla="*/ 295275 h 1047750"/>
            <a:gd name="connsiteX5" fmla="*/ 2144232 w 2218851"/>
            <a:gd name="connsiteY5" fmla="*/ 314325 h 1047750"/>
            <a:gd name="connsiteX6" fmla="*/ 2196996 w 2218851"/>
            <a:gd name="connsiteY6" fmla="*/ 336180 h 1047750"/>
            <a:gd name="connsiteX7" fmla="*/ 2218851 w 2218851"/>
            <a:gd name="connsiteY7" fmla="*/ 388944 h 1047750"/>
            <a:gd name="connsiteX8" fmla="*/ 2218851 w 2218851"/>
            <a:gd name="connsiteY8" fmla="*/ 973131 h 1047750"/>
            <a:gd name="connsiteX9" fmla="*/ 2196996 w 2218851"/>
            <a:gd name="connsiteY9" fmla="*/ 1025895 h 1047750"/>
            <a:gd name="connsiteX10" fmla="*/ 2144232 w 2218851"/>
            <a:gd name="connsiteY10" fmla="*/ 1047750 h 1047750"/>
            <a:gd name="connsiteX11" fmla="*/ 264645 w 2218851"/>
            <a:gd name="connsiteY11" fmla="*/ 1047750 h 1047750"/>
            <a:gd name="connsiteX12" fmla="*/ 211881 w 2218851"/>
            <a:gd name="connsiteY12" fmla="*/ 1025895 h 1047750"/>
            <a:gd name="connsiteX13" fmla="*/ 190026 w 2218851"/>
            <a:gd name="connsiteY13" fmla="*/ 973131 h 1047750"/>
            <a:gd name="connsiteX14" fmla="*/ 190026 w 2218851"/>
            <a:gd name="connsiteY14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638300 w 2028825"/>
            <a:gd name="connsiteY4" fmla="*/ 0 h 1047750"/>
            <a:gd name="connsiteX5" fmla="*/ 1685925 w 2028825"/>
            <a:gd name="connsiteY5" fmla="*/ 295275 h 1047750"/>
            <a:gd name="connsiteX6" fmla="*/ 1954206 w 2028825"/>
            <a:gd name="connsiteY6" fmla="*/ 314325 h 1047750"/>
            <a:gd name="connsiteX7" fmla="*/ 2006970 w 2028825"/>
            <a:gd name="connsiteY7" fmla="*/ 336180 h 1047750"/>
            <a:gd name="connsiteX8" fmla="*/ 2028825 w 2028825"/>
            <a:gd name="connsiteY8" fmla="*/ 388944 h 1047750"/>
            <a:gd name="connsiteX9" fmla="*/ 2028825 w 2028825"/>
            <a:gd name="connsiteY9" fmla="*/ 973131 h 1047750"/>
            <a:gd name="connsiteX10" fmla="*/ 2006970 w 2028825"/>
            <a:gd name="connsiteY10" fmla="*/ 1025895 h 1047750"/>
            <a:gd name="connsiteX11" fmla="*/ 1954206 w 2028825"/>
            <a:gd name="connsiteY11" fmla="*/ 1047750 h 1047750"/>
            <a:gd name="connsiteX12" fmla="*/ 74619 w 2028825"/>
            <a:gd name="connsiteY12" fmla="*/ 1047750 h 1047750"/>
            <a:gd name="connsiteX13" fmla="*/ 21855 w 2028825"/>
            <a:gd name="connsiteY13" fmla="*/ 1025895 h 1047750"/>
            <a:gd name="connsiteX14" fmla="*/ 0 w 2028825"/>
            <a:gd name="connsiteY14" fmla="*/ 973131 h 1047750"/>
            <a:gd name="connsiteX15" fmla="*/ 0 w 2028825"/>
            <a:gd name="connsiteY15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1400175 w 2028825"/>
            <a:gd name="connsiteY4" fmla="*/ 314325 h 1047750"/>
            <a:gd name="connsiteX5" fmla="*/ 1638300 w 2028825"/>
            <a:gd name="connsiteY5" fmla="*/ 0 h 1047750"/>
            <a:gd name="connsiteX6" fmla="*/ 1685925 w 2028825"/>
            <a:gd name="connsiteY6" fmla="*/ 295275 h 1047750"/>
            <a:gd name="connsiteX7" fmla="*/ 1954206 w 2028825"/>
            <a:gd name="connsiteY7" fmla="*/ 314325 h 1047750"/>
            <a:gd name="connsiteX8" fmla="*/ 2006970 w 2028825"/>
            <a:gd name="connsiteY8" fmla="*/ 336180 h 1047750"/>
            <a:gd name="connsiteX9" fmla="*/ 2028825 w 2028825"/>
            <a:gd name="connsiteY9" fmla="*/ 388944 h 1047750"/>
            <a:gd name="connsiteX10" fmla="*/ 2028825 w 2028825"/>
            <a:gd name="connsiteY10" fmla="*/ 973131 h 1047750"/>
            <a:gd name="connsiteX11" fmla="*/ 2006970 w 2028825"/>
            <a:gd name="connsiteY11" fmla="*/ 1025895 h 1047750"/>
            <a:gd name="connsiteX12" fmla="*/ 1954206 w 2028825"/>
            <a:gd name="connsiteY12" fmla="*/ 1047750 h 1047750"/>
            <a:gd name="connsiteX13" fmla="*/ 74619 w 2028825"/>
            <a:gd name="connsiteY13" fmla="*/ 1047750 h 1047750"/>
            <a:gd name="connsiteX14" fmla="*/ 21855 w 2028825"/>
            <a:gd name="connsiteY14" fmla="*/ 1025895 h 1047750"/>
            <a:gd name="connsiteX15" fmla="*/ 0 w 2028825"/>
            <a:gd name="connsiteY15" fmla="*/ 973131 h 1047750"/>
            <a:gd name="connsiteX16" fmla="*/ 0 w 2028825"/>
            <a:gd name="connsiteY16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1400175 w 2028825"/>
            <a:gd name="connsiteY5" fmla="*/ 314325 h 1047750"/>
            <a:gd name="connsiteX6" fmla="*/ 1638300 w 2028825"/>
            <a:gd name="connsiteY6" fmla="*/ 0 h 1047750"/>
            <a:gd name="connsiteX7" fmla="*/ 1685925 w 2028825"/>
            <a:gd name="connsiteY7" fmla="*/ 295275 h 1047750"/>
            <a:gd name="connsiteX8" fmla="*/ 1954206 w 2028825"/>
            <a:gd name="connsiteY8" fmla="*/ 314325 h 1047750"/>
            <a:gd name="connsiteX9" fmla="*/ 2006970 w 2028825"/>
            <a:gd name="connsiteY9" fmla="*/ 336180 h 1047750"/>
            <a:gd name="connsiteX10" fmla="*/ 2028825 w 2028825"/>
            <a:gd name="connsiteY10" fmla="*/ 388944 h 1047750"/>
            <a:gd name="connsiteX11" fmla="*/ 2028825 w 2028825"/>
            <a:gd name="connsiteY11" fmla="*/ 973131 h 1047750"/>
            <a:gd name="connsiteX12" fmla="*/ 2006970 w 2028825"/>
            <a:gd name="connsiteY12" fmla="*/ 1025895 h 1047750"/>
            <a:gd name="connsiteX13" fmla="*/ 1954206 w 2028825"/>
            <a:gd name="connsiteY13" fmla="*/ 1047750 h 1047750"/>
            <a:gd name="connsiteX14" fmla="*/ 74619 w 2028825"/>
            <a:gd name="connsiteY14" fmla="*/ 1047750 h 1047750"/>
            <a:gd name="connsiteX15" fmla="*/ 21855 w 2028825"/>
            <a:gd name="connsiteY15" fmla="*/ 1025895 h 1047750"/>
            <a:gd name="connsiteX16" fmla="*/ 0 w 2028825"/>
            <a:gd name="connsiteY16" fmla="*/ 973131 h 1047750"/>
            <a:gd name="connsiteX17" fmla="*/ 0 w 2028825"/>
            <a:gd name="connsiteY17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800100 w 2028825"/>
            <a:gd name="connsiteY5" fmla="*/ 333375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388944 h 1047750"/>
            <a:gd name="connsiteX1" fmla="*/ 21855 w 2028825"/>
            <a:gd name="connsiteY1" fmla="*/ 336180 h 1047750"/>
            <a:gd name="connsiteX2" fmla="*/ 74619 w 2028825"/>
            <a:gd name="connsiteY2" fmla="*/ 314325 h 1047750"/>
            <a:gd name="connsiteX3" fmla="*/ 428625 w 2028825"/>
            <a:gd name="connsiteY3" fmla="*/ 314325 h 1047750"/>
            <a:gd name="connsiteX4" fmla="*/ 600075 w 2028825"/>
            <a:gd name="connsiteY4" fmla="*/ 123825 h 1047750"/>
            <a:gd name="connsiteX5" fmla="*/ 790575 w 2028825"/>
            <a:gd name="connsiteY5" fmla="*/ 304800 h 1047750"/>
            <a:gd name="connsiteX6" fmla="*/ 1400175 w 2028825"/>
            <a:gd name="connsiteY6" fmla="*/ 314325 h 1047750"/>
            <a:gd name="connsiteX7" fmla="*/ 1638300 w 2028825"/>
            <a:gd name="connsiteY7" fmla="*/ 0 h 1047750"/>
            <a:gd name="connsiteX8" fmla="*/ 1685925 w 2028825"/>
            <a:gd name="connsiteY8" fmla="*/ 295275 h 1047750"/>
            <a:gd name="connsiteX9" fmla="*/ 1954206 w 2028825"/>
            <a:gd name="connsiteY9" fmla="*/ 314325 h 1047750"/>
            <a:gd name="connsiteX10" fmla="*/ 2006970 w 2028825"/>
            <a:gd name="connsiteY10" fmla="*/ 336180 h 1047750"/>
            <a:gd name="connsiteX11" fmla="*/ 2028825 w 2028825"/>
            <a:gd name="connsiteY11" fmla="*/ 388944 h 1047750"/>
            <a:gd name="connsiteX12" fmla="*/ 2028825 w 2028825"/>
            <a:gd name="connsiteY12" fmla="*/ 973131 h 1047750"/>
            <a:gd name="connsiteX13" fmla="*/ 2006970 w 2028825"/>
            <a:gd name="connsiteY13" fmla="*/ 1025895 h 1047750"/>
            <a:gd name="connsiteX14" fmla="*/ 1954206 w 2028825"/>
            <a:gd name="connsiteY14" fmla="*/ 1047750 h 1047750"/>
            <a:gd name="connsiteX15" fmla="*/ 74619 w 2028825"/>
            <a:gd name="connsiteY15" fmla="*/ 1047750 h 1047750"/>
            <a:gd name="connsiteX16" fmla="*/ 21855 w 2028825"/>
            <a:gd name="connsiteY16" fmla="*/ 1025895 h 1047750"/>
            <a:gd name="connsiteX17" fmla="*/ 0 w 2028825"/>
            <a:gd name="connsiteY17" fmla="*/ 973131 h 1047750"/>
            <a:gd name="connsiteX18" fmla="*/ 0 w 2028825"/>
            <a:gd name="connsiteY18" fmla="*/ 388944 h 1047750"/>
            <a:gd name="connsiteX0" fmla="*/ 0 w 2028825"/>
            <a:gd name="connsiteY0" fmla="*/ 465144 h 1123950"/>
            <a:gd name="connsiteX1" fmla="*/ 21855 w 2028825"/>
            <a:gd name="connsiteY1" fmla="*/ 412380 h 1123950"/>
            <a:gd name="connsiteX2" fmla="*/ 74619 w 2028825"/>
            <a:gd name="connsiteY2" fmla="*/ 390525 h 1123950"/>
            <a:gd name="connsiteX3" fmla="*/ 428625 w 2028825"/>
            <a:gd name="connsiteY3" fmla="*/ 390525 h 1123950"/>
            <a:gd name="connsiteX4" fmla="*/ 333375 w 2028825"/>
            <a:gd name="connsiteY4" fmla="*/ 0 h 1123950"/>
            <a:gd name="connsiteX5" fmla="*/ 790575 w 2028825"/>
            <a:gd name="connsiteY5" fmla="*/ 381000 h 1123950"/>
            <a:gd name="connsiteX6" fmla="*/ 1400175 w 2028825"/>
            <a:gd name="connsiteY6" fmla="*/ 390525 h 1123950"/>
            <a:gd name="connsiteX7" fmla="*/ 1638300 w 2028825"/>
            <a:gd name="connsiteY7" fmla="*/ 76200 h 1123950"/>
            <a:gd name="connsiteX8" fmla="*/ 1685925 w 2028825"/>
            <a:gd name="connsiteY8" fmla="*/ 371475 h 1123950"/>
            <a:gd name="connsiteX9" fmla="*/ 1954206 w 2028825"/>
            <a:gd name="connsiteY9" fmla="*/ 390525 h 1123950"/>
            <a:gd name="connsiteX10" fmla="*/ 2006970 w 2028825"/>
            <a:gd name="connsiteY10" fmla="*/ 412380 h 1123950"/>
            <a:gd name="connsiteX11" fmla="*/ 2028825 w 2028825"/>
            <a:gd name="connsiteY11" fmla="*/ 465144 h 1123950"/>
            <a:gd name="connsiteX12" fmla="*/ 2028825 w 2028825"/>
            <a:gd name="connsiteY12" fmla="*/ 1049331 h 1123950"/>
            <a:gd name="connsiteX13" fmla="*/ 2006970 w 2028825"/>
            <a:gd name="connsiteY13" fmla="*/ 1102095 h 1123950"/>
            <a:gd name="connsiteX14" fmla="*/ 1954206 w 2028825"/>
            <a:gd name="connsiteY14" fmla="*/ 1123950 h 1123950"/>
            <a:gd name="connsiteX15" fmla="*/ 74619 w 2028825"/>
            <a:gd name="connsiteY15" fmla="*/ 1123950 h 1123950"/>
            <a:gd name="connsiteX16" fmla="*/ 21855 w 2028825"/>
            <a:gd name="connsiteY16" fmla="*/ 1102095 h 1123950"/>
            <a:gd name="connsiteX17" fmla="*/ 0 w 2028825"/>
            <a:gd name="connsiteY17" fmla="*/ 1049331 h 1123950"/>
            <a:gd name="connsiteX18" fmla="*/ 0 w 2028825"/>
            <a:gd name="connsiteY18" fmla="*/ 465144 h 11239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333375 w 2028825"/>
            <a:gd name="connsiteY4" fmla="*/ 1524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428625 w 2028825"/>
            <a:gd name="connsiteY3" fmla="*/ 542925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90575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685925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927487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88189 w 2028825"/>
            <a:gd name="connsiteY4" fmla="*/ 3810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719634 w 2028825"/>
            <a:gd name="connsiteY7" fmla="*/ 0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7056 w 2028825"/>
            <a:gd name="connsiteY7" fmla="*/ 538219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400175 w 2028825"/>
            <a:gd name="connsiteY6" fmla="*/ 542925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617544 h 1276350"/>
            <a:gd name="connsiteX1" fmla="*/ 21855 w 2028825"/>
            <a:gd name="connsiteY1" fmla="*/ 564780 h 1276350"/>
            <a:gd name="connsiteX2" fmla="*/ 74619 w 2028825"/>
            <a:gd name="connsiteY2" fmla="*/ 542925 h 1276350"/>
            <a:gd name="connsiteX3" fmla="*/ 351810 w 2028825"/>
            <a:gd name="connsiteY3" fmla="*/ 533400 h 1276350"/>
            <a:gd name="connsiteX4" fmla="*/ 297226 w 2028825"/>
            <a:gd name="connsiteY4" fmla="*/ 0 h 1276350"/>
            <a:gd name="connsiteX5" fmla="*/ 704723 w 2028825"/>
            <a:gd name="connsiteY5" fmla="*/ 533400 h 1276350"/>
            <a:gd name="connsiteX6" fmla="*/ 1395091 w 2028825"/>
            <a:gd name="connsiteY6" fmla="*/ 535779 h 1276350"/>
            <a:gd name="connsiteX7" fmla="*/ 1644264 w 2028825"/>
            <a:gd name="connsiteY7" fmla="*/ 532305 h 1276350"/>
            <a:gd name="connsiteX8" fmla="*/ 1758222 w 2028825"/>
            <a:gd name="connsiteY8" fmla="*/ 523875 h 1276350"/>
            <a:gd name="connsiteX9" fmla="*/ 1954206 w 2028825"/>
            <a:gd name="connsiteY9" fmla="*/ 542925 h 1276350"/>
            <a:gd name="connsiteX10" fmla="*/ 2006970 w 2028825"/>
            <a:gd name="connsiteY10" fmla="*/ 564780 h 1276350"/>
            <a:gd name="connsiteX11" fmla="*/ 2028825 w 2028825"/>
            <a:gd name="connsiteY11" fmla="*/ 617544 h 1276350"/>
            <a:gd name="connsiteX12" fmla="*/ 2028825 w 2028825"/>
            <a:gd name="connsiteY12" fmla="*/ 1201731 h 1276350"/>
            <a:gd name="connsiteX13" fmla="*/ 2006970 w 2028825"/>
            <a:gd name="connsiteY13" fmla="*/ 1254495 h 1276350"/>
            <a:gd name="connsiteX14" fmla="*/ 1954206 w 2028825"/>
            <a:gd name="connsiteY14" fmla="*/ 1276350 h 1276350"/>
            <a:gd name="connsiteX15" fmla="*/ 74619 w 2028825"/>
            <a:gd name="connsiteY15" fmla="*/ 1276350 h 1276350"/>
            <a:gd name="connsiteX16" fmla="*/ 21855 w 2028825"/>
            <a:gd name="connsiteY16" fmla="*/ 1254495 h 1276350"/>
            <a:gd name="connsiteX17" fmla="*/ 0 w 2028825"/>
            <a:gd name="connsiteY17" fmla="*/ 1201731 h 1276350"/>
            <a:gd name="connsiteX18" fmla="*/ 0 w 2028825"/>
            <a:gd name="connsiteY18" fmla="*/ 617544 h 1276350"/>
            <a:gd name="connsiteX0" fmla="*/ 0 w 2028825"/>
            <a:gd name="connsiteY0" fmla="*/ 356731 h 1015537"/>
            <a:gd name="connsiteX1" fmla="*/ 21855 w 2028825"/>
            <a:gd name="connsiteY1" fmla="*/ 303967 h 1015537"/>
            <a:gd name="connsiteX2" fmla="*/ 74619 w 2028825"/>
            <a:gd name="connsiteY2" fmla="*/ 282112 h 1015537"/>
            <a:gd name="connsiteX3" fmla="*/ 351810 w 2028825"/>
            <a:gd name="connsiteY3" fmla="*/ 272587 h 1015537"/>
            <a:gd name="connsiteX4" fmla="*/ 330447 w 2028825"/>
            <a:gd name="connsiteY4" fmla="*/ 0 h 1015537"/>
            <a:gd name="connsiteX5" fmla="*/ 704723 w 2028825"/>
            <a:gd name="connsiteY5" fmla="*/ 272587 h 1015537"/>
            <a:gd name="connsiteX6" fmla="*/ 1395091 w 2028825"/>
            <a:gd name="connsiteY6" fmla="*/ 274966 h 1015537"/>
            <a:gd name="connsiteX7" fmla="*/ 1644264 w 2028825"/>
            <a:gd name="connsiteY7" fmla="*/ 271492 h 1015537"/>
            <a:gd name="connsiteX8" fmla="*/ 1758222 w 2028825"/>
            <a:gd name="connsiteY8" fmla="*/ 263062 h 1015537"/>
            <a:gd name="connsiteX9" fmla="*/ 1954206 w 2028825"/>
            <a:gd name="connsiteY9" fmla="*/ 282112 h 1015537"/>
            <a:gd name="connsiteX10" fmla="*/ 2006970 w 2028825"/>
            <a:gd name="connsiteY10" fmla="*/ 303967 h 1015537"/>
            <a:gd name="connsiteX11" fmla="*/ 2028825 w 2028825"/>
            <a:gd name="connsiteY11" fmla="*/ 356731 h 1015537"/>
            <a:gd name="connsiteX12" fmla="*/ 2028825 w 2028825"/>
            <a:gd name="connsiteY12" fmla="*/ 940918 h 1015537"/>
            <a:gd name="connsiteX13" fmla="*/ 2006970 w 2028825"/>
            <a:gd name="connsiteY13" fmla="*/ 993682 h 1015537"/>
            <a:gd name="connsiteX14" fmla="*/ 1954206 w 2028825"/>
            <a:gd name="connsiteY14" fmla="*/ 1015537 h 1015537"/>
            <a:gd name="connsiteX15" fmla="*/ 74619 w 2028825"/>
            <a:gd name="connsiteY15" fmla="*/ 1015537 h 1015537"/>
            <a:gd name="connsiteX16" fmla="*/ 21855 w 2028825"/>
            <a:gd name="connsiteY16" fmla="*/ 993682 h 1015537"/>
            <a:gd name="connsiteX17" fmla="*/ 0 w 2028825"/>
            <a:gd name="connsiteY17" fmla="*/ 940918 h 1015537"/>
            <a:gd name="connsiteX18" fmla="*/ 0 w 2028825"/>
            <a:gd name="connsiteY18" fmla="*/ 356731 h 1015537"/>
            <a:gd name="connsiteX0" fmla="*/ 0 w 2028825"/>
            <a:gd name="connsiteY0" fmla="*/ 426281 h 1085087"/>
            <a:gd name="connsiteX1" fmla="*/ 21855 w 2028825"/>
            <a:gd name="connsiteY1" fmla="*/ 373517 h 1085087"/>
            <a:gd name="connsiteX2" fmla="*/ 74619 w 2028825"/>
            <a:gd name="connsiteY2" fmla="*/ 351662 h 1085087"/>
            <a:gd name="connsiteX3" fmla="*/ 351810 w 2028825"/>
            <a:gd name="connsiteY3" fmla="*/ 342137 h 1085087"/>
            <a:gd name="connsiteX4" fmla="*/ 243242 w 2028825"/>
            <a:gd name="connsiteY4" fmla="*/ 0 h 1085087"/>
            <a:gd name="connsiteX5" fmla="*/ 704723 w 2028825"/>
            <a:gd name="connsiteY5" fmla="*/ 342137 h 1085087"/>
            <a:gd name="connsiteX6" fmla="*/ 1395091 w 2028825"/>
            <a:gd name="connsiteY6" fmla="*/ 344516 h 1085087"/>
            <a:gd name="connsiteX7" fmla="*/ 1644264 w 2028825"/>
            <a:gd name="connsiteY7" fmla="*/ 341042 h 1085087"/>
            <a:gd name="connsiteX8" fmla="*/ 1758222 w 2028825"/>
            <a:gd name="connsiteY8" fmla="*/ 332612 h 1085087"/>
            <a:gd name="connsiteX9" fmla="*/ 1954206 w 2028825"/>
            <a:gd name="connsiteY9" fmla="*/ 351662 h 1085087"/>
            <a:gd name="connsiteX10" fmla="*/ 2006970 w 2028825"/>
            <a:gd name="connsiteY10" fmla="*/ 373517 h 1085087"/>
            <a:gd name="connsiteX11" fmla="*/ 2028825 w 2028825"/>
            <a:gd name="connsiteY11" fmla="*/ 426281 h 1085087"/>
            <a:gd name="connsiteX12" fmla="*/ 2028825 w 2028825"/>
            <a:gd name="connsiteY12" fmla="*/ 1010468 h 1085087"/>
            <a:gd name="connsiteX13" fmla="*/ 2006970 w 2028825"/>
            <a:gd name="connsiteY13" fmla="*/ 1063232 h 1085087"/>
            <a:gd name="connsiteX14" fmla="*/ 1954206 w 2028825"/>
            <a:gd name="connsiteY14" fmla="*/ 1085087 h 1085087"/>
            <a:gd name="connsiteX15" fmla="*/ 74619 w 2028825"/>
            <a:gd name="connsiteY15" fmla="*/ 1085087 h 1085087"/>
            <a:gd name="connsiteX16" fmla="*/ 21855 w 2028825"/>
            <a:gd name="connsiteY16" fmla="*/ 1063232 h 1085087"/>
            <a:gd name="connsiteX17" fmla="*/ 0 w 2028825"/>
            <a:gd name="connsiteY17" fmla="*/ 1010468 h 1085087"/>
            <a:gd name="connsiteX18" fmla="*/ 0 w 2028825"/>
            <a:gd name="connsiteY18" fmla="*/ 426281 h 10850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2028825" h="1085087">
              <a:moveTo>
                <a:pt x="0" y="426281"/>
              </a:moveTo>
              <a:cubicBezTo>
                <a:pt x="0" y="406491"/>
                <a:pt x="7862" y="387511"/>
                <a:pt x="21855" y="373517"/>
              </a:cubicBezTo>
              <a:cubicBezTo>
                <a:pt x="35849" y="359523"/>
                <a:pt x="17937" y="364829"/>
                <a:pt x="74619" y="351662"/>
              </a:cubicBezTo>
              <a:lnTo>
                <a:pt x="351810" y="342137"/>
              </a:lnTo>
              <a:lnTo>
                <a:pt x="243242" y="0"/>
              </a:lnTo>
              <a:lnTo>
                <a:pt x="704723" y="342137"/>
              </a:lnTo>
              <a:lnTo>
                <a:pt x="1395091" y="344516"/>
              </a:lnTo>
              <a:lnTo>
                <a:pt x="1644264" y="341042"/>
              </a:lnTo>
              <a:lnTo>
                <a:pt x="1758222" y="332612"/>
              </a:lnTo>
              <a:lnTo>
                <a:pt x="1954206" y="351662"/>
              </a:lnTo>
              <a:cubicBezTo>
                <a:pt x="1973996" y="351662"/>
                <a:pt x="1992976" y="359524"/>
                <a:pt x="2006970" y="373517"/>
              </a:cubicBezTo>
              <a:cubicBezTo>
                <a:pt x="2020964" y="387511"/>
                <a:pt x="2028825" y="406490"/>
                <a:pt x="2028825" y="426281"/>
              </a:cubicBezTo>
              <a:lnTo>
                <a:pt x="2028825" y="1010468"/>
              </a:lnTo>
              <a:cubicBezTo>
                <a:pt x="2028825" y="1030258"/>
                <a:pt x="2020963" y="1049238"/>
                <a:pt x="2006970" y="1063232"/>
              </a:cubicBezTo>
              <a:cubicBezTo>
                <a:pt x="1992976" y="1077226"/>
                <a:pt x="1973997" y="1085087"/>
                <a:pt x="1954206" y="1085087"/>
              </a:cubicBezTo>
              <a:lnTo>
                <a:pt x="74619" y="1085087"/>
              </a:lnTo>
              <a:cubicBezTo>
                <a:pt x="54829" y="1085087"/>
                <a:pt x="35849" y="1077225"/>
                <a:pt x="21855" y="1063232"/>
              </a:cubicBezTo>
              <a:cubicBezTo>
                <a:pt x="7861" y="1049238"/>
                <a:pt x="0" y="1030259"/>
                <a:pt x="0" y="1010468"/>
              </a:cubicBezTo>
              <a:lnTo>
                <a:pt x="0" y="426281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メールアドレスが登録されていない場合「</a:t>
          </a:r>
          <a:r>
            <a:rPr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（設定されていません）</a:t>
          </a:r>
          <a:r>
            <a:rPr kumimoji="1" lang="ja-JP" altLang="en-US" sz="1100">
              <a:solidFill>
                <a:sysClr val="windowText" lastClr="000000"/>
              </a:solidFill>
            </a:rPr>
            <a:t>」と表示される。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114300</xdr:colOff>
      <xdr:row>12</xdr:row>
      <xdr:rowOff>133351</xdr:rowOff>
    </xdr:from>
    <xdr:to>
      <xdr:col>15</xdr:col>
      <xdr:colOff>190500</xdr:colOff>
      <xdr:row>13</xdr:row>
      <xdr:rowOff>152401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114550" y="2400301"/>
          <a:ext cx="1076325" cy="19050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47</xdr:col>
      <xdr:colOff>11206</xdr:colOff>
      <xdr:row>13</xdr:row>
      <xdr:rowOff>155828</xdr:rowOff>
    </xdr:to>
    <xdr:pic>
      <xdr:nvPicPr>
        <xdr:cNvPr id="2" name="図 1" descr="ユーザー詳細画面_企業担当者(企業担当者権限・育成担当者権限)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5118" y="1221441"/>
          <a:ext cx="8886264" cy="13324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6</xdr:row>
      <xdr:rowOff>1</xdr:rowOff>
    </xdr:from>
    <xdr:to>
      <xdr:col>47</xdr:col>
      <xdr:colOff>11206</xdr:colOff>
      <xdr:row>13</xdr:row>
      <xdr:rowOff>141819</xdr:rowOff>
    </xdr:to>
    <xdr:pic>
      <xdr:nvPicPr>
        <xdr:cNvPr id="3" name="図 2" descr="ユーザー詳細画面_管理者(管理者権限)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5119" y="1221442"/>
          <a:ext cx="8886263" cy="13184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6</xdr:row>
      <xdr:rowOff>0</xdr:rowOff>
    </xdr:from>
    <xdr:to>
      <xdr:col>47</xdr:col>
      <xdr:colOff>11207</xdr:colOff>
      <xdr:row>15</xdr:row>
      <xdr:rowOff>36370</xdr:rowOff>
    </xdr:to>
    <xdr:pic>
      <xdr:nvPicPr>
        <xdr:cNvPr id="3" name="図 2" descr="ユーザー詳細画面_育成担当者(管理者権限)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5119" y="1221441"/>
          <a:ext cx="8886264" cy="15491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46</xdr:col>
      <xdr:colOff>114300</xdr:colOff>
      <xdr:row>21</xdr:row>
      <xdr:rowOff>21398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C6880BB-B1C9-413B-A1EF-4D029B161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409700"/>
          <a:ext cx="8715375" cy="2421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55</xdr:col>
      <xdr:colOff>114300</xdr:colOff>
      <xdr:row>6</xdr:row>
      <xdr:rowOff>123825</xdr:rowOff>
    </xdr:from>
    <xdr:to>
      <xdr:col>99</xdr:col>
      <xdr:colOff>127907</xdr:colOff>
      <xdr:row>12</xdr:row>
      <xdr:rowOff>167737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C72495C6-4553-4D71-87AF-43C9D6BD4663}"/>
            </a:ext>
          </a:extLst>
        </xdr:cNvPr>
        <xdr:cNvGrpSpPr/>
      </xdr:nvGrpSpPr>
      <xdr:grpSpPr>
        <a:xfrm>
          <a:off x="11115675" y="1190625"/>
          <a:ext cx="8814707" cy="1072612"/>
          <a:chOff x="11115675" y="1362075"/>
          <a:chExt cx="8814707" cy="1072612"/>
        </a:xfrm>
      </xdr:grpSpPr>
      <xdr:pic>
        <xdr:nvPicPr>
          <xdr:cNvPr id="3" name="図 2" descr="ユーザー詳細画面_育成担当者(企業担当者権限・育成担当者権限).PNG">
            <a:extLst>
              <a:ext uri="{FF2B5EF4-FFF2-40B4-BE49-F238E27FC236}">
                <a16:creationId xmlns:a16="http://schemas.microsoft.com/office/drawing/2014/main" id="{A0CAFAB1-8D47-48BC-BCD3-8A58F18799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11115675" y="1362075"/>
            <a:ext cx="8814707" cy="1072612"/>
          </a:xfrm>
          <a:prstGeom prst="rect">
            <a:avLst/>
          </a:prstGeom>
        </xdr:spPr>
      </xdr:pic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A9B4A82B-10CE-470E-BDD4-6B390CDF51F0}"/>
              </a:ext>
            </a:extLst>
          </xdr:cNvPr>
          <xdr:cNvSpPr/>
        </xdr:nvSpPr>
        <xdr:spPr>
          <a:xfrm>
            <a:off x="14277975" y="1495425"/>
            <a:ext cx="1905000" cy="73342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改修前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6</xdr:row>
      <xdr:rowOff>0</xdr:rowOff>
    </xdr:from>
    <xdr:to>
      <xdr:col>47</xdr:col>
      <xdr:colOff>13608</xdr:colOff>
      <xdr:row>12</xdr:row>
      <xdr:rowOff>43912</xdr:rowOff>
    </xdr:to>
    <xdr:pic>
      <xdr:nvPicPr>
        <xdr:cNvPr id="2" name="図 1" descr="ユーザー詳細画面_育成担当者(企業担当者権限・育成担当者権限)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322" y="1265464"/>
          <a:ext cx="8994322" cy="11052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</row>
    <row r="2" spans="1:5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</row>
    <row r="3" spans="1:53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</row>
    <row r="4" spans="1:53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</row>
    <row r="5" spans="1:53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</row>
    <row r="6" spans="1:53" ht="14.25" thickBot="1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</row>
    <row r="7" spans="1:53" ht="14.25" thickTop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9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</row>
    <row r="8" spans="1:53" ht="17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6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63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</row>
    <row r="9" spans="1:53" ht="18.7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62"/>
      <c r="O9" s="133" t="s">
        <v>256</v>
      </c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63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</row>
    <row r="10" spans="1:53" ht="18.7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62"/>
      <c r="O10" s="133" t="s">
        <v>359</v>
      </c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63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</row>
    <row r="11" spans="1:53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62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3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</row>
    <row r="12" spans="1:53" ht="18.7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62"/>
      <c r="O12" s="64"/>
      <c r="P12" s="64"/>
      <c r="Q12" s="64"/>
      <c r="R12" s="64"/>
      <c r="S12" s="134" t="s">
        <v>257</v>
      </c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64"/>
      <c r="AL12" s="64"/>
      <c r="AM12" s="64"/>
      <c r="AN12" s="64"/>
      <c r="AO12" s="63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</row>
    <row r="13" spans="1:5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62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3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</row>
    <row r="14" spans="1:53" ht="14.25" thickBo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65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7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</row>
    <row r="15" spans="1:53" ht="14.25" thickTop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68"/>
      <c r="Y15" s="58"/>
      <c r="Z15" s="58"/>
      <c r="AA15" s="135"/>
      <c r="AB15" s="135"/>
      <c r="AC15" s="135"/>
      <c r="AD15" s="135"/>
      <c r="AE15" s="135"/>
      <c r="AF15" s="135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</row>
    <row r="16" spans="1:53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68"/>
      <c r="Y16" s="58"/>
      <c r="Z16" s="58"/>
      <c r="AA16" s="69"/>
      <c r="AB16" s="69"/>
      <c r="AC16" s="69"/>
      <c r="AD16" s="69"/>
      <c r="AE16" s="69"/>
      <c r="AF16" s="69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</row>
    <row r="17" spans="1:53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64"/>
      <c r="S17" s="64"/>
      <c r="T17" s="64"/>
      <c r="U17" s="64"/>
      <c r="V17" s="64"/>
      <c r="W17" s="58"/>
      <c r="X17" s="64" t="str">
        <f>"第"&amp;TEXT(MAX(更新履歴!A8:I176),"#0.0")&amp;"版"</f>
        <v>第1.4版</v>
      </c>
      <c r="Y17" s="70"/>
      <c r="Z17" s="70"/>
      <c r="AA17" s="136">
        <f>MAX(更新履歴!J8:Q40)</f>
        <v>43804</v>
      </c>
      <c r="AB17" s="136"/>
      <c r="AC17" s="136"/>
      <c r="AD17" s="136"/>
      <c r="AE17" s="136"/>
      <c r="AF17" s="136"/>
      <c r="AG17" s="64"/>
      <c r="AH17" s="64"/>
      <c r="AI17" s="64"/>
      <c r="AJ17" s="64"/>
      <c r="AK17" s="64"/>
      <c r="AL17" s="64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</row>
    <row r="18" spans="1:53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64"/>
      <c r="S18" s="64"/>
      <c r="T18" s="64"/>
      <c r="U18" s="64"/>
      <c r="V18" s="64"/>
      <c r="W18" s="64"/>
      <c r="X18" s="68"/>
      <c r="Y18" s="64"/>
      <c r="Z18" s="64"/>
      <c r="AA18" s="71"/>
      <c r="AB18" s="71"/>
      <c r="AC18" s="71"/>
      <c r="AD18" s="71"/>
      <c r="AE18" s="71"/>
      <c r="AF18" s="71"/>
      <c r="AG18" s="64"/>
      <c r="AH18" s="64"/>
      <c r="AI18" s="64"/>
      <c r="AJ18" s="64"/>
      <c r="AK18" s="64"/>
      <c r="AL18" s="64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</row>
    <row r="19" spans="1:53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68"/>
      <c r="Y19" s="64"/>
      <c r="Z19" s="64"/>
      <c r="AA19" s="136"/>
      <c r="AB19" s="136"/>
      <c r="AC19" s="136"/>
      <c r="AD19" s="136"/>
      <c r="AE19" s="136"/>
      <c r="AF19" s="136"/>
      <c r="AG19" s="72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</row>
    <row r="20" spans="1:53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137" t="s">
        <v>2</v>
      </c>
      <c r="V20" s="138"/>
      <c r="W20" s="138"/>
      <c r="X20" s="138"/>
      <c r="Y20" s="139"/>
      <c r="Z20" s="140" t="s">
        <v>29</v>
      </c>
      <c r="AA20" s="141"/>
      <c r="AB20" s="141"/>
      <c r="AC20" s="141"/>
      <c r="AD20" s="142"/>
      <c r="AE20" s="137" t="s">
        <v>258</v>
      </c>
      <c r="AF20" s="138"/>
      <c r="AG20" s="138"/>
      <c r="AH20" s="138"/>
      <c r="AI20" s="139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</row>
    <row r="21" spans="1:53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73"/>
      <c r="V21" s="64"/>
      <c r="W21" s="64"/>
      <c r="X21" s="64"/>
      <c r="Y21" s="64"/>
      <c r="Z21" s="74"/>
      <c r="AA21" s="75"/>
      <c r="AB21" s="75"/>
      <c r="AC21" s="75"/>
      <c r="AD21" s="76"/>
      <c r="AE21" s="64"/>
      <c r="AF21" s="64"/>
      <c r="AG21" s="64"/>
      <c r="AH21" s="64"/>
      <c r="AI21" s="77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</row>
    <row r="22" spans="1:53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73"/>
      <c r="V22" s="64"/>
      <c r="W22" s="64"/>
      <c r="X22" s="64"/>
      <c r="Y22" s="64"/>
      <c r="Z22" s="73"/>
      <c r="AA22" s="64"/>
      <c r="AB22" s="64"/>
      <c r="AC22" s="64"/>
      <c r="AD22" s="77"/>
      <c r="AE22" s="64"/>
      <c r="AF22" s="64"/>
      <c r="AG22" s="64"/>
      <c r="AH22" s="64"/>
      <c r="AI22" s="77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</row>
    <row r="23" spans="1:5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73"/>
      <c r="V23" s="64"/>
      <c r="W23" s="64"/>
      <c r="X23" s="64"/>
      <c r="Y23" s="64"/>
      <c r="Z23" s="73"/>
      <c r="AA23" s="64"/>
      <c r="AB23" s="64"/>
      <c r="AC23" s="64"/>
      <c r="AD23" s="77"/>
      <c r="AE23" s="64"/>
      <c r="AF23" s="64"/>
      <c r="AG23" s="64"/>
      <c r="AH23" s="64"/>
      <c r="AI23" s="77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</row>
    <row r="24" spans="1:53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78"/>
      <c r="V24" s="79"/>
      <c r="W24" s="79"/>
      <c r="X24" s="79"/>
      <c r="Y24" s="79"/>
      <c r="Z24" s="78"/>
      <c r="AA24" s="79"/>
      <c r="AB24" s="79"/>
      <c r="AC24" s="79"/>
      <c r="AD24" s="80"/>
      <c r="AE24" s="79"/>
      <c r="AF24" s="79"/>
      <c r="AG24" s="79"/>
      <c r="AH24" s="79"/>
      <c r="AI24" s="80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</row>
    <row r="25" spans="1:53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64"/>
      <c r="T25" s="64"/>
      <c r="U25" s="64"/>
      <c r="V25" s="64"/>
      <c r="W25" s="64"/>
      <c r="X25" s="64"/>
      <c r="Y25" s="64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</row>
    <row r="26" spans="1:53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64"/>
      <c r="T26" s="64"/>
      <c r="U26" s="64"/>
      <c r="V26" s="64"/>
      <c r="W26" s="64"/>
      <c r="X26" s="64"/>
      <c r="Y26" s="64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</row>
    <row r="27" spans="1:53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64"/>
      <c r="T27" s="64"/>
      <c r="U27" s="64"/>
      <c r="V27" s="64"/>
      <c r="W27" s="64"/>
      <c r="X27" s="64"/>
      <c r="Y27" s="64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</row>
    <row r="28" spans="1:53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64"/>
      <c r="T28" s="64"/>
      <c r="U28" s="64"/>
      <c r="V28" s="64"/>
      <c r="W28" s="64"/>
      <c r="X28" s="64"/>
      <c r="Y28" s="64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</row>
    <row r="29" spans="1:53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</row>
    <row r="30" spans="1:53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64"/>
      <c r="T30" s="64"/>
      <c r="U30" s="64"/>
      <c r="V30" s="64"/>
      <c r="W30" s="64"/>
      <c r="X30" s="64"/>
      <c r="Y30" s="64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</row>
    <row r="31" spans="1:53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</row>
    <row r="32" spans="1:53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</row>
    <row r="33" spans="1:5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</row>
    <row r="34" spans="1:53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</row>
    <row r="35" spans="1:53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</row>
    <row r="36" spans="1:53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</row>
    <row r="37" spans="1:53" ht="14.25">
      <c r="A37" s="8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82"/>
    </row>
    <row r="38" spans="1:5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5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1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89" customWidth="1"/>
    <col min="56" max="237" width="2.75" style="89"/>
    <col min="238" max="301" width="2.625" style="89" customWidth="1"/>
    <col min="302" max="493" width="2.75" style="89"/>
    <col min="494" max="557" width="2.625" style="89" customWidth="1"/>
    <col min="558" max="749" width="2.75" style="89"/>
    <col min="750" max="813" width="2.625" style="89" customWidth="1"/>
    <col min="814" max="1005" width="2.75" style="89"/>
    <col min="1006" max="1069" width="2.625" style="89" customWidth="1"/>
    <col min="1070" max="1261" width="2.75" style="89"/>
    <col min="1262" max="1325" width="2.625" style="89" customWidth="1"/>
    <col min="1326" max="1517" width="2.75" style="89"/>
    <col min="1518" max="1581" width="2.625" style="89" customWidth="1"/>
    <col min="1582" max="1773" width="2.75" style="89"/>
    <col min="1774" max="1837" width="2.625" style="89" customWidth="1"/>
    <col min="1838" max="2029" width="2.75" style="89"/>
    <col min="2030" max="2093" width="2.625" style="89" customWidth="1"/>
    <col min="2094" max="2285" width="2.75" style="89"/>
    <col min="2286" max="2349" width="2.625" style="89" customWidth="1"/>
    <col min="2350" max="2541" width="2.75" style="89"/>
    <col min="2542" max="2605" width="2.625" style="89" customWidth="1"/>
    <col min="2606" max="2797" width="2.75" style="89"/>
    <col min="2798" max="2861" width="2.625" style="89" customWidth="1"/>
    <col min="2862" max="3053" width="2.75" style="89"/>
    <col min="3054" max="3117" width="2.625" style="89" customWidth="1"/>
    <col min="3118" max="3309" width="2.75" style="89"/>
    <col min="3310" max="3373" width="2.625" style="89" customWidth="1"/>
    <col min="3374" max="3565" width="2.75" style="89"/>
    <col min="3566" max="3629" width="2.625" style="89" customWidth="1"/>
    <col min="3630" max="3821" width="2.75" style="89"/>
    <col min="3822" max="3885" width="2.625" style="89" customWidth="1"/>
    <col min="3886" max="4077" width="2.75" style="89"/>
    <col min="4078" max="4141" width="2.625" style="89" customWidth="1"/>
    <col min="4142" max="4333" width="2.75" style="89"/>
    <col min="4334" max="4397" width="2.625" style="89" customWidth="1"/>
    <col min="4398" max="4589" width="2.75" style="89"/>
    <col min="4590" max="4653" width="2.625" style="89" customWidth="1"/>
    <col min="4654" max="4845" width="2.75" style="89"/>
    <col min="4846" max="4909" width="2.625" style="89" customWidth="1"/>
    <col min="4910" max="5101" width="2.75" style="89"/>
    <col min="5102" max="5165" width="2.625" style="89" customWidth="1"/>
    <col min="5166" max="5357" width="2.75" style="89"/>
    <col min="5358" max="5421" width="2.625" style="89" customWidth="1"/>
    <col min="5422" max="5613" width="2.75" style="89"/>
    <col min="5614" max="5677" width="2.625" style="89" customWidth="1"/>
    <col min="5678" max="5869" width="2.75" style="89"/>
    <col min="5870" max="5933" width="2.625" style="89" customWidth="1"/>
    <col min="5934" max="6125" width="2.75" style="89"/>
    <col min="6126" max="6189" width="2.625" style="89" customWidth="1"/>
    <col min="6190" max="6381" width="2.75" style="89"/>
    <col min="6382" max="6445" width="2.625" style="89" customWidth="1"/>
    <col min="6446" max="6637" width="2.75" style="89"/>
    <col min="6638" max="6701" width="2.625" style="89" customWidth="1"/>
    <col min="6702" max="6893" width="2.75" style="89"/>
    <col min="6894" max="6957" width="2.625" style="89" customWidth="1"/>
    <col min="6958" max="7149" width="2.75" style="89"/>
    <col min="7150" max="7213" width="2.625" style="89" customWidth="1"/>
    <col min="7214" max="7405" width="2.75" style="89"/>
    <col min="7406" max="7469" width="2.625" style="89" customWidth="1"/>
    <col min="7470" max="7661" width="2.75" style="89"/>
    <col min="7662" max="7725" width="2.625" style="89" customWidth="1"/>
    <col min="7726" max="7917" width="2.75" style="89"/>
    <col min="7918" max="7981" width="2.625" style="89" customWidth="1"/>
    <col min="7982" max="8173" width="2.75" style="89"/>
    <col min="8174" max="8237" width="2.625" style="89" customWidth="1"/>
    <col min="8238" max="8429" width="2.75" style="89"/>
    <col min="8430" max="8493" width="2.625" style="89" customWidth="1"/>
    <col min="8494" max="8685" width="2.75" style="89"/>
    <col min="8686" max="8749" width="2.625" style="89" customWidth="1"/>
    <col min="8750" max="8941" width="2.75" style="89"/>
    <col min="8942" max="9005" width="2.625" style="89" customWidth="1"/>
    <col min="9006" max="9197" width="2.75" style="89"/>
    <col min="9198" max="9261" width="2.625" style="89" customWidth="1"/>
    <col min="9262" max="9453" width="2.75" style="89"/>
    <col min="9454" max="9517" width="2.625" style="89" customWidth="1"/>
    <col min="9518" max="9709" width="2.75" style="89"/>
    <col min="9710" max="9773" width="2.625" style="89" customWidth="1"/>
    <col min="9774" max="9965" width="2.75" style="89"/>
    <col min="9966" max="10029" width="2.625" style="89" customWidth="1"/>
    <col min="10030" max="10221" width="2.75" style="89"/>
    <col min="10222" max="10285" width="2.625" style="89" customWidth="1"/>
    <col min="10286" max="10477" width="2.75" style="89"/>
    <col min="10478" max="10541" width="2.625" style="89" customWidth="1"/>
    <col min="10542" max="10733" width="2.75" style="89"/>
    <col min="10734" max="10797" width="2.625" style="89" customWidth="1"/>
    <col min="10798" max="10989" width="2.75" style="89"/>
    <col min="10990" max="11053" width="2.625" style="89" customWidth="1"/>
    <col min="11054" max="11245" width="2.75" style="89"/>
    <col min="11246" max="11309" width="2.625" style="89" customWidth="1"/>
    <col min="11310" max="11501" width="2.75" style="89"/>
    <col min="11502" max="11565" width="2.625" style="89" customWidth="1"/>
    <col min="11566" max="11757" width="2.75" style="89"/>
    <col min="11758" max="11821" width="2.625" style="89" customWidth="1"/>
    <col min="11822" max="12013" width="2.75" style="89"/>
    <col min="12014" max="12077" width="2.625" style="89" customWidth="1"/>
    <col min="12078" max="12269" width="2.75" style="89"/>
    <col min="12270" max="12333" width="2.625" style="89" customWidth="1"/>
    <col min="12334" max="12525" width="2.75" style="89"/>
    <col min="12526" max="12589" width="2.625" style="89" customWidth="1"/>
    <col min="12590" max="12781" width="2.75" style="89"/>
    <col min="12782" max="12845" width="2.625" style="89" customWidth="1"/>
    <col min="12846" max="13037" width="2.75" style="89"/>
    <col min="13038" max="13101" width="2.625" style="89" customWidth="1"/>
    <col min="13102" max="13293" width="2.75" style="89"/>
    <col min="13294" max="13357" width="2.625" style="89" customWidth="1"/>
    <col min="13358" max="13549" width="2.75" style="89"/>
    <col min="13550" max="13613" width="2.625" style="89" customWidth="1"/>
    <col min="13614" max="13805" width="2.75" style="89"/>
    <col min="13806" max="13869" width="2.625" style="89" customWidth="1"/>
    <col min="13870" max="14061" width="2.75" style="89"/>
    <col min="14062" max="14125" width="2.625" style="89" customWidth="1"/>
    <col min="14126" max="14317" width="2.75" style="89"/>
    <col min="14318" max="14381" width="2.625" style="89" customWidth="1"/>
    <col min="14382" max="14573" width="2.75" style="89"/>
    <col min="14574" max="14637" width="2.625" style="89" customWidth="1"/>
    <col min="14638" max="14829" width="2.75" style="89"/>
    <col min="14830" max="14893" width="2.625" style="89" customWidth="1"/>
    <col min="14894" max="15085" width="2.75" style="89"/>
    <col min="15086" max="15149" width="2.625" style="89" customWidth="1"/>
    <col min="15150" max="15341" width="2.75" style="89"/>
    <col min="15342" max="15405" width="2.625" style="89" customWidth="1"/>
    <col min="15406" max="15597" width="2.75" style="89"/>
    <col min="15598" max="15661" width="2.625" style="89" customWidth="1"/>
    <col min="15662" max="15853" width="2.75" style="89"/>
    <col min="15854" max="15917" width="2.625" style="89" customWidth="1"/>
    <col min="15918" max="16109" width="2.75" style="89"/>
    <col min="16110" max="16173" width="2.625" style="89" customWidth="1"/>
    <col min="16174" max="16384" width="2.75" style="89"/>
  </cols>
  <sheetData>
    <row r="1" spans="1:55" s="83" customFormat="1" ht="13.5" customHeight="1">
      <c r="A1" s="306" t="s">
        <v>259</v>
      </c>
      <c r="B1" s="307"/>
      <c r="C1" s="307"/>
      <c r="D1" s="307"/>
      <c r="E1" s="307"/>
      <c r="F1" s="308"/>
      <c r="G1" s="308"/>
      <c r="H1" s="308"/>
      <c r="I1" s="309"/>
      <c r="J1" s="310" t="s">
        <v>260</v>
      </c>
      <c r="K1" s="275"/>
      <c r="L1" s="275"/>
      <c r="M1" s="275"/>
      <c r="N1" s="275"/>
      <c r="O1" s="276"/>
      <c r="P1" s="276"/>
      <c r="Q1" s="276"/>
      <c r="R1" s="311" t="str">
        <f>表紙!S12</f>
        <v>画面レイアウト設計書</v>
      </c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3"/>
      <c r="AJ1" s="314" t="s">
        <v>261</v>
      </c>
      <c r="AK1" s="315"/>
      <c r="AL1" s="315"/>
      <c r="AM1" s="315"/>
      <c r="AN1" s="315"/>
      <c r="AO1" s="316" t="s">
        <v>262</v>
      </c>
      <c r="AP1" s="315"/>
      <c r="AQ1" s="315"/>
      <c r="AR1" s="315"/>
      <c r="AS1" s="315"/>
      <c r="AT1" s="316" t="s">
        <v>263</v>
      </c>
      <c r="AU1" s="315"/>
      <c r="AV1" s="315"/>
      <c r="AW1" s="315"/>
      <c r="AX1" s="315"/>
      <c r="AY1" s="275" t="s">
        <v>264</v>
      </c>
      <c r="AZ1" s="276"/>
      <c r="BA1" s="276"/>
      <c r="BB1" s="276"/>
      <c r="BC1" s="277"/>
    </row>
    <row r="2" spans="1:55" s="83" customFormat="1" ht="13.5" customHeight="1">
      <c r="A2" s="278" t="str">
        <f>表紙!O10</f>
        <v>13期12月対応</v>
      </c>
      <c r="B2" s="279"/>
      <c r="C2" s="279"/>
      <c r="D2" s="279"/>
      <c r="E2" s="279"/>
      <c r="F2" s="280"/>
      <c r="G2" s="280"/>
      <c r="H2" s="280"/>
      <c r="I2" s="281"/>
      <c r="J2" s="286" t="str">
        <f>表紙!O9</f>
        <v>LMS学習管理システム</v>
      </c>
      <c r="K2" s="279"/>
      <c r="L2" s="279"/>
      <c r="M2" s="279"/>
      <c r="N2" s="279"/>
      <c r="O2" s="280"/>
      <c r="P2" s="280"/>
      <c r="Q2" s="287"/>
      <c r="R2" s="290" t="s">
        <v>265</v>
      </c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2"/>
      <c r="AJ2" s="296" t="s">
        <v>266</v>
      </c>
      <c r="AK2" s="297"/>
      <c r="AL2" s="297"/>
      <c r="AM2" s="297"/>
      <c r="AN2" s="297"/>
      <c r="AO2" s="300">
        <v>42684</v>
      </c>
      <c r="AP2" s="297"/>
      <c r="AQ2" s="297"/>
      <c r="AR2" s="297"/>
      <c r="AS2" s="297"/>
      <c r="AT2" s="296" t="s">
        <v>375</v>
      </c>
      <c r="AU2" s="297"/>
      <c r="AV2" s="297"/>
      <c r="AW2" s="297"/>
      <c r="AX2" s="297"/>
      <c r="AY2" s="301">
        <v>43804</v>
      </c>
      <c r="AZ2" s="302"/>
      <c r="BA2" s="302"/>
      <c r="BB2" s="302"/>
      <c r="BC2" s="303"/>
    </row>
    <row r="3" spans="1:55" s="83" customFormat="1" ht="13.5" customHeight="1" thickBot="1">
      <c r="A3" s="282"/>
      <c r="B3" s="283"/>
      <c r="C3" s="283"/>
      <c r="D3" s="283"/>
      <c r="E3" s="283"/>
      <c r="F3" s="284"/>
      <c r="G3" s="284"/>
      <c r="H3" s="284"/>
      <c r="I3" s="285"/>
      <c r="J3" s="288"/>
      <c r="K3" s="283"/>
      <c r="L3" s="283"/>
      <c r="M3" s="283"/>
      <c r="N3" s="283"/>
      <c r="O3" s="284"/>
      <c r="P3" s="284"/>
      <c r="Q3" s="289"/>
      <c r="R3" s="293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5"/>
      <c r="AJ3" s="298"/>
      <c r="AK3" s="299"/>
      <c r="AL3" s="299"/>
      <c r="AM3" s="299"/>
      <c r="AN3" s="299"/>
      <c r="AO3" s="299"/>
      <c r="AP3" s="299"/>
      <c r="AQ3" s="299"/>
      <c r="AR3" s="299"/>
      <c r="AS3" s="299"/>
      <c r="AT3" s="298"/>
      <c r="AU3" s="299"/>
      <c r="AV3" s="299"/>
      <c r="AW3" s="299"/>
      <c r="AX3" s="299"/>
      <c r="AY3" s="304"/>
      <c r="AZ3" s="304"/>
      <c r="BA3" s="304"/>
      <c r="BB3" s="304"/>
      <c r="BC3" s="305"/>
    </row>
    <row r="4" spans="1:55" ht="13.5" customHeight="1" thickBot="1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5"/>
      <c r="M4" s="85"/>
      <c r="N4" s="85"/>
      <c r="O4" s="85"/>
      <c r="P4" s="86"/>
      <c r="Q4" s="87"/>
      <c r="R4" s="87"/>
      <c r="S4" s="87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5"/>
      <c r="AQ4" s="85"/>
      <c r="AR4" s="85"/>
      <c r="AS4" s="85"/>
      <c r="AT4" s="85"/>
      <c r="AU4" s="86"/>
      <c r="AV4" s="86"/>
      <c r="AW4" s="86"/>
      <c r="AX4" s="88"/>
      <c r="AY4" s="86"/>
      <c r="AZ4" s="86"/>
      <c r="BA4" s="88"/>
      <c r="BB4" s="88"/>
      <c r="BC4" s="84"/>
    </row>
    <row r="5" spans="1:55" s="90" customFormat="1" ht="13.5" customHeight="1">
      <c r="A5" s="260" t="s">
        <v>267</v>
      </c>
      <c r="B5" s="261"/>
      <c r="C5" s="261"/>
      <c r="D5" s="261"/>
      <c r="E5" s="261"/>
      <c r="F5" s="261"/>
      <c r="G5" s="261"/>
      <c r="H5" s="261"/>
      <c r="I5" s="262"/>
      <c r="J5" s="269" t="s">
        <v>268</v>
      </c>
      <c r="K5" s="261"/>
      <c r="L5" s="261"/>
      <c r="M5" s="261"/>
      <c r="N5" s="261"/>
      <c r="O5" s="261"/>
      <c r="P5" s="261"/>
      <c r="Q5" s="262"/>
      <c r="R5" s="269" t="s">
        <v>269</v>
      </c>
      <c r="S5" s="261"/>
      <c r="T5" s="261"/>
      <c r="U5" s="262"/>
      <c r="V5" s="269" t="s">
        <v>270</v>
      </c>
      <c r="W5" s="261"/>
      <c r="X5" s="261"/>
      <c r="Y5" s="261"/>
      <c r="Z5" s="261"/>
      <c r="AA5" s="261"/>
      <c r="AB5" s="261"/>
      <c r="AC5" s="261"/>
      <c r="AD5" s="261"/>
      <c r="AE5" s="261"/>
      <c r="AF5" s="261"/>
      <c r="AG5" s="261"/>
      <c r="AH5" s="261"/>
      <c r="AI5" s="261"/>
      <c r="AJ5" s="261"/>
      <c r="AK5" s="261"/>
      <c r="AL5" s="261"/>
      <c r="AM5" s="261"/>
      <c r="AN5" s="261"/>
      <c r="AO5" s="261"/>
      <c r="AP5" s="261"/>
      <c r="AQ5" s="261"/>
      <c r="AR5" s="261"/>
      <c r="AS5" s="262"/>
      <c r="AT5" s="269" t="s">
        <v>271</v>
      </c>
      <c r="AU5" s="261"/>
      <c r="AV5" s="261"/>
      <c r="AW5" s="261"/>
      <c r="AX5" s="261"/>
      <c r="AY5" s="261"/>
      <c r="AZ5" s="261"/>
      <c r="BA5" s="261"/>
      <c r="BB5" s="261"/>
      <c r="BC5" s="272"/>
    </row>
    <row r="6" spans="1:55" s="91" customFormat="1" ht="13.5" customHeight="1">
      <c r="A6" s="263"/>
      <c r="B6" s="264"/>
      <c r="C6" s="264"/>
      <c r="D6" s="264"/>
      <c r="E6" s="264"/>
      <c r="F6" s="264"/>
      <c r="G6" s="264"/>
      <c r="H6" s="264"/>
      <c r="I6" s="265"/>
      <c r="J6" s="270"/>
      <c r="K6" s="264"/>
      <c r="L6" s="264"/>
      <c r="M6" s="264"/>
      <c r="N6" s="264"/>
      <c r="O6" s="264"/>
      <c r="P6" s="264"/>
      <c r="Q6" s="265"/>
      <c r="R6" s="270"/>
      <c r="S6" s="264"/>
      <c r="T6" s="264"/>
      <c r="U6" s="265"/>
      <c r="V6" s="270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5"/>
      <c r="AT6" s="270"/>
      <c r="AU6" s="264"/>
      <c r="AV6" s="264"/>
      <c r="AW6" s="264"/>
      <c r="AX6" s="264"/>
      <c r="AY6" s="264"/>
      <c r="AZ6" s="264"/>
      <c r="BA6" s="264"/>
      <c r="BB6" s="264"/>
      <c r="BC6" s="273"/>
    </row>
    <row r="7" spans="1:55" s="91" customFormat="1" ht="13.5" customHeight="1" thickBot="1">
      <c r="A7" s="266"/>
      <c r="B7" s="267"/>
      <c r="C7" s="267"/>
      <c r="D7" s="267"/>
      <c r="E7" s="267"/>
      <c r="F7" s="267"/>
      <c r="G7" s="267"/>
      <c r="H7" s="267"/>
      <c r="I7" s="268"/>
      <c r="J7" s="271"/>
      <c r="K7" s="267"/>
      <c r="L7" s="267"/>
      <c r="M7" s="267"/>
      <c r="N7" s="267"/>
      <c r="O7" s="267"/>
      <c r="P7" s="267"/>
      <c r="Q7" s="268"/>
      <c r="R7" s="271"/>
      <c r="S7" s="267"/>
      <c r="T7" s="267"/>
      <c r="U7" s="268"/>
      <c r="V7" s="271"/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267"/>
      <c r="AJ7" s="267"/>
      <c r="AK7" s="267"/>
      <c r="AL7" s="267"/>
      <c r="AM7" s="267"/>
      <c r="AN7" s="267"/>
      <c r="AO7" s="267"/>
      <c r="AP7" s="267"/>
      <c r="AQ7" s="267"/>
      <c r="AR7" s="267"/>
      <c r="AS7" s="268"/>
      <c r="AT7" s="271"/>
      <c r="AU7" s="267"/>
      <c r="AV7" s="267"/>
      <c r="AW7" s="267"/>
      <c r="AX7" s="267"/>
      <c r="AY7" s="267"/>
      <c r="AZ7" s="267"/>
      <c r="BA7" s="267"/>
      <c r="BB7" s="267"/>
      <c r="BC7" s="274"/>
    </row>
    <row r="8" spans="1:55" s="91" customFormat="1" ht="13.5" customHeight="1" thickTop="1">
      <c r="A8" s="247">
        <v>1</v>
      </c>
      <c r="B8" s="144"/>
      <c r="C8" s="144"/>
      <c r="D8" s="144"/>
      <c r="E8" s="144"/>
      <c r="F8" s="144"/>
      <c r="G8" s="144"/>
      <c r="H8" s="144"/>
      <c r="I8" s="155"/>
      <c r="J8" s="248">
        <v>42684</v>
      </c>
      <c r="K8" s="146"/>
      <c r="L8" s="146"/>
      <c r="M8" s="146"/>
      <c r="N8" s="146"/>
      <c r="O8" s="146"/>
      <c r="P8" s="146"/>
      <c r="Q8" s="163"/>
      <c r="R8" s="249" t="s">
        <v>272</v>
      </c>
      <c r="S8" s="148"/>
      <c r="T8" s="148"/>
      <c r="U8" s="171"/>
      <c r="V8" s="178" t="s">
        <v>273</v>
      </c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98"/>
      <c r="AT8" s="249" t="s">
        <v>32</v>
      </c>
      <c r="AU8" s="148"/>
      <c r="AV8" s="148"/>
      <c r="AW8" s="148"/>
      <c r="AX8" s="148"/>
      <c r="AY8" s="148"/>
      <c r="AZ8" s="148"/>
      <c r="BA8" s="148"/>
      <c r="BB8" s="148"/>
      <c r="BC8" s="184"/>
    </row>
    <row r="9" spans="1:55" s="91" customFormat="1" ht="13.5" customHeight="1">
      <c r="A9" s="154"/>
      <c r="B9" s="144"/>
      <c r="C9" s="144"/>
      <c r="D9" s="144"/>
      <c r="E9" s="144"/>
      <c r="F9" s="144"/>
      <c r="G9" s="144"/>
      <c r="H9" s="144"/>
      <c r="I9" s="155"/>
      <c r="J9" s="162"/>
      <c r="K9" s="146"/>
      <c r="L9" s="146"/>
      <c r="M9" s="146"/>
      <c r="N9" s="146"/>
      <c r="O9" s="146"/>
      <c r="P9" s="146"/>
      <c r="Q9" s="163"/>
      <c r="R9" s="170"/>
      <c r="S9" s="148"/>
      <c r="T9" s="148"/>
      <c r="U9" s="171"/>
      <c r="V9" s="197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98"/>
      <c r="AT9" s="170"/>
      <c r="AU9" s="148"/>
      <c r="AV9" s="148"/>
      <c r="AW9" s="148"/>
      <c r="AX9" s="148"/>
      <c r="AY9" s="148"/>
      <c r="AZ9" s="148"/>
      <c r="BA9" s="148"/>
      <c r="BB9" s="148"/>
      <c r="BC9" s="184"/>
    </row>
    <row r="10" spans="1:55" s="91" customFormat="1" ht="13.5" customHeight="1">
      <c r="A10" s="156"/>
      <c r="B10" s="157"/>
      <c r="C10" s="157"/>
      <c r="D10" s="157"/>
      <c r="E10" s="157"/>
      <c r="F10" s="157"/>
      <c r="G10" s="157"/>
      <c r="H10" s="157"/>
      <c r="I10" s="158"/>
      <c r="J10" s="164"/>
      <c r="K10" s="165"/>
      <c r="L10" s="165"/>
      <c r="M10" s="165"/>
      <c r="N10" s="165"/>
      <c r="O10" s="165"/>
      <c r="P10" s="165"/>
      <c r="Q10" s="166"/>
      <c r="R10" s="172"/>
      <c r="S10" s="173"/>
      <c r="T10" s="173"/>
      <c r="U10" s="174"/>
      <c r="V10" s="204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6"/>
      <c r="AT10" s="172"/>
      <c r="AU10" s="173"/>
      <c r="AV10" s="173"/>
      <c r="AW10" s="173"/>
      <c r="AX10" s="173"/>
      <c r="AY10" s="173"/>
      <c r="AZ10" s="173"/>
      <c r="BA10" s="173"/>
      <c r="BB10" s="173"/>
      <c r="BC10" s="185"/>
    </row>
    <row r="11" spans="1:55" s="91" customFormat="1" ht="13.5" customHeight="1">
      <c r="A11" s="151">
        <v>1.1000000000000001</v>
      </c>
      <c r="B11" s="152"/>
      <c r="C11" s="152"/>
      <c r="D11" s="152"/>
      <c r="E11" s="152"/>
      <c r="F11" s="152"/>
      <c r="G11" s="152"/>
      <c r="H11" s="152"/>
      <c r="I11" s="153"/>
      <c r="J11" s="159">
        <v>43111</v>
      </c>
      <c r="K11" s="160"/>
      <c r="L11" s="160"/>
      <c r="M11" s="160"/>
      <c r="N11" s="160"/>
      <c r="O11" s="160"/>
      <c r="P11" s="160"/>
      <c r="Q11" s="161"/>
      <c r="R11" s="167" t="s">
        <v>126</v>
      </c>
      <c r="S11" s="168"/>
      <c r="T11" s="168"/>
      <c r="U11" s="169"/>
      <c r="V11" s="250" t="s">
        <v>353</v>
      </c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251"/>
      <c r="AN11" s="251"/>
      <c r="AO11" s="251"/>
      <c r="AP11" s="251"/>
      <c r="AQ11" s="251"/>
      <c r="AR11" s="251"/>
      <c r="AS11" s="252"/>
      <c r="AT11" s="249" t="s">
        <v>348</v>
      </c>
      <c r="AU11" s="148"/>
      <c r="AV11" s="148"/>
      <c r="AW11" s="148"/>
      <c r="AX11" s="148"/>
      <c r="AY11" s="148"/>
      <c r="AZ11" s="148"/>
      <c r="BA11" s="148"/>
      <c r="BB11" s="148"/>
      <c r="BC11" s="184"/>
    </row>
    <row r="12" spans="1:55" s="91" customFormat="1" ht="13.5" customHeight="1">
      <c r="A12" s="247"/>
      <c r="B12" s="144"/>
      <c r="C12" s="144"/>
      <c r="D12" s="144"/>
      <c r="E12" s="144"/>
      <c r="F12" s="144"/>
      <c r="G12" s="144"/>
      <c r="H12" s="144"/>
      <c r="I12" s="155"/>
      <c r="J12" s="248"/>
      <c r="K12" s="146"/>
      <c r="L12" s="146"/>
      <c r="M12" s="146"/>
      <c r="N12" s="146"/>
      <c r="O12" s="146"/>
      <c r="P12" s="146"/>
      <c r="Q12" s="163"/>
      <c r="R12" s="249"/>
      <c r="S12" s="148"/>
      <c r="T12" s="148"/>
      <c r="U12" s="171"/>
      <c r="V12" s="178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98"/>
      <c r="AT12" s="249"/>
      <c r="AU12" s="148"/>
      <c r="AV12" s="148"/>
      <c r="AW12" s="148"/>
      <c r="AX12" s="148"/>
      <c r="AY12" s="148"/>
      <c r="AZ12" s="148"/>
      <c r="BA12" s="148"/>
      <c r="BB12" s="148"/>
      <c r="BC12" s="184"/>
    </row>
    <row r="13" spans="1:55" s="91" customFormat="1" ht="13.5" customHeight="1">
      <c r="A13" s="154"/>
      <c r="B13" s="144"/>
      <c r="C13" s="144"/>
      <c r="D13" s="144"/>
      <c r="E13" s="144"/>
      <c r="F13" s="144"/>
      <c r="G13" s="144"/>
      <c r="H13" s="144"/>
      <c r="I13" s="155"/>
      <c r="J13" s="162"/>
      <c r="K13" s="146"/>
      <c r="L13" s="146"/>
      <c r="M13" s="146"/>
      <c r="N13" s="146"/>
      <c r="O13" s="146"/>
      <c r="P13" s="146"/>
      <c r="Q13" s="163"/>
      <c r="R13" s="170"/>
      <c r="S13" s="148"/>
      <c r="T13" s="148"/>
      <c r="U13" s="171"/>
      <c r="V13" s="197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98"/>
      <c r="AT13" s="170"/>
      <c r="AU13" s="148"/>
      <c r="AV13" s="148"/>
      <c r="AW13" s="148"/>
      <c r="AX13" s="148"/>
      <c r="AY13" s="148"/>
      <c r="AZ13" s="148"/>
      <c r="BA13" s="148"/>
      <c r="BB13" s="148"/>
      <c r="BC13" s="184"/>
    </row>
    <row r="14" spans="1:55" s="91" customFormat="1" ht="13.5" customHeight="1">
      <c r="A14" s="156"/>
      <c r="B14" s="157"/>
      <c r="C14" s="157"/>
      <c r="D14" s="157"/>
      <c r="E14" s="157"/>
      <c r="F14" s="157"/>
      <c r="G14" s="157"/>
      <c r="H14" s="157"/>
      <c r="I14" s="158"/>
      <c r="J14" s="164"/>
      <c r="K14" s="165"/>
      <c r="L14" s="165"/>
      <c r="M14" s="165"/>
      <c r="N14" s="165"/>
      <c r="O14" s="165"/>
      <c r="P14" s="165"/>
      <c r="Q14" s="166"/>
      <c r="R14" s="172"/>
      <c r="S14" s="173"/>
      <c r="T14" s="173"/>
      <c r="U14" s="174"/>
      <c r="V14" s="253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5"/>
      <c r="AT14" s="172"/>
      <c r="AU14" s="173"/>
      <c r="AV14" s="173"/>
      <c r="AW14" s="173"/>
      <c r="AX14" s="173"/>
      <c r="AY14" s="173"/>
      <c r="AZ14" s="173"/>
      <c r="BA14" s="173"/>
      <c r="BB14" s="173"/>
      <c r="BC14" s="185"/>
    </row>
    <row r="15" spans="1:55" s="91" customFormat="1" ht="13.5" customHeight="1">
      <c r="A15" s="207">
        <v>1.2</v>
      </c>
      <c r="B15" s="208"/>
      <c r="C15" s="208"/>
      <c r="D15" s="208"/>
      <c r="E15" s="208"/>
      <c r="F15" s="208"/>
      <c r="G15" s="208"/>
      <c r="H15" s="208"/>
      <c r="I15" s="209"/>
      <c r="J15" s="216">
        <v>43759</v>
      </c>
      <c r="K15" s="217"/>
      <c r="L15" s="217"/>
      <c r="M15" s="217"/>
      <c r="N15" s="217"/>
      <c r="O15" s="217"/>
      <c r="P15" s="217"/>
      <c r="Q15" s="218"/>
      <c r="R15" s="243" t="s">
        <v>354</v>
      </c>
      <c r="S15" s="226"/>
      <c r="T15" s="226"/>
      <c r="U15" s="227"/>
      <c r="V15" s="234" t="s">
        <v>358</v>
      </c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6"/>
      <c r="AT15" s="243" t="s">
        <v>355</v>
      </c>
      <c r="AU15" s="226"/>
      <c r="AV15" s="226"/>
      <c r="AW15" s="226"/>
      <c r="AX15" s="226"/>
      <c r="AY15" s="226"/>
      <c r="AZ15" s="226"/>
      <c r="BA15" s="226"/>
      <c r="BB15" s="226"/>
      <c r="BC15" s="244"/>
    </row>
    <row r="16" spans="1:55" s="91" customFormat="1" ht="13.5" customHeight="1">
      <c r="A16" s="256"/>
      <c r="B16" s="211"/>
      <c r="C16" s="211"/>
      <c r="D16" s="211"/>
      <c r="E16" s="211"/>
      <c r="F16" s="211"/>
      <c r="G16" s="211"/>
      <c r="H16" s="211"/>
      <c r="I16" s="212"/>
      <c r="J16" s="257"/>
      <c r="K16" s="220"/>
      <c r="L16" s="220"/>
      <c r="M16" s="220"/>
      <c r="N16" s="220"/>
      <c r="O16" s="220"/>
      <c r="P16" s="220"/>
      <c r="Q16" s="221"/>
      <c r="R16" s="258"/>
      <c r="S16" s="229"/>
      <c r="T16" s="229"/>
      <c r="U16" s="230"/>
      <c r="V16" s="259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9"/>
      <c r="AT16" s="258"/>
      <c r="AU16" s="229"/>
      <c r="AV16" s="229"/>
      <c r="AW16" s="229"/>
      <c r="AX16" s="229"/>
      <c r="AY16" s="229"/>
      <c r="AZ16" s="229"/>
      <c r="BA16" s="229"/>
      <c r="BB16" s="229"/>
      <c r="BC16" s="245"/>
    </row>
    <row r="17" spans="1:55" s="91" customFormat="1" ht="13.5" customHeight="1">
      <c r="A17" s="256"/>
      <c r="B17" s="211"/>
      <c r="C17" s="211"/>
      <c r="D17" s="211"/>
      <c r="E17" s="211"/>
      <c r="F17" s="211"/>
      <c r="G17" s="211"/>
      <c r="H17" s="211"/>
      <c r="I17" s="212"/>
      <c r="J17" s="257"/>
      <c r="K17" s="220"/>
      <c r="L17" s="220"/>
      <c r="M17" s="220"/>
      <c r="N17" s="220"/>
      <c r="O17" s="220"/>
      <c r="P17" s="220"/>
      <c r="Q17" s="221"/>
      <c r="R17" s="258"/>
      <c r="S17" s="229"/>
      <c r="T17" s="229"/>
      <c r="U17" s="230"/>
      <c r="V17" s="259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9"/>
      <c r="AT17" s="258"/>
      <c r="AU17" s="229"/>
      <c r="AV17" s="229"/>
      <c r="AW17" s="229"/>
      <c r="AX17" s="229"/>
      <c r="AY17" s="229"/>
      <c r="AZ17" s="229"/>
      <c r="BA17" s="229"/>
      <c r="BB17" s="229"/>
      <c r="BC17" s="245"/>
    </row>
    <row r="18" spans="1:55" s="91" customFormat="1" ht="13.5" customHeight="1">
      <c r="A18" s="256"/>
      <c r="B18" s="211"/>
      <c r="C18" s="211"/>
      <c r="D18" s="211"/>
      <c r="E18" s="211"/>
      <c r="F18" s="211"/>
      <c r="G18" s="211"/>
      <c r="H18" s="211"/>
      <c r="I18" s="212"/>
      <c r="J18" s="257"/>
      <c r="K18" s="220"/>
      <c r="L18" s="220"/>
      <c r="M18" s="220"/>
      <c r="N18" s="220"/>
      <c r="O18" s="220"/>
      <c r="P18" s="220"/>
      <c r="Q18" s="221"/>
      <c r="R18" s="258"/>
      <c r="S18" s="229"/>
      <c r="T18" s="229"/>
      <c r="U18" s="230"/>
      <c r="V18" s="259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9"/>
      <c r="AT18" s="258"/>
      <c r="AU18" s="229"/>
      <c r="AV18" s="229"/>
      <c r="AW18" s="229"/>
      <c r="AX18" s="229"/>
      <c r="AY18" s="229"/>
      <c r="AZ18" s="229"/>
      <c r="BA18" s="229"/>
      <c r="BB18" s="229"/>
      <c r="BC18" s="245"/>
    </row>
    <row r="19" spans="1:55" s="91" customFormat="1" ht="13.5" customHeight="1">
      <c r="A19" s="256"/>
      <c r="B19" s="211"/>
      <c r="C19" s="211"/>
      <c r="D19" s="211"/>
      <c r="E19" s="211"/>
      <c r="F19" s="211"/>
      <c r="G19" s="211"/>
      <c r="H19" s="211"/>
      <c r="I19" s="212"/>
      <c r="J19" s="257"/>
      <c r="K19" s="220"/>
      <c r="L19" s="220"/>
      <c r="M19" s="220"/>
      <c r="N19" s="220"/>
      <c r="O19" s="220"/>
      <c r="P19" s="220"/>
      <c r="Q19" s="221"/>
      <c r="R19" s="258"/>
      <c r="S19" s="229"/>
      <c r="T19" s="229"/>
      <c r="U19" s="230"/>
      <c r="V19" s="259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9"/>
      <c r="AT19" s="258"/>
      <c r="AU19" s="229"/>
      <c r="AV19" s="229"/>
      <c r="AW19" s="229"/>
      <c r="AX19" s="229"/>
      <c r="AY19" s="229"/>
      <c r="AZ19" s="229"/>
      <c r="BA19" s="229"/>
      <c r="BB19" s="229"/>
      <c r="BC19" s="245"/>
    </row>
    <row r="20" spans="1:55" s="91" customFormat="1" ht="13.5" customHeight="1">
      <c r="A20" s="256"/>
      <c r="B20" s="211"/>
      <c r="C20" s="211"/>
      <c r="D20" s="211"/>
      <c r="E20" s="211"/>
      <c r="F20" s="211"/>
      <c r="G20" s="211"/>
      <c r="H20" s="211"/>
      <c r="I20" s="212"/>
      <c r="J20" s="257"/>
      <c r="K20" s="220"/>
      <c r="L20" s="220"/>
      <c r="M20" s="220"/>
      <c r="N20" s="220"/>
      <c r="O20" s="220"/>
      <c r="P20" s="220"/>
      <c r="Q20" s="221"/>
      <c r="R20" s="258"/>
      <c r="S20" s="229"/>
      <c r="T20" s="229"/>
      <c r="U20" s="230"/>
      <c r="V20" s="259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9"/>
      <c r="AT20" s="258"/>
      <c r="AU20" s="229"/>
      <c r="AV20" s="229"/>
      <c r="AW20" s="229"/>
      <c r="AX20" s="229"/>
      <c r="AY20" s="229"/>
      <c r="AZ20" s="229"/>
      <c r="BA20" s="229"/>
      <c r="BB20" s="229"/>
      <c r="BC20" s="245"/>
    </row>
    <row r="21" spans="1:55" s="91" customFormat="1" ht="13.5" customHeight="1">
      <c r="A21" s="210"/>
      <c r="B21" s="211"/>
      <c r="C21" s="211"/>
      <c r="D21" s="211"/>
      <c r="E21" s="211"/>
      <c r="F21" s="211"/>
      <c r="G21" s="211"/>
      <c r="H21" s="211"/>
      <c r="I21" s="212"/>
      <c r="J21" s="219"/>
      <c r="K21" s="220"/>
      <c r="L21" s="220"/>
      <c r="M21" s="220"/>
      <c r="N21" s="220"/>
      <c r="O21" s="220"/>
      <c r="P21" s="220"/>
      <c r="Q21" s="221"/>
      <c r="R21" s="228"/>
      <c r="S21" s="229"/>
      <c r="T21" s="229"/>
      <c r="U21" s="230"/>
      <c r="V21" s="237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  <c r="AR21" s="238"/>
      <c r="AS21" s="239"/>
      <c r="AT21" s="228"/>
      <c r="AU21" s="229"/>
      <c r="AV21" s="229"/>
      <c r="AW21" s="229"/>
      <c r="AX21" s="229"/>
      <c r="AY21" s="229"/>
      <c r="AZ21" s="229"/>
      <c r="BA21" s="229"/>
      <c r="BB21" s="229"/>
      <c r="BC21" s="245"/>
    </row>
    <row r="22" spans="1:55" s="91" customFormat="1" ht="13.5" customHeight="1">
      <c r="A22" s="213"/>
      <c r="B22" s="214"/>
      <c r="C22" s="214"/>
      <c r="D22" s="214"/>
      <c r="E22" s="214"/>
      <c r="F22" s="214"/>
      <c r="G22" s="214"/>
      <c r="H22" s="214"/>
      <c r="I22" s="215"/>
      <c r="J22" s="222"/>
      <c r="K22" s="223"/>
      <c r="L22" s="223"/>
      <c r="M22" s="223"/>
      <c r="N22" s="223"/>
      <c r="O22" s="223"/>
      <c r="P22" s="223"/>
      <c r="Q22" s="224"/>
      <c r="R22" s="231"/>
      <c r="S22" s="232"/>
      <c r="T22" s="232"/>
      <c r="U22" s="233"/>
      <c r="V22" s="240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2"/>
      <c r="AT22" s="231"/>
      <c r="AU22" s="232"/>
      <c r="AV22" s="232"/>
      <c r="AW22" s="232"/>
      <c r="AX22" s="232"/>
      <c r="AY22" s="232"/>
      <c r="AZ22" s="232"/>
      <c r="BA22" s="232"/>
      <c r="BB22" s="232"/>
      <c r="BC22" s="246"/>
    </row>
    <row r="23" spans="1:55" s="91" customFormat="1" ht="13.5" customHeight="1">
      <c r="A23" s="207">
        <v>1.3</v>
      </c>
      <c r="B23" s="208"/>
      <c r="C23" s="208"/>
      <c r="D23" s="208"/>
      <c r="E23" s="208"/>
      <c r="F23" s="208"/>
      <c r="G23" s="208"/>
      <c r="H23" s="208"/>
      <c r="I23" s="209"/>
      <c r="J23" s="216">
        <v>43759</v>
      </c>
      <c r="K23" s="217"/>
      <c r="L23" s="217"/>
      <c r="M23" s="217"/>
      <c r="N23" s="217"/>
      <c r="O23" s="217"/>
      <c r="P23" s="217"/>
      <c r="Q23" s="218"/>
      <c r="R23" s="225" t="s">
        <v>356</v>
      </c>
      <c r="S23" s="226"/>
      <c r="T23" s="226"/>
      <c r="U23" s="227"/>
      <c r="V23" s="234" t="s">
        <v>357</v>
      </c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6"/>
      <c r="AT23" s="243" t="s">
        <v>355</v>
      </c>
      <c r="AU23" s="226"/>
      <c r="AV23" s="226"/>
      <c r="AW23" s="226"/>
      <c r="AX23" s="226"/>
      <c r="AY23" s="226"/>
      <c r="AZ23" s="226"/>
      <c r="BA23" s="226"/>
      <c r="BB23" s="226"/>
      <c r="BC23" s="244"/>
    </row>
    <row r="24" spans="1:55" s="91" customFormat="1" ht="13.5" customHeight="1">
      <c r="A24" s="210"/>
      <c r="B24" s="211"/>
      <c r="C24" s="211"/>
      <c r="D24" s="211"/>
      <c r="E24" s="211"/>
      <c r="F24" s="211"/>
      <c r="G24" s="211"/>
      <c r="H24" s="211"/>
      <c r="I24" s="212"/>
      <c r="J24" s="219"/>
      <c r="K24" s="220"/>
      <c r="L24" s="220"/>
      <c r="M24" s="220"/>
      <c r="N24" s="220"/>
      <c r="O24" s="220"/>
      <c r="P24" s="220"/>
      <c r="Q24" s="221"/>
      <c r="R24" s="228"/>
      <c r="S24" s="229"/>
      <c r="T24" s="229"/>
      <c r="U24" s="230"/>
      <c r="V24" s="237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  <c r="AR24" s="238"/>
      <c r="AS24" s="239"/>
      <c r="AT24" s="228"/>
      <c r="AU24" s="229"/>
      <c r="AV24" s="229"/>
      <c r="AW24" s="229"/>
      <c r="AX24" s="229"/>
      <c r="AY24" s="229"/>
      <c r="AZ24" s="229"/>
      <c r="BA24" s="229"/>
      <c r="BB24" s="229"/>
      <c r="BC24" s="245"/>
    </row>
    <row r="25" spans="1:55" s="91" customFormat="1" ht="13.5" customHeight="1">
      <c r="A25" s="213"/>
      <c r="B25" s="214"/>
      <c r="C25" s="214"/>
      <c r="D25" s="214"/>
      <c r="E25" s="214"/>
      <c r="F25" s="214"/>
      <c r="G25" s="214"/>
      <c r="H25" s="214"/>
      <c r="I25" s="215"/>
      <c r="J25" s="222"/>
      <c r="K25" s="223"/>
      <c r="L25" s="223"/>
      <c r="M25" s="223"/>
      <c r="N25" s="223"/>
      <c r="O25" s="223"/>
      <c r="P25" s="223"/>
      <c r="Q25" s="224"/>
      <c r="R25" s="231"/>
      <c r="S25" s="232"/>
      <c r="T25" s="232"/>
      <c r="U25" s="233"/>
      <c r="V25" s="240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2"/>
      <c r="AT25" s="231"/>
      <c r="AU25" s="232"/>
      <c r="AV25" s="232"/>
      <c r="AW25" s="232"/>
      <c r="AX25" s="232"/>
      <c r="AY25" s="232"/>
      <c r="AZ25" s="232"/>
      <c r="BA25" s="232"/>
      <c r="BB25" s="232"/>
      <c r="BC25" s="246"/>
    </row>
    <row r="26" spans="1:55" s="91" customFormat="1" ht="13.5" customHeight="1">
      <c r="A26" s="207">
        <v>1.4</v>
      </c>
      <c r="B26" s="208"/>
      <c r="C26" s="208"/>
      <c r="D26" s="208"/>
      <c r="E26" s="208"/>
      <c r="F26" s="208"/>
      <c r="G26" s="208"/>
      <c r="H26" s="208"/>
      <c r="I26" s="209"/>
      <c r="J26" s="216">
        <v>43804</v>
      </c>
      <c r="K26" s="217"/>
      <c r="L26" s="217"/>
      <c r="M26" s="217"/>
      <c r="N26" s="217"/>
      <c r="O26" s="217"/>
      <c r="P26" s="217"/>
      <c r="Q26" s="218"/>
      <c r="R26" s="225" t="s">
        <v>377</v>
      </c>
      <c r="S26" s="226"/>
      <c r="T26" s="226"/>
      <c r="U26" s="227"/>
      <c r="V26" s="234" t="s">
        <v>378</v>
      </c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6"/>
      <c r="AT26" s="243" t="s">
        <v>376</v>
      </c>
      <c r="AU26" s="226"/>
      <c r="AV26" s="226"/>
      <c r="AW26" s="226"/>
      <c r="AX26" s="226"/>
      <c r="AY26" s="226"/>
      <c r="AZ26" s="226"/>
      <c r="BA26" s="226"/>
      <c r="BB26" s="226"/>
      <c r="BC26" s="244"/>
    </row>
    <row r="27" spans="1:55" s="91" customFormat="1" ht="13.5" customHeight="1">
      <c r="A27" s="210"/>
      <c r="B27" s="211"/>
      <c r="C27" s="211"/>
      <c r="D27" s="211"/>
      <c r="E27" s="211"/>
      <c r="F27" s="211"/>
      <c r="G27" s="211"/>
      <c r="H27" s="211"/>
      <c r="I27" s="212"/>
      <c r="J27" s="219"/>
      <c r="K27" s="220"/>
      <c r="L27" s="220"/>
      <c r="M27" s="220"/>
      <c r="N27" s="220"/>
      <c r="O27" s="220"/>
      <c r="P27" s="220"/>
      <c r="Q27" s="221"/>
      <c r="R27" s="228"/>
      <c r="S27" s="229"/>
      <c r="T27" s="229"/>
      <c r="U27" s="230"/>
      <c r="V27" s="237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  <c r="AR27" s="238"/>
      <c r="AS27" s="239"/>
      <c r="AT27" s="228"/>
      <c r="AU27" s="229"/>
      <c r="AV27" s="229"/>
      <c r="AW27" s="229"/>
      <c r="AX27" s="229"/>
      <c r="AY27" s="229"/>
      <c r="AZ27" s="229"/>
      <c r="BA27" s="229"/>
      <c r="BB27" s="229"/>
      <c r="BC27" s="245"/>
    </row>
    <row r="28" spans="1:55" s="91" customFormat="1" ht="13.5" customHeight="1">
      <c r="A28" s="213"/>
      <c r="B28" s="214"/>
      <c r="C28" s="214"/>
      <c r="D28" s="214"/>
      <c r="E28" s="214"/>
      <c r="F28" s="214"/>
      <c r="G28" s="214"/>
      <c r="H28" s="214"/>
      <c r="I28" s="215"/>
      <c r="J28" s="222"/>
      <c r="K28" s="223"/>
      <c r="L28" s="223"/>
      <c r="M28" s="223"/>
      <c r="N28" s="223"/>
      <c r="O28" s="223"/>
      <c r="P28" s="223"/>
      <c r="Q28" s="224"/>
      <c r="R28" s="231"/>
      <c r="S28" s="232"/>
      <c r="T28" s="232"/>
      <c r="U28" s="233"/>
      <c r="V28" s="240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2"/>
      <c r="AT28" s="231"/>
      <c r="AU28" s="232"/>
      <c r="AV28" s="232"/>
      <c r="AW28" s="232"/>
      <c r="AX28" s="232"/>
      <c r="AY28" s="232"/>
      <c r="AZ28" s="232"/>
      <c r="BA28" s="232"/>
      <c r="BB28" s="232"/>
      <c r="BC28" s="246"/>
    </row>
    <row r="29" spans="1:55" s="91" customFormat="1" ht="13.5" customHeight="1">
      <c r="A29" s="151"/>
      <c r="B29" s="152"/>
      <c r="C29" s="152"/>
      <c r="D29" s="152"/>
      <c r="E29" s="152"/>
      <c r="F29" s="152"/>
      <c r="G29" s="152"/>
      <c r="H29" s="152"/>
      <c r="I29" s="153"/>
      <c r="J29" s="159"/>
      <c r="K29" s="160"/>
      <c r="L29" s="160"/>
      <c r="M29" s="160"/>
      <c r="N29" s="160"/>
      <c r="O29" s="160"/>
      <c r="P29" s="160"/>
      <c r="Q29" s="161"/>
      <c r="R29" s="203"/>
      <c r="S29" s="168"/>
      <c r="T29" s="168"/>
      <c r="U29" s="169"/>
      <c r="V29" s="17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6"/>
      <c r="AT29" s="167"/>
      <c r="AU29" s="168"/>
      <c r="AV29" s="168"/>
      <c r="AW29" s="168"/>
      <c r="AX29" s="168"/>
      <c r="AY29" s="168"/>
      <c r="AZ29" s="168"/>
      <c r="BA29" s="168"/>
      <c r="BB29" s="168"/>
      <c r="BC29" s="183"/>
    </row>
    <row r="30" spans="1:55" s="91" customFormat="1" ht="13.5" customHeight="1">
      <c r="A30" s="154"/>
      <c r="B30" s="144"/>
      <c r="C30" s="144"/>
      <c r="D30" s="144"/>
      <c r="E30" s="144"/>
      <c r="F30" s="144"/>
      <c r="G30" s="144"/>
      <c r="H30" s="144"/>
      <c r="I30" s="155"/>
      <c r="J30" s="162"/>
      <c r="K30" s="146"/>
      <c r="L30" s="146"/>
      <c r="M30" s="146"/>
      <c r="N30" s="146"/>
      <c r="O30" s="146"/>
      <c r="P30" s="146"/>
      <c r="Q30" s="163"/>
      <c r="R30" s="170"/>
      <c r="S30" s="148"/>
      <c r="T30" s="148"/>
      <c r="U30" s="171"/>
      <c r="V30" s="197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98"/>
      <c r="AT30" s="170"/>
      <c r="AU30" s="148"/>
      <c r="AV30" s="148"/>
      <c r="AW30" s="148"/>
      <c r="AX30" s="148"/>
      <c r="AY30" s="148"/>
      <c r="AZ30" s="148"/>
      <c r="BA30" s="148"/>
      <c r="BB30" s="148"/>
      <c r="BC30" s="184"/>
    </row>
    <row r="31" spans="1:55" s="91" customFormat="1" ht="13.5" customHeight="1">
      <c r="A31" s="156"/>
      <c r="B31" s="157"/>
      <c r="C31" s="157"/>
      <c r="D31" s="157"/>
      <c r="E31" s="157"/>
      <c r="F31" s="157"/>
      <c r="G31" s="157"/>
      <c r="H31" s="157"/>
      <c r="I31" s="158"/>
      <c r="J31" s="164"/>
      <c r="K31" s="165"/>
      <c r="L31" s="165"/>
      <c r="M31" s="165"/>
      <c r="N31" s="165"/>
      <c r="O31" s="165"/>
      <c r="P31" s="165"/>
      <c r="Q31" s="166"/>
      <c r="R31" s="172"/>
      <c r="S31" s="173"/>
      <c r="T31" s="173"/>
      <c r="U31" s="174"/>
      <c r="V31" s="204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6"/>
      <c r="AT31" s="172"/>
      <c r="AU31" s="173"/>
      <c r="AV31" s="173"/>
      <c r="AW31" s="173"/>
      <c r="AX31" s="173"/>
      <c r="AY31" s="173"/>
      <c r="AZ31" s="173"/>
      <c r="BA31" s="173"/>
      <c r="BB31" s="173"/>
      <c r="BC31" s="185"/>
    </row>
    <row r="32" spans="1:55" s="91" customFormat="1" ht="13.5" customHeight="1">
      <c r="A32" s="151"/>
      <c r="B32" s="152"/>
      <c r="C32" s="152"/>
      <c r="D32" s="152"/>
      <c r="E32" s="152"/>
      <c r="F32" s="152"/>
      <c r="G32" s="152"/>
      <c r="H32" s="152"/>
      <c r="I32" s="153"/>
      <c r="J32" s="159"/>
      <c r="K32" s="160"/>
      <c r="L32" s="160"/>
      <c r="M32" s="160"/>
      <c r="N32" s="160"/>
      <c r="O32" s="160"/>
      <c r="P32" s="160"/>
      <c r="Q32" s="161"/>
      <c r="R32" s="203"/>
      <c r="S32" s="168"/>
      <c r="T32" s="168"/>
      <c r="U32" s="169"/>
      <c r="V32" s="17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6"/>
      <c r="AT32" s="167"/>
      <c r="AU32" s="168"/>
      <c r="AV32" s="168"/>
      <c r="AW32" s="168"/>
      <c r="AX32" s="168"/>
      <c r="AY32" s="168"/>
      <c r="AZ32" s="168"/>
      <c r="BA32" s="168"/>
      <c r="BB32" s="168"/>
      <c r="BC32" s="183"/>
    </row>
    <row r="33" spans="1:55" s="91" customFormat="1" ht="13.5" customHeight="1">
      <c r="A33" s="154"/>
      <c r="B33" s="144"/>
      <c r="C33" s="144"/>
      <c r="D33" s="144"/>
      <c r="E33" s="144"/>
      <c r="F33" s="144"/>
      <c r="G33" s="144"/>
      <c r="H33" s="144"/>
      <c r="I33" s="155"/>
      <c r="J33" s="162"/>
      <c r="K33" s="146"/>
      <c r="L33" s="146"/>
      <c r="M33" s="146"/>
      <c r="N33" s="146"/>
      <c r="O33" s="146"/>
      <c r="P33" s="146"/>
      <c r="Q33" s="163"/>
      <c r="R33" s="170"/>
      <c r="S33" s="148"/>
      <c r="T33" s="148"/>
      <c r="U33" s="171"/>
      <c r="V33" s="197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98"/>
      <c r="AT33" s="170"/>
      <c r="AU33" s="148"/>
      <c r="AV33" s="148"/>
      <c r="AW33" s="148"/>
      <c r="AX33" s="148"/>
      <c r="AY33" s="148"/>
      <c r="AZ33" s="148"/>
      <c r="BA33" s="148"/>
      <c r="BB33" s="148"/>
      <c r="BC33" s="184"/>
    </row>
    <row r="34" spans="1:55" s="91" customFormat="1" ht="13.5" customHeight="1">
      <c r="A34" s="156"/>
      <c r="B34" s="157"/>
      <c r="C34" s="157"/>
      <c r="D34" s="157"/>
      <c r="E34" s="157"/>
      <c r="F34" s="157"/>
      <c r="G34" s="157"/>
      <c r="H34" s="157"/>
      <c r="I34" s="158"/>
      <c r="J34" s="164"/>
      <c r="K34" s="165"/>
      <c r="L34" s="165"/>
      <c r="M34" s="165"/>
      <c r="N34" s="165"/>
      <c r="O34" s="165"/>
      <c r="P34" s="165"/>
      <c r="Q34" s="166"/>
      <c r="R34" s="172"/>
      <c r="S34" s="173"/>
      <c r="T34" s="173"/>
      <c r="U34" s="174"/>
      <c r="V34" s="204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6"/>
      <c r="AT34" s="172"/>
      <c r="AU34" s="173"/>
      <c r="AV34" s="173"/>
      <c r="AW34" s="173"/>
      <c r="AX34" s="173"/>
      <c r="AY34" s="173"/>
      <c r="AZ34" s="173"/>
      <c r="BA34" s="173"/>
      <c r="BB34" s="173"/>
      <c r="BC34" s="185"/>
    </row>
    <row r="35" spans="1:55" s="91" customFormat="1" ht="13.5" customHeight="1">
      <c r="A35" s="151"/>
      <c r="B35" s="152"/>
      <c r="C35" s="152"/>
      <c r="D35" s="152"/>
      <c r="E35" s="152"/>
      <c r="F35" s="152"/>
      <c r="G35" s="152"/>
      <c r="H35" s="152"/>
      <c r="I35" s="153"/>
      <c r="J35" s="159"/>
      <c r="K35" s="160"/>
      <c r="L35" s="160"/>
      <c r="M35" s="160"/>
      <c r="N35" s="160"/>
      <c r="O35" s="160"/>
      <c r="P35" s="160"/>
      <c r="Q35" s="161"/>
      <c r="R35" s="167"/>
      <c r="S35" s="168"/>
      <c r="T35" s="168"/>
      <c r="U35" s="169"/>
      <c r="V35" s="175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7"/>
      <c r="AT35" s="167"/>
      <c r="AU35" s="168"/>
      <c r="AV35" s="168"/>
      <c r="AW35" s="168"/>
      <c r="AX35" s="168"/>
      <c r="AY35" s="168"/>
      <c r="AZ35" s="168"/>
      <c r="BA35" s="168"/>
      <c r="BB35" s="168"/>
      <c r="BC35" s="183"/>
    </row>
    <row r="36" spans="1:55" s="91" customFormat="1" ht="13.5" customHeight="1">
      <c r="A36" s="154"/>
      <c r="B36" s="144"/>
      <c r="C36" s="144"/>
      <c r="D36" s="144"/>
      <c r="E36" s="144"/>
      <c r="F36" s="144"/>
      <c r="G36" s="144"/>
      <c r="H36" s="144"/>
      <c r="I36" s="155"/>
      <c r="J36" s="162"/>
      <c r="K36" s="146"/>
      <c r="L36" s="146"/>
      <c r="M36" s="146"/>
      <c r="N36" s="146"/>
      <c r="O36" s="146"/>
      <c r="P36" s="146"/>
      <c r="Q36" s="163"/>
      <c r="R36" s="170"/>
      <c r="S36" s="148"/>
      <c r="T36" s="148"/>
      <c r="U36" s="171"/>
      <c r="V36" s="178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79"/>
      <c r="AT36" s="170"/>
      <c r="AU36" s="148"/>
      <c r="AV36" s="148"/>
      <c r="AW36" s="148"/>
      <c r="AX36" s="148"/>
      <c r="AY36" s="148"/>
      <c r="AZ36" s="148"/>
      <c r="BA36" s="148"/>
      <c r="BB36" s="148"/>
      <c r="BC36" s="184"/>
    </row>
    <row r="37" spans="1:55" s="91" customFormat="1" ht="13.5" customHeight="1">
      <c r="A37" s="156"/>
      <c r="B37" s="157"/>
      <c r="C37" s="157"/>
      <c r="D37" s="157"/>
      <c r="E37" s="157"/>
      <c r="F37" s="157"/>
      <c r="G37" s="157"/>
      <c r="H37" s="157"/>
      <c r="I37" s="158"/>
      <c r="J37" s="164"/>
      <c r="K37" s="165"/>
      <c r="L37" s="165"/>
      <c r="M37" s="165"/>
      <c r="N37" s="165"/>
      <c r="O37" s="165"/>
      <c r="P37" s="165"/>
      <c r="Q37" s="166"/>
      <c r="R37" s="172"/>
      <c r="S37" s="173"/>
      <c r="T37" s="173"/>
      <c r="U37" s="174"/>
      <c r="V37" s="180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2"/>
      <c r="AT37" s="172"/>
      <c r="AU37" s="173"/>
      <c r="AV37" s="173"/>
      <c r="AW37" s="173"/>
      <c r="AX37" s="173"/>
      <c r="AY37" s="173"/>
      <c r="AZ37" s="173"/>
      <c r="BA37" s="173"/>
      <c r="BB37" s="173"/>
      <c r="BC37" s="185"/>
    </row>
    <row r="38" spans="1:55" s="91" customFormat="1" ht="13.5" customHeight="1">
      <c r="A38" s="151"/>
      <c r="B38" s="152"/>
      <c r="C38" s="152"/>
      <c r="D38" s="152"/>
      <c r="E38" s="152"/>
      <c r="F38" s="152"/>
      <c r="G38" s="152"/>
      <c r="H38" s="152"/>
      <c r="I38" s="153"/>
      <c r="J38" s="159"/>
      <c r="K38" s="160"/>
      <c r="L38" s="160"/>
      <c r="M38" s="160"/>
      <c r="N38" s="160"/>
      <c r="O38" s="160"/>
      <c r="P38" s="160"/>
      <c r="Q38" s="161"/>
      <c r="R38" s="167"/>
      <c r="S38" s="168"/>
      <c r="T38" s="168"/>
      <c r="U38" s="169"/>
      <c r="V38" s="17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6"/>
      <c r="AT38" s="167"/>
      <c r="AU38" s="168"/>
      <c r="AV38" s="168"/>
      <c r="AW38" s="168"/>
      <c r="AX38" s="168"/>
      <c r="AY38" s="168"/>
      <c r="AZ38" s="168"/>
      <c r="BA38" s="168"/>
      <c r="BB38" s="168"/>
      <c r="BC38" s="183"/>
    </row>
    <row r="39" spans="1:55" s="91" customFormat="1" ht="13.5" customHeight="1">
      <c r="A39" s="154"/>
      <c r="B39" s="144"/>
      <c r="C39" s="144"/>
      <c r="D39" s="144"/>
      <c r="E39" s="144"/>
      <c r="F39" s="144"/>
      <c r="G39" s="144"/>
      <c r="H39" s="144"/>
      <c r="I39" s="155"/>
      <c r="J39" s="162"/>
      <c r="K39" s="146"/>
      <c r="L39" s="146"/>
      <c r="M39" s="146"/>
      <c r="N39" s="146"/>
      <c r="O39" s="146"/>
      <c r="P39" s="146"/>
      <c r="Q39" s="163"/>
      <c r="R39" s="170"/>
      <c r="S39" s="148"/>
      <c r="T39" s="148"/>
      <c r="U39" s="171"/>
      <c r="V39" s="197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98"/>
      <c r="AT39" s="170"/>
      <c r="AU39" s="148"/>
      <c r="AV39" s="148"/>
      <c r="AW39" s="148"/>
      <c r="AX39" s="148"/>
      <c r="AY39" s="148"/>
      <c r="AZ39" s="148"/>
      <c r="BA39" s="148"/>
      <c r="BB39" s="148"/>
      <c r="BC39" s="184"/>
    </row>
    <row r="40" spans="1:55" s="91" customFormat="1" ht="13.5" customHeight="1" thickBot="1">
      <c r="A40" s="186"/>
      <c r="B40" s="187"/>
      <c r="C40" s="187"/>
      <c r="D40" s="187"/>
      <c r="E40" s="187"/>
      <c r="F40" s="187"/>
      <c r="G40" s="187"/>
      <c r="H40" s="187"/>
      <c r="I40" s="188"/>
      <c r="J40" s="189"/>
      <c r="K40" s="190"/>
      <c r="L40" s="190"/>
      <c r="M40" s="190"/>
      <c r="N40" s="190"/>
      <c r="O40" s="190"/>
      <c r="P40" s="190"/>
      <c r="Q40" s="191"/>
      <c r="R40" s="192"/>
      <c r="S40" s="193"/>
      <c r="T40" s="193"/>
      <c r="U40" s="194"/>
      <c r="V40" s="199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200"/>
      <c r="AR40" s="200"/>
      <c r="AS40" s="201"/>
      <c r="AT40" s="192"/>
      <c r="AU40" s="193"/>
      <c r="AV40" s="193"/>
      <c r="AW40" s="193"/>
      <c r="AX40" s="193"/>
      <c r="AY40" s="193"/>
      <c r="AZ40" s="193"/>
      <c r="BA40" s="193"/>
      <c r="BB40" s="193"/>
      <c r="BC40" s="202"/>
    </row>
    <row r="41" spans="1:55" s="91" customFormat="1" ht="13.5" customHeight="1">
      <c r="A41" s="143"/>
      <c r="B41" s="144"/>
      <c r="C41" s="144"/>
      <c r="D41" s="144"/>
      <c r="E41" s="144"/>
      <c r="F41" s="144"/>
      <c r="G41" s="144"/>
      <c r="H41" s="144"/>
      <c r="I41" s="144"/>
      <c r="J41" s="145"/>
      <c r="K41" s="146"/>
      <c r="L41" s="146"/>
      <c r="M41" s="146"/>
      <c r="N41" s="146"/>
      <c r="O41" s="146"/>
      <c r="P41" s="146"/>
      <c r="Q41" s="146"/>
      <c r="R41" s="147"/>
      <c r="S41" s="148"/>
      <c r="T41" s="148"/>
      <c r="U41" s="148"/>
      <c r="V41" s="149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47"/>
      <c r="AU41" s="148"/>
      <c r="AV41" s="148"/>
      <c r="AW41" s="148"/>
      <c r="AX41" s="148"/>
      <c r="AY41" s="148"/>
      <c r="AZ41" s="148"/>
      <c r="BA41" s="148"/>
      <c r="BB41" s="148"/>
      <c r="BC41" s="148"/>
    </row>
  </sheetData>
  <mergeCells count="6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5:I22"/>
    <mergeCell ref="J15:Q22"/>
    <mergeCell ref="R15:U22"/>
    <mergeCell ref="V15:AS22"/>
    <mergeCell ref="AT15:BC22"/>
    <mergeCell ref="A11:I14"/>
    <mergeCell ref="J11:Q14"/>
    <mergeCell ref="R11:U14"/>
    <mergeCell ref="V11:AS14"/>
    <mergeCell ref="AT11:BC14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38:I40"/>
    <mergeCell ref="J38:Q40"/>
    <mergeCell ref="R38:U40"/>
    <mergeCell ref="V38:AS40"/>
    <mergeCell ref="AT38:BC40"/>
    <mergeCell ref="A35:I37"/>
    <mergeCell ref="J35:Q37"/>
    <mergeCell ref="R35:U37"/>
    <mergeCell ref="V35:AS37"/>
    <mergeCell ref="AT35:BC37"/>
    <mergeCell ref="A41:I41"/>
    <mergeCell ref="J41:Q41"/>
    <mergeCell ref="R41:U41"/>
    <mergeCell ref="V41:AS41"/>
    <mergeCell ref="AT41:BC41"/>
  </mergeCells>
  <phoneticPr fontId="5"/>
  <pageMargins left="0.23622047244094491" right="0.23622047244094491" top="0.55118110236220474" bottom="0.74803149606299213" header="0.31496062992125984" footer="0.31496062992125984"/>
  <pageSetup paperSize="9" scale="9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186"/>
  <sheetViews>
    <sheetView showGridLines="0" view="pageBreakPreview" zoomScaleNormal="60" zoomScaleSheetLayoutView="100" workbookViewId="0">
      <selection sqref="A1:J1"/>
    </sheetView>
  </sheetViews>
  <sheetFormatPr defaultColWidth="2.625" defaultRowHeight="13.5" customHeight="1"/>
  <cols>
    <col min="1" max="16384" width="2.625" style="1"/>
  </cols>
  <sheetData>
    <row r="1" spans="1:50" ht="16.5">
      <c r="A1" s="358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 t="s">
        <v>1</v>
      </c>
      <c r="L1" s="343"/>
      <c r="M1" s="343"/>
      <c r="N1" s="343"/>
      <c r="O1" s="343"/>
      <c r="P1" s="343"/>
      <c r="Q1" s="343"/>
      <c r="R1" s="343"/>
      <c r="S1" s="343"/>
      <c r="T1" s="343"/>
      <c r="U1" s="343" t="s">
        <v>31</v>
      </c>
      <c r="V1" s="343"/>
      <c r="W1" s="343"/>
      <c r="X1" s="343"/>
      <c r="Y1" s="343"/>
      <c r="Z1" s="343"/>
      <c r="AA1" s="343"/>
      <c r="AB1" s="343"/>
      <c r="AC1" s="343"/>
      <c r="AD1" s="343"/>
      <c r="AE1" s="343" t="s">
        <v>2</v>
      </c>
      <c r="AF1" s="343"/>
      <c r="AG1" s="343"/>
      <c r="AH1" s="343"/>
      <c r="AI1" s="343"/>
      <c r="AJ1" s="343" t="s">
        <v>3</v>
      </c>
      <c r="AK1" s="343"/>
      <c r="AL1" s="343"/>
      <c r="AM1" s="343"/>
      <c r="AN1" s="343"/>
      <c r="AO1" s="343" t="s">
        <v>4</v>
      </c>
      <c r="AP1" s="343"/>
      <c r="AQ1" s="343"/>
      <c r="AR1" s="343"/>
      <c r="AS1" s="343"/>
      <c r="AT1" s="343" t="s">
        <v>5</v>
      </c>
      <c r="AU1" s="343"/>
      <c r="AV1" s="343"/>
      <c r="AW1" s="343"/>
      <c r="AX1" s="344"/>
    </row>
    <row r="2" spans="1:50" ht="13.5" customHeight="1">
      <c r="A2" s="345" t="str">
        <f>表紙!O10</f>
        <v>13期12月対応</v>
      </c>
      <c r="B2" s="317"/>
      <c r="C2" s="317"/>
      <c r="D2" s="317"/>
      <c r="E2" s="317"/>
      <c r="F2" s="317"/>
      <c r="G2" s="317"/>
      <c r="H2" s="317"/>
      <c r="I2" s="317"/>
      <c r="J2" s="317"/>
      <c r="K2" s="317" t="s">
        <v>30</v>
      </c>
      <c r="L2" s="317"/>
      <c r="M2" s="317"/>
      <c r="N2" s="317"/>
      <c r="O2" s="317"/>
      <c r="P2" s="317"/>
      <c r="Q2" s="317"/>
      <c r="R2" s="317"/>
      <c r="S2" s="317"/>
      <c r="T2" s="317"/>
      <c r="U2" s="348" t="str">
        <f ca="1">RIGHT(CELL("filename",V2),LEN(CELL("filename",V2))-FIND("]",CELL("filename",V2)))</f>
        <v>ユーザー詳細_受講生（受講生権限）</v>
      </c>
      <c r="V2" s="349"/>
      <c r="W2" s="349"/>
      <c r="X2" s="349"/>
      <c r="Y2" s="349"/>
      <c r="Z2" s="349"/>
      <c r="AA2" s="349"/>
      <c r="AB2" s="349"/>
      <c r="AC2" s="349"/>
      <c r="AD2" s="350"/>
      <c r="AE2" s="317" t="s">
        <v>32</v>
      </c>
      <c r="AF2" s="317"/>
      <c r="AG2" s="317"/>
      <c r="AH2" s="317"/>
      <c r="AI2" s="317"/>
      <c r="AJ2" s="354">
        <v>42997</v>
      </c>
      <c r="AK2" s="354"/>
      <c r="AL2" s="354"/>
      <c r="AM2" s="354"/>
      <c r="AN2" s="354"/>
      <c r="AO2" s="317" t="s">
        <v>376</v>
      </c>
      <c r="AP2" s="317"/>
      <c r="AQ2" s="317"/>
      <c r="AR2" s="317"/>
      <c r="AS2" s="317"/>
      <c r="AT2" s="354">
        <v>43804</v>
      </c>
      <c r="AU2" s="317"/>
      <c r="AV2" s="317"/>
      <c r="AW2" s="317"/>
      <c r="AX2" s="356"/>
    </row>
    <row r="3" spans="1:50" ht="13.5" customHeight="1" thickBot="1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51"/>
      <c r="V3" s="352"/>
      <c r="W3" s="352"/>
      <c r="X3" s="352"/>
      <c r="Y3" s="352"/>
      <c r="Z3" s="352"/>
      <c r="AA3" s="352"/>
      <c r="AB3" s="352"/>
      <c r="AC3" s="352"/>
      <c r="AD3" s="353"/>
      <c r="AE3" s="347"/>
      <c r="AF3" s="347"/>
      <c r="AG3" s="347"/>
      <c r="AH3" s="347"/>
      <c r="AI3" s="347"/>
      <c r="AJ3" s="355"/>
      <c r="AK3" s="355"/>
      <c r="AL3" s="355"/>
      <c r="AM3" s="355"/>
      <c r="AN3" s="355"/>
      <c r="AO3" s="347"/>
      <c r="AP3" s="347"/>
      <c r="AQ3" s="347"/>
      <c r="AR3" s="347"/>
      <c r="AS3" s="347"/>
      <c r="AT3" s="347"/>
      <c r="AU3" s="347"/>
      <c r="AV3" s="347"/>
      <c r="AW3" s="347"/>
      <c r="AX3" s="357"/>
    </row>
    <row r="4" spans="1:50" ht="13.5" customHeight="1" thickBot="1"/>
    <row r="5" spans="1:50" ht="13.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</row>
    <row r="6" spans="1:50" ht="13.5" customHeight="1">
      <c r="A6" s="5"/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3.5" customHeight="1">
      <c r="A7" s="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ht="13.5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8"/>
    </row>
    <row r="9" spans="1:50" ht="13.5" customHeight="1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8"/>
    </row>
    <row r="10" spans="1:50" ht="13.5" customHeight="1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8"/>
    </row>
    <row r="11" spans="1:50" ht="13.5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8"/>
    </row>
    <row r="12" spans="1:50" ht="13.5" customHeight="1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8"/>
    </row>
    <row r="13" spans="1:50" ht="13.5" customHeight="1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8"/>
    </row>
    <row r="14" spans="1:50" ht="13.5" customHeight="1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ht="13.5" customHeight="1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13.5" customHeight="1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3.5" customHeight="1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13.5" customHeight="1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ht="13.5" customHeight="1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8"/>
    </row>
    <row r="20" spans="1:50" ht="13.5" customHeight="1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</row>
    <row r="21" spans="1:50" ht="13.5" customHeight="1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</row>
    <row r="22" spans="1:50" ht="13.5" customHeight="1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3.5" customHeight="1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3.5" customHeight="1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3.5" customHeight="1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13.5" customHeight="1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3.5" customHeight="1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13.5" customHeight="1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3.5" customHeight="1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13.5" customHeight="1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3.5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13.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3.5" customHeight="1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3.5" customHeight="1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8"/>
    </row>
    <row r="35" spans="1:50" ht="13.5" customHeight="1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8"/>
    </row>
    <row r="36" spans="1:50" ht="13.5" customHeight="1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8"/>
    </row>
    <row r="37" spans="1:50" ht="13.5" customHeight="1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8"/>
    </row>
    <row r="38" spans="1:50" ht="13.5" customHeight="1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8"/>
    </row>
    <row r="39" spans="1:50" ht="13.5" customHeight="1">
      <c r="A39" s="5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8"/>
    </row>
    <row r="40" spans="1:50" ht="13.5" customHeight="1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8"/>
    </row>
    <row r="41" spans="1:50" ht="13.5" customHeight="1">
      <c r="A41" s="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8"/>
    </row>
    <row r="42" spans="1:50" ht="13.5" customHeight="1">
      <c r="A42" s="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8"/>
    </row>
    <row r="43" spans="1:50" ht="13.5" customHeight="1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8"/>
    </row>
    <row r="44" spans="1:50" ht="13.5" customHeight="1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8"/>
    </row>
    <row r="45" spans="1:50" ht="13.5" customHeight="1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8"/>
    </row>
    <row r="46" spans="1:50" ht="13.5" customHeight="1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8"/>
    </row>
    <row r="47" spans="1:50" ht="13.5" customHeight="1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8"/>
    </row>
    <row r="48" spans="1:50" ht="13.5" customHeight="1" thickBot="1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8"/>
    </row>
    <row r="49" spans="1:50" ht="13.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4"/>
    </row>
    <row r="50" spans="1:50" ht="18.75">
      <c r="A50" s="5"/>
      <c r="B50" s="6" t="s">
        <v>7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8"/>
    </row>
    <row r="51" spans="1:50" ht="16.5">
      <c r="A51" s="5"/>
      <c r="B51" s="342" t="s">
        <v>8</v>
      </c>
      <c r="C51" s="342"/>
      <c r="D51" s="319" t="s">
        <v>9</v>
      </c>
      <c r="E51" s="319"/>
      <c r="F51" s="319"/>
      <c r="G51" s="319"/>
      <c r="H51" s="319"/>
      <c r="I51" s="319"/>
      <c r="J51" s="319"/>
      <c r="K51" s="319"/>
      <c r="L51" s="319"/>
      <c r="M51" s="319"/>
      <c r="N51" s="319" t="s">
        <v>10</v>
      </c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319"/>
      <c r="AB51" s="319"/>
      <c r="AC51" s="319"/>
      <c r="AD51" s="319" t="s">
        <v>11</v>
      </c>
      <c r="AE51" s="319"/>
      <c r="AF51" s="319"/>
      <c r="AG51" s="319" t="s">
        <v>12</v>
      </c>
      <c r="AH51" s="319"/>
      <c r="AI51" s="319"/>
      <c r="AJ51" s="319"/>
      <c r="AK51" s="319"/>
      <c r="AL51" s="319"/>
      <c r="AM51" s="319"/>
      <c r="AN51" s="319"/>
      <c r="AO51" s="319"/>
      <c r="AP51" s="319"/>
      <c r="AQ51" s="319"/>
      <c r="AR51" s="319"/>
      <c r="AS51" s="319"/>
      <c r="AT51" s="319"/>
      <c r="AU51" s="319"/>
      <c r="AV51" s="319"/>
      <c r="AW51" s="319"/>
      <c r="AX51" s="8"/>
    </row>
    <row r="52" spans="1:50" ht="16.5">
      <c r="A52" s="5"/>
      <c r="B52" s="342"/>
      <c r="C52" s="342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 t="s">
        <v>13</v>
      </c>
      <c r="O52" s="319"/>
      <c r="P52" s="319"/>
      <c r="Q52" s="319"/>
      <c r="R52" s="319"/>
      <c r="S52" s="319"/>
      <c r="T52" s="319"/>
      <c r="U52" s="319"/>
      <c r="V52" s="319" t="s">
        <v>14</v>
      </c>
      <c r="W52" s="319"/>
      <c r="X52" s="319"/>
      <c r="Y52" s="319"/>
      <c r="Z52" s="319"/>
      <c r="AA52" s="319"/>
      <c r="AB52" s="319"/>
      <c r="AC52" s="319"/>
      <c r="AD52" s="319"/>
      <c r="AE52" s="319"/>
      <c r="AF52" s="319"/>
      <c r="AG52" s="319"/>
      <c r="AH52" s="319"/>
      <c r="AI52" s="319"/>
      <c r="AJ52" s="319"/>
      <c r="AK52" s="319"/>
      <c r="AL52" s="319"/>
      <c r="AM52" s="319"/>
      <c r="AN52" s="319"/>
      <c r="AO52" s="319"/>
      <c r="AP52" s="319"/>
      <c r="AQ52" s="319"/>
      <c r="AR52" s="319"/>
      <c r="AS52" s="319"/>
      <c r="AT52" s="319"/>
      <c r="AU52" s="319"/>
      <c r="AV52" s="319"/>
      <c r="AW52" s="319"/>
      <c r="AX52" s="8"/>
    </row>
    <row r="53" spans="1:50" ht="13.5" customHeight="1">
      <c r="A53" s="5"/>
      <c r="B53" s="317">
        <v>1</v>
      </c>
      <c r="C53" s="317"/>
      <c r="D53" s="318" t="s">
        <v>34</v>
      </c>
      <c r="E53" s="318"/>
      <c r="F53" s="318"/>
      <c r="G53" s="318"/>
      <c r="H53" s="318"/>
      <c r="I53" s="318"/>
      <c r="J53" s="318"/>
      <c r="K53" s="318"/>
      <c r="L53" s="318"/>
      <c r="M53" s="318"/>
      <c r="N53" s="331"/>
      <c r="O53" s="331"/>
      <c r="P53" s="331"/>
      <c r="Q53" s="331"/>
      <c r="R53" s="331"/>
      <c r="S53" s="331"/>
      <c r="T53" s="331"/>
      <c r="U53" s="331"/>
      <c r="V53" s="331" t="s">
        <v>33</v>
      </c>
      <c r="W53" s="331"/>
      <c r="X53" s="331"/>
      <c r="Y53" s="331"/>
      <c r="Z53" s="331"/>
      <c r="AA53" s="331"/>
      <c r="AB53" s="331"/>
      <c r="AC53" s="331"/>
      <c r="AD53" s="341"/>
      <c r="AE53" s="341"/>
      <c r="AF53" s="341"/>
      <c r="AG53" s="318"/>
      <c r="AH53" s="318"/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8"/>
    </row>
    <row r="54" spans="1:50" ht="13.5" customHeight="1">
      <c r="A54" s="5"/>
      <c r="B54" s="317">
        <v>2</v>
      </c>
      <c r="C54" s="317"/>
      <c r="D54" s="318" t="s">
        <v>35</v>
      </c>
      <c r="E54" s="318"/>
      <c r="F54" s="318"/>
      <c r="G54" s="318"/>
      <c r="H54" s="318"/>
      <c r="I54" s="318"/>
      <c r="J54" s="318"/>
      <c r="K54" s="318"/>
      <c r="L54" s="318"/>
      <c r="M54" s="318"/>
      <c r="N54" s="331"/>
      <c r="O54" s="331"/>
      <c r="P54" s="331"/>
      <c r="Q54" s="331"/>
      <c r="R54" s="331"/>
      <c r="S54" s="331"/>
      <c r="T54" s="331"/>
      <c r="U54" s="331"/>
      <c r="V54" s="331" t="s">
        <v>36</v>
      </c>
      <c r="W54" s="331"/>
      <c r="X54" s="331"/>
      <c r="Y54" s="331"/>
      <c r="Z54" s="331"/>
      <c r="AA54" s="331"/>
      <c r="AB54" s="331"/>
      <c r="AC54" s="331"/>
      <c r="AD54" s="341"/>
      <c r="AE54" s="341"/>
      <c r="AF54" s="341"/>
      <c r="AG54" s="318"/>
      <c r="AH54" s="318"/>
      <c r="AI54" s="318"/>
      <c r="AJ54" s="318"/>
      <c r="AK54" s="318"/>
      <c r="AL54" s="318"/>
      <c r="AM54" s="318"/>
      <c r="AN54" s="318"/>
      <c r="AO54" s="318"/>
      <c r="AP54" s="318"/>
      <c r="AQ54" s="318"/>
      <c r="AR54" s="318"/>
      <c r="AS54" s="318"/>
      <c r="AT54" s="318"/>
      <c r="AU54" s="318"/>
      <c r="AV54" s="318"/>
      <c r="AW54" s="318"/>
      <c r="AX54" s="8"/>
    </row>
    <row r="55" spans="1:50" ht="13.5" customHeight="1">
      <c r="A55" s="5"/>
      <c r="B55" s="317">
        <v>3</v>
      </c>
      <c r="C55" s="317"/>
      <c r="D55" s="318" t="s">
        <v>38</v>
      </c>
      <c r="E55" s="318"/>
      <c r="F55" s="318"/>
      <c r="G55" s="318"/>
      <c r="H55" s="318"/>
      <c r="I55" s="318"/>
      <c r="J55" s="318"/>
      <c r="K55" s="318"/>
      <c r="L55" s="318"/>
      <c r="M55" s="318"/>
      <c r="N55" s="331"/>
      <c r="O55" s="331"/>
      <c r="P55" s="331"/>
      <c r="Q55" s="331"/>
      <c r="R55" s="331"/>
      <c r="S55" s="331"/>
      <c r="T55" s="331"/>
      <c r="U55" s="331"/>
      <c r="V55" s="331" t="s">
        <v>37</v>
      </c>
      <c r="W55" s="331"/>
      <c r="X55" s="331"/>
      <c r="Y55" s="331"/>
      <c r="Z55" s="331"/>
      <c r="AA55" s="331"/>
      <c r="AB55" s="331"/>
      <c r="AC55" s="331"/>
      <c r="AD55" s="341"/>
      <c r="AE55" s="341"/>
      <c r="AF55" s="341"/>
      <c r="AG55" s="318"/>
      <c r="AH55" s="318"/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8"/>
    </row>
    <row r="56" spans="1:50" ht="13.5" customHeight="1">
      <c r="A56" s="5"/>
      <c r="B56" s="317">
        <v>4</v>
      </c>
      <c r="C56" s="317"/>
      <c r="D56" s="318" t="s">
        <v>41</v>
      </c>
      <c r="E56" s="318"/>
      <c r="F56" s="318"/>
      <c r="G56" s="318"/>
      <c r="H56" s="318"/>
      <c r="I56" s="318"/>
      <c r="J56" s="318"/>
      <c r="K56" s="318"/>
      <c r="L56" s="318"/>
      <c r="M56" s="318"/>
      <c r="N56" s="331"/>
      <c r="O56" s="331"/>
      <c r="P56" s="331"/>
      <c r="Q56" s="331"/>
      <c r="R56" s="331"/>
      <c r="S56" s="331"/>
      <c r="T56" s="331"/>
      <c r="U56" s="331"/>
      <c r="V56" s="331" t="s">
        <v>40</v>
      </c>
      <c r="W56" s="331"/>
      <c r="X56" s="331"/>
      <c r="Y56" s="331"/>
      <c r="Z56" s="331"/>
      <c r="AA56" s="331"/>
      <c r="AB56" s="331"/>
      <c r="AC56" s="331"/>
      <c r="AD56" s="341"/>
      <c r="AE56" s="341"/>
      <c r="AF56" s="341"/>
      <c r="AG56" s="318" t="s">
        <v>39</v>
      </c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8"/>
    </row>
    <row r="57" spans="1:50" ht="13.5" customHeight="1">
      <c r="A57" s="5"/>
      <c r="B57" s="317">
        <v>5</v>
      </c>
      <c r="C57" s="317"/>
      <c r="D57" s="318" t="s">
        <v>43</v>
      </c>
      <c r="E57" s="318"/>
      <c r="F57" s="318"/>
      <c r="G57" s="318"/>
      <c r="H57" s="318"/>
      <c r="I57" s="318"/>
      <c r="J57" s="318"/>
      <c r="K57" s="318"/>
      <c r="L57" s="318"/>
      <c r="M57" s="318"/>
      <c r="N57" s="331"/>
      <c r="O57" s="331"/>
      <c r="P57" s="331"/>
      <c r="Q57" s="331"/>
      <c r="R57" s="331"/>
      <c r="S57" s="331"/>
      <c r="T57" s="331"/>
      <c r="U57" s="331"/>
      <c r="V57" s="331" t="s">
        <v>42</v>
      </c>
      <c r="W57" s="331"/>
      <c r="X57" s="331"/>
      <c r="Y57" s="331"/>
      <c r="Z57" s="331"/>
      <c r="AA57" s="331"/>
      <c r="AB57" s="331"/>
      <c r="AC57" s="331"/>
      <c r="AD57" s="341"/>
      <c r="AE57" s="341"/>
      <c r="AF57" s="341"/>
      <c r="AG57" s="318"/>
      <c r="AH57" s="318"/>
      <c r="AI57" s="318"/>
      <c r="AJ57" s="318"/>
      <c r="AK57" s="318"/>
      <c r="AL57" s="318"/>
      <c r="AM57" s="318"/>
      <c r="AN57" s="318"/>
      <c r="AO57" s="318"/>
      <c r="AP57" s="318"/>
      <c r="AQ57" s="318"/>
      <c r="AR57" s="318"/>
      <c r="AS57" s="318"/>
      <c r="AT57" s="318"/>
      <c r="AU57" s="318"/>
      <c r="AV57" s="318"/>
      <c r="AW57" s="318"/>
      <c r="AX57" s="8"/>
    </row>
    <row r="58" spans="1:50" ht="13.5" customHeight="1">
      <c r="A58" s="5"/>
      <c r="B58" s="317">
        <v>6</v>
      </c>
      <c r="C58" s="317"/>
      <c r="D58" s="318" t="s">
        <v>46</v>
      </c>
      <c r="E58" s="318"/>
      <c r="F58" s="318"/>
      <c r="G58" s="318"/>
      <c r="H58" s="318"/>
      <c r="I58" s="318"/>
      <c r="J58" s="318"/>
      <c r="K58" s="318"/>
      <c r="L58" s="318"/>
      <c r="M58" s="318"/>
      <c r="N58" s="331"/>
      <c r="O58" s="331"/>
      <c r="P58" s="331"/>
      <c r="Q58" s="331"/>
      <c r="R58" s="331"/>
      <c r="S58" s="331"/>
      <c r="T58" s="331"/>
      <c r="U58" s="331"/>
      <c r="V58" s="331" t="s">
        <v>44</v>
      </c>
      <c r="W58" s="331"/>
      <c r="X58" s="331"/>
      <c r="Y58" s="331"/>
      <c r="Z58" s="331"/>
      <c r="AA58" s="331"/>
      <c r="AB58" s="331"/>
      <c r="AC58" s="331"/>
      <c r="AD58" s="341"/>
      <c r="AE58" s="341"/>
      <c r="AF58" s="341"/>
      <c r="AG58" s="318"/>
      <c r="AH58" s="318"/>
      <c r="AI58" s="318"/>
      <c r="AJ58" s="318"/>
      <c r="AK58" s="318"/>
      <c r="AL58" s="318"/>
      <c r="AM58" s="318"/>
      <c r="AN58" s="318"/>
      <c r="AO58" s="318"/>
      <c r="AP58" s="318"/>
      <c r="AQ58" s="318"/>
      <c r="AR58" s="318"/>
      <c r="AS58" s="318"/>
      <c r="AT58" s="318"/>
      <c r="AU58" s="318"/>
      <c r="AV58" s="318"/>
      <c r="AW58" s="318"/>
      <c r="AX58" s="8"/>
    </row>
    <row r="59" spans="1:50" ht="13.5" customHeight="1">
      <c r="A59" s="5"/>
      <c r="B59" s="317">
        <v>7</v>
      </c>
      <c r="C59" s="317"/>
      <c r="D59" s="318" t="s">
        <v>47</v>
      </c>
      <c r="E59" s="318"/>
      <c r="F59" s="318"/>
      <c r="G59" s="318"/>
      <c r="H59" s="318"/>
      <c r="I59" s="318"/>
      <c r="J59" s="318"/>
      <c r="K59" s="318"/>
      <c r="L59" s="318"/>
      <c r="M59" s="318"/>
      <c r="N59" s="331"/>
      <c r="O59" s="331"/>
      <c r="P59" s="331"/>
      <c r="Q59" s="331"/>
      <c r="R59" s="331"/>
      <c r="S59" s="331"/>
      <c r="T59" s="331"/>
      <c r="U59" s="331"/>
      <c r="V59" s="331" t="s">
        <v>45</v>
      </c>
      <c r="W59" s="331"/>
      <c r="X59" s="331"/>
      <c r="Y59" s="331"/>
      <c r="Z59" s="331"/>
      <c r="AA59" s="331"/>
      <c r="AB59" s="331"/>
      <c r="AC59" s="331"/>
      <c r="AD59" s="341"/>
      <c r="AE59" s="341"/>
      <c r="AF59" s="341"/>
      <c r="AG59" s="318"/>
      <c r="AH59" s="318"/>
      <c r="AI59" s="318"/>
      <c r="AJ59" s="318"/>
      <c r="AK59" s="318"/>
      <c r="AL59" s="318"/>
      <c r="AM59" s="318"/>
      <c r="AN59" s="318"/>
      <c r="AO59" s="318"/>
      <c r="AP59" s="318"/>
      <c r="AQ59" s="318"/>
      <c r="AR59" s="318"/>
      <c r="AS59" s="318"/>
      <c r="AT59" s="318"/>
      <c r="AU59" s="318"/>
      <c r="AV59" s="318"/>
      <c r="AW59" s="318"/>
      <c r="AX59" s="8"/>
    </row>
    <row r="60" spans="1:50" ht="13.5" customHeight="1">
      <c r="A60" s="5"/>
      <c r="B60" s="317">
        <v>8</v>
      </c>
      <c r="C60" s="317"/>
      <c r="D60" s="338" t="s">
        <v>48</v>
      </c>
      <c r="E60" s="339"/>
      <c r="F60" s="339"/>
      <c r="G60" s="339"/>
      <c r="H60" s="339"/>
      <c r="I60" s="339"/>
      <c r="J60" s="339"/>
      <c r="K60" s="339"/>
      <c r="L60" s="339"/>
      <c r="M60" s="340"/>
      <c r="N60" s="332"/>
      <c r="O60" s="333"/>
      <c r="P60" s="333"/>
      <c r="Q60" s="333"/>
      <c r="R60" s="333"/>
      <c r="S60" s="333"/>
      <c r="T60" s="333"/>
      <c r="U60" s="334"/>
      <c r="V60" s="332" t="s">
        <v>49</v>
      </c>
      <c r="W60" s="333"/>
      <c r="X60" s="333"/>
      <c r="Y60" s="333"/>
      <c r="Z60" s="333"/>
      <c r="AA60" s="333"/>
      <c r="AB60" s="333"/>
      <c r="AC60" s="334"/>
      <c r="AD60" s="335"/>
      <c r="AE60" s="336"/>
      <c r="AF60" s="337"/>
      <c r="AG60" s="338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40"/>
      <c r="AX60" s="8"/>
    </row>
    <row r="61" spans="1:50" ht="13.5" customHeight="1">
      <c r="A61" s="5"/>
      <c r="B61" s="317">
        <v>9</v>
      </c>
      <c r="C61" s="317"/>
      <c r="D61" s="338" t="s">
        <v>51</v>
      </c>
      <c r="E61" s="339"/>
      <c r="F61" s="339"/>
      <c r="G61" s="339"/>
      <c r="H61" s="339"/>
      <c r="I61" s="339"/>
      <c r="J61" s="339"/>
      <c r="K61" s="339"/>
      <c r="L61" s="339"/>
      <c r="M61" s="340"/>
      <c r="N61" s="332"/>
      <c r="O61" s="333"/>
      <c r="P61" s="333"/>
      <c r="Q61" s="333"/>
      <c r="R61" s="333"/>
      <c r="S61" s="333"/>
      <c r="T61" s="333"/>
      <c r="U61" s="334"/>
      <c r="V61" s="332" t="s">
        <v>50</v>
      </c>
      <c r="W61" s="333"/>
      <c r="X61" s="333"/>
      <c r="Y61" s="333"/>
      <c r="Z61" s="333"/>
      <c r="AA61" s="333"/>
      <c r="AB61" s="333"/>
      <c r="AC61" s="334"/>
      <c r="AD61" s="335"/>
      <c r="AE61" s="336"/>
      <c r="AF61" s="337"/>
      <c r="AG61" s="338" t="s">
        <v>52</v>
      </c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40"/>
      <c r="AX61" s="8"/>
    </row>
    <row r="62" spans="1:50" ht="13.5" customHeight="1">
      <c r="A62" s="5"/>
      <c r="B62" s="317">
        <v>10</v>
      </c>
      <c r="C62" s="317"/>
      <c r="D62" s="338" t="s">
        <v>54</v>
      </c>
      <c r="E62" s="339"/>
      <c r="F62" s="339"/>
      <c r="G62" s="339"/>
      <c r="H62" s="339"/>
      <c r="I62" s="339"/>
      <c r="J62" s="339"/>
      <c r="K62" s="339"/>
      <c r="L62" s="339"/>
      <c r="M62" s="340"/>
      <c r="N62" s="332"/>
      <c r="O62" s="333"/>
      <c r="P62" s="333"/>
      <c r="Q62" s="333"/>
      <c r="R62" s="333"/>
      <c r="S62" s="333"/>
      <c r="T62" s="333"/>
      <c r="U62" s="334"/>
      <c r="V62" s="332" t="s">
        <v>53</v>
      </c>
      <c r="W62" s="333"/>
      <c r="X62" s="333"/>
      <c r="Y62" s="333"/>
      <c r="Z62" s="333"/>
      <c r="AA62" s="333"/>
      <c r="AB62" s="333"/>
      <c r="AC62" s="334"/>
      <c r="AD62" s="335"/>
      <c r="AE62" s="336"/>
      <c r="AF62" s="337"/>
      <c r="AG62" s="338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40"/>
      <c r="AX62" s="8"/>
    </row>
    <row r="63" spans="1:50" ht="13.5" customHeight="1">
      <c r="A63" s="5"/>
      <c r="B63" s="317">
        <v>11</v>
      </c>
      <c r="C63" s="317"/>
      <c r="D63" s="338" t="s">
        <v>57</v>
      </c>
      <c r="E63" s="339"/>
      <c r="F63" s="339"/>
      <c r="G63" s="339"/>
      <c r="H63" s="339"/>
      <c r="I63" s="339"/>
      <c r="J63" s="339"/>
      <c r="K63" s="339"/>
      <c r="L63" s="339"/>
      <c r="M63" s="340"/>
      <c r="N63" s="332" t="s">
        <v>56</v>
      </c>
      <c r="O63" s="333"/>
      <c r="P63" s="333"/>
      <c r="Q63" s="333"/>
      <c r="R63" s="333"/>
      <c r="S63" s="333"/>
      <c r="T63" s="333"/>
      <c r="U63" s="334"/>
      <c r="V63" s="332" t="s">
        <v>55</v>
      </c>
      <c r="W63" s="333"/>
      <c r="X63" s="333"/>
      <c r="Y63" s="333"/>
      <c r="Z63" s="333"/>
      <c r="AA63" s="333"/>
      <c r="AB63" s="333"/>
      <c r="AC63" s="334"/>
      <c r="AD63" s="335"/>
      <c r="AE63" s="336"/>
      <c r="AF63" s="337"/>
      <c r="AG63" s="338" t="s">
        <v>58</v>
      </c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40"/>
      <c r="AX63" s="8"/>
    </row>
    <row r="64" spans="1:50" ht="13.5" customHeight="1">
      <c r="A64" s="5"/>
      <c r="B64" s="385">
        <v>12</v>
      </c>
      <c r="C64" s="386"/>
      <c r="D64" s="379" t="s">
        <v>62</v>
      </c>
      <c r="E64" s="380"/>
      <c r="F64" s="380"/>
      <c r="G64" s="380"/>
      <c r="H64" s="380"/>
      <c r="I64" s="380"/>
      <c r="J64" s="380"/>
      <c r="K64" s="380"/>
      <c r="L64" s="380"/>
      <c r="M64" s="381"/>
      <c r="N64" s="332" t="s">
        <v>56</v>
      </c>
      <c r="O64" s="333"/>
      <c r="P64" s="333"/>
      <c r="Q64" s="333"/>
      <c r="R64" s="333"/>
      <c r="S64" s="333"/>
      <c r="T64" s="333"/>
      <c r="U64" s="334"/>
      <c r="V64" s="332" t="s">
        <v>61</v>
      </c>
      <c r="W64" s="333"/>
      <c r="X64" s="333"/>
      <c r="Y64" s="333"/>
      <c r="Z64" s="333"/>
      <c r="AA64" s="333"/>
      <c r="AB64" s="333"/>
      <c r="AC64" s="334"/>
      <c r="AD64" s="389"/>
      <c r="AE64" s="390"/>
      <c r="AF64" s="391"/>
      <c r="AG64" s="379" t="s">
        <v>59</v>
      </c>
      <c r="AH64" s="380"/>
      <c r="AI64" s="380"/>
      <c r="AJ64" s="380"/>
      <c r="AK64" s="380"/>
      <c r="AL64" s="380"/>
      <c r="AM64" s="380"/>
      <c r="AN64" s="380"/>
      <c r="AO64" s="380"/>
      <c r="AP64" s="380"/>
      <c r="AQ64" s="380"/>
      <c r="AR64" s="380"/>
      <c r="AS64" s="380"/>
      <c r="AT64" s="380"/>
      <c r="AU64" s="380"/>
      <c r="AV64" s="380"/>
      <c r="AW64" s="381"/>
      <c r="AX64" s="8"/>
    </row>
    <row r="65" spans="1:50" ht="13.5" customHeight="1">
      <c r="A65" s="5"/>
      <c r="B65" s="387"/>
      <c r="C65" s="388"/>
      <c r="D65" s="382"/>
      <c r="E65" s="383"/>
      <c r="F65" s="383"/>
      <c r="G65" s="383"/>
      <c r="H65" s="383"/>
      <c r="I65" s="383"/>
      <c r="J65" s="383"/>
      <c r="K65" s="383"/>
      <c r="L65" s="383"/>
      <c r="M65" s="384"/>
      <c r="N65" s="332" t="s">
        <v>60</v>
      </c>
      <c r="O65" s="333"/>
      <c r="P65" s="333"/>
      <c r="Q65" s="333"/>
      <c r="R65" s="333"/>
      <c r="S65" s="333"/>
      <c r="T65" s="333"/>
      <c r="U65" s="334"/>
      <c r="V65" s="332"/>
      <c r="W65" s="333"/>
      <c r="X65" s="333"/>
      <c r="Y65" s="333"/>
      <c r="Z65" s="333"/>
      <c r="AA65" s="333"/>
      <c r="AB65" s="333"/>
      <c r="AC65" s="334"/>
      <c r="AD65" s="392"/>
      <c r="AE65" s="393"/>
      <c r="AF65" s="394"/>
      <c r="AG65" s="382"/>
      <c r="AH65" s="383"/>
      <c r="AI65" s="383"/>
      <c r="AJ65" s="383"/>
      <c r="AK65" s="383"/>
      <c r="AL65" s="383"/>
      <c r="AM65" s="383"/>
      <c r="AN65" s="383"/>
      <c r="AO65" s="383"/>
      <c r="AP65" s="383"/>
      <c r="AQ65" s="383"/>
      <c r="AR65" s="383"/>
      <c r="AS65" s="383"/>
      <c r="AT65" s="383"/>
      <c r="AU65" s="383"/>
      <c r="AV65" s="383"/>
      <c r="AW65" s="384"/>
      <c r="AX65" s="8"/>
    </row>
    <row r="66" spans="1:50" ht="13.5" customHeight="1">
      <c r="A66" s="5"/>
      <c r="B66" s="363">
        <v>13</v>
      </c>
      <c r="C66" s="363"/>
      <c r="D66" s="364" t="s">
        <v>360</v>
      </c>
      <c r="E66" s="365"/>
      <c r="F66" s="365"/>
      <c r="G66" s="365"/>
      <c r="H66" s="365"/>
      <c r="I66" s="365"/>
      <c r="J66" s="365"/>
      <c r="K66" s="365"/>
      <c r="L66" s="365"/>
      <c r="M66" s="366"/>
      <c r="N66" s="367" t="s">
        <v>365</v>
      </c>
      <c r="O66" s="368"/>
      <c r="P66" s="368"/>
      <c r="Q66" s="368"/>
      <c r="R66" s="368"/>
      <c r="S66" s="368"/>
      <c r="T66" s="368"/>
      <c r="U66" s="369"/>
      <c r="V66" s="367" t="s">
        <v>382</v>
      </c>
      <c r="W66" s="368"/>
      <c r="X66" s="368"/>
      <c r="Y66" s="368"/>
      <c r="Z66" s="368"/>
      <c r="AA66" s="368"/>
      <c r="AB66" s="368"/>
      <c r="AC66" s="369"/>
      <c r="AD66" s="370"/>
      <c r="AE66" s="371"/>
      <c r="AF66" s="372"/>
      <c r="AG66" s="364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6"/>
      <c r="AX66" s="8"/>
    </row>
    <row r="67" spans="1:50" ht="13.5" customHeight="1">
      <c r="A67" s="5"/>
      <c r="B67" s="363">
        <v>14</v>
      </c>
      <c r="C67" s="363"/>
      <c r="D67" s="364" t="s">
        <v>57</v>
      </c>
      <c r="E67" s="365"/>
      <c r="F67" s="365"/>
      <c r="G67" s="365"/>
      <c r="H67" s="365"/>
      <c r="I67" s="365"/>
      <c r="J67" s="365"/>
      <c r="K67" s="365"/>
      <c r="L67" s="365"/>
      <c r="M67" s="366"/>
      <c r="N67" s="367" t="s">
        <v>362</v>
      </c>
      <c r="O67" s="368"/>
      <c r="P67" s="368"/>
      <c r="Q67" s="368"/>
      <c r="R67" s="368"/>
      <c r="S67" s="368"/>
      <c r="T67" s="368"/>
      <c r="U67" s="369"/>
      <c r="V67" s="367" t="s">
        <v>55</v>
      </c>
      <c r="W67" s="368"/>
      <c r="X67" s="368"/>
      <c r="Y67" s="368"/>
      <c r="Z67" s="368"/>
      <c r="AA67" s="368"/>
      <c r="AB67" s="368"/>
      <c r="AC67" s="369"/>
      <c r="AD67" s="370"/>
      <c r="AE67" s="371"/>
      <c r="AF67" s="372"/>
      <c r="AG67" s="364" t="s">
        <v>361</v>
      </c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6"/>
      <c r="AX67" s="8"/>
    </row>
    <row r="68" spans="1:50" ht="13.5" customHeight="1">
      <c r="A68" s="5"/>
      <c r="B68" s="363">
        <v>15</v>
      </c>
      <c r="C68" s="363"/>
      <c r="D68" s="364" t="s">
        <v>363</v>
      </c>
      <c r="E68" s="365"/>
      <c r="F68" s="365"/>
      <c r="G68" s="365"/>
      <c r="H68" s="365"/>
      <c r="I68" s="365"/>
      <c r="J68" s="365"/>
      <c r="K68" s="365"/>
      <c r="L68" s="365"/>
      <c r="M68" s="366"/>
      <c r="N68" s="367" t="s">
        <v>364</v>
      </c>
      <c r="O68" s="368"/>
      <c r="P68" s="368"/>
      <c r="Q68" s="368"/>
      <c r="R68" s="368"/>
      <c r="S68" s="368"/>
      <c r="T68" s="368"/>
      <c r="U68" s="369"/>
      <c r="V68" s="367" t="s">
        <v>61</v>
      </c>
      <c r="W68" s="368"/>
      <c r="X68" s="368"/>
      <c r="Y68" s="368"/>
      <c r="Z68" s="368"/>
      <c r="AA68" s="368"/>
      <c r="AB68" s="368"/>
      <c r="AC68" s="369"/>
      <c r="AD68" s="370"/>
      <c r="AE68" s="371"/>
      <c r="AF68" s="372"/>
      <c r="AG68" s="364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6"/>
      <c r="AX68" s="8"/>
    </row>
    <row r="69" spans="1:50" ht="13.5" customHeight="1">
      <c r="A69" s="5"/>
      <c r="B69" s="363">
        <v>16</v>
      </c>
      <c r="C69" s="363"/>
      <c r="D69" s="364" t="s">
        <v>366</v>
      </c>
      <c r="E69" s="365"/>
      <c r="F69" s="365"/>
      <c r="G69" s="365"/>
      <c r="H69" s="365"/>
      <c r="I69" s="365"/>
      <c r="J69" s="365"/>
      <c r="K69" s="365"/>
      <c r="L69" s="365"/>
      <c r="M69" s="366"/>
      <c r="N69" s="367" t="s">
        <v>364</v>
      </c>
      <c r="O69" s="368"/>
      <c r="P69" s="368"/>
      <c r="Q69" s="368"/>
      <c r="R69" s="368"/>
      <c r="S69" s="368"/>
      <c r="T69" s="368"/>
      <c r="U69" s="369"/>
      <c r="V69" s="367" t="s">
        <v>367</v>
      </c>
      <c r="W69" s="368"/>
      <c r="X69" s="368"/>
      <c r="Y69" s="368"/>
      <c r="Z69" s="368"/>
      <c r="AA69" s="368"/>
      <c r="AB69" s="368"/>
      <c r="AC69" s="369"/>
      <c r="AD69" s="370"/>
      <c r="AE69" s="371"/>
      <c r="AF69" s="372"/>
      <c r="AG69" s="364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6"/>
      <c r="AX69" s="8"/>
    </row>
    <row r="70" spans="1:50" ht="13.15" customHeight="1">
      <c r="A70" s="5"/>
      <c r="B70" s="359">
        <v>17</v>
      </c>
      <c r="C70" s="359"/>
      <c r="D70" s="338" t="s">
        <v>96</v>
      </c>
      <c r="E70" s="339"/>
      <c r="F70" s="339"/>
      <c r="G70" s="339"/>
      <c r="H70" s="339"/>
      <c r="I70" s="339"/>
      <c r="J70" s="339"/>
      <c r="K70" s="339"/>
      <c r="L70" s="339"/>
      <c r="M70" s="340"/>
      <c r="N70" s="332" t="s">
        <v>98</v>
      </c>
      <c r="O70" s="333"/>
      <c r="P70" s="333"/>
      <c r="Q70" s="333"/>
      <c r="R70" s="333"/>
      <c r="S70" s="333"/>
      <c r="T70" s="333"/>
      <c r="U70" s="334"/>
      <c r="V70" s="332" t="s">
        <v>97</v>
      </c>
      <c r="W70" s="333"/>
      <c r="X70" s="333"/>
      <c r="Y70" s="333"/>
      <c r="Z70" s="333"/>
      <c r="AA70" s="333"/>
      <c r="AB70" s="333"/>
      <c r="AC70" s="334"/>
      <c r="AD70" s="335"/>
      <c r="AE70" s="336"/>
      <c r="AF70" s="337"/>
      <c r="AG70" s="338" t="s">
        <v>99</v>
      </c>
      <c r="AH70" s="339"/>
      <c r="AI70" s="339"/>
      <c r="AJ70" s="339"/>
      <c r="AK70" s="339"/>
      <c r="AL70" s="339"/>
      <c r="AM70" s="339"/>
      <c r="AN70" s="339"/>
      <c r="AO70" s="339"/>
      <c r="AP70" s="339"/>
      <c r="AQ70" s="339"/>
      <c r="AR70" s="339"/>
      <c r="AS70" s="339"/>
      <c r="AT70" s="339"/>
      <c r="AU70" s="339"/>
      <c r="AV70" s="339"/>
      <c r="AW70" s="340"/>
      <c r="AX70" s="8"/>
    </row>
    <row r="71" spans="1:50" ht="13.5" customHeight="1">
      <c r="A71" s="5"/>
      <c r="B71" s="359">
        <v>18</v>
      </c>
      <c r="C71" s="359"/>
      <c r="D71" s="338" t="s">
        <v>105</v>
      </c>
      <c r="E71" s="339"/>
      <c r="F71" s="339"/>
      <c r="G71" s="339"/>
      <c r="H71" s="339"/>
      <c r="I71" s="339"/>
      <c r="J71" s="339"/>
      <c r="K71" s="339"/>
      <c r="L71" s="339"/>
      <c r="M71" s="340"/>
      <c r="N71" s="332" t="s">
        <v>103</v>
      </c>
      <c r="O71" s="333"/>
      <c r="P71" s="333"/>
      <c r="Q71" s="333"/>
      <c r="R71" s="333"/>
      <c r="S71" s="333"/>
      <c r="T71" s="333"/>
      <c r="U71" s="334"/>
      <c r="V71" s="332" t="s">
        <v>104</v>
      </c>
      <c r="W71" s="333"/>
      <c r="X71" s="333"/>
      <c r="Y71" s="333"/>
      <c r="Z71" s="333"/>
      <c r="AA71" s="333"/>
      <c r="AB71" s="333"/>
      <c r="AC71" s="334"/>
      <c r="AD71" s="335"/>
      <c r="AE71" s="336"/>
      <c r="AF71" s="337"/>
      <c r="AG71" s="338"/>
      <c r="AH71" s="339"/>
      <c r="AI71" s="339"/>
      <c r="AJ71" s="339"/>
      <c r="AK71" s="339"/>
      <c r="AL71" s="339"/>
      <c r="AM71" s="339"/>
      <c r="AN71" s="339"/>
      <c r="AO71" s="339"/>
      <c r="AP71" s="339"/>
      <c r="AQ71" s="339"/>
      <c r="AR71" s="339"/>
      <c r="AS71" s="339"/>
      <c r="AT71" s="339"/>
      <c r="AU71" s="339"/>
      <c r="AV71" s="339"/>
      <c r="AW71" s="340"/>
      <c r="AX71" s="8"/>
    </row>
    <row r="72" spans="1:50" ht="13.5" customHeight="1">
      <c r="A72" s="5"/>
      <c r="B72" s="359">
        <v>19</v>
      </c>
      <c r="C72" s="359"/>
      <c r="D72" s="338" t="s">
        <v>109</v>
      </c>
      <c r="E72" s="339"/>
      <c r="F72" s="339"/>
      <c r="G72" s="339"/>
      <c r="H72" s="339"/>
      <c r="I72" s="339"/>
      <c r="J72" s="339"/>
      <c r="K72" s="339"/>
      <c r="L72" s="339"/>
      <c r="M72" s="340"/>
      <c r="N72" s="360" t="s">
        <v>93</v>
      </c>
      <c r="O72" s="361"/>
      <c r="P72" s="361"/>
      <c r="Q72" s="361"/>
      <c r="R72" s="361"/>
      <c r="S72" s="361"/>
      <c r="T72" s="361"/>
      <c r="U72" s="362"/>
      <c r="V72" s="360" t="s">
        <v>91</v>
      </c>
      <c r="W72" s="361"/>
      <c r="X72" s="361"/>
      <c r="Y72" s="361"/>
      <c r="Z72" s="361"/>
      <c r="AA72" s="361"/>
      <c r="AB72" s="361"/>
      <c r="AC72" s="362"/>
      <c r="AD72" s="335"/>
      <c r="AE72" s="336"/>
      <c r="AF72" s="337"/>
      <c r="AG72" s="338" t="s">
        <v>110</v>
      </c>
      <c r="AH72" s="339"/>
      <c r="AI72" s="339"/>
      <c r="AJ72" s="339"/>
      <c r="AK72" s="339"/>
      <c r="AL72" s="339"/>
      <c r="AM72" s="339"/>
      <c r="AN72" s="339"/>
      <c r="AO72" s="339"/>
      <c r="AP72" s="339"/>
      <c r="AQ72" s="339"/>
      <c r="AR72" s="339"/>
      <c r="AS72" s="339"/>
      <c r="AT72" s="339"/>
      <c r="AU72" s="339"/>
      <c r="AV72" s="339"/>
      <c r="AW72" s="340"/>
      <c r="AX72" s="8"/>
    </row>
    <row r="73" spans="1:50" ht="13.5" customHeight="1">
      <c r="A73" s="5"/>
      <c r="B73" s="359">
        <v>20</v>
      </c>
      <c r="C73" s="359"/>
      <c r="D73" s="338" t="s">
        <v>106</v>
      </c>
      <c r="E73" s="339"/>
      <c r="F73" s="339"/>
      <c r="G73" s="339"/>
      <c r="H73" s="339"/>
      <c r="I73" s="339"/>
      <c r="J73" s="339"/>
      <c r="K73" s="339"/>
      <c r="L73" s="339"/>
      <c r="M73" s="340"/>
      <c r="N73" s="332"/>
      <c r="O73" s="333"/>
      <c r="P73" s="333"/>
      <c r="Q73" s="333"/>
      <c r="R73" s="333"/>
      <c r="S73" s="333"/>
      <c r="T73" s="333"/>
      <c r="U73" s="334"/>
      <c r="V73" s="332" t="s">
        <v>107</v>
      </c>
      <c r="W73" s="333"/>
      <c r="X73" s="333"/>
      <c r="Y73" s="333"/>
      <c r="Z73" s="333"/>
      <c r="AA73" s="333"/>
      <c r="AB73" s="333"/>
      <c r="AC73" s="334"/>
      <c r="AD73" s="335"/>
      <c r="AE73" s="336"/>
      <c r="AF73" s="337"/>
      <c r="AG73" s="338" t="s">
        <v>108</v>
      </c>
      <c r="AH73" s="339"/>
      <c r="AI73" s="339"/>
      <c r="AJ73" s="339"/>
      <c r="AK73" s="339"/>
      <c r="AL73" s="339"/>
      <c r="AM73" s="339"/>
      <c r="AN73" s="339"/>
      <c r="AO73" s="339"/>
      <c r="AP73" s="339"/>
      <c r="AQ73" s="339"/>
      <c r="AR73" s="339"/>
      <c r="AS73" s="339"/>
      <c r="AT73" s="339"/>
      <c r="AU73" s="339"/>
      <c r="AV73" s="339"/>
      <c r="AW73" s="340"/>
      <c r="AX73" s="8"/>
    </row>
    <row r="74" spans="1:50" s="15" customFormat="1" ht="13.5" customHeight="1">
      <c r="A74" s="34"/>
      <c r="B74" s="14"/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14"/>
      <c r="AE74" s="14"/>
      <c r="AF74" s="14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36"/>
    </row>
    <row r="75" spans="1:50" s="15" customFormat="1" ht="13.5" customHeight="1">
      <c r="A75" s="34"/>
      <c r="B75" s="14"/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14"/>
      <c r="AE75" s="14"/>
      <c r="AF75" s="14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36"/>
    </row>
    <row r="76" spans="1:50" ht="22.5">
      <c r="A76" s="5"/>
      <c r="B76" s="30" t="s">
        <v>63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7"/>
      <c r="AX76" s="8"/>
    </row>
    <row r="77" spans="1:50" ht="18.75">
      <c r="A77" s="5"/>
      <c r="B77" s="6" t="s">
        <v>15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8"/>
    </row>
    <row r="78" spans="1:50" ht="13.5" customHeight="1">
      <c r="A78" s="5"/>
      <c r="B78" s="319" t="s">
        <v>8</v>
      </c>
      <c r="C78" s="319"/>
      <c r="D78" s="319" t="s">
        <v>9</v>
      </c>
      <c r="E78" s="319"/>
      <c r="F78" s="319"/>
      <c r="G78" s="319"/>
      <c r="H78" s="319"/>
      <c r="I78" s="319"/>
      <c r="J78" s="319"/>
      <c r="K78" s="319"/>
      <c r="L78" s="319"/>
      <c r="M78" s="319"/>
      <c r="N78" s="319" t="s">
        <v>16</v>
      </c>
      <c r="O78" s="319"/>
      <c r="P78" s="319"/>
      <c r="Q78" s="319"/>
      <c r="R78" s="319"/>
      <c r="S78" s="319"/>
      <c r="T78" s="319"/>
      <c r="U78" s="319" t="s">
        <v>17</v>
      </c>
      <c r="V78" s="319"/>
      <c r="W78" s="319"/>
      <c r="X78" s="319"/>
      <c r="Y78" s="319"/>
      <c r="Z78" s="319"/>
      <c r="AA78" s="319"/>
      <c r="AB78" s="319" t="s">
        <v>18</v>
      </c>
      <c r="AC78" s="319"/>
      <c r="AD78" s="319" t="s">
        <v>19</v>
      </c>
      <c r="AE78" s="319"/>
      <c r="AF78" s="319" t="s">
        <v>20</v>
      </c>
      <c r="AG78" s="319"/>
      <c r="AH78" s="319" t="s">
        <v>21</v>
      </c>
      <c r="AI78" s="319"/>
      <c r="AJ78" s="319" t="s">
        <v>22</v>
      </c>
      <c r="AK78" s="319"/>
      <c r="AL78" s="319"/>
      <c r="AM78" s="319"/>
      <c r="AN78" s="319"/>
      <c r="AO78" s="319"/>
      <c r="AP78" s="319" t="s">
        <v>12</v>
      </c>
      <c r="AQ78" s="319"/>
      <c r="AR78" s="319"/>
      <c r="AS78" s="319"/>
      <c r="AT78" s="319"/>
      <c r="AU78" s="319"/>
      <c r="AV78" s="319"/>
      <c r="AW78" s="319"/>
      <c r="AX78" s="8"/>
    </row>
    <row r="79" spans="1:50" ht="13.5" customHeight="1">
      <c r="A79" s="5"/>
      <c r="B79" s="319"/>
      <c r="C79" s="319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  <c r="AC79" s="319"/>
      <c r="AD79" s="319"/>
      <c r="AE79" s="319"/>
      <c r="AF79" s="319"/>
      <c r="AG79" s="319"/>
      <c r="AH79" s="319"/>
      <c r="AI79" s="319"/>
      <c r="AJ79" s="319"/>
      <c r="AK79" s="319"/>
      <c r="AL79" s="319"/>
      <c r="AM79" s="319"/>
      <c r="AN79" s="319"/>
      <c r="AO79" s="319"/>
      <c r="AP79" s="319"/>
      <c r="AQ79" s="319"/>
      <c r="AR79" s="319"/>
      <c r="AS79" s="319"/>
      <c r="AT79" s="319"/>
      <c r="AU79" s="319"/>
      <c r="AV79" s="319"/>
      <c r="AW79" s="319"/>
      <c r="AX79" s="8"/>
    </row>
    <row r="80" spans="1:50" ht="13.5" customHeight="1">
      <c r="A80" s="5"/>
      <c r="B80" s="317">
        <v>1</v>
      </c>
      <c r="C80" s="317"/>
      <c r="D80" s="318" t="s">
        <v>90</v>
      </c>
      <c r="E80" s="318"/>
      <c r="F80" s="318"/>
      <c r="G80" s="318"/>
      <c r="H80" s="318"/>
      <c r="I80" s="318"/>
      <c r="J80" s="318"/>
      <c r="K80" s="318"/>
      <c r="L80" s="318"/>
      <c r="M80" s="318"/>
      <c r="N80" s="395" t="s">
        <v>91</v>
      </c>
      <c r="O80" s="396"/>
      <c r="P80" s="396"/>
      <c r="Q80" s="396"/>
      <c r="R80" s="396"/>
      <c r="S80" s="396"/>
      <c r="T80" s="397"/>
      <c r="U80" s="318" t="s">
        <v>92</v>
      </c>
      <c r="V80" s="318"/>
      <c r="W80" s="318"/>
      <c r="X80" s="318"/>
      <c r="Y80" s="318"/>
      <c r="Z80" s="318"/>
      <c r="AA80" s="318"/>
      <c r="AB80" s="341" t="s">
        <v>91</v>
      </c>
      <c r="AC80" s="341"/>
      <c r="AD80" s="341" t="s">
        <v>93</v>
      </c>
      <c r="AE80" s="341"/>
      <c r="AF80" s="341" t="s">
        <v>93</v>
      </c>
      <c r="AG80" s="341"/>
      <c r="AH80" s="341" t="s">
        <v>93</v>
      </c>
      <c r="AI80" s="341"/>
      <c r="AJ80" s="398"/>
      <c r="AK80" s="398"/>
      <c r="AL80" s="398"/>
      <c r="AM80" s="398"/>
      <c r="AN80" s="398"/>
      <c r="AO80" s="398"/>
      <c r="AP80" s="399"/>
      <c r="AQ80" s="399"/>
      <c r="AR80" s="399"/>
      <c r="AS80" s="399"/>
      <c r="AT80" s="399"/>
      <c r="AU80" s="399"/>
      <c r="AV80" s="399"/>
      <c r="AW80" s="399"/>
      <c r="AX80" s="8"/>
    </row>
    <row r="81" spans="1:50" ht="13.5" customHeight="1">
      <c r="A81" s="5"/>
      <c r="B81" s="20"/>
      <c r="C81" s="20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14"/>
      <c r="AC81" s="14"/>
      <c r="AD81" s="14"/>
      <c r="AE81" s="14"/>
      <c r="AF81" s="14"/>
      <c r="AG81" s="14"/>
      <c r="AH81" s="14"/>
      <c r="AI81" s="14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8"/>
    </row>
    <row r="82" spans="1:50" ht="13.5" customHeight="1">
      <c r="A82" s="5"/>
      <c r="B82" s="32" t="s">
        <v>64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7"/>
      <c r="AX82" s="8"/>
    </row>
    <row r="83" spans="1:50" ht="13.5" customHeight="1">
      <c r="A83" s="5"/>
      <c r="B83" s="329" t="s">
        <v>65</v>
      </c>
      <c r="C83" s="329"/>
      <c r="D83" s="330" t="s">
        <v>66</v>
      </c>
      <c r="E83" s="330"/>
      <c r="F83" s="330"/>
      <c r="G83" s="330"/>
      <c r="H83" s="330"/>
      <c r="I83" s="329" t="s">
        <v>67</v>
      </c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 t="s">
        <v>68</v>
      </c>
      <c r="W83" s="329"/>
      <c r="X83" s="329"/>
      <c r="Y83" s="329"/>
      <c r="Z83" s="329"/>
      <c r="AA83" s="329"/>
      <c r="AB83" s="329"/>
      <c r="AC83" s="329"/>
      <c r="AD83" s="329"/>
      <c r="AE83" s="329"/>
      <c r="AF83" s="329"/>
      <c r="AG83" s="329"/>
      <c r="AH83" s="329"/>
      <c r="AI83" s="329" t="s">
        <v>69</v>
      </c>
      <c r="AJ83" s="329"/>
      <c r="AK83" s="329"/>
      <c r="AL83" s="329"/>
      <c r="AM83" s="329"/>
      <c r="AN83" s="329"/>
      <c r="AO83" s="329"/>
      <c r="AP83" s="329"/>
      <c r="AQ83" s="329"/>
      <c r="AR83" s="329"/>
      <c r="AS83" s="329"/>
      <c r="AT83" s="329"/>
      <c r="AU83" s="329"/>
      <c r="AV83" s="329"/>
      <c r="AW83" s="329"/>
      <c r="AX83" s="8"/>
    </row>
    <row r="84" spans="1:50" ht="13.5" customHeight="1">
      <c r="A84" s="5"/>
      <c r="B84" s="329"/>
      <c r="C84" s="329"/>
      <c r="D84" s="330"/>
      <c r="E84" s="330"/>
      <c r="F84" s="330"/>
      <c r="G84" s="330"/>
      <c r="H84" s="330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  <c r="W84" s="329"/>
      <c r="X84" s="329"/>
      <c r="Y84" s="329"/>
      <c r="Z84" s="329"/>
      <c r="AA84" s="329"/>
      <c r="AB84" s="329"/>
      <c r="AC84" s="329"/>
      <c r="AD84" s="329"/>
      <c r="AE84" s="329"/>
      <c r="AF84" s="329"/>
      <c r="AG84" s="329"/>
      <c r="AH84" s="329"/>
      <c r="AI84" s="329"/>
      <c r="AJ84" s="329"/>
      <c r="AK84" s="329"/>
      <c r="AL84" s="329"/>
      <c r="AM84" s="329"/>
      <c r="AN84" s="329"/>
      <c r="AO84" s="329"/>
      <c r="AP84" s="329"/>
      <c r="AQ84" s="329"/>
      <c r="AR84" s="329"/>
      <c r="AS84" s="329"/>
      <c r="AT84" s="329"/>
      <c r="AU84" s="329"/>
      <c r="AV84" s="329"/>
      <c r="AW84" s="329"/>
      <c r="AX84" s="8"/>
    </row>
    <row r="85" spans="1:50" ht="13.5" customHeight="1">
      <c r="A85" s="5"/>
      <c r="B85" s="320">
        <v>1</v>
      </c>
      <c r="C85" s="320"/>
      <c r="D85" s="321" t="s">
        <v>70</v>
      </c>
      <c r="E85" s="321"/>
      <c r="F85" s="321"/>
      <c r="G85" s="321"/>
      <c r="H85" s="321"/>
      <c r="I85" s="322" t="s">
        <v>71</v>
      </c>
      <c r="J85" s="322"/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3" t="s">
        <v>72</v>
      </c>
      <c r="W85" s="324"/>
      <c r="X85" s="324"/>
      <c r="Y85" s="324"/>
      <c r="Z85" s="324"/>
      <c r="AA85" s="324"/>
      <c r="AB85" s="324"/>
      <c r="AC85" s="324"/>
      <c r="AD85" s="324"/>
      <c r="AE85" s="324"/>
      <c r="AF85" s="324"/>
      <c r="AG85" s="324"/>
      <c r="AH85" s="325"/>
      <c r="AI85" s="403" t="s">
        <v>73</v>
      </c>
      <c r="AJ85" s="403"/>
      <c r="AK85" s="403"/>
      <c r="AL85" s="403"/>
      <c r="AM85" s="403"/>
      <c r="AN85" s="403"/>
      <c r="AO85" s="403"/>
      <c r="AP85" s="403"/>
      <c r="AQ85" s="403"/>
      <c r="AR85" s="403"/>
      <c r="AS85" s="403"/>
      <c r="AT85" s="403"/>
      <c r="AU85" s="403"/>
      <c r="AV85" s="403"/>
      <c r="AW85" s="403"/>
      <c r="AX85" s="8"/>
    </row>
    <row r="86" spans="1:50" ht="13.5" customHeight="1">
      <c r="A86" s="5"/>
      <c r="B86" s="320">
        <v>2</v>
      </c>
      <c r="C86" s="320"/>
      <c r="D86" s="321"/>
      <c r="E86" s="321"/>
      <c r="F86" s="321"/>
      <c r="G86" s="321"/>
      <c r="H86" s="321"/>
      <c r="I86" s="322" t="s">
        <v>74</v>
      </c>
      <c r="J86" s="322"/>
      <c r="K86" s="322"/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6"/>
      <c r="W86" s="327"/>
      <c r="X86" s="327"/>
      <c r="Y86" s="327"/>
      <c r="Z86" s="327"/>
      <c r="AA86" s="327"/>
      <c r="AB86" s="327"/>
      <c r="AC86" s="327"/>
      <c r="AD86" s="327"/>
      <c r="AE86" s="327"/>
      <c r="AF86" s="327"/>
      <c r="AG86" s="327"/>
      <c r="AH86" s="328"/>
      <c r="AI86" s="403"/>
      <c r="AJ86" s="403"/>
      <c r="AK86" s="403"/>
      <c r="AL86" s="403"/>
      <c r="AM86" s="403"/>
      <c r="AN86" s="403"/>
      <c r="AO86" s="403"/>
      <c r="AP86" s="403"/>
      <c r="AQ86" s="403"/>
      <c r="AR86" s="403"/>
      <c r="AS86" s="403"/>
      <c r="AT86" s="403"/>
      <c r="AU86" s="403"/>
      <c r="AV86" s="403"/>
      <c r="AW86" s="403"/>
      <c r="AX86" s="8"/>
    </row>
    <row r="87" spans="1:50" ht="13.5" customHeight="1" thickBot="1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3"/>
    </row>
    <row r="88" spans="1:50" ht="13.5" customHeight="1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4"/>
    </row>
    <row r="89" spans="1:50" ht="22.5">
      <c r="A89" s="5"/>
      <c r="B89" s="30" t="s">
        <v>115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7"/>
      <c r="AX89" s="8"/>
    </row>
    <row r="90" spans="1:50" ht="18.75">
      <c r="A90" s="5"/>
      <c r="B90" s="6" t="s">
        <v>15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8"/>
    </row>
    <row r="91" spans="1:50" ht="13.5" customHeight="1">
      <c r="A91" s="5"/>
      <c r="B91" s="319" t="s">
        <v>8</v>
      </c>
      <c r="C91" s="319"/>
      <c r="D91" s="319" t="s">
        <v>9</v>
      </c>
      <c r="E91" s="319"/>
      <c r="F91" s="319"/>
      <c r="G91" s="319"/>
      <c r="H91" s="319"/>
      <c r="I91" s="319"/>
      <c r="J91" s="319"/>
      <c r="K91" s="319"/>
      <c r="L91" s="319"/>
      <c r="M91" s="319"/>
      <c r="N91" s="319" t="s">
        <v>16</v>
      </c>
      <c r="O91" s="319"/>
      <c r="P91" s="319"/>
      <c r="Q91" s="319"/>
      <c r="R91" s="319"/>
      <c r="S91" s="319"/>
      <c r="T91" s="319"/>
      <c r="U91" s="319" t="s">
        <v>17</v>
      </c>
      <c r="V91" s="319"/>
      <c r="W91" s="319"/>
      <c r="X91" s="319"/>
      <c r="Y91" s="319"/>
      <c r="Z91" s="319"/>
      <c r="AA91" s="319"/>
      <c r="AB91" s="319" t="s">
        <v>18</v>
      </c>
      <c r="AC91" s="319"/>
      <c r="AD91" s="319" t="s">
        <v>19</v>
      </c>
      <c r="AE91" s="319"/>
      <c r="AF91" s="319" t="s">
        <v>20</v>
      </c>
      <c r="AG91" s="319"/>
      <c r="AH91" s="319" t="s">
        <v>21</v>
      </c>
      <c r="AI91" s="319"/>
      <c r="AJ91" s="319" t="s">
        <v>22</v>
      </c>
      <c r="AK91" s="319"/>
      <c r="AL91" s="319"/>
      <c r="AM91" s="319"/>
      <c r="AN91" s="319"/>
      <c r="AO91" s="319"/>
      <c r="AP91" s="319" t="s">
        <v>12</v>
      </c>
      <c r="AQ91" s="319"/>
      <c r="AR91" s="319"/>
      <c r="AS91" s="319"/>
      <c r="AT91" s="319"/>
      <c r="AU91" s="319"/>
      <c r="AV91" s="319"/>
      <c r="AW91" s="319"/>
      <c r="AX91" s="8"/>
    </row>
    <row r="92" spans="1:50" ht="13.5" customHeight="1">
      <c r="A92" s="5"/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319"/>
      <c r="AB92" s="319"/>
      <c r="AC92" s="319"/>
      <c r="AD92" s="319"/>
      <c r="AE92" s="319"/>
      <c r="AF92" s="319"/>
      <c r="AG92" s="319"/>
      <c r="AH92" s="319"/>
      <c r="AI92" s="319"/>
      <c r="AJ92" s="319"/>
      <c r="AK92" s="319"/>
      <c r="AL92" s="319"/>
      <c r="AM92" s="319"/>
      <c r="AN92" s="319"/>
      <c r="AO92" s="319"/>
      <c r="AP92" s="319"/>
      <c r="AQ92" s="319"/>
      <c r="AR92" s="319"/>
      <c r="AS92" s="319"/>
      <c r="AT92" s="319"/>
      <c r="AU92" s="319"/>
      <c r="AV92" s="319"/>
      <c r="AW92" s="319"/>
      <c r="AX92" s="8"/>
    </row>
    <row r="93" spans="1:50" ht="13.5" customHeight="1">
      <c r="A93" s="5"/>
      <c r="B93" s="317">
        <v>1</v>
      </c>
      <c r="C93" s="317"/>
      <c r="D93" s="318" t="s">
        <v>94</v>
      </c>
      <c r="E93" s="318"/>
      <c r="F93" s="318"/>
      <c r="G93" s="318"/>
      <c r="H93" s="318"/>
      <c r="I93" s="318"/>
      <c r="J93" s="318"/>
      <c r="K93" s="318"/>
      <c r="L93" s="318"/>
      <c r="M93" s="318"/>
      <c r="N93" s="395" t="s">
        <v>93</v>
      </c>
      <c r="O93" s="396"/>
      <c r="P93" s="396"/>
      <c r="Q93" s="396"/>
      <c r="R93" s="396"/>
      <c r="S93" s="396"/>
      <c r="T93" s="397"/>
      <c r="U93" s="318" t="s">
        <v>92</v>
      </c>
      <c r="V93" s="318"/>
      <c r="W93" s="318"/>
      <c r="X93" s="318"/>
      <c r="Y93" s="318"/>
      <c r="Z93" s="318"/>
      <c r="AA93" s="318"/>
      <c r="AB93" s="341" t="s">
        <v>91</v>
      </c>
      <c r="AC93" s="341"/>
      <c r="AD93" s="341" t="s">
        <v>93</v>
      </c>
      <c r="AE93" s="341"/>
      <c r="AF93" s="341" t="s">
        <v>93</v>
      </c>
      <c r="AG93" s="341"/>
      <c r="AH93" s="341" t="s">
        <v>93</v>
      </c>
      <c r="AI93" s="341"/>
      <c r="AJ93" s="398" t="s">
        <v>102</v>
      </c>
      <c r="AK93" s="398"/>
      <c r="AL93" s="398"/>
      <c r="AM93" s="398"/>
      <c r="AN93" s="398"/>
      <c r="AO93" s="398"/>
      <c r="AP93" s="399"/>
      <c r="AQ93" s="399"/>
      <c r="AR93" s="399"/>
      <c r="AS93" s="399"/>
      <c r="AT93" s="399"/>
      <c r="AU93" s="399"/>
      <c r="AV93" s="399"/>
      <c r="AW93" s="399"/>
      <c r="AX93" s="8"/>
    </row>
    <row r="94" spans="1:50" ht="13.5" customHeight="1">
      <c r="A94" s="5"/>
      <c r="B94" s="20"/>
      <c r="C94" s="20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2"/>
      <c r="AB94" s="14"/>
      <c r="AC94" s="14"/>
      <c r="AD94" s="14"/>
      <c r="AE94" s="14"/>
      <c r="AF94" s="14"/>
      <c r="AG94" s="14"/>
      <c r="AH94" s="14"/>
      <c r="AI94" s="14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8"/>
    </row>
    <row r="95" spans="1:50" ht="13.5" customHeight="1">
      <c r="A95" s="5"/>
      <c r="B95" s="32" t="s">
        <v>64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33"/>
      <c r="AJ95" s="33"/>
      <c r="AK95" s="33"/>
      <c r="AL95" s="33"/>
      <c r="AM95" s="33"/>
      <c r="AN95" s="33"/>
      <c r="AO95" s="33"/>
      <c r="AP95" s="33"/>
      <c r="AQ95" s="31"/>
      <c r="AR95" s="31"/>
      <c r="AS95" s="31"/>
      <c r="AT95" s="31"/>
      <c r="AU95" s="31"/>
      <c r="AV95" s="31"/>
      <c r="AW95" s="7"/>
      <c r="AX95" s="8"/>
    </row>
    <row r="96" spans="1:50" ht="13.5" customHeight="1">
      <c r="A96" s="5"/>
      <c r="B96" s="329" t="s">
        <v>65</v>
      </c>
      <c r="C96" s="329"/>
      <c r="D96" s="330" t="s">
        <v>66</v>
      </c>
      <c r="E96" s="330"/>
      <c r="F96" s="330"/>
      <c r="G96" s="330"/>
      <c r="H96" s="330"/>
      <c r="I96" s="329" t="s">
        <v>67</v>
      </c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 t="s">
        <v>68</v>
      </c>
      <c r="W96" s="329"/>
      <c r="X96" s="329"/>
      <c r="Y96" s="329"/>
      <c r="Z96" s="329"/>
      <c r="AA96" s="329"/>
      <c r="AB96" s="329"/>
      <c r="AC96" s="329"/>
      <c r="AD96" s="329"/>
      <c r="AE96" s="329"/>
      <c r="AF96" s="329"/>
      <c r="AG96" s="329"/>
      <c r="AH96" s="329"/>
      <c r="AI96" s="329" t="s">
        <v>69</v>
      </c>
      <c r="AJ96" s="329"/>
      <c r="AK96" s="329"/>
      <c r="AL96" s="329"/>
      <c r="AM96" s="329"/>
      <c r="AN96" s="329"/>
      <c r="AO96" s="329"/>
      <c r="AP96" s="329"/>
      <c r="AQ96" s="329"/>
      <c r="AR96" s="329"/>
      <c r="AS96" s="329"/>
      <c r="AT96" s="329"/>
      <c r="AU96" s="329"/>
      <c r="AV96" s="329"/>
      <c r="AW96" s="329"/>
      <c r="AX96" s="8"/>
    </row>
    <row r="97" spans="1:50" ht="13.5" customHeight="1">
      <c r="A97" s="5"/>
      <c r="B97" s="329"/>
      <c r="C97" s="329"/>
      <c r="D97" s="330"/>
      <c r="E97" s="330"/>
      <c r="F97" s="330"/>
      <c r="G97" s="330"/>
      <c r="H97" s="330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  <c r="W97" s="329"/>
      <c r="X97" s="329"/>
      <c r="Y97" s="329"/>
      <c r="Z97" s="329"/>
      <c r="AA97" s="329"/>
      <c r="AB97" s="329"/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  <c r="AM97" s="329"/>
      <c r="AN97" s="329"/>
      <c r="AO97" s="329"/>
      <c r="AP97" s="329"/>
      <c r="AQ97" s="329"/>
      <c r="AR97" s="329"/>
      <c r="AS97" s="329"/>
      <c r="AT97" s="329"/>
      <c r="AU97" s="329"/>
      <c r="AV97" s="329"/>
      <c r="AW97" s="329"/>
      <c r="AX97" s="8"/>
    </row>
    <row r="98" spans="1:50" ht="13.5" customHeight="1">
      <c r="A98" s="5"/>
      <c r="B98" s="320">
        <v>1</v>
      </c>
      <c r="C98" s="320"/>
      <c r="D98" s="321" t="s">
        <v>75</v>
      </c>
      <c r="E98" s="321"/>
      <c r="F98" s="321"/>
      <c r="G98" s="321"/>
      <c r="H98" s="321"/>
      <c r="I98" s="321" t="s">
        <v>76</v>
      </c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405" t="s">
        <v>72</v>
      </c>
      <c r="W98" s="405"/>
      <c r="X98" s="405"/>
      <c r="Y98" s="405"/>
      <c r="Z98" s="405"/>
      <c r="AA98" s="405"/>
      <c r="AB98" s="405"/>
      <c r="AC98" s="405"/>
      <c r="AD98" s="405"/>
      <c r="AE98" s="405"/>
      <c r="AF98" s="405"/>
      <c r="AG98" s="405"/>
      <c r="AH98" s="405"/>
      <c r="AI98" s="403" t="s">
        <v>73</v>
      </c>
      <c r="AJ98" s="403"/>
      <c r="AK98" s="403"/>
      <c r="AL98" s="403"/>
      <c r="AM98" s="403"/>
      <c r="AN98" s="403"/>
      <c r="AO98" s="403"/>
      <c r="AP98" s="403"/>
      <c r="AQ98" s="403"/>
      <c r="AR98" s="403"/>
      <c r="AS98" s="403"/>
      <c r="AT98" s="403"/>
      <c r="AU98" s="403"/>
      <c r="AV98" s="403"/>
      <c r="AW98" s="403"/>
      <c r="AX98" s="8"/>
    </row>
    <row r="99" spans="1:50" ht="13.5" customHeight="1">
      <c r="A99" s="5"/>
      <c r="B99" s="320"/>
      <c r="C99" s="320"/>
      <c r="D99" s="321"/>
      <c r="E99" s="321"/>
      <c r="F99" s="321"/>
      <c r="G99" s="321"/>
      <c r="H99" s="321"/>
      <c r="I99" s="321" t="s">
        <v>116</v>
      </c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405"/>
      <c r="W99" s="405"/>
      <c r="X99" s="405"/>
      <c r="Y99" s="405"/>
      <c r="Z99" s="405"/>
      <c r="AA99" s="405"/>
      <c r="AB99" s="405"/>
      <c r="AC99" s="405"/>
      <c r="AD99" s="405"/>
      <c r="AE99" s="405"/>
      <c r="AF99" s="405"/>
      <c r="AG99" s="405"/>
      <c r="AH99" s="405"/>
      <c r="AI99" s="403"/>
      <c r="AJ99" s="403"/>
      <c r="AK99" s="403"/>
      <c r="AL99" s="403"/>
      <c r="AM99" s="403"/>
      <c r="AN99" s="403"/>
      <c r="AO99" s="403"/>
      <c r="AP99" s="403"/>
      <c r="AQ99" s="403"/>
      <c r="AR99" s="403"/>
      <c r="AS99" s="403"/>
      <c r="AT99" s="403"/>
      <c r="AU99" s="403"/>
      <c r="AV99" s="403"/>
      <c r="AW99" s="403"/>
      <c r="AX99" s="8"/>
    </row>
    <row r="100" spans="1:50" ht="13.5" customHeight="1">
      <c r="A100" s="5"/>
      <c r="B100" s="320">
        <v>2</v>
      </c>
      <c r="C100" s="320"/>
      <c r="D100" s="321" t="s">
        <v>77</v>
      </c>
      <c r="E100" s="321"/>
      <c r="F100" s="321"/>
      <c r="G100" s="321"/>
      <c r="H100" s="321"/>
      <c r="I100" s="321" t="s">
        <v>119</v>
      </c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405"/>
      <c r="W100" s="405"/>
      <c r="X100" s="405"/>
      <c r="Y100" s="405"/>
      <c r="Z100" s="405"/>
      <c r="AA100" s="405"/>
      <c r="AB100" s="405"/>
      <c r="AC100" s="405"/>
      <c r="AD100" s="405"/>
      <c r="AE100" s="405"/>
      <c r="AF100" s="405"/>
      <c r="AG100" s="405"/>
      <c r="AH100" s="405"/>
      <c r="AI100" s="403"/>
      <c r="AJ100" s="403"/>
      <c r="AK100" s="403"/>
      <c r="AL100" s="403"/>
      <c r="AM100" s="403"/>
      <c r="AN100" s="403"/>
      <c r="AO100" s="403"/>
      <c r="AP100" s="403"/>
      <c r="AQ100" s="403"/>
      <c r="AR100" s="403"/>
      <c r="AS100" s="403"/>
      <c r="AT100" s="403"/>
      <c r="AU100" s="403"/>
      <c r="AV100" s="403"/>
      <c r="AW100" s="403"/>
      <c r="AX100" s="8"/>
    </row>
    <row r="101" spans="1:50" ht="13.5" customHeight="1">
      <c r="A101" s="5"/>
      <c r="B101" s="320"/>
      <c r="C101" s="320"/>
      <c r="D101" s="321"/>
      <c r="E101" s="321"/>
      <c r="F101" s="321"/>
      <c r="G101" s="321"/>
      <c r="H101" s="321"/>
      <c r="I101" s="321" t="s">
        <v>120</v>
      </c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405"/>
      <c r="W101" s="405"/>
      <c r="X101" s="405"/>
      <c r="Y101" s="405"/>
      <c r="Z101" s="405"/>
      <c r="AA101" s="405"/>
      <c r="AB101" s="405"/>
      <c r="AC101" s="405"/>
      <c r="AD101" s="405"/>
      <c r="AE101" s="405"/>
      <c r="AF101" s="405"/>
      <c r="AG101" s="405"/>
      <c r="AH101" s="405"/>
      <c r="AI101" s="403"/>
      <c r="AJ101" s="403"/>
      <c r="AK101" s="403"/>
      <c r="AL101" s="403"/>
      <c r="AM101" s="403"/>
      <c r="AN101" s="403"/>
      <c r="AO101" s="403"/>
      <c r="AP101" s="403"/>
      <c r="AQ101" s="403"/>
      <c r="AR101" s="403"/>
      <c r="AS101" s="403"/>
      <c r="AT101" s="403"/>
      <c r="AU101" s="403"/>
      <c r="AV101" s="403"/>
      <c r="AW101" s="403"/>
      <c r="AX101" s="8"/>
    </row>
    <row r="102" spans="1:50" ht="13.5" customHeight="1">
      <c r="A102" s="5"/>
      <c r="B102" s="320">
        <v>3</v>
      </c>
      <c r="C102" s="320"/>
      <c r="D102" s="321" t="s">
        <v>78</v>
      </c>
      <c r="E102" s="321"/>
      <c r="F102" s="321"/>
      <c r="G102" s="321"/>
      <c r="H102" s="321"/>
      <c r="I102" s="321" t="s">
        <v>117</v>
      </c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405"/>
      <c r="W102" s="405"/>
      <c r="X102" s="405"/>
      <c r="Y102" s="405"/>
      <c r="Z102" s="405"/>
      <c r="AA102" s="405"/>
      <c r="AB102" s="405"/>
      <c r="AC102" s="405"/>
      <c r="AD102" s="405"/>
      <c r="AE102" s="405"/>
      <c r="AF102" s="405"/>
      <c r="AG102" s="405"/>
      <c r="AH102" s="405"/>
      <c r="AI102" s="403"/>
      <c r="AJ102" s="403"/>
      <c r="AK102" s="403"/>
      <c r="AL102" s="403"/>
      <c r="AM102" s="403"/>
      <c r="AN102" s="403"/>
      <c r="AO102" s="403"/>
      <c r="AP102" s="403"/>
      <c r="AQ102" s="403"/>
      <c r="AR102" s="403"/>
      <c r="AS102" s="403"/>
      <c r="AT102" s="403"/>
      <c r="AU102" s="403"/>
      <c r="AV102" s="403"/>
      <c r="AW102" s="403"/>
      <c r="AX102" s="8"/>
    </row>
    <row r="103" spans="1:50" ht="13.5" customHeight="1">
      <c r="A103" s="5"/>
      <c r="B103" s="320"/>
      <c r="C103" s="320"/>
      <c r="D103" s="321"/>
      <c r="E103" s="321"/>
      <c r="F103" s="321"/>
      <c r="G103" s="321"/>
      <c r="H103" s="321"/>
      <c r="I103" s="321" t="s">
        <v>118</v>
      </c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405"/>
      <c r="W103" s="405"/>
      <c r="X103" s="405"/>
      <c r="Y103" s="405"/>
      <c r="Z103" s="405"/>
      <c r="AA103" s="405"/>
      <c r="AB103" s="405"/>
      <c r="AC103" s="405"/>
      <c r="AD103" s="405"/>
      <c r="AE103" s="405"/>
      <c r="AF103" s="405"/>
      <c r="AG103" s="405"/>
      <c r="AH103" s="405"/>
      <c r="AI103" s="403"/>
      <c r="AJ103" s="403"/>
      <c r="AK103" s="403"/>
      <c r="AL103" s="403"/>
      <c r="AM103" s="403"/>
      <c r="AN103" s="403"/>
      <c r="AO103" s="403"/>
      <c r="AP103" s="403"/>
      <c r="AQ103" s="403"/>
      <c r="AR103" s="403"/>
      <c r="AS103" s="403"/>
      <c r="AT103" s="403"/>
      <c r="AU103" s="403"/>
      <c r="AV103" s="403"/>
      <c r="AW103" s="403"/>
      <c r="AX103" s="8"/>
    </row>
    <row r="104" spans="1:50" ht="13.5" customHeight="1">
      <c r="A104" s="5"/>
      <c r="B104" s="17"/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7"/>
      <c r="AX104" s="8"/>
    </row>
    <row r="105" spans="1:50" ht="22.5">
      <c r="A105" s="5"/>
      <c r="B105" s="129" t="s">
        <v>368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7"/>
      <c r="AX105" s="8"/>
    </row>
    <row r="106" spans="1:50" ht="18.75">
      <c r="A106" s="5"/>
      <c r="B106" s="6" t="s">
        <v>15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8"/>
    </row>
    <row r="107" spans="1:50" ht="13.5" customHeight="1">
      <c r="A107" s="5"/>
      <c r="B107" s="319" t="s">
        <v>8</v>
      </c>
      <c r="C107" s="319"/>
      <c r="D107" s="319" t="s">
        <v>9</v>
      </c>
      <c r="E107" s="319"/>
      <c r="F107" s="319"/>
      <c r="G107" s="319"/>
      <c r="H107" s="319"/>
      <c r="I107" s="319"/>
      <c r="J107" s="319"/>
      <c r="K107" s="319"/>
      <c r="L107" s="319"/>
      <c r="M107" s="319"/>
      <c r="N107" s="319" t="s">
        <v>16</v>
      </c>
      <c r="O107" s="319"/>
      <c r="P107" s="319"/>
      <c r="Q107" s="319"/>
      <c r="R107" s="319"/>
      <c r="S107" s="319"/>
      <c r="T107" s="319"/>
      <c r="U107" s="319" t="s">
        <v>17</v>
      </c>
      <c r="V107" s="319"/>
      <c r="W107" s="319"/>
      <c r="X107" s="319"/>
      <c r="Y107" s="319"/>
      <c r="Z107" s="319"/>
      <c r="AA107" s="319"/>
      <c r="AB107" s="319" t="s">
        <v>18</v>
      </c>
      <c r="AC107" s="319"/>
      <c r="AD107" s="319" t="s">
        <v>19</v>
      </c>
      <c r="AE107" s="319"/>
      <c r="AF107" s="319" t="s">
        <v>20</v>
      </c>
      <c r="AG107" s="319"/>
      <c r="AH107" s="319" t="s">
        <v>21</v>
      </c>
      <c r="AI107" s="319"/>
      <c r="AJ107" s="319" t="s">
        <v>22</v>
      </c>
      <c r="AK107" s="319"/>
      <c r="AL107" s="319"/>
      <c r="AM107" s="319"/>
      <c r="AN107" s="319"/>
      <c r="AO107" s="319"/>
      <c r="AP107" s="319" t="s">
        <v>12</v>
      </c>
      <c r="AQ107" s="319"/>
      <c r="AR107" s="319"/>
      <c r="AS107" s="319"/>
      <c r="AT107" s="319"/>
      <c r="AU107" s="319"/>
      <c r="AV107" s="319"/>
      <c r="AW107" s="319"/>
      <c r="AX107" s="8"/>
    </row>
    <row r="108" spans="1:50" ht="13.5" customHeight="1">
      <c r="A108" s="5"/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19"/>
      <c r="AL108" s="319"/>
      <c r="AM108" s="319"/>
      <c r="AN108" s="319"/>
      <c r="AO108" s="319"/>
      <c r="AP108" s="319"/>
      <c r="AQ108" s="319"/>
      <c r="AR108" s="319"/>
      <c r="AS108" s="319"/>
      <c r="AT108" s="319"/>
      <c r="AU108" s="319"/>
      <c r="AV108" s="319"/>
      <c r="AW108" s="319"/>
      <c r="AX108" s="8"/>
    </row>
    <row r="109" spans="1:50" ht="13.5" customHeight="1">
      <c r="A109" s="5"/>
      <c r="B109" s="317">
        <v>1</v>
      </c>
      <c r="C109" s="317"/>
      <c r="D109" s="318" t="s">
        <v>369</v>
      </c>
      <c r="E109" s="318"/>
      <c r="F109" s="318"/>
      <c r="G109" s="318"/>
      <c r="H109" s="318"/>
      <c r="I109" s="318"/>
      <c r="J109" s="318"/>
      <c r="K109" s="318"/>
      <c r="L109" s="318"/>
      <c r="M109" s="318"/>
      <c r="N109" s="395" t="s">
        <v>73</v>
      </c>
      <c r="O109" s="396"/>
      <c r="P109" s="396"/>
      <c r="Q109" s="396"/>
      <c r="R109" s="396"/>
      <c r="S109" s="396"/>
      <c r="T109" s="397"/>
      <c r="U109" s="318" t="s">
        <v>370</v>
      </c>
      <c r="V109" s="318"/>
      <c r="W109" s="318"/>
      <c r="X109" s="318"/>
      <c r="Y109" s="318"/>
      <c r="Z109" s="318"/>
      <c r="AA109" s="318"/>
      <c r="AB109" s="341" t="s">
        <v>73</v>
      </c>
      <c r="AC109" s="341"/>
      <c r="AD109" s="341" t="s">
        <v>73</v>
      </c>
      <c r="AE109" s="341"/>
      <c r="AF109" s="341" t="s">
        <v>73</v>
      </c>
      <c r="AG109" s="341"/>
      <c r="AH109" s="341" t="s">
        <v>73</v>
      </c>
      <c r="AI109" s="341"/>
      <c r="AJ109" s="398"/>
      <c r="AK109" s="398"/>
      <c r="AL109" s="398"/>
      <c r="AM109" s="398"/>
      <c r="AN109" s="398"/>
      <c r="AO109" s="398"/>
      <c r="AP109" s="399"/>
      <c r="AQ109" s="399"/>
      <c r="AR109" s="399"/>
      <c r="AS109" s="399"/>
      <c r="AT109" s="399"/>
      <c r="AU109" s="399"/>
      <c r="AV109" s="399"/>
      <c r="AW109" s="399"/>
      <c r="AX109" s="8"/>
    </row>
    <row r="110" spans="1:50" ht="13.5" customHeight="1">
      <c r="A110" s="5"/>
      <c r="B110" s="20"/>
      <c r="C110" s="20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6"/>
      <c r="AB110" s="14"/>
      <c r="AC110" s="14"/>
      <c r="AD110" s="14"/>
      <c r="AE110" s="14"/>
      <c r="AF110" s="14"/>
      <c r="AG110" s="14"/>
      <c r="AH110" s="14"/>
      <c r="AI110" s="14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8"/>
    </row>
    <row r="111" spans="1:50" ht="13.5" customHeight="1">
      <c r="A111" s="5"/>
      <c r="B111" s="32" t="s">
        <v>64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33"/>
      <c r="AJ111" s="33"/>
      <c r="AK111" s="33"/>
      <c r="AL111" s="33"/>
      <c r="AM111" s="33"/>
      <c r="AN111" s="33"/>
      <c r="AO111" s="33"/>
      <c r="AP111" s="33"/>
      <c r="AQ111" s="31"/>
      <c r="AR111" s="31"/>
      <c r="AS111" s="31"/>
      <c r="AT111" s="31"/>
      <c r="AU111" s="31"/>
      <c r="AV111" s="31"/>
      <c r="AW111" s="7"/>
      <c r="AX111" s="8"/>
    </row>
    <row r="112" spans="1:50" ht="13.5" customHeight="1">
      <c r="A112" s="5"/>
      <c r="B112" s="329" t="s">
        <v>65</v>
      </c>
      <c r="C112" s="329"/>
      <c r="D112" s="330" t="s">
        <v>66</v>
      </c>
      <c r="E112" s="330"/>
      <c r="F112" s="330"/>
      <c r="G112" s="330"/>
      <c r="H112" s="330"/>
      <c r="I112" s="329" t="s">
        <v>67</v>
      </c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 t="s">
        <v>68</v>
      </c>
      <c r="W112" s="329"/>
      <c r="X112" s="329"/>
      <c r="Y112" s="329"/>
      <c r="Z112" s="329"/>
      <c r="AA112" s="329"/>
      <c r="AB112" s="329"/>
      <c r="AC112" s="329"/>
      <c r="AD112" s="329"/>
      <c r="AE112" s="329"/>
      <c r="AF112" s="329"/>
      <c r="AG112" s="329"/>
      <c r="AH112" s="329"/>
      <c r="AI112" s="329" t="s">
        <v>69</v>
      </c>
      <c r="AJ112" s="329"/>
      <c r="AK112" s="329"/>
      <c r="AL112" s="329"/>
      <c r="AM112" s="329"/>
      <c r="AN112" s="329"/>
      <c r="AO112" s="329"/>
      <c r="AP112" s="329"/>
      <c r="AQ112" s="329"/>
      <c r="AR112" s="329"/>
      <c r="AS112" s="329"/>
      <c r="AT112" s="329"/>
      <c r="AU112" s="329"/>
      <c r="AV112" s="329"/>
      <c r="AW112" s="329"/>
      <c r="AX112" s="8"/>
    </row>
    <row r="113" spans="1:50" ht="13.5" customHeight="1">
      <c r="A113" s="5"/>
      <c r="B113" s="329"/>
      <c r="C113" s="329"/>
      <c r="D113" s="330"/>
      <c r="E113" s="330"/>
      <c r="F113" s="330"/>
      <c r="G113" s="330"/>
      <c r="H113" s="330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  <c r="AA113" s="329"/>
      <c r="AB113" s="329"/>
      <c r="AC113" s="329"/>
      <c r="AD113" s="329"/>
      <c r="AE113" s="329"/>
      <c r="AF113" s="329"/>
      <c r="AG113" s="329"/>
      <c r="AH113" s="329"/>
      <c r="AI113" s="329"/>
      <c r="AJ113" s="329"/>
      <c r="AK113" s="329"/>
      <c r="AL113" s="329"/>
      <c r="AM113" s="329"/>
      <c r="AN113" s="329"/>
      <c r="AO113" s="329"/>
      <c r="AP113" s="329"/>
      <c r="AQ113" s="329"/>
      <c r="AR113" s="329"/>
      <c r="AS113" s="329"/>
      <c r="AT113" s="329"/>
      <c r="AU113" s="329"/>
      <c r="AV113" s="329"/>
      <c r="AW113" s="329"/>
      <c r="AX113" s="8"/>
    </row>
    <row r="114" spans="1:50" ht="30" customHeight="1">
      <c r="A114" s="5"/>
      <c r="B114" s="320">
        <v>1</v>
      </c>
      <c r="C114" s="320"/>
      <c r="D114" s="406"/>
      <c r="E114" s="406"/>
      <c r="F114" s="406"/>
      <c r="G114" s="406"/>
      <c r="H114" s="406"/>
      <c r="I114" s="406"/>
      <c r="J114" s="406"/>
      <c r="K114" s="406"/>
      <c r="L114" s="406"/>
      <c r="M114" s="406"/>
      <c r="N114" s="406"/>
      <c r="O114" s="406"/>
      <c r="P114" s="406"/>
      <c r="Q114" s="406"/>
      <c r="R114" s="406"/>
      <c r="S114" s="406"/>
      <c r="T114" s="406"/>
      <c r="U114" s="406"/>
      <c r="V114" s="407" t="s">
        <v>371</v>
      </c>
      <c r="W114" s="407"/>
      <c r="X114" s="407"/>
      <c r="Y114" s="407"/>
      <c r="Z114" s="407"/>
      <c r="AA114" s="407"/>
      <c r="AB114" s="407"/>
      <c r="AC114" s="407"/>
      <c r="AD114" s="407"/>
      <c r="AE114" s="407"/>
      <c r="AF114" s="407"/>
      <c r="AG114" s="407"/>
      <c r="AH114" s="407"/>
      <c r="AI114" s="403" t="s">
        <v>73</v>
      </c>
      <c r="AJ114" s="403"/>
      <c r="AK114" s="403"/>
      <c r="AL114" s="403"/>
      <c r="AM114" s="403"/>
      <c r="AN114" s="403"/>
      <c r="AO114" s="403"/>
      <c r="AP114" s="403"/>
      <c r="AQ114" s="403"/>
      <c r="AR114" s="403"/>
      <c r="AS114" s="403"/>
      <c r="AT114" s="403"/>
      <c r="AU114" s="403"/>
      <c r="AV114" s="403"/>
      <c r="AW114" s="403"/>
      <c r="AX114" s="8"/>
    </row>
    <row r="115" spans="1:50" ht="13.5" customHeight="1">
      <c r="A115" s="5"/>
      <c r="B115" s="17"/>
      <c r="C115" s="17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7"/>
      <c r="AX115" s="8"/>
    </row>
    <row r="116" spans="1:50" ht="13.5" customHeight="1">
      <c r="A116" s="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8"/>
    </row>
    <row r="117" spans="1:50" ht="22.5">
      <c r="A117" s="5"/>
      <c r="B117" s="30" t="s">
        <v>114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7"/>
      <c r="AX117" s="8"/>
    </row>
    <row r="118" spans="1:50" ht="18.75">
      <c r="A118" s="5"/>
      <c r="B118" s="6" t="s">
        <v>15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8"/>
    </row>
    <row r="119" spans="1:50" ht="13.5" customHeight="1">
      <c r="A119" s="5"/>
      <c r="B119" s="319" t="s">
        <v>8</v>
      </c>
      <c r="C119" s="319"/>
      <c r="D119" s="319" t="s">
        <v>9</v>
      </c>
      <c r="E119" s="319"/>
      <c r="F119" s="319"/>
      <c r="G119" s="319"/>
      <c r="H119" s="319"/>
      <c r="I119" s="319"/>
      <c r="J119" s="319"/>
      <c r="K119" s="319"/>
      <c r="L119" s="319"/>
      <c r="M119" s="319"/>
      <c r="N119" s="319" t="s">
        <v>16</v>
      </c>
      <c r="O119" s="319"/>
      <c r="P119" s="319"/>
      <c r="Q119" s="319"/>
      <c r="R119" s="319"/>
      <c r="S119" s="319"/>
      <c r="T119" s="319"/>
      <c r="U119" s="319" t="s">
        <v>17</v>
      </c>
      <c r="V119" s="319"/>
      <c r="W119" s="319"/>
      <c r="X119" s="319"/>
      <c r="Y119" s="319"/>
      <c r="Z119" s="319"/>
      <c r="AA119" s="319"/>
      <c r="AB119" s="319" t="s">
        <v>18</v>
      </c>
      <c r="AC119" s="319"/>
      <c r="AD119" s="319" t="s">
        <v>19</v>
      </c>
      <c r="AE119" s="319"/>
      <c r="AF119" s="319" t="s">
        <v>20</v>
      </c>
      <c r="AG119" s="319"/>
      <c r="AH119" s="319" t="s">
        <v>21</v>
      </c>
      <c r="AI119" s="319"/>
      <c r="AJ119" s="319" t="s">
        <v>22</v>
      </c>
      <c r="AK119" s="319"/>
      <c r="AL119" s="319"/>
      <c r="AM119" s="319"/>
      <c r="AN119" s="319"/>
      <c r="AO119" s="319"/>
      <c r="AP119" s="319" t="s">
        <v>12</v>
      </c>
      <c r="AQ119" s="319"/>
      <c r="AR119" s="319"/>
      <c r="AS119" s="319"/>
      <c r="AT119" s="319"/>
      <c r="AU119" s="319"/>
      <c r="AV119" s="319"/>
      <c r="AW119" s="319"/>
      <c r="AX119" s="8"/>
    </row>
    <row r="120" spans="1:50" ht="13.5" customHeight="1">
      <c r="A120" s="5"/>
      <c r="B120" s="31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  <c r="AA120" s="319"/>
      <c r="AB120" s="319"/>
      <c r="AC120" s="319"/>
      <c r="AD120" s="319"/>
      <c r="AE120" s="319"/>
      <c r="AF120" s="319"/>
      <c r="AG120" s="319"/>
      <c r="AH120" s="319"/>
      <c r="AI120" s="319"/>
      <c r="AJ120" s="319"/>
      <c r="AK120" s="319"/>
      <c r="AL120" s="319"/>
      <c r="AM120" s="319"/>
      <c r="AN120" s="319"/>
      <c r="AO120" s="319"/>
      <c r="AP120" s="319"/>
      <c r="AQ120" s="319"/>
      <c r="AR120" s="319"/>
      <c r="AS120" s="319"/>
      <c r="AT120" s="319"/>
      <c r="AU120" s="319"/>
      <c r="AV120" s="319"/>
      <c r="AW120" s="319"/>
      <c r="AX120" s="8"/>
    </row>
    <row r="121" spans="1:50" ht="13.5" customHeight="1">
      <c r="A121" s="5"/>
      <c r="B121" s="317">
        <v>1</v>
      </c>
      <c r="C121" s="317"/>
      <c r="D121" s="318" t="s">
        <v>94</v>
      </c>
      <c r="E121" s="318"/>
      <c r="F121" s="318"/>
      <c r="G121" s="318"/>
      <c r="H121" s="318"/>
      <c r="I121" s="318"/>
      <c r="J121" s="318"/>
      <c r="K121" s="318"/>
      <c r="L121" s="318"/>
      <c r="M121" s="318"/>
      <c r="N121" s="395" t="s">
        <v>93</v>
      </c>
      <c r="O121" s="396"/>
      <c r="P121" s="396"/>
      <c r="Q121" s="396"/>
      <c r="R121" s="396"/>
      <c r="S121" s="396"/>
      <c r="T121" s="397"/>
      <c r="U121" s="318" t="s">
        <v>92</v>
      </c>
      <c r="V121" s="318"/>
      <c r="W121" s="318"/>
      <c r="X121" s="318"/>
      <c r="Y121" s="318"/>
      <c r="Z121" s="318"/>
      <c r="AA121" s="318"/>
      <c r="AB121" s="341" t="s">
        <v>93</v>
      </c>
      <c r="AC121" s="341"/>
      <c r="AD121" s="341" t="s">
        <v>91</v>
      </c>
      <c r="AE121" s="341"/>
      <c r="AF121" s="341" t="s">
        <v>93</v>
      </c>
      <c r="AG121" s="341"/>
      <c r="AH121" s="341"/>
      <c r="AI121" s="341"/>
      <c r="AJ121" s="398" t="s">
        <v>101</v>
      </c>
      <c r="AK121" s="398"/>
      <c r="AL121" s="398"/>
      <c r="AM121" s="398"/>
      <c r="AN121" s="398"/>
      <c r="AO121" s="398"/>
      <c r="AP121" s="399"/>
      <c r="AQ121" s="399"/>
      <c r="AR121" s="399"/>
      <c r="AS121" s="399"/>
      <c r="AT121" s="399"/>
      <c r="AU121" s="399"/>
      <c r="AV121" s="399"/>
      <c r="AW121" s="399"/>
      <c r="AX121" s="8"/>
    </row>
    <row r="122" spans="1:50" ht="13.5" customHeight="1">
      <c r="A122" s="5"/>
      <c r="B122" s="20"/>
      <c r="C122" s="20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0"/>
      <c r="O122" s="20"/>
      <c r="P122" s="20"/>
      <c r="Q122" s="20"/>
      <c r="R122" s="20"/>
      <c r="S122" s="20"/>
      <c r="T122" s="20"/>
      <c r="U122" s="21"/>
      <c r="V122" s="21"/>
      <c r="W122" s="21"/>
      <c r="X122" s="21"/>
      <c r="Y122" s="21"/>
      <c r="Z122" s="21"/>
      <c r="AA122" s="21"/>
      <c r="AB122" s="14"/>
      <c r="AC122" s="14"/>
      <c r="AD122" s="14"/>
      <c r="AE122" s="14"/>
      <c r="AF122" s="14"/>
      <c r="AG122" s="14"/>
      <c r="AH122" s="14"/>
      <c r="AI122" s="14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8"/>
    </row>
    <row r="123" spans="1:50" ht="13.5" customHeight="1">
      <c r="A123" s="5"/>
      <c r="B123" s="32" t="s">
        <v>64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33"/>
      <c r="AJ123" s="33"/>
      <c r="AK123" s="33"/>
      <c r="AL123" s="33"/>
      <c r="AM123" s="33"/>
      <c r="AN123" s="33"/>
      <c r="AO123" s="33"/>
      <c r="AP123" s="33"/>
      <c r="AQ123" s="31"/>
      <c r="AR123" s="31"/>
      <c r="AS123" s="31"/>
      <c r="AT123" s="31"/>
      <c r="AU123" s="31"/>
      <c r="AV123" s="31"/>
      <c r="AW123" s="7"/>
      <c r="AX123" s="8"/>
    </row>
    <row r="124" spans="1:50" ht="13.5" customHeight="1">
      <c r="A124" s="5"/>
      <c r="B124" s="329" t="s">
        <v>65</v>
      </c>
      <c r="C124" s="329"/>
      <c r="D124" s="330" t="s">
        <v>66</v>
      </c>
      <c r="E124" s="330"/>
      <c r="F124" s="330"/>
      <c r="G124" s="330"/>
      <c r="H124" s="330"/>
      <c r="I124" s="329" t="s">
        <v>67</v>
      </c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 t="s">
        <v>68</v>
      </c>
      <c r="W124" s="329"/>
      <c r="X124" s="329"/>
      <c r="Y124" s="329"/>
      <c r="Z124" s="329"/>
      <c r="AA124" s="329"/>
      <c r="AB124" s="329"/>
      <c r="AC124" s="329"/>
      <c r="AD124" s="329"/>
      <c r="AE124" s="329"/>
      <c r="AF124" s="329"/>
      <c r="AG124" s="329"/>
      <c r="AH124" s="329"/>
      <c r="AI124" s="329" t="s">
        <v>69</v>
      </c>
      <c r="AJ124" s="329"/>
      <c r="AK124" s="329"/>
      <c r="AL124" s="329"/>
      <c r="AM124" s="329"/>
      <c r="AN124" s="329"/>
      <c r="AO124" s="329"/>
      <c r="AP124" s="329"/>
      <c r="AQ124" s="329"/>
      <c r="AR124" s="329"/>
      <c r="AS124" s="329"/>
      <c r="AT124" s="329"/>
      <c r="AU124" s="329"/>
      <c r="AV124" s="329"/>
      <c r="AW124" s="329"/>
      <c r="AX124" s="8"/>
    </row>
    <row r="125" spans="1:50" ht="13.5" customHeight="1">
      <c r="A125" s="5"/>
      <c r="B125" s="329"/>
      <c r="C125" s="329"/>
      <c r="D125" s="330"/>
      <c r="E125" s="330"/>
      <c r="F125" s="330"/>
      <c r="G125" s="330"/>
      <c r="H125" s="330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  <c r="AA125" s="329"/>
      <c r="AB125" s="329"/>
      <c r="AC125" s="329"/>
      <c r="AD125" s="329"/>
      <c r="AE125" s="329"/>
      <c r="AF125" s="329"/>
      <c r="AG125" s="329"/>
      <c r="AH125" s="329"/>
      <c r="AI125" s="329"/>
      <c r="AJ125" s="329"/>
      <c r="AK125" s="329"/>
      <c r="AL125" s="329"/>
      <c r="AM125" s="329"/>
      <c r="AN125" s="329"/>
      <c r="AO125" s="329"/>
      <c r="AP125" s="329"/>
      <c r="AQ125" s="329"/>
      <c r="AR125" s="329"/>
      <c r="AS125" s="329"/>
      <c r="AT125" s="329"/>
      <c r="AU125" s="329"/>
      <c r="AV125" s="329"/>
      <c r="AW125" s="329"/>
      <c r="AX125" s="8"/>
    </row>
    <row r="126" spans="1:50" ht="18.75">
      <c r="A126" s="5"/>
      <c r="B126" s="376">
        <v>1</v>
      </c>
      <c r="C126" s="376"/>
      <c r="D126" s="377" t="s">
        <v>79</v>
      </c>
      <c r="E126" s="404"/>
      <c r="F126" s="404"/>
      <c r="G126" s="404"/>
      <c r="H126" s="404"/>
      <c r="I126" s="321" t="s">
        <v>80</v>
      </c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77" t="s">
        <v>72</v>
      </c>
      <c r="W126" s="377"/>
      <c r="X126" s="377"/>
      <c r="Y126" s="377"/>
      <c r="Z126" s="377"/>
      <c r="AA126" s="377"/>
      <c r="AB126" s="377"/>
      <c r="AC126" s="377"/>
      <c r="AD126" s="377"/>
      <c r="AE126" s="377"/>
      <c r="AF126" s="377"/>
      <c r="AG126" s="377"/>
      <c r="AH126" s="377"/>
      <c r="AI126" s="378" t="s">
        <v>73</v>
      </c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8"/>
    </row>
    <row r="127" spans="1:50" ht="16.5" customHeight="1">
      <c r="A127" s="5"/>
      <c r="B127" s="376">
        <v>2</v>
      </c>
      <c r="C127" s="376"/>
      <c r="D127" s="404"/>
      <c r="E127" s="404"/>
      <c r="F127" s="404"/>
      <c r="G127" s="404"/>
      <c r="H127" s="404"/>
      <c r="I127" s="321" t="s">
        <v>81</v>
      </c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77"/>
      <c r="W127" s="377"/>
      <c r="X127" s="377"/>
      <c r="Y127" s="377"/>
      <c r="Z127" s="377"/>
      <c r="AA127" s="377"/>
      <c r="AB127" s="377"/>
      <c r="AC127" s="377"/>
      <c r="AD127" s="377"/>
      <c r="AE127" s="377"/>
      <c r="AF127" s="377"/>
      <c r="AG127" s="377"/>
      <c r="AH127" s="377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8"/>
    </row>
    <row r="128" spans="1:50" ht="16.5" customHeight="1">
      <c r="A128" s="5"/>
      <c r="B128" s="376"/>
      <c r="C128" s="376"/>
      <c r="D128" s="404"/>
      <c r="E128" s="404"/>
      <c r="F128" s="404"/>
      <c r="G128" s="404"/>
      <c r="H128" s="404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77"/>
      <c r="W128" s="377"/>
      <c r="X128" s="377"/>
      <c r="Y128" s="377"/>
      <c r="Z128" s="377"/>
      <c r="AA128" s="377"/>
      <c r="AB128" s="377"/>
      <c r="AC128" s="377"/>
      <c r="AD128" s="377"/>
      <c r="AE128" s="377"/>
      <c r="AF128" s="377"/>
      <c r="AG128" s="377"/>
      <c r="AH128" s="377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8"/>
    </row>
    <row r="129" spans="1:50" ht="13.5" customHeight="1">
      <c r="A129" s="5"/>
      <c r="B129" s="376">
        <v>3</v>
      </c>
      <c r="C129" s="376"/>
      <c r="D129" s="377" t="s">
        <v>78</v>
      </c>
      <c r="E129" s="377"/>
      <c r="F129" s="377"/>
      <c r="G129" s="377"/>
      <c r="H129" s="377"/>
      <c r="I129" s="321" t="s">
        <v>82</v>
      </c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77"/>
      <c r="W129" s="377"/>
      <c r="X129" s="377"/>
      <c r="Y129" s="377"/>
      <c r="Z129" s="377"/>
      <c r="AA129" s="377"/>
      <c r="AB129" s="377"/>
      <c r="AC129" s="377"/>
      <c r="AD129" s="377"/>
      <c r="AE129" s="377"/>
      <c r="AF129" s="377"/>
      <c r="AG129" s="377"/>
      <c r="AH129" s="377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8"/>
    </row>
    <row r="130" spans="1:50" ht="13.5" customHeight="1">
      <c r="A130" s="5"/>
      <c r="B130" s="376"/>
      <c r="C130" s="376"/>
      <c r="D130" s="377"/>
      <c r="E130" s="377"/>
      <c r="F130" s="377"/>
      <c r="G130" s="377"/>
      <c r="H130" s="377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77"/>
      <c r="W130" s="377"/>
      <c r="X130" s="377"/>
      <c r="Y130" s="377"/>
      <c r="Z130" s="377"/>
      <c r="AA130" s="377"/>
      <c r="AB130" s="377"/>
      <c r="AC130" s="377"/>
      <c r="AD130" s="377"/>
      <c r="AE130" s="377"/>
      <c r="AF130" s="377"/>
      <c r="AG130" s="377"/>
      <c r="AH130" s="377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8"/>
    </row>
    <row r="131" spans="1:50" ht="13.5" customHeight="1">
      <c r="A131" s="5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8"/>
    </row>
    <row r="132" spans="1:50" ht="13.5" customHeight="1" thickBot="1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3"/>
    </row>
    <row r="133" spans="1:50" ht="13.5" customHeight="1">
      <c r="A133" s="2"/>
      <c r="B133" s="24"/>
      <c r="C133" s="25"/>
      <c r="D133" s="26"/>
      <c r="E133" s="26"/>
      <c r="F133" s="26"/>
      <c r="G133" s="26"/>
      <c r="H133" s="26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3"/>
      <c r="AX133" s="4"/>
    </row>
    <row r="134" spans="1:50" ht="22.5">
      <c r="A134" s="5"/>
      <c r="B134" s="30" t="s">
        <v>83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7"/>
      <c r="AX134" s="8"/>
    </row>
    <row r="135" spans="1:50" ht="18.75">
      <c r="A135" s="5"/>
      <c r="B135" s="6" t="s">
        <v>15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8"/>
    </row>
    <row r="136" spans="1:50" ht="13.5" customHeight="1">
      <c r="A136" s="5"/>
      <c r="B136" s="319" t="s">
        <v>8</v>
      </c>
      <c r="C136" s="319"/>
      <c r="D136" s="319" t="s">
        <v>9</v>
      </c>
      <c r="E136" s="319"/>
      <c r="F136" s="319"/>
      <c r="G136" s="319"/>
      <c r="H136" s="319"/>
      <c r="I136" s="319"/>
      <c r="J136" s="319"/>
      <c r="K136" s="319"/>
      <c r="L136" s="319"/>
      <c r="M136" s="319"/>
      <c r="N136" s="319" t="s">
        <v>16</v>
      </c>
      <c r="O136" s="319"/>
      <c r="P136" s="319"/>
      <c r="Q136" s="319"/>
      <c r="R136" s="319"/>
      <c r="S136" s="319"/>
      <c r="T136" s="319"/>
      <c r="U136" s="319" t="s">
        <v>17</v>
      </c>
      <c r="V136" s="319"/>
      <c r="W136" s="319"/>
      <c r="X136" s="319"/>
      <c r="Y136" s="319"/>
      <c r="Z136" s="319"/>
      <c r="AA136" s="319"/>
      <c r="AB136" s="319" t="s">
        <v>18</v>
      </c>
      <c r="AC136" s="319"/>
      <c r="AD136" s="319" t="s">
        <v>19</v>
      </c>
      <c r="AE136" s="319"/>
      <c r="AF136" s="319" t="s">
        <v>20</v>
      </c>
      <c r="AG136" s="319"/>
      <c r="AH136" s="319" t="s">
        <v>21</v>
      </c>
      <c r="AI136" s="319"/>
      <c r="AJ136" s="319" t="s">
        <v>22</v>
      </c>
      <c r="AK136" s="319"/>
      <c r="AL136" s="319"/>
      <c r="AM136" s="319"/>
      <c r="AN136" s="319"/>
      <c r="AO136" s="319"/>
      <c r="AP136" s="319" t="s">
        <v>12</v>
      </c>
      <c r="AQ136" s="319"/>
      <c r="AR136" s="319"/>
      <c r="AS136" s="319"/>
      <c r="AT136" s="319"/>
      <c r="AU136" s="319"/>
      <c r="AV136" s="319"/>
      <c r="AW136" s="319"/>
      <c r="AX136" s="8"/>
    </row>
    <row r="137" spans="1:50" ht="13.5" customHeight="1">
      <c r="A137" s="5"/>
      <c r="B137" s="31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  <c r="AA137" s="319"/>
      <c r="AB137" s="319"/>
      <c r="AC137" s="319"/>
      <c r="AD137" s="319"/>
      <c r="AE137" s="319"/>
      <c r="AF137" s="319"/>
      <c r="AG137" s="319"/>
      <c r="AH137" s="319"/>
      <c r="AI137" s="319"/>
      <c r="AJ137" s="319"/>
      <c r="AK137" s="319"/>
      <c r="AL137" s="319"/>
      <c r="AM137" s="319"/>
      <c r="AN137" s="319"/>
      <c r="AO137" s="319"/>
      <c r="AP137" s="319"/>
      <c r="AQ137" s="319"/>
      <c r="AR137" s="319"/>
      <c r="AS137" s="319"/>
      <c r="AT137" s="319"/>
      <c r="AU137" s="319"/>
      <c r="AV137" s="319"/>
      <c r="AW137" s="319"/>
      <c r="AX137" s="8"/>
    </row>
    <row r="138" spans="1:50" ht="13.5" customHeight="1">
      <c r="A138" s="5"/>
      <c r="B138" s="317">
        <v>1</v>
      </c>
      <c r="C138" s="317"/>
      <c r="D138" s="318" t="s">
        <v>95</v>
      </c>
      <c r="E138" s="318"/>
      <c r="F138" s="318"/>
      <c r="G138" s="318"/>
      <c r="H138" s="318"/>
      <c r="I138" s="318"/>
      <c r="J138" s="318"/>
      <c r="K138" s="318"/>
      <c r="L138" s="318"/>
      <c r="M138" s="318"/>
      <c r="N138" s="395" t="s">
        <v>91</v>
      </c>
      <c r="O138" s="396"/>
      <c r="P138" s="396"/>
      <c r="Q138" s="396"/>
      <c r="R138" s="396"/>
      <c r="S138" s="396"/>
      <c r="T138" s="397"/>
      <c r="U138" s="318" t="s">
        <v>92</v>
      </c>
      <c r="V138" s="318"/>
      <c r="W138" s="318"/>
      <c r="X138" s="318"/>
      <c r="Y138" s="318"/>
      <c r="Z138" s="318"/>
      <c r="AA138" s="318"/>
      <c r="AB138" s="341" t="s">
        <v>93</v>
      </c>
      <c r="AC138" s="341"/>
      <c r="AD138" s="341" t="s">
        <v>93</v>
      </c>
      <c r="AE138" s="341"/>
      <c r="AF138" s="341" t="s">
        <v>93</v>
      </c>
      <c r="AG138" s="341"/>
      <c r="AH138" s="341" t="s">
        <v>93</v>
      </c>
      <c r="AI138" s="341"/>
      <c r="AJ138" s="398" t="s">
        <v>100</v>
      </c>
      <c r="AK138" s="398"/>
      <c r="AL138" s="398"/>
      <c r="AM138" s="398"/>
      <c r="AN138" s="398"/>
      <c r="AO138" s="398"/>
      <c r="AP138" s="399"/>
      <c r="AQ138" s="399"/>
      <c r="AR138" s="399"/>
      <c r="AS138" s="399"/>
      <c r="AT138" s="399"/>
      <c r="AU138" s="399"/>
      <c r="AV138" s="399"/>
      <c r="AW138" s="399"/>
      <c r="AX138" s="8"/>
    </row>
    <row r="139" spans="1:50" ht="13.5" customHeight="1">
      <c r="A139" s="5"/>
      <c r="B139" s="20"/>
      <c r="C139" s="2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2"/>
      <c r="AB139" s="14"/>
      <c r="AC139" s="14"/>
      <c r="AD139" s="14"/>
      <c r="AE139" s="14"/>
      <c r="AF139" s="14"/>
      <c r="AG139" s="14"/>
      <c r="AH139" s="14"/>
      <c r="AI139" s="14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8"/>
    </row>
    <row r="140" spans="1:50" ht="13.5" customHeight="1">
      <c r="A140" s="5"/>
      <c r="B140" s="32" t="s">
        <v>64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7"/>
      <c r="AX140" s="8"/>
    </row>
    <row r="141" spans="1:50" ht="13.5" customHeight="1">
      <c r="A141" s="5"/>
      <c r="B141" s="329" t="s">
        <v>65</v>
      </c>
      <c r="C141" s="329"/>
      <c r="D141" s="330" t="s">
        <v>66</v>
      </c>
      <c r="E141" s="330"/>
      <c r="F141" s="330"/>
      <c r="G141" s="330"/>
      <c r="H141" s="330"/>
      <c r="I141" s="329" t="s">
        <v>67</v>
      </c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 t="s">
        <v>68</v>
      </c>
      <c r="W141" s="329"/>
      <c r="X141" s="329"/>
      <c r="Y141" s="329"/>
      <c r="Z141" s="329"/>
      <c r="AA141" s="329"/>
      <c r="AB141" s="329"/>
      <c r="AC141" s="329"/>
      <c r="AD141" s="329"/>
      <c r="AE141" s="329"/>
      <c r="AF141" s="329"/>
      <c r="AG141" s="329"/>
      <c r="AH141" s="329"/>
      <c r="AI141" s="329" t="s">
        <v>69</v>
      </c>
      <c r="AJ141" s="329"/>
      <c r="AK141" s="329"/>
      <c r="AL141" s="329"/>
      <c r="AM141" s="329"/>
      <c r="AN141" s="329"/>
      <c r="AO141" s="329"/>
      <c r="AP141" s="329"/>
      <c r="AQ141" s="329"/>
      <c r="AR141" s="329"/>
      <c r="AS141" s="329"/>
      <c r="AT141" s="329"/>
      <c r="AU141" s="329"/>
      <c r="AV141" s="329"/>
      <c r="AW141" s="329"/>
      <c r="AX141" s="8"/>
    </row>
    <row r="142" spans="1:50" ht="13.5" customHeight="1">
      <c r="A142" s="5"/>
      <c r="B142" s="329"/>
      <c r="C142" s="329"/>
      <c r="D142" s="330"/>
      <c r="E142" s="330"/>
      <c r="F142" s="330"/>
      <c r="G142" s="330"/>
      <c r="H142" s="330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  <c r="W142" s="329"/>
      <c r="X142" s="329"/>
      <c r="Y142" s="329"/>
      <c r="Z142" s="329"/>
      <c r="AA142" s="329"/>
      <c r="AB142" s="329"/>
      <c r="AC142" s="329"/>
      <c r="AD142" s="329"/>
      <c r="AE142" s="329"/>
      <c r="AF142" s="329"/>
      <c r="AG142" s="329"/>
      <c r="AH142" s="329"/>
      <c r="AI142" s="329"/>
      <c r="AJ142" s="329"/>
      <c r="AK142" s="329"/>
      <c r="AL142" s="329"/>
      <c r="AM142" s="329"/>
      <c r="AN142" s="329"/>
      <c r="AO142" s="329"/>
      <c r="AP142" s="329"/>
      <c r="AQ142" s="329"/>
      <c r="AR142" s="329"/>
      <c r="AS142" s="329"/>
      <c r="AT142" s="329"/>
      <c r="AU142" s="329"/>
      <c r="AV142" s="329"/>
      <c r="AW142" s="329"/>
      <c r="AX142" s="8"/>
    </row>
    <row r="143" spans="1:50" ht="13.5" customHeight="1">
      <c r="A143" s="5"/>
      <c r="B143" s="376">
        <v>1</v>
      </c>
      <c r="C143" s="376"/>
      <c r="D143" s="377" t="s">
        <v>84</v>
      </c>
      <c r="E143" s="377"/>
      <c r="F143" s="377"/>
      <c r="G143" s="377"/>
      <c r="H143" s="377"/>
      <c r="I143" s="323" t="s">
        <v>85</v>
      </c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5"/>
      <c r="V143" s="377" t="s">
        <v>72</v>
      </c>
      <c r="W143" s="377"/>
      <c r="X143" s="377"/>
      <c r="Y143" s="377"/>
      <c r="Z143" s="377"/>
      <c r="AA143" s="377"/>
      <c r="AB143" s="377"/>
      <c r="AC143" s="377"/>
      <c r="AD143" s="377"/>
      <c r="AE143" s="377"/>
      <c r="AF143" s="377"/>
      <c r="AG143" s="377"/>
      <c r="AH143" s="377"/>
      <c r="AI143" s="378" t="s">
        <v>73</v>
      </c>
      <c r="AJ143" s="378"/>
      <c r="AK143" s="378"/>
      <c r="AL143" s="378"/>
      <c r="AM143" s="378"/>
      <c r="AN143" s="378"/>
      <c r="AO143" s="378"/>
      <c r="AP143" s="378"/>
      <c r="AQ143" s="378"/>
      <c r="AR143" s="378"/>
      <c r="AS143" s="378"/>
      <c r="AT143" s="378"/>
      <c r="AU143" s="378"/>
      <c r="AV143" s="378"/>
      <c r="AW143" s="378"/>
      <c r="AX143" s="8"/>
    </row>
    <row r="144" spans="1:50" ht="13.5" customHeight="1">
      <c r="A144" s="5"/>
      <c r="B144" s="376"/>
      <c r="C144" s="376"/>
      <c r="D144" s="377"/>
      <c r="E144" s="377"/>
      <c r="F144" s="377"/>
      <c r="G144" s="377"/>
      <c r="H144" s="377"/>
      <c r="I144" s="326"/>
      <c r="J144" s="327"/>
      <c r="K144" s="327"/>
      <c r="L144" s="327"/>
      <c r="M144" s="327"/>
      <c r="N144" s="327"/>
      <c r="O144" s="327"/>
      <c r="P144" s="327"/>
      <c r="Q144" s="327"/>
      <c r="R144" s="327"/>
      <c r="S144" s="327"/>
      <c r="T144" s="327"/>
      <c r="U144" s="328"/>
      <c r="V144" s="377"/>
      <c r="W144" s="377"/>
      <c r="X144" s="377"/>
      <c r="Y144" s="377"/>
      <c r="Z144" s="377"/>
      <c r="AA144" s="377"/>
      <c r="AB144" s="377"/>
      <c r="AC144" s="377"/>
      <c r="AD144" s="377"/>
      <c r="AE144" s="377"/>
      <c r="AF144" s="377"/>
      <c r="AG144" s="377"/>
      <c r="AH144" s="377"/>
      <c r="AI144" s="378"/>
      <c r="AJ144" s="378"/>
      <c r="AK144" s="378"/>
      <c r="AL144" s="378"/>
      <c r="AM144" s="378"/>
      <c r="AN144" s="378"/>
      <c r="AO144" s="378"/>
      <c r="AP144" s="378"/>
      <c r="AQ144" s="378"/>
      <c r="AR144" s="378"/>
      <c r="AS144" s="378"/>
      <c r="AT144" s="378"/>
      <c r="AU144" s="378"/>
      <c r="AV144" s="378"/>
      <c r="AW144" s="378"/>
      <c r="AX144" s="8"/>
    </row>
    <row r="145" spans="1:50" ht="13.5" customHeight="1">
      <c r="A145" s="5"/>
      <c r="B145" s="376">
        <v>2</v>
      </c>
      <c r="C145" s="376"/>
      <c r="D145" s="377" t="s">
        <v>86</v>
      </c>
      <c r="E145" s="377"/>
      <c r="F145" s="377"/>
      <c r="G145" s="377"/>
      <c r="H145" s="377"/>
      <c r="I145" s="323" t="s">
        <v>87</v>
      </c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5"/>
      <c r="V145" s="377"/>
      <c r="W145" s="377"/>
      <c r="X145" s="377"/>
      <c r="Y145" s="377"/>
      <c r="Z145" s="377"/>
      <c r="AA145" s="377"/>
      <c r="AB145" s="377"/>
      <c r="AC145" s="377"/>
      <c r="AD145" s="377"/>
      <c r="AE145" s="377"/>
      <c r="AF145" s="377"/>
      <c r="AG145" s="377"/>
      <c r="AH145" s="377"/>
      <c r="AI145" s="378"/>
      <c r="AJ145" s="378"/>
      <c r="AK145" s="378"/>
      <c r="AL145" s="378"/>
      <c r="AM145" s="378"/>
      <c r="AN145" s="378"/>
      <c r="AO145" s="378"/>
      <c r="AP145" s="378"/>
      <c r="AQ145" s="378"/>
      <c r="AR145" s="378"/>
      <c r="AS145" s="378"/>
      <c r="AT145" s="378"/>
      <c r="AU145" s="378"/>
      <c r="AV145" s="378"/>
      <c r="AW145" s="378"/>
      <c r="AX145" s="8"/>
    </row>
    <row r="146" spans="1:50" ht="13.5" customHeight="1">
      <c r="A146" s="5"/>
      <c r="B146" s="376"/>
      <c r="C146" s="376"/>
      <c r="D146" s="377"/>
      <c r="E146" s="377"/>
      <c r="F146" s="377"/>
      <c r="G146" s="377"/>
      <c r="H146" s="377"/>
      <c r="I146" s="373"/>
      <c r="J146" s="374"/>
      <c r="K146" s="374"/>
      <c r="L146" s="374"/>
      <c r="M146" s="374"/>
      <c r="N146" s="374"/>
      <c r="O146" s="374"/>
      <c r="P146" s="374"/>
      <c r="Q146" s="374"/>
      <c r="R146" s="374"/>
      <c r="S146" s="374"/>
      <c r="T146" s="374"/>
      <c r="U146" s="375"/>
      <c r="V146" s="377"/>
      <c r="W146" s="377"/>
      <c r="X146" s="377"/>
      <c r="Y146" s="377"/>
      <c r="Z146" s="377"/>
      <c r="AA146" s="377"/>
      <c r="AB146" s="377"/>
      <c r="AC146" s="377"/>
      <c r="AD146" s="377"/>
      <c r="AE146" s="377"/>
      <c r="AF146" s="377"/>
      <c r="AG146" s="377"/>
      <c r="AH146" s="377"/>
      <c r="AI146" s="378"/>
      <c r="AJ146" s="378"/>
      <c r="AK146" s="378"/>
      <c r="AL146" s="378"/>
      <c r="AM146" s="378"/>
      <c r="AN146" s="378"/>
      <c r="AO146" s="378"/>
      <c r="AP146" s="378"/>
      <c r="AQ146" s="378"/>
      <c r="AR146" s="378"/>
      <c r="AS146" s="378"/>
      <c r="AT146" s="378"/>
      <c r="AU146" s="378"/>
      <c r="AV146" s="378"/>
      <c r="AW146" s="378"/>
      <c r="AX146" s="8"/>
    </row>
    <row r="147" spans="1:50" ht="13.5" customHeight="1">
      <c r="A147" s="5"/>
      <c r="B147" s="376"/>
      <c r="C147" s="376"/>
      <c r="D147" s="377"/>
      <c r="E147" s="377"/>
      <c r="F147" s="377"/>
      <c r="G147" s="377"/>
      <c r="H147" s="377"/>
      <c r="I147" s="326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8"/>
      <c r="V147" s="377"/>
      <c r="W147" s="377"/>
      <c r="X147" s="377"/>
      <c r="Y147" s="377"/>
      <c r="Z147" s="377"/>
      <c r="AA147" s="377"/>
      <c r="AB147" s="377"/>
      <c r="AC147" s="377"/>
      <c r="AD147" s="377"/>
      <c r="AE147" s="377"/>
      <c r="AF147" s="377"/>
      <c r="AG147" s="377"/>
      <c r="AH147" s="377"/>
      <c r="AI147" s="378"/>
      <c r="AJ147" s="378"/>
      <c r="AK147" s="378"/>
      <c r="AL147" s="378"/>
      <c r="AM147" s="378"/>
      <c r="AN147" s="378"/>
      <c r="AO147" s="378"/>
      <c r="AP147" s="378"/>
      <c r="AQ147" s="378"/>
      <c r="AR147" s="378"/>
      <c r="AS147" s="378"/>
      <c r="AT147" s="378"/>
      <c r="AU147" s="378"/>
      <c r="AV147" s="378"/>
      <c r="AW147" s="378"/>
      <c r="AX147" s="8"/>
    </row>
    <row r="148" spans="1:50" ht="13.5" customHeight="1">
      <c r="A148" s="5"/>
      <c r="B148" s="376">
        <v>3</v>
      </c>
      <c r="C148" s="376"/>
      <c r="D148" s="377" t="s">
        <v>88</v>
      </c>
      <c r="E148" s="377"/>
      <c r="F148" s="377"/>
      <c r="G148" s="377"/>
      <c r="H148" s="377"/>
      <c r="I148" s="321" t="s">
        <v>89</v>
      </c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77"/>
      <c r="W148" s="377"/>
      <c r="X148" s="377"/>
      <c r="Y148" s="377"/>
      <c r="Z148" s="377"/>
      <c r="AA148" s="377"/>
      <c r="AB148" s="377"/>
      <c r="AC148" s="377"/>
      <c r="AD148" s="377"/>
      <c r="AE148" s="377"/>
      <c r="AF148" s="377"/>
      <c r="AG148" s="377"/>
      <c r="AH148" s="377"/>
      <c r="AI148" s="378"/>
      <c r="AJ148" s="378"/>
      <c r="AK148" s="378"/>
      <c r="AL148" s="378"/>
      <c r="AM148" s="378"/>
      <c r="AN148" s="378"/>
      <c r="AO148" s="378"/>
      <c r="AP148" s="378"/>
      <c r="AQ148" s="378"/>
      <c r="AR148" s="378"/>
      <c r="AS148" s="378"/>
      <c r="AT148" s="378"/>
      <c r="AU148" s="378"/>
      <c r="AV148" s="378"/>
      <c r="AW148" s="378"/>
      <c r="AX148" s="8"/>
    </row>
    <row r="149" spans="1:50" ht="13.5" customHeight="1">
      <c r="A149" s="5"/>
      <c r="B149" s="376"/>
      <c r="C149" s="376"/>
      <c r="D149" s="377"/>
      <c r="E149" s="377"/>
      <c r="F149" s="377"/>
      <c r="G149" s="377"/>
      <c r="H149" s="377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77"/>
      <c r="W149" s="377"/>
      <c r="X149" s="377"/>
      <c r="Y149" s="377"/>
      <c r="Z149" s="377"/>
      <c r="AA149" s="377"/>
      <c r="AB149" s="377"/>
      <c r="AC149" s="377"/>
      <c r="AD149" s="377"/>
      <c r="AE149" s="377"/>
      <c r="AF149" s="377"/>
      <c r="AG149" s="377"/>
      <c r="AH149" s="377"/>
      <c r="AI149" s="378"/>
      <c r="AJ149" s="378"/>
      <c r="AK149" s="378"/>
      <c r="AL149" s="378"/>
      <c r="AM149" s="378"/>
      <c r="AN149" s="378"/>
      <c r="AO149" s="378"/>
      <c r="AP149" s="378"/>
      <c r="AQ149" s="378"/>
      <c r="AR149" s="378"/>
      <c r="AS149" s="378"/>
      <c r="AT149" s="378"/>
      <c r="AU149" s="378"/>
      <c r="AV149" s="378"/>
      <c r="AW149" s="378"/>
      <c r="AX149" s="8"/>
    </row>
    <row r="150" spans="1:50" ht="13.5" customHeight="1">
      <c r="A150" s="5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8"/>
    </row>
    <row r="151" spans="1:50" ht="18.75">
      <c r="A151" s="5"/>
      <c r="B151" s="6" t="s">
        <v>23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8"/>
    </row>
    <row r="152" spans="1:50" ht="16.5">
      <c r="A152" s="5"/>
      <c r="B152" s="7" t="s">
        <v>113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8"/>
    </row>
    <row r="153" spans="1:50" ht="16.5" customHeight="1">
      <c r="A153" s="5"/>
      <c r="B153" s="319" t="s">
        <v>8</v>
      </c>
      <c r="C153" s="319"/>
      <c r="D153" s="402" t="s">
        <v>24</v>
      </c>
      <c r="E153" s="319"/>
      <c r="F153" s="319"/>
      <c r="G153" s="319"/>
      <c r="H153" s="319"/>
      <c r="I153" s="319"/>
      <c r="J153" s="319"/>
      <c r="K153" s="319"/>
      <c r="L153" s="319" t="s">
        <v>25</v>
      </c>
      <c r="M153" s="319"/>
      <c r="N153" s="319"/>
      <c r="O153" s="319"/>
      <c r="P153" s="319"/>
      <c r="Q153" s="319"/>
      <c r="R153" s="319"/>
      <c r="S153" s="319"/>
      <c r="T153" s="319" t="s">
        <v>26</v>
      </c>
      <c r="U153" s="319"/>
      <c r="V153" s="319"/>
      <c r="W153" s="319"/>
      <c r="X153" s="319"/>
      <c r="Y153" s="319"/>
      <c r="Z153" s="319"/>
      <c r="AA153" s="319"/>
      <c r="AB153" s="319" t="s">
        <v>27</v>
      </c>
      <c r="AC153" s="319"/>
      <c r="AD153" s="319"/>
      <c r="AE153" s="319"/>
      <c r="AF153" s="319"/>
      <c r="AG153" s="319"/>
      <c r="AH153" s="319"/>
      <c r="AI153" s="319"/>
      <c r="AJ153" s="319" t="s">
        <v>28</v>
      </c>
      <c r="AK153" s="319"/>
      <c r="AL153" s="319"/>
      <c r="AM153" s="319"/>
      <c r="AN153" s="319"/>
      <c r="AO153" s="319"/>
      <c r="AP153" s="319"/>
      <c r="AQ153" s="319" t="s">
        <v>12</v>
      </c>
      <c r="AR153" s="319"/>
      <c r="AS153" s="319"/>
      <c r="AT153" s="319"/>
      <c r="AU153" s="319"/>
      <c r="AV153" s="319"/>
      <c r="AW153" s="319"/>
      <c r="AX153" s="8"/>
    </row>
    <row r="154" spans="1:50" ht="19.5" customHeight="1">
      <c r="A154" s="5"/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319"/>
      <c r="AB154" s="319"/>
      <c r="AC154" s="319"/>
      <c r="AD154" s="319"/>
      <c r="AE154" s="319"/>
      <c r="AF154" s="319"/>
      <c r="AG154" s="319"/>
      <c r="AH154" s="319"/>
      <c r="AI154" s="319"/>
      <c r="AJ154" s="319"/>
      <c r="AK154" s="319"/>
      <c r="AL154" s="319"/>
      <c r="AM154" s="319"/>
      <c r="AN154" s="319"/>
      <c r="AO154" s="319"/>
      <c r="AP154" s="319"/>
      <c r="AQ154" s="319"/>
      <c r="AR154" s="319"/>
      <c r="AS154" s="319"/>
      <c r="AT154" s="319"/>
      <c r="AU154" s="319"/>
      <c r="AV154" s="319"/>
      <c r="AW154" s="319"/>
      <c r="AX154" s="8"/>
    </row>
    <row r="155" spans="1:50" ht="13.5" customHeight="1">
      <c r="A155" s="5"/>
      <c r="B155" s="317">
        <v>1</v>
      </c>
      <c r="C155" s="317"/>
      <c r="D155" s="317" t="s">
        <v>111</v>
      </c>
      <c r="E155" s="317"/>
      <c r="F155" s="317"/>
      <c r="G155" s="317"/>
      <c r="H155" s="317"/>
      <c r="I155" s="317"/>
      <c r="J155" s="317"/>
      <c r="K155" s="317"/>
      <c r="L155" s="341"/>
      <c r="M155" s="341"/>
      <c r="N155" s="341"/>
      <c r="O155" s="341"/>
      <c r="P155" s="341"/>
      <c r="Q155" s="341"/>
      <c r="R155" s="341"/>
      <c r="S155" s="341"/>
      <c r="T155" s="400" t="s">
        <v>112</v>
      </c>
      <c r="U155" s="400"/>
      <c r="V155" s="400"/>
      <c r="W155" s="400"/>
      <c r="X155" s="400"/>
      <c r="Y155" s="400"/>
      <c r="Z155" s="400"/>
      <c r="AA155" s="400"/>
      <c r="AB155" s="341"/>
      <c r="AC155" s="341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401"/>
      <c r="AR155" s="401"/>
      <c r="AS155" s="401"/>
      <c r="AT155" s="401"/>
      <c r="AU155" s="401"/>
      <c r="AV155" s="401"/>
      <c r="AW155" s="401"/>
      <c r="AX155" s="8"/>
    </row>
    <row r="156" spans="1:50" ht="13.5" customHeight="1">
      <c r="A156" s="5"/>
      <c r="B156" s="317"/>
      <c r="C156" s="317"/>
      <c r="D156" s="317"/>
      <c r="E156" s="317"/>
      <c r="F156" s="317"/>
      <c r="G156" s="317"/>
      <c r="H156" s="317"/>
      <c r="I156" s="317"/>
      <c r="J156" s="317"/>
      <c r="K156" s="317"/>
      <c r="L156" s="341"/>
      <c r="M156" s="341"/>
      <c r="N156" s="341"/>
      <c r="O156" s="341"/>
      <c r="P156" s="341"/>
      <c r="Q156" s="341"/>
      <c r="R156" s="341"/>
      <c r="S156" s="341"/>
      <c r="T156" s="400"/>
      <c r="U156" s="400"/>
      <c r="V156" s="400"/>
      <c r="W156" s="400"/>
      <c r="X156" s="400"/>
      <c r="Y156" s="400"/>
      <c r="Z156" s="400"/>
      <c r="AA156" s="400"/>
      <c r="AB156" s="341"/>
      <c r="AC156" s="341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401"/>
      <c r="AR156" s="401"/>
      <c r="AS156" s="401"/>
      <c r="AT156" s="401"/>
      <c r="AU156" s="401"/>
      <c r="AV156" s="401"/>
      <c r="AW156" s="401"/>
      <c r="AX156" s="8"/>
    </row>
    <row r="157" spans="1:50" ht="13.5" customHeight="1">
      <c r="A157" s="5"/>
      <c r="B157" s="317"/>
      <c r="C157" s="317"/>
      <c r="D157" s="317"/>
      <c r="E157" s="317"/>
      <c r="F157" s="317"/>
      <c r="G157" s="317"/>
      <c r="H157" s="317"/>
      <c r="I157" s="317"/>
      <c r="J157" s="317"/>
      <c r="K157" s="317"/>
      <c r="L157" s="341"/>
      <c r="M157" s="341"/>
      <c r="N157" s="341"/>
      <c r="O157" s="341"/>
      <c r="P157" s="341"/>
      <c r="Q157" s="341"/>
      <c r="R157" s="341"/>
      <c r="S157" s="341"/>
      <c r="T157" s="400"/>
      <c r="U157" s="400"/>
      <c r="V157" s="400"/>
      <c r="W157" s="400"/>
      <c r="X157" s="400"/>
      <c r="Y157" s="400"/>
      <c r="Z157" s="400"/>
      <c r="AA157" s="400"/>
      <c r="AB157" s="341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401"/>
      <c r="AR157" s="401"/>
      <c r="AS157" s="401"/>
      <c r="AT157" s="401"/>
      <c r="AU157" s="401"/>
      <c r="AV157" s="401"/>
      <c r="AW157" s="401"/>
      <c r="AX157" s="8"/>
    </row>
    <row r="158" spans="1:50" ht="13.5" customHeight="1">
      <c r="A158" s="5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14"/>
      <c r="M158" s="14"/>
      <c r="N158" s="14"/>
      <c r="O158" s="14"/>
      <c r="P158" s="14"/>
      <c r="Q158" s="14"/>
      <c r="R158" s="14"/>
      <c r="S158" s="14"/>
      <c r="T158" s="23"/>
      <c r="U158" s="23"/>
      <c r="V158" s="23"/>
      <c r="W158" s="23"/>
      <c r="X158" s="23"/>
      <c r="Y158" s="23"/>
      <c r="Z158" s="23"/>
      <c r="AA158" s="23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8"/>
    </row>
    <row r="159" spans="1:50" ht="13.5" customHeight="1">
      <c r="A159" s="5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14"/>
      <c r="M159" s="14"/>
      <c r="N159" s="14"/>
      <c r="O159" s="14"/>
      <c r="P159" s="14"/>
      <c r="Q159" s="14"/>
      <c r="R159" s="14"/>
      <c r="S159" s="14"/>
      <c r="T159" s="23"/>
      <c r="U159" s="23"/>
      <c r="V159" s="23"/>
      <c r="W159" s="23"/>
      <c r="X159" s="23"/>
      <c r="Y159" s="23"/>
      <c r="Z159" s="23"/>
      <c r="AA159" s="23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8"/>
    </row>
    <row r="160" spans="1:50" ht="13.5" customHeight="1">
      <c r="A160" s="5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8"/>
    </row>
    <row r="161" spans="1:50" ht="13.5" customHeight="1">
      <c r="A161" s="5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8"/>
    </row>
    <row r="162" spans="1:50" ht="13.5" customHeight="1">
      <c r="A162" s="5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14"/>
      <c r="M162" s="14"/>
      <c r="N162" s="14"/>
      <c r="O162" s="14"/>
      <c r="P162" s="14"/>
      <c r="Q162" s="14"/>
      <c r="R162" s="14"/>
      <c r="S162" s="14"/>
      <c r="T162" s="23"/>
      <c r="U162" s="23"/>
      <c r="V162" s="23"/>
      <c r="W162" s="23"/>
      <c r="X162" s="23"/>
      <c r="Y162" s="23"/>
      <c r="Z162" s="23"/>
      <c r="AA162" s="23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8"/>
    </row>
    <row r="163" spans="1:50" ht="13.5" customHeight="1">
      <c r="A163" s="5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14"/>
      <c r="M163" s="14"/>
      <c r="N163" s="14"/>
      <c r="O163" s="14"/>
      <c r="P163" s="14"/>
      <c r="Q163" s="14"/>
      <c r="R163" s="14"/>
      <c r="S163" s="14"/>
      <c r="T163" s="23"/>
      <c r="U163" s="23"/>
      <c r="V163" s="23"/>
      <c r="W163" s="23"/>
      <c r="X163" s="23"/>
      <c r="Y163" s="23"/>
      <c r="Z163" s="23"/>
      <c r="AA163" s="23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8"/>
    </row>
    <row r="164" spans="1:50" ht="13.5" customHeight="1">
      <c r="A164" s="5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8"/>
    </row>
    <row r="165" spans="1:50" ht="13.5" customHeight="1">
      <c r="A165" s="5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8"/>
    </row>
    <row r="166" spans="1:50" ht="13.5" customHeight="1">
      <c r="A166" s="5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8"/>
    </row>
    <row r="167" spans="1:50" ht="13.5" customHeight="1" thickBot="1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3"/>
    </row>
    <row r="168" spans="1:50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</sheetData>
  <mergeCells count="329">
    <mergeCell ref="V112:AH113"/>
    <mergeCell ref="AI112:AW113"/>
    <mergeCell ref="B114:C114"/>
    <mergeCell ref="D114:H114"/>
    <mergeCell ref="I114:U114"/>
    <mergeCell ref="V114:AH114"/>
    <mergeCell ref="AI114:AW114"/>
    <mergeCell ref="AJ107:AO108"/>
    <mergeCell ref="AP107:AW108"/>
    <mergeCell ref="B109:C109"/>
    <mergeCell ref="D109:M109"/>
    <mergeCell ref="N109:T109"/>
    <mergeCell ref="U109:AA109"/>
    <mergeCell ref="AB109:AC109"/>
    <mergeCell ref="AD109:AE109"/>
    <mergeCell ref="AF109:AG109"/>
    <mergeCell ref="AH109:AI109"/>
    <mergeCell ref="AJ109:AO109"/>
    <mergeCell ref="AP109:AW109"/>
    <mergeCell ref="AD67:AF67"/>
    <mergeCell ref="AG67:AW67"/>
    <mergeCell ref="B68:C68"/>
    <mergeCell ref="D68:M68"/>
    <mergeCell ref="N68:U68"/>
    <mergeCell ref="V68:AC68"/>
    <mergeCell ref="AD68:AF68"/>
    <mergeCell ref="AG68:AW68"/>
    <mergeCell ref="B69:C69"/>
    <mergeCell ref="D69:M69"/>
    <mergeCell ref="N69:U69"/>
    <mergeCell ref="V69:AC69"/>
    <mergeCell ref="AD69:AF69"/>
    <mergeCell ref="AG69:AW69"/>
    <mergeCell ref="B98:C99"/>
    <mergeCell ref="D98:H99"/>
    <mergeCell ref="N119:T120"/>
    <mergeCell ref="U121:AA121"/>
    <mergeCell ref="B138:C138"/>
    <mergeCell ref="D138:M138"/>
    <mergeCell ref="D124:H125"/>
    <mergeCell ref="I124:U125"/>
    <mergeCell ref="V124:AH125"/>
    <mergeCell ref="AD136:AE137"/>
    <mergeCell ref="AF136:AG137"/>
    <mergeCell ref="AH136:AI137"/>
    <mergeCell ref="B124:C125"/>
    <mergeCell ref="B107:C108"/>
    <mergeCell ref="D107:M108"/>
    <mergeCell ref="N107:T108"/>
    <mergeCell ref="U107:AA108"/>
    <mergeCell ref="AB107:AC108"/>
    <mergeCell ref="AD107:AE108"/>
    <mergeCell ref="AF107:AG108"/>
    <mergeCell ref="AH107:AI108"/>
    <mergeCell ref="B112:C113"/>
    <mergeCell ref="D112:H113"/>
    <mergeCell ref="I112:U113"/>
    <mergeCell ref="AF93:AG93"/>
    <mergeCell ref="AH93:AI93"/>
    <mergeCell ref="AJ93:AO93"/>
    <mergeCell ref="D126:H128"/>
    <mergeCell ref="V126:AH130"/>
    <mergeCell ref="B127:C128"/>
    <mergeCell ref="I127:U128"/>
    <mergeCell ref="B129:C130"/>
    <mergeCell ref="D129:H130"/>
    <mergeCell ref="I129:U130"/>
    <mergeCell ref="I101:U101"/>
    <mergeCell ref="I103:U103"/>
    <mergeCell ref="B100:C101"/>
    <mergeCell ref="B102:C103"/>
    <mergeCell ref="D100:H101"/>
    <mergeCell ref="D102:H103"/>
    <mergeCell ref="V98:AH103"/>
    <mergeCell ref="I99:U99"/>
    <mergeCell ref="AI98:AW103"/>
    <mergeCell ref="I102:U102"/>
    <mergeCell ref="B119:C120"/>
    <mergeCell ref="D119:M120"/>
    <mergeCell ref="U119:AA120"/>
    <mergeCell ref="AB119:AC120"/>
    <mergeCell ref="AJ136:AO137"/>
    <mergeCell ref="D136:M137"/>
    <mergeCell ref="N136:T137"/>
    <mergeCell ref="U136:AA137"/>
    <mergeCell ref="AB136:AC137"/>
    <mergeCell ref="AB121:AC121"/>
    <mergeCell ref="AD121:AE121"/>
    <mergeCell ref="AF121:AG121"/>
    <mergeCell ref="AH121:AI121"/>
    <mergeCell ref="AJ121:AO121"/>
    <mergeCell ref="AP121:AW121"/>
    <mergeCell ref="B121:C121"/>
    <mergeCell ref="D121:M121"/>
    <mergeCell ref="N121:T121"/>
    <mergeCell ref="AI85:AW86"/>
    <mergeCell ref="B85:C85"/>
    <mergeCell ref="AB91:AC92"/>
    <mergeCell ref="AD91:AE92"/>
    <mergeCell ref="AF91:AG92"/>
    <mergeCell ref="AH91:AI92"/>
    <mergeCell ref="AJ91:AO92"/>
    <mergeCell ref="AD119:AE120"/>
    <mergeCell ref="AF119:AG120"/>
    <mergeCell ref="AH119:AI120"/>
    <mergeCell ref="AJ119:AO120"/>
    <mergeCell ref="AP91:AW92"/>
    <mergeCell ref="B93:C93"/>
    <mergeCell ref="D93:M93"/>
    <mergeCell ref="N93:T93"/>
    <mergeCell ref="U93:AA93"/>
    <mergeCell ref="AB93:AC93"/>
    <mergeCell ref="AP119:AW120"/>
    <mergeCell ref="D91:M92"/>
    <mergeCell ref="N91:T92"/>
    <mergeCell ref="U91:AA92"/>
    <mergeCell ref="AP93:AW93"/>
    <mergeCell ref="B91:C92"/>
    <mergeCell ref="AD93:AE93"/>
    <mergeCell ref="T155:AA157"/>
    <mergeCell ref="L155:S157"/>
    <mergeCell ref="D155:K157"/>
    <mergeCell ref="B155:C157"/>
    <mergeCell ref="AB155:AI157"/>
    <mergeCell ref="AJ155:AP157"/>
    <mergeCell ref="AQ155:AW157"/>
    <mergeCell ref="B153:C154"/>
    <mergeCell ref="D153:K154"/>
    <mergeCell ref="L153:S154"/>
    <mergeCell ref="T153:AA154"/>
    <mergeCell ref="AB153:AI154"/>
    <mergeCell ref="AJ153:AP154"/>
    <mergeCell ref="AQ153:AW154"/>
    <mergeCell ref="B143:C144"/>
    <mergeCell ref="D143:H144"/>
    <mergeCell ref="I143:U144"/>
    <mergeCell ref="V143:AH149"/>
    <mergeCell ref="B145:C147"/>
    <mergeCell ref="D145:H147"/>
    <mergeCell ref="AP78:AW79"/>
    <mergeCell ref="N80:T80"/>
    <mergeCell ref="U80:AA80"/>
    <mergeCell ref="AB80:AC80"/>
    <mergeCell ref="AD80:AE80"/>
    <mergeCell ref="AF80:AG80"/>
    <mergeCell ref="AH80:AI80"/>
    <mergeCell ref="AJ80:AO80"/>
    <mergeCell ref="AP80:AW80"/>
    <mergeCell ref="N78:T79"/>
    <mergeCell ref="U78:AA79"/>
    <mergeCell ref="AB78:AC79"/>
    <mergeCell ref="AD78:AE79"/>
    <mergeCell ref="AF78:AG79"/>
    <mergeCell ref="AH78:AI79"/>
    <mergeCell ref="AJ78:AO79"/>
    <mergeCell ref="AI83:AW84"/>
    <mergeCell ref="AI124:AW125"/>
    <mergeCell ref="AI126:AW130"/>
    <mergeCell ref="AP136:AW137"/>
    <mergeCell ref="B141:C142"/>
    <mergeCell ref="D141:H142"/>
    <mergeCell ref="I141:U142"/>
    <mergeCell ref="V141:AH142"/>
    <mergeCell ref="AI141:AW142"/>
    <mergeCell ref="AI96:AW97"/>
    <mergeCell ref="B96:C97"/>
    <mergeCell ref="D96:H97"/>
    <mergeCell ref="I96:U97"/>
    <mergeCell ref="V96:AH97"/>
    <mergeCell ref="I98:U98"/>
    <mergeCell ref="N138:T138"/>
    <mergeCell ref="U138:AA138"/>
    <mergeCell ref="AB138:AC138"/>
    <mergeCell ref="AD138:AE138"/>
    <mergeCell ref="AF138:AG138"/>
    <mergeCell ref="AH138:AI138"/>
    <mergeCell ref="AJ138:AO138"/>
    <mergeCell ref="AP138:AW138"/>
    <mergeCell ref="B136:C137"/>
    <mergeCell ref="I145:U147"/>
    <mergeCell ref="B148:C149"/>
    <mergeCell ref="D148:H149"/>
    <mergeCell ref="I148:U149"/>
    <mergeCell ref="AI143:AW149"/>
    <mergeCell ref="I100:U100"/>
    <mergeCell ref="B126:C126"/>
    <mergeCell ref="I126:U126"/>
    <mergeCell ref="D64:M65"/>
    <mergeCell ref="AG64:AW65"/>
    <mergeCell ref="B64:C65"/>
    <mergeCell ref="AD64:AF65"/>
    <mergeCell ref="B73:C73"/>
    <mergeCell ref="D73:M73"/>
    <mergeCell ref="N73:U73"/>
    <mergeCell ref="V73:AC73"/>
    <mergeCell ref="AD73:AF73"/>
    <mergeCell ref="AG73:AW73"/>
    <mergeCell ref="B71:C71"/>
    <mergeCell ref="D71:M71"/>
    <mergeCell ref="N71:U71"/>
    <mergeCell ref="V71:AC71"/>
    <mergeCell ref="AD71:AF71"/>
    <mergeCell ref="AG71:AW71"/>
    <mergeCell ref="B72:C72"/>
    <mergeCell ref="D72:M72"/>
    <mergeCell ref="AD72:AF72"/>
    <mergeCell ref="AG72:AW72"/>
    <mergeCell ref="N65:U65"/>
    <mergeCell ref="V65:AC65"/>
    <mergeCell ref="B70:C70"/>
    <mergeCell ref="D70:M70"/>
    <mergeCell ref="N70:U70"/>
    <mergeCell ref="V70:AC70"/>
    <mergeCell ref="AD70:AF70"/>
    <mergeCell ref="AG70:AW70"/>
    <mergeCell ref="N72:U72"/>
    <mergeCell ref="V72:AC72"/>
    <mergeCell ref="B66:C66"/>
    <mergeCell ref="D66:M66"/>
    <mergeCell ref="N66:U66"/>
    <mergeCell ref="V66:AC66"/>
    <mergeCell ref="AD66:AF66"/>
    <mergeCell ref="AG66:AW66"/>
    <mergeCell ref="B67:C67"/>
    <mergeCell ref="D67:M67"/>
    <mergeCell ref="N67:U67"/>
    <mergeCell ref="V67:AC67"/>
    <mergeCell ref="B58:C58"/>
    <mergeCell ref="D58:M58"/>
    <mergeCell ref="B63:C63"/>
    <mergeCell ref="D63:M63"/>
    <mergeCell ref="N63:U63"/>
    <mergeCell ref="V63:AC63"/>
    <mergeCell ref="AD63:AF63"/>
    <mergeCell ref="AG63:AW63"/>
    <mergeCell ref="N64:U64"/>
    <mergeCell ref="V64:AC64"/>
    <mergeCell ref="B62:C62"/>
    <mergeCell ref="D62:M62"/>
    <mergeCell ref="N62:U62"/>
    <mergeCell ref="V62:AC62"/>
    <mergeCell ref="AD62:AF62"/>
    <mergeCell ref="AG62:AW62"/>
    <mergeCell ref="N58:U58"/>
    <mergeCell ref="V58:AC58"/>
    <mergeCell ref="AD58:AF58"/>
    <mergeCell ref="AG58:AW58"/>
    <mergeCell ref="B59:C59"/>
    <mergeCell ref="D59:M59"/>
    <mergeCell ref="V59:AC59"/>
    <mergeCell ref="AD59:AF59"/>
    <mergeCell ref="B56:C56"/>
    <mergeCell ref="D56:M56"/>
    <mergeCell ref="N56:U56"/>
    <mergeCell ref="V56:AC56"/>
    <mergeCell ref="AD56:AF56"/>
    <mergeCell ref="AG56:AW56"/>
    <mergeCell ref="B57:C57"/>
    <mergeCell ref="D57:M57"/>
    <mergeCell ref="N57:U57"/>
    <mergeCell ref="V57:AC57"/>
    <mergeCell ref="AD57:AF57"/>
    <mergeCell ref="AG57:AW57"/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  <mergeCell ref="B53:C53"/>
    <mergeCell ref="D53:M53"/>
    <mergeCell ref="N53:U53"/>
    <mergeCell ref="V53:AC53"/>
    <mergeCell ref="AD53:AF53"/>
    <mergeCell ref="AG53:AW53"/>
    <mergeCell ref="B51:C52"/>
    <mergeCell ref="D51:M52"/>
    <mergeCell ref="N51:AC51"/>
    <mergeCell ref="AD51:AF52"/>
    <mergeCell ref="AG51:AW52"/>
    <mergeCell ref="N52:U52"/>
    <mergeCell ref="V52:AC52"/>
    <mergeCell ref="B55:C55"/>
    <mergeCell ref="D55:M55"/>
    <mergeCell ref="N55:U55"/>
    <mergeCell ref="V55:AC55"/>
    <mergeCell ref="AD55:AF55"/>
    <mergeCell ref="AG55:AW55"/>
    <mergeCell ref="B54:C54"/>
    <mergeCell ref="D54:M54"/>
    <mergeCell ref="N54:U54"/>
    <mergeCell ref="V54:AC54"/>
    <mergeCell ref="AD54:AF54"/>
    <mergeCell ref="AG54:AW54"/>
    <mergeCell ref="AG59:AW59"/>
    <mergeCell ref="N59:U59"/>
    <mergeCell ref="V60:AC60"/>
    <mergeCell ref="AD60:AF60"/>
    <mergeCell ref="AG60:AW60"/>
    <mergeCell ref="V61:AC61"/>
    <mergeCell ref="AD61:AF61"/>
    <mergeCell ref="AG61:AW61"/>
    <mergeCell ref="B60:C60"/>
    <mergeCell ref="D60:M60"/>
    <mergeCell ref="N60:U60"/>
    <mergeCell ref="B61:C61"/>
    <mergeCell ref="D61:M61"/>
    <mergeCell ref="N61:U61"/>
    <mergeCell ref="B80:C80"/>
    <mergeCell ref="D80:M80"/>
    <mergeCell ref="D78:M79"/>
    <mergeCell ref="B78:C79"/>
    <mergeCell ref="B86:C86"/>
    <mergeCell ref="D85:H86"/>
    <mergeCell ref="I85:U85"/>
    <mergeCell ref="V85:AH86"/>
    <mergeCell ref="I86:U86"/>
    <mergeCell ref="B83:C84"/>
    <mergeCell ref="D83:H84"/>
    <mergeCell ref="I83:U84"/>
    <mergeCell ref="V83:AH84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scale="76" orientation="landscape" r:id="rId1"/>
  <headerFooter>
    <oddFooter>&amp;C&amp;P/&amp;N</oddFooter>
  </headerFooter>
  <rowBreaks count="3" manualBreakCount="3">
    <brk id="48" max="49" man="1"/>
    <brk id="87" max="49" man="1"/>
    <brk id="132" max="4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295"/>
  <sheetViews>
    <sheetView showGridLines="0" view="pageBreakPreview" zoomScaleNormal="60" zoomScaleSheetLayoutView="100" workbookViewId="0">
      <selection sqref="A1:J1"/>
    </sheetView>
  </sheetViews>
  <sheetFormatPr defaultColWidth="2.625" defaultRowHeight="13.5" customHeight="1"/>
  <cols>
    <col min="1" max="16384" width="2.625" style="1"/>
  </cols>
  <sheetData>
    <row r="1" spans="1:50" ht="16.5">
      <c r="A1" s="358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 t="s">
        <v>1</v>
      </c>
      <c r="L1" s="343"/>
      <c r="M1" s="343"/>
      <c r="N1" s="343"/>
      <c r="O1" s="343"/>
      <c r="P1" s="343"/>
      <c r="Q1" s="343"/>
      <c r="R1" s="343"/>
      <c r="S1" s="343"/>
      <c r="T1" s="343"/>
      <c r="U1" s="343" t="s">
        <v>31</v>
      </c>
      <c r="V1" s="343"/>
      <c r="W1" s="343"/>
      <c r="X1" s="343"/>
      <c r="Y1" s="343"/>
      <c r="Z1" s="343"/>
      <c r="AA1" s="343"/>
      <c r="AB1" s="343"/>
      <c r="AC1" s="343"/>
      <c r="AD1" s="343"/>
      <c r="AE1" s="343" t="s">
        <v>2</v>
      </c>
      <c r="AF1" s="343"/>
      <c r="AG1" s="343"/>
      <c r="AH1" s="343"/>
      <c r="AI1" s="343"/>
      <c r="AJ1" s="343" t="s">
        <v>3</v>
      </c>
      <c r="AK1" s="343"/>
      <c r="AL1" s="343"/>
      <c r="AM1" s="343"/>
      <c r="AN1" s="343"/>
      <c r="AO1" s="343" t="s">
        <v>4</v>
      </c>
      <c r="AP1" s="343"/>
      <c r="AQ1" s="343"/>
      <c r="AR1" s="343"/>
      <c r="AS1" s="343"/>
      <c r="AT1" s="343" t="s">
        <v>5</v>
      </c>
      <c r="AU1" s="343"/>
      <c r="AV1" s="343"/>
      <c r="AW1" s="343"/>
      <c r="AX1" s="344"/>
    </row>
    <row r="2" spans="1:50" ht="13.5" customHeight="1">
      <c r="A2" s="345" t="str">
        <f>表紙!O10</f>
        <v>13期12月対応</v>
      </c>
      <c r="B2" s="317"/>
      <c r="C2" s="317"/>
      <c r="D2" s="317"/>
      <c r="E2" s="317"/>
      <c r="F2" s="317"/>
      <c r="G2" s="317"/>
      <c r="H2" s="317"/>
      <c r="I2" s="317"/>
      <c r="J2" s="317"/>
      <c r="K2" s="317" t="s">
        <v>30</v>
      </c>
      <c r="L2" s="317"/>
      <c r="M2" s="317"/>
      <c r="N2" s="317"/>
      <c r="O2" s="317"/>
      <c r="P2" s="317"/>
      <c r="Q2" s="317"/>
      <c r="R2" s="317"/>
      <c r="S2" s="317"/>
      <c r="T2" s="317"/>
      <c r="U2" s="317" t="str">
        <f ca="1">RIGHT(CELL("filename",V2),LEN(CELL("filename",V2))-FIND("]",CELL("filename",V2)))</f>
        <v>ユーザー詳細_受講生(講師権限)</v>
      </c>
      <c r="V2" s="317"/>
      <c r="W2" s="317"/>
      <c r="X2" s="317"/>
      <c r="Y2" s="317"/>
      <c r="Z2" s="317"/>
      <c r="AA2" s="317"/>
      <c r="AB2" s="317"/>
      <c r="AC2" s="317"/>
      <c r="AD2" s="317"/>
      <c r="AE2" s="317" t="s">
        <v>214</v>
      </c>
      <c r="AF2" s="317"/>
      <c r="AG2" s="317"/>
      <c r="AH2" s="317"/>
      <c r="AI2" s="317"/>
      <c r="AJ2" s="354">
        <v>43046</v>
      </c>
      <c r="AK2" s="354"/>
      <c r="AL2" s="354"/>
      <c r="AM2" s="354"/>
      <c r="AN2" s="354"/>
      <c r="AO2" s="317" t="s">
        <v>376</v>
      </c>
      <c r="AP2" s="317"/>
      <c r="AQ2" s="317"/>
      <c r="AR2" s="317"/>
      <c r="AS2" s="317"/>
      <c r="AT2" s="354">
        <v>43804</v>
      </c>
      <c r="AU2" s="354"/>
      <c r="AV2" s="354"/>
      <c r="AW2" s="354"/>
      <c r="AX2" s="408"/>
    </row>
    <row r="3" spans="1:50" ht="13.5" customHeight="1" thickBot="1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55"/>
      <c r="AK3" s="355"/>
      <c r="AL3" s="355"/>
      <c r="AM3" s="355"/>
      <c r="AN3" s="355"/>
      <c r="AO3" s="347"/>
      <c r="AP3" s="347"/>
      <c r="AQ3" s="347"/>
      <c r="AR3" s="347"/>
      <c r="AS3" s="347"/>
      <c r="AT3" s="355"/>
      <c r="AU3" s="355"/>
      <c r="AV3" s="355"/>
      <c r="AW3" s="355"/>
      <c r="AX3" s="409"/>
    </row>
    <row r="4" spans="1:50" ht="13.5" customHeight="1" thickBot="1"/>
    <row r="5" spans="1:50" ht="13.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</row>
    <row r="6" spans="1:50" ht="13.5" customHeight="1">
      <c r="A6" s="5"/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3.5" customHeight="1">
      <c r="A7" s="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ht="13.5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8"/>
    </row>
    <row r="9" spans="1:50" ht="13.5" customHeight="1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8"/>
    </row>
    <row r="10" spans="1:50" ht="13.5" customHeight="1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8"/>
    </row>
    <row r="11" spans="1:50" ht="13.5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8"/>
    </row>
    <row r="12" spans="1:50" ht="13.5" customHeight="1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8"/>
    </row>
    <row r="13" spans="1:50" ht="13.5" customHeight="1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8"/>
    </row>
    <row r="14" spans="1:50" ht="13.5" customHeight="1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ht="13.5" customHeight="1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13.5" customHeight="1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3.5" customHeight="1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13.5" customHeight="1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ht="13.5" customHeight="1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8"/>
    </row>
    <row r="20" spans="1:50" ht="13.5" customHeight="1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</row>
    <row r="21" spans="1:50" ht="13.5" customHeight="1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</row>
    <row r="22" spans="1:50" ht="13.5" customHeight="1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3.5" customHeight="1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3.5" customHeight="1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3.5" customHeight="1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13.5" customHeight="1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3.5" customHeight="1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13.5" customHeight="1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3.5" customHeight="1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13.5" customHeight="1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3.5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13.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3.5" customHeight="1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3.5" customHeight="1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8"/>
    </row>
    <row r="35" spans="1:50" ht="13.5" customHeight="1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8"/>
    </row>
    <row r="36" spans="1:50" ht="13.5" customHeight="1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8"/>
    </row>
    <row r="37" spans="1:50" ht="13.5" customHeight="1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8"/>
    </row>
    <row r="38" spans="1:50" ht="13.5" customHeight="1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8"/>
    </row>
    <row r="39" spans="1:50" ht="13.5" customHeight="1">
      <c r="A39" s="5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8"/>
    </row>
    <row r="40" spans="1:50" ht="13.5" customHeight="1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8"/>
    </row>
    <row r="41" spans="1:50" ht="13.5" customHeight="1" thickBot="1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3"/>
    </row>
    <row r="42" spans="1:50" ht="13.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4"/>
    </row>
    <row r="43" spans="1:50" ht="13.5" customHeight="1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8"/>
    </row>
    <row r="44" spans="1:50" ht="13.5" customHeight="1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8"/>
    </row>
    <row r="45" spans="1:50" ht="13.5" customHeight="1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8"/>
    </row>
    <row r="46" spans="1:50" ht="13.5" customHeight="1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8"/>
    </row>
    <row r="47" spans="1:50" ht="13.5" customHeight="1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8"/>
    </row>
    <row r="48" spans="1:50" ht="13.5" customHeight="1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8"/>
    </row>
    <row r="49" spans="1:50" ht="13.5" customHeight="1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8"/>
    </row>
    <row r="50" spans="1:50" ht="13.5" customHeight="1">
      <c r="A50" s="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8"/>
    </row>
    <row r="51" spans="1:50" ht="13.5" customHeight="1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8"/>
    </row>
    <row r="52" spans="1:50" ht="13.5" customHeight="1">
      <c r="A52" s="5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8"/>
    </row>
    <row r="53" spans="1:50" ht="13.5" customHeight="1">
      <c r="A53" s="5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8"/>
    </row>
    <row r="54" spans="1:50" ht="13.5" customHeight="1">
      <c r="A54" s="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8"/>
    </row>
    <row r="55" spans="1:50" ht="13.5" customHeight="1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8"/>
    </row>
    <row r="56" spans="1:50" ht="13.5" customHeight="1">
      <c r="A56" s="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8"/>
    </row>
    <row r="57" spans="1:50" ht="13.5" customHeight="1">
      <c r="A57" s="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8"/>
    </row>
    <row r="58" spans="1:50" ht="13.5" customHeight="1">
      <c r="A58" s="5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8"/>
    </row>
    <row r="59" spans="1:50" ht="13.5" customHeight="1">
      <c r="A59" s="5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8"/>
    </row>
    <row r="60" spans="1:50" ht="13.5" customHeight="1">
      <c r="A60" s="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8"/>
    </row>
    <row r="61" spans="1:50" ht="13.5" customHeight="1">
      <c r="A61" s="5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8"/>
    </row>
    <row r="62" spans="1:50" ht="13.5" customHeight="1">
      <c r="A62" s="5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8"/>
    </row>
    <row r="63" spans="1:50" ht="13.5" customHeight="1">
      <c r="A63" s="5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8"/>
    </row>
    <row r="64" spans="1:50" ht="13.5" customHeight="1">
      <c r="A64" s="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8"/>
    </row>
    <row r="65" spans="1:50" ht="13.5" customHeight="1">
      <c r="A65" s="5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8"/>
    </row>
    <row r="66" spans="1:50" ht="13.5" customHeight="1">
      <c r="A66" s="5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8"/>
    </row>
    <row r="67" spans="1:50" ht="13.5" customHeight="1">
      <c r="A67" s="5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8"/>
    </row>
    <row r="68" spans="1:50" ht="13.5" customHeight="1">
      <c r="A68" s="5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8"/>
    </row>
    <row r="69" spans="1:50" ht="13.5" customHeight="1">
      <c r="A69" s="5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8"/>
    </row>
    <row r="70" spans="1:50" ht="13.5" customHeight="1">
      <c r="A70" s="5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8"/>
    </row>
    <row r="71" spans="1:50" ht="13.5" customHeight="1">
      <c r="A71" s="5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8"/>
    </row>
    <row r="72" spans="1:50" ht="13.5" customHeight="1">
      <c r="A72" s="5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8"/>
    </row>
    <row r="73" spans="1:50" ht="13.5" customHeight="1">
      <c r="A73" s="5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8"/>
    </row>
    <row r="74" spans="1:50" ht="13.5" customHeight="1">
      <c r="A74" s="5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8"/>
    </row>
    <row r="75" spans="1:50" ht="13.5" customHeight="1">
      <c r="A75" s="5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8"/>
    </row>
    <row r="76" spans="1:50" ht="13.5" customHeight="1">
      <c r="A76" s="5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8"/>
    </row>
    <row r="77" spans="1:50" ht="13.5" customHeight="1">
      <c r="A77" s="5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8"/>
    </row>
    <row r="78" spans="1:50" ht="13.5" customHeight="1" thickBot="1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3"/>
    </row>
    <row r="79" spans="1:50" ht="13.5" customHeight="1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4"/>
    </row>
    <row r="80" spans="1:50" ht="22.5">
      <c r="A80" s="5"/>
      <c r="B80" s="39" t="s">
        <v>134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8"/>
    </row>
    <row r="81" spans="1:50" ht="18.75">
      <c r="A81" s="5"/>
      <c r="B81" s="6" t="s">
        <v>15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8"/>
    </row>
    <row r="82" spans="1:50" ht="13.5" customHeight="1">
      <c r="A82" s="5"/>
      <c r="B82" s="319" t="s">
        <v>218</v>
      </c>
      <c r="C82" s="319"/>
      <c r="D82" s="319" t="s">
        <v>9</v>
      </c>
      <c r="E82" s="319"/>
      <c r="F82" s="319"/>
      <c r="G82" s="319"/>
      <c r="H82" s="319"/>
      <c r="I82" s="319"/>
      <c r="J82" s="319"/>
      <c r="K82" s="319"/>
      <c r="L82" s="319"/>
      <c r="M82" s="319"/>
      <c r="N82" s="319" t="s">
        <v>16</v>
      </c>
      <c r="O82" s="319"/>
      <c r="P82" s="319"/>
      <c r="Q82" s="319"/>
      <c r="R82" s="319"/>
      <c r="S82" s="319"/>
      <c r="T82" s="319"/>
      <c r="U82" s="319" t="s">
        <v>219</v>
      </c>
      <c r="V82" s="319"/>
      <c r="W82" s="319"/>
      <c r="X82" s="319"/>
      <c r="Y82" s="319"/>
      <c r="Z82" s="319"/>
      <c r="AA82" s="319"/>
      <c r="AB82" s="319" t="s">
        <v>18</v>
      </c>
      <c r="AC82" s="319"/>
      <c r="AD82" s="319" t="s">
        <v>19</v>
      </c>
      <c r="AE82" s="319"/>
      <c r="AF82" s="319" t="s">
        <v>20</v>
      </c>
      <c r="AG82" s="319"/>
      <c r="AH82" s="319" t="s">
        <v>21</v>
      </c>
      <c r="AI82" s="319"/>
      <c r="AJ82" s="319" t="s">
        <v>22</v>
      </c>
      <c r="AK82" s="319"/>
      <c r="AL82" s="319"/>
      <c r="AM82" s="319"/>
      <c r="AN82" s="319"/>
      <c r="AO82" s="319"/>
      <c r="AP82" s="319" t="s">
        <v>12</v>
      </c>
      <c r="AQ82" s="319"/>
      <c r="AR82" s="319"/>
      <c r="AS82" s="319"/>
      <c r="AT82" s="319"/>
      <c r="AU82" s="319"/>
      <c r="AV82" s="319"/>
      <c r="AW82" s="319"/>
      <c r="AX82" s="8"/>
    </row>
    <row r="83" spans="1:50" ht="13.5" customHeight="1">
      <c r="A83" s="5"/>
      <c r="B83" s="319"/>
      <c r="C83" s="319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19"/>
      <c r="AI83" s="319"/>
      <c r="AJ83" s="319"/>
      <c r="AK83" s="319"/>
      <c r="AL83" s="319"/>
      <c r="AM83" s="319"/>
      <c r="AN83" s="319"/>
      <c r="AO83" s="319"/>
      <c r="AP83" s="319"/>
      <c r="AQ83" s="319"/>
      <c r="AR83" s="319"/>
      <c r="AS83" s="319"/>
      <c r="AT83" s="319"/>
      <c r="AU83" s="319"/>
      <c r="AV83" s="319"/>
      <c r="AW83" s="319"/>
      <c r="AX83" s="8"/>
    </row>
    <row r="84" spans="1:50" ht="13.5" customHeight="1">
      <c r="A84" s="5"/>
      <c r="B84" s="317">
        <v>1</v>
      </c>
      <c r="C84" s="317"/>
      <c r="D84" s="318" t="s">
        <v>138</v>
      </c>
      <c r="E84" s="318"/>
      <c r="F84" s="318"/>
      <c r="G84" s="318"/>
      <c r="H84" s="318"/>
      <c r="I84" s="318"/>
      <c r="J84" s="318"/>
      <c r="K84" s="318"/>
      <c r="L84" s="318"/>
      <c r="M84" s="318"/>
      <c r="N84" s="395" t="s">
        <v>220</v>
      </c>
      <c r="O84" s="410"/>
      <c r="P84" s="410"/>
      <c r="Q84" s="410"/>
      <c r="R84" s="410"/>
      <c r="S84" s="410"/>
      <c r="T84" s="411"/>
      <c r="U84" s="318" t="s">
        <v>129</v>
      </c>
      <c r="V84" s="318"/>
      <c r="W84" s="318"/>
      <c r="X84" s="318"/>
      <c r="Y84" s="318"/>
      <c r="Z84" s="318"/>
      <c r="AA84" s="318"/>
      <c r="AB84" s="341" t="s">
        <v>184</v>
      </c>
      <c r="AC84" s="341"/>
      <c r="AD84" s="341" t="s">
        <v>184</v>
      </c>
      <c r="AE84" s="341"/>
      <c r="AF84" s="341" t="s">
        <v>184</v>
      </c>
      <c r="AG84" s="341"/>
      <c r="AH84" s="341" t="s">
        <v>220</v>
      </c>
      <c r="AI84" s="341"/>
      <c r="AJ84" s="398" t="s">
        <v>221</v>
      </c>
      <c r="AK84" s="398"/>
      <c r="AL84" s="398"/>
      <c r="AM84" s="398"/>
      <c r="AN84" s="398"/>
      <c r="AO84" s="398"/>
      <c r="AP84" s="399"/>
      <c r="AQ84" s="399"/>
      <c r="AR84" s="399"/>
      <c r="AS84" s="399"/>
      <c r="AT84" s="399"/>
      <c r="AU84" s="399"/>
      <c r="AV84" s="399"/>
      <c r="AW84" s="399"/>
      <c r="AX84" s="8"/>
    </row>
    <row r="85" spans="1:50" ht="13.5" customHeight="1">
      <c r="A85" s="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8"/>
    </row>
    <row r="86" spans="1:50" ht="18.75">
      <c r="A86" s="5"/>
      <c r="B86" s="32" t="s">
        <v>64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8"/>
    </row>
    <row r="87" spans="1:50" ht="13.5" customHeight="1">
      <c r="A87" s="5"/>
      <c r="B87" s="433" t="s">
        <v>65</v>
      </c>
      <c r="C87" s="433"/>
      <c r="D87" s="434" t="s">
        <v>66</v>
      </c>
      <c r="E87" s="434"/>
      <c r="F87" s="434"/>
      <c r="G87" s="434"/>
      <c r="H87" s="434"/>
      <c r="I87" s="433" t="s">
        <v>67</v>
      </c>
      <c r="J87" s="433"/>
      <c r="K87" s="433"/>
      <c r="L87" s="433"/>
      <c r="M87" s="433"/>
      <c r="N87" s="433"/>
      <c r="O87" s="433"/>
      <c r="P87" s="433"/>
      <c r="Q87" s="433"/>
      <c r="R87" s="433"/>
      <c r="S87" s="433"/>
      <c r="T87" s="433"/>
      <c r="U87" s="433"/>
      <c r="V87" s="433" t="s">
        <v>68</v>
      </c>
      <c r="W87" s="433"/>
      <c r="X87" s="433"/>
      <c r="Y87" s="433"/>
      <c r="Z87" s="433"/>
      <c r="AA87" s="433"/>
      <c r="AB87" s="433"/>
      <c r="AC87" s="433"/>
      <c r="AD87" s="433"/>
      <c r="AE87" s="433"/>
      <c r="AF87" s="433"/>
      <c r="AG87" s="433"/>
      <c r="AH87" s="433"/>
      <c r="AI87" s="433" t="s">
        <v>69</v>
      </c>
      <c r="AJ87" s="433"/>
      <c r="AK87" s="433"/>
      <c r="AL87" s="433"/>
      <c r="AM87" s="433"/>
      <c r="AN87" s="433"/>
      <c r="AO87" s="433"/>
      <c r="AP87" s="433"/>
      <c r="AQ87" s="433"/>
      <c r="AR87" s="433"/>
      <c r="AS87" s="433"/>
      <c r="AT87" s="433"/>
      <c r="AU87" s="433"/>
      <c r="AV87" s="433"/>
      <c r="AW87" s="433"/>
      <c r="AX87" s="8"/>
    </row>
    <row r="88" spans="1:50" ht="13.5" customHeight="1">
      <c r="A88" s="5"/>
      <c r="B88" s="433"/>
      <c r="C88" s="433"/>
      <c r="D88" s="434"/>
      <c r="E88" s="434"/>
      <c r="F88" s="434"/>
      <c r="G88" s="434"/>
      <c r="H88" s="434"/>
      <c r="I88" s="433"/>
      <c r="J88" s="433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  <c r="AB88" s="433"/>
      <c r="AC88" s="433"/>
      <c r="AD88" s="433"/>
      <c r="AE88" s="433"/>
      <c r="AF88" s="433"/>
      <c r="AG88" s="433"/>
      <c r="AH88" s="433"/>
      <c r="AI88" s="433"/>
      <c r="AJ88" s="433"/>
      <c r="AK88" s="433"/>
      <c r="AL88" s="433"/>
      <c r="AM88" s="433"/>
      <c r="AN88" s="433"/>
      <c r="AO88" s="433"/>
      <c r="AP88" s="433"/>
      <c r="AQ88" s="433"/>
      <c r="AR88" s="433"/>
      <c r="AS88" s="433"/>
      <c r="AT88" s="433"/>
      <c r="AU88" s="433"/>
      <c r="AV88" s="433"/>
      <c r="AW88" s="433"/>
      <c r="AX88" s="8"/>
    </row>
    <row r="89" spans="1:50" ht="13.5" customHeight="1">
      <c r="A89" s="5"/>
      <c r="B89" s="320">
        <v>1</v>
      </c>
      <c r="C89" s="320"/>
      <c r="D89" s="412" t="s">
        <v>222</v>
      </c>
      <c r="E89" s="413"/>
      <c r="F89" s="413"/>
      <c r="G89" s="413"/>
      <c r="H89" s="414"/>
      <c r="I89" s="321" t="s">
        <v>159</v>
      </c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415" t="s">
        <v>72</v>
      </c>
      <c r="W89" s="416"/>
      <c r="X89" s="416"/>
      <c r="Y89" s="416"/>
      <c r="Z89" s="416"/>
      <c r="AA89" s="416"/>
      <c r="AB89" s="416"/>
      <c r="AC89" s="416"/>
      <c r="AD89" s="416"/>
      <c r="AE89" s="416"/>
      <c r="AF89" s="416"/>
      <c r="AG89" s="416"/>
      <c r="AH89" s="417"/>
      <c r="AI89" s="424" t="s">
        <v>184</v>
      </c>
      <c r="AJ89" s="425"/>
      <c r="AK89" s="425"/>
      <c r="AL89" s="425"/>
      <c r="AM89" s="425"/>
      <c r="AN89" s="425"/>
      <c r="AO89" s="425"/>
      <c r="AP89" s="425"/>
      <c r="AQ89" s="425"/>
      <c r="AR89" s="425"/>
      <c r="AS89" s="425"/>
      <c r="AT89" s="425"/>
      <c r="AU89" s="425"/>
      <c r="AV89" s="425"/>
      <c r="AW89" s="426"/>
      <c r="AX89" s="8"/>
    </row>
    <row r="90" spans="1:50" ht="13.5" customHeight="1">
      <c r="A90" s="5"/>
      <c r="B90" s="320">
        <v>2</v>
      </c>
      <c r="C90" s="320"/>
      <c r="D90" s="412" t="s">
        <v>223</v>
      </c>
      <c r="E90" s="413"/>
      <c r="F90" s="413"/>
      <c r="G90" s="413"/>
      <c r="H90" s="414"/>
      <c r="I90" s="321" t="s">
        <v>160</v>
      </c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418"/>
      <c r="W90" s="419"/>
      <c r="X90" s="419"/>
      <c r="Y90" s="419"/>
      <c r="Z90" s="419"/>
      <c r="AA90" s="419"/>
      <c r="AB90" s="419"/>
      <c r="AC90" s="419"/>
      <c r="AD90" s="419"/>
      <c r="AE90" s="419"/>
      <c r="AF90" s="419"/>
      <c r="AG90" s="419"/>
      <c r="AH90" s="420"/>
      <c r="AI90" s="427"/>
      <c r="AJ90" s="428"/>
      <c r="AK90" s="428"/>
      <c r="AL90" s="428"/>
      <c r="AM90" s="428"/>
      <c r="AN90" s="428"/>
      <c r="AO90" s="428"/>
      <c r="AP90" s="428"/>
      <c r="AQ90" s="428"/>
      <c r="AR90" s="428"/>
      <c r="AS90" s="428"/>
      <c r="AT90" s="428"/>
      <c r="AU90" s="428"/>
      <c r="AV90" s="428"/>
      <c r="AW90" s="429"/>
      <c r="AX90" s="8"/>
    </row>
    <row r="91" spans="1:50" ht="13.5" customHeight="1">
      <c r="A91" s="5"/>
      <c r="B91" s="320"/>
      <c r="C91" s="320"/>
      <c r="D91" s="373"/>
      <c r="E91" s="374"/>
      <c r="F91" s="374"/>
      <c r="G91" s="374"/>
      <c r="H91" s="375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418"/>
      <c r="W91" s="419"/>
      <c r="X91" s="419"/>
      <c r="Y91" s="419"/>
      <c r="Z91" s="419"/>
      <c r="AA91" s="419"/>
      <c r="AB91" s="419"/>
      <c r="AC91" s="419"/>
      <c r="AD91" s="419"/>
      <c r="AE91" s="419"/>
      <c r="AF91" s="419"/>
      <c r="AG91" s="419"/>
      <c r="AH91" s="420"/>
      <c r="AI91" s="427"/>
      <c r="AJ91" s="428"/>
      <c r="AK91" s="428"/>
      <c r="AL91" s="428"/>
      <c r="AM91" s="428"/>
      <c r="AN91" s="428"/>
      <c r="AO91" s="428"/>
      <c r="AP91" s="428"/>
      <c r="AQ91" s="428"/>
      <c r="AR91" s="428"/>
      <c r="AS91" s="428"/>
      <c r="AT91" s="428"/>
      <c r="AU91" s="428"/>
      <c r="AV91" s="428"/>
      <c r="AW91" s="429"/>
      <c r="AX91" s="8"/>
    </row>
    <row r="92" spans="1:50" ht="13.5" customHeight="1">
      <c r="A92" s="5"/>
      <c r="B92" s="320"/>
      <c r="C92" s="320"/>
      <c r="D92" s="373"/>
      <c r="E92" s="374"/>
      <c r="F92" s="374"/>
      <c r="G92" s="374"/>
      <c r="H92" s="375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418"/>
      <c r="W92" s="419"/>
      <c r="X92" s="419"/>
      <c r="Y92" s="419"/>
      <c r="Z92" s="419"/>
      <c r="AA92" s="419"/>
      <c r="AB92" s="419"/>
      <c r="AC92" s="419"/>
      <c r="AD92" s="419"/>
      <c r="AE92" s="419"/>
      <c r="AF92" s="419"/>
      <c r="AG92" s="419"/>
      <c r="AH92" s="420"/>
      <c r="AI92" s="427"/>
      <c r="AJ92" s="428"/>
      <c r="AK92" s="428"/>
      <c r="AL92" s="428"/>
      <c r="AM92" s="428"/>
      <c r="AN92" s="428"/>
      <c r="AO92" s="428"/>
      <c r="AP92" s="428"/>
      <c r="AQ92" s="428"/>
      <c r="AR92" s="428"/>
      <c r="AS92" s="428"/>
      <c r="AT92" s="428"/>
      <c r="AU92" s="428"/>
      <c r="AV92" s="428"/>
      <c r="AW92" s="429"/>
      <c r="AX92" s="8"/>
    </row>
    <row r="93" spans="1:50" ht="13.5" customHeight="1">
      <c r="A93" s="5"/>
      <c r="B93" s="320"/>
      <c r="C93" s="320"/>
      <c r="D93" s="373"/>
      <c r="E93" s="374"/>
      <c r="F93" s="374"/>
      <c r="G93" s="374"/>
      <c r="H93" s="375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418"/>
      <c r="W93" s="419"/>
      <c r="X93" s="419"/>
      <c r="Y93" s="419"/>
      <c r="Z93" s="419"/>
      <c r="AA93" s="419"/>
      <c r="AB93" s="419"/>
      <c r="AC93" s="419"/>
      <c r="AD93" s="419"/>
      <c r="AE93" s="419"/>
      <c r="AF93" s="419"/>
      <c r="AG93" s="419"/>
      <c r="AH93" s="420"/>
      <c r="AI93" s="427"/>
      <c r="AJ93" s="428"/>
      <c r="AK93" s="428"/>
      <c r="AL93" s="428"/>
      <c r="AM93" s="428"/>
      <c r="AN93" s="428"/>
      <c r="AO93" s="428"/>
      <c r="AP93" s="428"/>
      <c r="AQ93" s="428"/>
      <c r="AR93" s="428"/>
      <c r="AS93" s="428"/>
      <c r="AT93" s="428"/>
      <c r="AU93" s="428"/>
      <c r="AV93" s="428"/>
      <c r="AW93" s="429"/>
      <c r="AX93" s="8"/>
    </row>
    <row r="94" spans="1:50" ht="13.5" customHeight="1">
      <c r="A94" s="5"/>
      <c r="B94" s="320"/>
      <c r="C94" s="320"/>
      <c r="D94" s="326"/>
      <c r="E94" s="327"/>
      <c r="F94" s="327"/>
      <c r="G94" s="327"/>
      <c r="H94" s="328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421"/>
      <c r="W94" s="422"/>
      <c r="X94" s="422"/>
      <c r="Y94" s="422"/>
      <c r="Z94" s="422"/>
      <c r="AA94" s="422"/>
      <c r="AB94" s="422"/>
      <c r="AC94" s="422"/>
      <c r="AD94" s="422"/>
      <c r="AE94" s="422"/>
      <c r="AF94" s="422"/>
      <c r="AG94" s="422"/>
      <c r="AH94" s="423"/>
      <c r="AI94" s="430"/>
      <c r="AJ94" s="431"/>
      <c r="AK94" s="431"/>
      <c r="AL94" s="431"/>
      <c r="AM94" s="431"/>
      <c r="AN94" s="431"/>
      <c r="AO94" s="431"/>
      <c r="AP94" s="431"/>
      <c r="AQ94" s="431"/>
      <c r="AR94" s="431"/>
      <c r="AS94" s="431"/>
      <c r="AT94" s="431"/>
      <c r="AU94" s="431"/>
      <c r="AV94" s="431"/>
      <c r="AW94" s="432"/>
      <c r="AX94" s="8"/>
    </row>
    <row r="95" spans="1:50" ht="13.5" customHeight="1">
      <c r="A95" s="5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8"/>
    </row>
    <row r="96" spans="1:50" ht="13.5" customHeight="1">
      <c r="A96" s="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8"/>
    </row>
    <row r="97" spans="1:50" ht="22.5">
      <c r="A97" s="5"/>
      <c r="B97" s="39" t="s">
        <v>133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8"/>
    </row>
    <row r="98" spans="1:50" ht="18.75">
      <c r="A98" s="5"/>
      <c r="B98" s="6" t="s">
        <v>15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8"/>
    </row>
    <row r="99" spans="1:50" ht="13.5" customHeight="1">
      <c r="A99" s="5"/>
      <c r="B99" s="319" t="s">
        <v>224</v>
      </c>
      <c r="C99" s="319"/>
      <c r="D99" s="319" t="s">
        <v>9</v>
      </c>
      <c r="E99" s="319"/>
      <c r="F99" s="319"/>
      <c r="G99" s="319"/>
      <c r="H99" s="319"/>
      <c r="I99" s="319"/>
      <c r="J99" s="319"/>
      <c r="K99" s="319"/>
      <c r="L99" s="319"/>
      <c r="M99" s="319"/>
      <c r="N99" s="319" t="s">
        <v>16</v>
      </c>
      <c r="O99" s="319"/>
      <c r="P99" s="319"/>
      <c r="Q99" s="319"/>
      <c r="R99" s="319"/>
      <c r="S99" s="319"/>
      <c r="T99" s="319"/>
      <c r="U99" s="319" t="s">
        <v>225</v>
      </c>
      <c r="V99" s="319"/>
      <c r="W99" s="319"/>
      <c r="X99" s="319"/>
      <c r="Y99" s="319"/>
      <c r="Z99" s="319"/>
      <c r="AA99" s="319"/>
      <c r="AB99" s="319" t="s">
        <v>18</v>
      </c>
      <c r="AC99" s="319"/>
      <c r="AD99" s="319" t="s">
        <v>19</v>
      </c>
      <c r="AE99" s="319"/>
      <c r="AF99" s="319" t="s">
        <v>20</v>
      </c>
      <c r="AG99" s="319"/>
      <c r="AH99" s="319" t="s">
        <v>21</v>
      </c>
      <c r="AI99" s="319"/>
      <c r="AJ99" s="319" t="s">
        <v>22</v>
      </c>
      <c r="AK99" s="319"/>
      <c r="AL99" s="319"/>
      <c r="AM99" s="319"/>
      <c r="AN99" s="319"/>
      <c r="AO99" s="319"/>
      <c r="AP99" s="319" t="s">
        <v>12</v>
      </c>
      <c r="AQ99" s="319"/>
      <c r="AR99" s="319"/>
      <c r="AS99" s="319"/>
      <c r="AT99" s="319"/>
      <c r="AU99" s="319"/>
      <c r="AV99" s="319"/>
      <c r="AW99" s="319"/>
      <c r="AX99" s="8"/>
    </row>
    <row r="100" spans="1:50" ht="13.5" customHeight="1">
      <c r="A100" s="5"/>
      <c r="B100" s="319"/>
      <c r="C100" s="319"/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19"/>
      <c r="AQ100" s="319"/>
      <c r="AR100" s="319"/>
      <c r="AS100" s="319"/>
      <c r="AT100" s="319"/>
      <c r="AU100" s="319"/>
      <c r="AV100" s="319"/>
      <c r="AW100" s="319"/>
      <c r="AX100" s="8"/>
    </row>
    <row r="101" spans="1:50" ht="13.5" customHeight="1">
      <c r="A101" s="5"/>
      <c r="B101" s="317">
        <v>1</v>
      </c>
      <c r="C101" s="317"/>
      <c r="D101" s="318" t="s">
        <v>226</v>
      </c>
      <c r="E101" s="318"/>
      <c r="F101" s="318"/>
      <c r="G101" s="318"/>
      <c r="H101" s="318"/>
      <c r="I101" s="318"/>
      <c r="J101" s="318"/>
      <c r="K101" s="318"/>
      <c r="L101" s="318"/>
      <c r="M101" s="318"/>
      <c r="N101" s="318" t="s">
        <v>227</v>
      </c>
      <c r="O101" s="318"/>
      <c r="P101" s="318"/>
      <c r="Q101" s="318"/>
      <c r="R101" s="318"/>
      <c r="S101" s="318"/>
      <c r="T101" s="318"/>
      <c r="U101" s="318" t="s">
        <v>228</v>
      </c>
      <c r="V101" s="318"/>
      <c r="W101" s="318"/>
      <c r="X101" s="318"/>
      <c r="Y101" s="318"/>
      <c r="Z101" s="318"/>
      <c r="AA101" s="318"/>
      <c r="AB101" s="341"/>
      <c r="AC101" s="341"/>
      <c r="AD101" s="341"/>
      <c r="AE101" s="341"/>
      <c r="AF101" s="341"/>
      <c r="AG101" s="341"/>
      <c r="AH101" s="341"/>
      <c r="AI101" s="341"/>
      <c r="AJ101" s="398"/>
      <c r="AK101" s="398"/>
      <c r="AL101" s="398"/>
      <c r="AM101" s="398"/>
      <c r="AN101" s="398"/>
      <c r="AO101" s="398"/>
      <c r="AP101" s="399"/>
      <c r="AQ101" s="399"/>
      <c r="AR101" s="399"/>
      <c r="AS101" s="399"/>
      <c r="AT101" s="399"/>
      <c r="AU101" s="399"/>
      <c r="AV101" s="399"/>
      <c r="AW101" s="399"/>
      <c r="AX101" s="8"/>
    </row>
    <row r="102" spans="1:50" ht="13.5" customHeight="1">
      <c r="A102" s="5"/>
      <c r="B102" s="317">
        <v>2</v>
      </c>
      <c r="C102" s="317"/>
      <c r="D102" s="318" t="s">
        <v>139</v>
      </c>
      <c r="E102" s="318"/>
      <c r="F102" s="318"/>
      <c r="G102" s="318"/>
      <c r="H102" s="318"/>
      <c r="I102" s="318"/>
      <c r="J102" s="318"/>
      <c r="K102" s="318"/>
      <c r="L102" s="318"/>
      <c r="M102" s="318"/>
      <c r="N102" s="395" t="s">
        <v>229</v>
      </c>
      <c r="O102" s="410"/>
      <c r="P102" s="410"/>
      <c r="Q102" s="410"/>
      <c r="R102" s="410"/>
      <c r="S102" s="410"/>
      <c r="T102" s="411"/>
      <c r="U102" s="318" t="s">
        <v>92</v>
      </c>
      <c r="V102" s="318"/>
      <c r="W102" s="318"/>
      <c r="X102" s="318"/>
      <c r="Y102" s="318"/>
      <c r="Z102" s="318"/>
      <c r="AA102" s="318"/>
      <c r="AB102" s="341" t="s">
        <v>229</v>
      </c>
      <c r="AC102" s="341"/>
      <c r="AD102" s="341" t="s">
        <v>229</v>
      </c>
      <c r="AE102" s="341"/>
      <c r="AF102" s="341" t="s">
        <v>184</v>
      </c>
      <c r="AG102" s="341"/>
      <c r="AH102" s="341" t="s">
        <v>229</v>
      </c>
      <c r="AI102" s="341"/>
      <c r="AJ102" s="398" t="s">
        <v>230</v>
      </c>
      <c r="AK102" s="398"/>
      <c r="AL102" s="398"/>
      <c r="AM102" s="398"/>
      <c r="AN102" s="398"/>
      <c r="AO102" s="398"/>
      <c r="AP102" s="399"/>
      <c r="AQ102" s="399"/>
      <c r="AR102" s="399"/>
      <c r="AS102" s="399"/>
      <c r="AT102" s="399"/>
      <c r="AU102" s="399"/>
      <c r="AV102" s="399"/>
      <c r="AW102" s="399"/>
      <c r="AX102" s="8"/>
    </row>
    <row r="103" spans="1:50" ht="13.5" customHeight="1">
      <c r="A103" s="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8"/>
    </row>
    <row r="104" spans="1:50" ht="13.5" customHeight="1">
      <c r="A104" s="5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8"/>
    </row>
    <row r="105" spans="1:50" ht="22.5">
      <c r="A105" s="5"/>
      <c r="B105" s="39" t="s">
        <v>140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8"/>
    </row>
    <row r="106" spans="1:50" ht="18.75">
      <c r="A106" s="5"/>
      <c r="B106" s="6" t="s">
        <v>15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8"/>
    </row>
    <row r="107" spans="1:50" ht="13.5" customHeight="1">
      <c r="A107" s="5"/>
      <c r="B107" s="319" t="s">
        <v>215</v>
      </c>
      <c r="C107" s="319"/>
      <c r="D107" s="319" t="s">
        <v>9</v>
      </c>
      <c r="E107" s="319"/>
      <c r="F107" s="319"/>
      <c r="G107" s="319"/>
      <c r="H107" s="319"/>
      <c r="I107" s="319"/>
      <c r="J107" s="319"/>
      <c r="K107" s="319"/>
      <c r="L107" s="319"/>
      <c r="M107" s="319"/>
      <c r="N107" s="319" t="s">
        <v>16</v>
      </c>
      <c r="O107" s="319"/>
      <c r="P107" s="319"/>
      <c r="Q107" s="319"/>
      <c r="R107" s="319"/>
      <c r="S107" s="319"/>
      <c r="T107" s="319"/>
      <c r="U107" s="319" t="s">
        <v>216</v>
      </c>
      <c r="V107" s="319"/>
      <c r="W107" s="319"/>
      <c r="X107" s="319"/>
      <c r="Y107" s="319"/>
      <c r="Z107" s="319"/>
      <c r="AA107" s="319"/>
      <c r="AB107" s="319" t="s">
        <v>18</v>
      </c>
      <c r="AC107" s="319"/>
      <c r="AD107" s="319" t="s">
        <v>19</v>
      </c>
      <c r="AE107" s="319"/>
      <c r="AF107" s="319" t="s">
        <v>20</v>
      </c>
      <c r="AG107" s="319"/>
      <c r="AH107" s="319" t="s">
        <v>21</v>
      </c>
      <c r="AI107" s="319"/>
      <c r="AJ107" s="319" t="s">
        <v>22</v>
      </c>
      <c r="AK107" s="319"/>
      <c r="AL107" s="319"/>
      <c r="AM107" s="319"/>
      <c r="AN107" s="319"/>
      <c r="AO107" s="319"/>
      <c r="AP107" s="319" t="s">
        <v>12</v>
      </c>
      <c r="AQ107" s="319"/>
      <c r="AR107" s="319"/>
      <c r="AS107" s="319"/>
      <c r="AT107" s="319"/>
      <c r="AU107" s="319"/>
      <c r="AV107" s="319"/>
      <c r="AW107" s="319"/>
      <c r="AX107" s="8"/>
    </row>
    <row r="108" spans="1:50" ht="13.5" customHeight="1">
      <c r="A108" s="5"/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19"/>
      <c r="AL108" s="319"/>
      <c r="AM108" s="319"/>
      <c r="AN108" s="319"/>
      <c r="AO108" s="319"/>
      <c r="AP108" s="319"/>
      <c r="AQ108" s="319"/>
      <c r="AR108" s="319"/>
      <c r="AS108" s="319"/>
      <c r="AT108" s="319"/>
      <c r="AU108" s="319"/>
      <c r="AV108" s="319"/>
      <c r="AW108" s="319"/>
      <c r="AX108" s="8"/>
    </row>
    <row r="109" spans="1:50" ht="13.5" customHeight="1">
      <c r="A109" s="5"/>
      <c r="B109" s="317">
        <v>1</v>
      </c>
      <c r="C109" s="317"/>
      <c r="D109" s="318" t="s">
        <v>141</v>
      </c>
      <c r="E109" s="318"/>
      <c r="F109" s="318"/>
      <c r="G109" s="318"/>
      <c r="H109" s="318"/>
      <c r="I109" s="318"/>
      <c r="J109" s="318"/>
      <c r="K109" s="318"/>
      <c r="L109" s="318"/>
      <c r="M109" s="318"/>
      <c r="N109" s="395" t="s">
        <v>217</v>
      </c>
      <c r="O109" s="410"/>
      <c r="P109" s="410"/>
      <c r="Q109" s="410"/>
      <c r="R109" s="410"/>
      <c r="S109" s="410"/>
      <c r="T109" s="411"/>
      <c r="U109" s="318" t="s">
        <v>92</v>
      </c>
      <c r="V109" s="318"/>
      <c r="W109" s="318"/>
      <c r="X109" s="318"/>
      <c r="Y109" s="318"/>
      <c r="Z109" s="318"/>
      <c r="AA109" s="318"/>
      <c r="AB109" s="341" t="s">
        <v>217</v>
      </c>
      <c r="AC109" s="341"/>
      <c r="AD109" s="341" t="s">
        <v>217</v>
      </c>
      <c r="AE109" s="341"/>
      <c r="AF109" s="341" t="s">
        <v>217</v>
      </c>
      <c r="AG109" s="341"/>
      <c r="AH109" s="341" t="s">
        <v>217</v>
      </c>
      <c r="AI109" s="341"/>
      <c r="AJ109" s="398" t="s">
        <v>231</v>
      </c>
      <c r="AK109" s="398"/>
      <c r="AL109" s="398"/>
      <c r="AM109" s="398"/>
      <c r="AN109" s="398"/>
      <c r="AO109" s="398"/>
      <c r="AP109" s="399"/>
      <c r="AQ109" s="399"/>
      <c r="AR109" s="399"/>
      <c r="AS109" s="399"/>
      <c r="AT109" s="399"/>
      <c r="AU109" s="399"/>
      <c r="AV109" s="399"/>
      <c r="AW109" s="399"/>
      <c r="AX109" s="8"/>
    </row>
    <row r="110" spans="1:50" ht="13.5" customHeight="1">
      <c r="A110" s="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8"/>
    </row>
    <row r="111" spans="1:50" ht="13.5" customHeight="1">
      <c r="A111" s="5"/>
      <c r="B111" s="3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8"/>
    </row>
    <row r="112" spans="1:50" ht="13.5" customHeight="1" thickBot="1">
      <c r="A112" s="11"/>
      <c r="B112" s="44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3"/>
    </row>
    <row r="113" spans="1:50" ht="13.5" customHeight="1">
      <c r="A113" s="5"/>
      <c r="B113" s="37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8"/>
    </row>
    <row r="114" spans="1:50" ht="22.5">
      <c r="A114" s="5"/>
      <c r="B114" s="39" t="s">
        <v>122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8"/>
    </row>
    <row r="115" spans="1:50" ht="18.75">
      <c r="A115" s="5"/>
      <c r="B115" s="6" t="s">
        <v>15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8"/>
    </row>
    <row r="116" spans="1:50" ht="13.5" customHeight="1">
      <c r="A116" s="5"/>
      <c r="B116" s="319" t="s">
        <v>215</v>
      </c>
      <c r="C116" s="319"/>
      <c r="D116" s="319" t="s">
        <v>9</v>
      </c>
      <c r="E116" s="319"/>
      <c r="F116" s="319"/>
      <c r="G116" s="319"/>
      <c r="H116" s="319"/>
      <c r="I116" s="319"/>
      <c r="J116" s="319"/>
      <c r="K116" s="319"/>
      <c r="L116" s="319"/>
      <c r="M116" s="319"/>
      <c r="N116" s="319" t="s">
        <v>16</v>
      </c>
      <c r="O116" s="319"/>
      <c r="P116" s="319"/>
      <c r="Q116" s="319"/>
      <c r="R116" s="319"/>
      <c r="S116" s="319"/>
      <c r="T116" s="319"/>
      <c r="U116" s="319" t="s">
        <v>216</v>
      </c>
      <c r="V116" s="319"/>
      <c r="W116" s="319"/>
      <c r="X116" s="319"/>
      <c r="Y116" s="319"/>
      <c r="Z116" s="319"/>
      <c r="AA116" s="319"/>
      <c r="AB116" s="319" t="s">
        <v>18</v>
      </c>
      <c r="AC116" s="319"/>
      <c r="AD116" s="319" t="s">
        <v>19</v>
      </c>
      <c r="AE116" s="319"/>
      <c r="AF116" s="319" t="s">
        <v>20</v>
      </c>
      <c r="AG116" s="319"/>
      <c r="AH116" s="319" t="s">
        <v>21</v>
      </c>
      <c r="AI116" s="319"/>
      <c r="AJ116" s="319" t="s">
        <v>22</v>
      </c>
      <c r="AK116" s="319"/>
      <c r="AL116" s="319"/>
      <c r="AM116" s="319"/>
      <c r="AN116" s="319"/>
      <c r="AO116" s="319"/>
      <c r="AP116" s="319" t="s">
        <v>12</v>
      </c>
      <c r="AQ116" s="319"/>
      <c r="AR116" s="319"/>
      <c r="AS116" s="319"/>
      <c r="AT116" s="319"/>
      <c r="AU116" s="319"/>
      <c r="AV116" s="319"/>
      <c r="AW116" s="319"/>
      <c r="AX116" s="8"/>
    </row>
    <row r="117" spans="1:50" ht="13.5" customHeight="1">
      <c r="A117" s="5"/>
      <c r="B117" s="31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19"/>
      <c r="AA117" s="319"/>
      <c r="AB117" s="319"/>
      <c r="AC117" s="319"/>
      <c r="AD117" s="319"/>
      <c r="AE117" s="319"/>
      <c r="AF117" s="319"/>
      <c r="AG117" s="319"/>
      <c r="AH117" s="319"/>
      <c r="AI117" s="319"/>
      <c r="AJ117" s="319"/>
      <c r="AK117" s="319"/>
      <c r="AL117" s="319"/>
      <c r="AM117" s="319"/>
      <c r="AN117" s="319"/>
      <c r="AO117" s="319"/>
      <c r="AP117" s="319"/>
      <c r="AQ117" s="319"/>
      <c r="AR117" s="319"/>
      <c r="AS117" s="319"/>
      <c r="AT117" s="319"/>
      <c r="AU117" s="319"/>
      <c r="AV117" s="319"/>
      <c r="AW117" s="319"/>
      <c r="AX117" s="8"/>
    </row>
    <row r="118" spans="1:50" ht="13.5" customHeight="1">
      <c r="A118" s="5"/>
      <c r="B118" s="317">
        <v>1</v>
      </c>
      <c r="C118" s="317"/>
      <c r="D118" s="318" t="s">
        <v>125</v>
      </c>
      <c r="E118" s="318"/>
      <c r="F118" s="318"/>
      <c r="G118" s="318"/>
      <c r="H118" s="318"/>
      <c r="I118" s="318"/>
      <c r="J118" s="318"/>
      <c r="K118" s="318"/>
      <c r="L118" s="318"/>
      <c r="M118" s="318"/>
      <c r="N118" s="395" t="s">
        <v>217</v>
      </c>
      <c r="O118" s="410"/>
      <c r="P118" s="410"/>
      <c r="Q118" s="410"/>
      <c r="R118" s="410"/>
      <c r="S118" s="410"/>
      <c r="T118" s="411"/>
      <c r="U118" s="318" t="s">
        <v>92</v>
      </c>
      <c r="V118" s="318"/>
      <c r="W118" s="318"/>
      <c r="X118" s="318"/>
      <c r="Y118" s="318"/>
      <c r="Z118" s="318"/>
      <c r="AA118" s="318"/>
      <c r="AB118" s="341" t="s">
        <v>217</v>
      </c>
      <c r="AC118" s="341"/>
      <c r="AD118" s="341" t="s">
        <v>217</v>
      </c>
      <c r="AE118" s="341"/>
      <c r="AF118" s="341" t="s">
        <v>217</v>
      </c>
      <c r="AG118" s="341"/>
      <c r="AH118" s="341" t="s">
        <v>217</v>
      </c>
      <c r="AI118" s="341"/>
      <c r="AJ118" s="398" t="s">
        <v>232</v>
      </c>
      <c r="AK118" s="398"/>
      <c r="AL118" s="398"/>
      <c r="AM118" s="398"/>
      <c r="AN118" s="398"/>
      <c r="AO118" s="398"/>
      <c r="AP118" s="399"/>
      <c r="AQ118" s="399"/>
      <c r="AR118" s="399"/>
      <c r="AS118" s="399"/>
      <c r="AT118" s="399"/>
      <c r="AU118" s="399"/>
      <c r="AV118" s="399"/>
      <c r="AW118" s="399"/>
      <c r="AX118" s="8"/>
    </row>
    <row r="119" spans="1:50" ht="13.5" customHeight="1">
      <c r="A119" s="5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8"/>
    </row>
    <row r="120" spans="1:50" ht="13.5" customHeight="1">
      <c r="A120" s="5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8"/>
    </row>
    <row r="121" spans="1:50" ht="22.5">
      <c r="A121" s="5"/>
      <c r="B121" s="39" t="s">
        <v>148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8"/>
    </row>
    <row r="122" spans="1:50" ht="18.75">
      <c r="A122" s="5"/>
      <c r="B122" s="6" t="s">
        <v>15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8"/>
    </row>
    <row r="123" spans="1:50" ht="13.5" customHeight="1">
      <c r="A123" s="5"/>
      <c r="B123" s="319" t="s">
        <v>215</v>
      </c>
      <c r="C123" s="319"/>
      <c r="D123" s="319" t="s">
        <v>9</v>
      </c>
      <c r="E123" s="319"/>
      <c r="F123" s="319"/>
      <c r="G123" s="319"/>
      <c r="H123" s="319"/>
      <c r="I123" s="319"/>
      <c r="J123" s="319"/>
      <c r="K123" s="319"/>
      <c r="L123" s="319"/>
      <c r="M123" s="319"/>
      <c r="N123" s="319" t="s">
        <v>16</v>
      </c>
      <c r="O123" s="319"/>
      <c r="P123" s="319"/>
      <c r="Q123" s="319"/>
      <c r="R123" s="319"/>
      <c r="S123" s="319"/>
      <c r="T123" s="319"/>
      <c r="U123" s="319" t="s">
        <v>216</v>
      </c>
      <c r="V123" s="319"/>
      <c r="W123" s="319"/>
      <c r="X123" s="319"/>
      <c r="Y123" s="319"/>
      <c r="Z123" s="319"/>
      <c r="AA123" s="319"/>
      <c r="AB123" s="319" t="s">
        <v>18</v>
      </c>
      <c r="AC123" s="319"/>
      <c r="AD123" s="319" t="s">
        <v>19</v>
      </c>
      <c r="AE123" s="319"/>
      <c r="AF123" s="319" t="s">
        <v>20</v>
      </c>
      <c r="AG123" s="319"/>
      <c r="AH123" s="319" t="s">
        <v>21</v>
      </c>
      <c r="AI123" s="319"/>
      <c r="AJ123" s="319" t="s">
        <v>22</v>
      </c>
      <c r="AK123" s="319"/>
      <c r="AL123" s="319"/>
      <c r="AM123" s="319"/>
      <c r="AN123" s="319"/>
      <c r="AO123" s="319"/>
      <c r="AP123" s="319" t="s">
        <v>12</v>
      </c>
      <c r="AQ123" s="319"/>
      <c r="AR123" s="319"/>
      <c r="AS123" s="319"/>
      <c r="AT123" s="319"/>
      <c r="AU123" s="319"/>
      <c r="AV123" s="319"/>
      <c r="AW123" s="319"/>
      <c r="AX123" s="8"/>
    </row>
    <row r="124" spans="1:50" ht="13.5" customHeight="1">
      <c r="A124" s="5"/>
      <c r="B124" s="31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  <c r="AA124" s="319"/>
      <c r="AB124" s="319"/>
      <c r="AC124" s="319"/>
      <c r="AD124" s="319"/>
      <c r="AE124" s="319"/>
      <c r="AF124" s="319"/>
      <c r="AG124" s="319"/>
      <c r="AH124" s="319"/>
      <c r="AI124" s="319"/>
      <c r="AJ124" s="319"/>
      <c r="AK124" s="319"/>
      <c r="AL124" s="319"/>
      <c r="AM124" s="319"/>
      <c r="AN124" s="319"/>
      <c r="AO124" s="319"/>
      <c r="AP124" s="319"/>
      <c r="AQ124" s="319"/>
      <c r="AR124" s="319"/>
      <c r="AS124" s="319"/>
      <c r="AT124" s="319"/>
      <c r="AU124" s="319"/>
      <c r="AV124" s="319"/>
      <c r="AW124" s="319"/>
      <c r="AX124" s="8"/>
    </row>
    <row r="125" spans="1:50" ht="13.5" customHeight="1">
      <c r="A125" s="5"/>
      <c r="B125" s="317">
        <v>1</v>
      </c>
      <c r="C125" s="317"/>
      <c r="D125" s="318" t="s">
        <v>233</v>
      </c>
      <c r="E125" s="318"/>
      <c r="F125" s="318"/>
      <c r="G125" s="318"/>
      <c r="H125" s="318"/>
      <c r="I125" s="318"/>
      <c r="J125" s="318"/>
      <c r="K125" s="318"/>
      <c r="L125" s="318"/>
      <c r="M125" s="318"/>
      <c r="N125" s="395" t="s">
        <v>217</v>
      </c>
      <c r="O125" s="410"/>
      <c r="P125" s="410"/>
      <c r="Q125" s="410"/>
      <c r="R125" s="410"/>
      <c r="S125" s="410"/>
      <c r="T125" s="411"/>
      <c r="U125" s="318" t="s">
        <v>92</v>
      </c>
      <c r="V125" s="318"/>
      <c r="W125" s="318"/>
      <c r="X125" s="318"/>
      <c r="Y125" s="318"/>
      <c r="Z125" s="318"/>
      <c r="AA125" s="318"/>
      <c r="AB125" s="341" t="s">
        <v>217</v>
      </c>
      <c r="AC125" s="341"/>
      <c r="AD125" s="341" t="s">
        <v>217</v>
      </c>
      <c r="AE125" s="341"/>
      <c r="AF125" s="341" t="s">
        <v>217</v>
      </c>
      <c r="AG125" s="341"/>
      <c r="AH125" s="341" t="s">
        <v>217</v>
      </c>
      <c r="AI125" s="341"/>
      <c r="AJ125" s="398" t="s">
        <v>234</v>
      </c>
      <c r="AK125" s="398"/>
      <c r="AL125" s="398"/>
      <c r="AM125" s="398"/>
      <c r="AN125" s="398"/>
      <c r="AO125" s="398"/>
      <c r="AP125" s="399"/>
      <c r="AQ125" s="399"/>
      <c r="AR125" s="399"/>
      <c r="AS125" s="399"/>
      <c r="AT125" s="399"/>
      <c r="AU125" s="399"/>
      <c r="AV125" s="399"/>
      <c r="AW125" s="399"/>
      <c r="AX125" s="8"/>
    </row>
    <row r="126" spans="1:50" ht="13.5" customHeight="1">
      <c r="A126" s="5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8"/>
    </row>
    <row r="127" spans="1:50" ht="18.75">
      <c r="A127" s="5"/>
      <c r="B127" s="32" t="s">
        <v>64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8"/>
    </row>
    <row r="128" spans="1:50" ht="13.5" customHeight="1">
      <c r="A128" s="5"/>
      <c r="B128" s="433" t="s">
        <v>65</v>
      </c>
      <c r="C128" s="433"/>
      <c r="D128" s="434" t="s">
        <v>66</v>
      </c>
      <c r="E128" s="434"/>
      <c r="F128" s="434"/>
      <c r="G128" s="434"/>
      <c r="H128" s="434"/>
      <c r="I128" s="433" t="s">
        <v>67</v>
      </c>
      <c r="J128" s="433"/>
      <c r="K128" s="433"/>
      <c r="L128" s="433"/>
      <c r="M128" s="433"/>
      <c r="N128" s="433"/>
      <c r="O128" s="433"/>
      <c r="P128" s="433"/>
      <c r="Q128" s="433"/>
      <c r="R128" s="433"/>
      <c r="S128" s="433"/>
      <c r="T128" s="433"/>
      <c r="U128" s="433"/>
      <c r="V128" s="433" t="s">
        <v>68</v>
      </c>
      <c r="W128" s="433"/>
      <c r="X128" s="433"/>
      <c r="Y128" s="433"/>
      <c r="Z128" s="433"/>
      <c r="AA128" s="433"/>
      <c r="AB128" s="433"/>
      <c r="AC128" s="433"/>
      <c r="AD128" s="433"/>
      <c r="AE128" s="433"/>
      <c r="AF128" s="433"/>
      <c r="AG128" s="433"/>
      <c r="AH128" s="433"/>
      <c r="AI128" s="433" t="s">
        <v>69</v>
      </c>
      <c r="AJ128" s="433"/>
      <c r="AK128" s="433"/>
      <c r="AL128" s="433"/>
      <c r="AM128" s="433"/>
      <c r="AN128" s="433"/>
      <c r="AO128" s="433"/>
      <c r="AP128" s="433"/>
      <c r="AQ128" s="433"/>
      <c r="AR128" s="433"/>
      <c r="AS128" s="433"/>
      <c r="AT128" s="433"/>
      <c r="AU128" s="433"/>
      <c r="AV128" s="433"/>
      <c r="AW128" s="433"/>
      <c r="AX128" s="8"/>
    </row>
    <row r="129" spans="1:50" ht="13.5" customHeight="1">
      <c r="A129" s="5"/>
      <c r="B129" s="433"/>
      <c r="C129" s="433"/>
      <c r="D129" s="434"/>
      <c r="E129" s="434"/>
      <c r="F129" s="434"/>
      <c r="G129" s="434"/>
      <c r="H129" s="434"/>
      <c r="I129" s="433"/>
      <c r="J129" s="433"/>
      <c r="K129" s="433"/>
      <c r="L129" s="433"/>
      <c r="M129" s="433"/>
      <c r="N129" s="433"/>
      <c r="O129" s="433"/>
      <c r="P129" s="433"/>
      <c r="Q129" s="433"/>
      <c r="R129" s="433"/>
      <c r="S129" s="433"/>
      <c r="T129" s="433"/>
      <c r="U129" s="433"/>
      <c r="V129" s="433"/>
      <c r="W129" s="433"/>
      <c r="X129" s="433"/>
      <c r="Y129" s="433"/>
      <c r="Z129" s="433"/>
      <c r="AA129" s="433"/>
      <c r="AB129" s="433"/>
      <c r="AC129" s="433"/>
      <c r="AD129" s="433"/>
      <c r="AE129" s="433"/>
      <c r="AF129" s="433"/>
      <c r="AG129" s="433"/>
      <c r="AH129" s="433"/>
      <c r="AI129" s="433"/>
      <c r="AJ129" s="433"/>
      <c r="AK129" s="433"/>
      <c r="AL129" s="433"/>
      <c r="AM129" s="433"/>
      <c r="AN129" s="433"/>
      <c r="AO129" s="433"/>
      <c r="AP129" s="433"/>
      <c r="AQ129" s="433"/>
      <c r="AR129" s="433"/>
      <c r="AS129" s="433"/>
      <c r="AT129" s="433"/>
      <c r="AU129" s="433"/>
      <c r="AV129" s="433"/>
      <c r="AW129" s="433"/>
      <c r="AX129" s="8"/>
    </row>
    <row r="130" spans="1:50" ht="13.5" customHeight="1">
      <c r="A130" s="5"/>
      <c r="B130" s="320">
        <v>1</v>
      </c>
      <c r="C130" s="320"/>
      <c r="D130" s="321" t="s">
        <v>235</v>
      </c>
      <c r="E130" s="321"/>
      <c r="F130" s="321"/>
      <c r="G130" s="321"/>
      <c r="H130" s="321"/>
      <c r="I130" s="321" t="s">
        <v>163</v>
      </c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415" t="s">
        <v>162</v>
      </c>
      <c r="W130" s="416"/>
      <c r="X130" s="416"/>
      <c r="Y130" s="416"/>
      <c r="Z130" s="416"/>
      <c r="AA130" s="416"/>
      <c r="AB130" s="416"/>
      <c r="AC130" s="416"/>
      <c r="AD130" s="416"/>
      <c r="AE130" s="416"/>
      <c r="AF130" s="416"/>
      <c r="AG130" s="416"/>
      <c r="AH130" s="417"/>
      <c r="AI130" s="424" t="s">
        <v>217</v>
      </c>
      <c r="AJ130" s="425"/>
      <c r="AK130" s="425"/>
      <c r="AL130" s="425"/>
      <c r="AM130" s="425"/>
      <c r="AN130" s="425"/>
      <c r="AO130" s="425"/>
      <c r="AP130" s="425"/>
      <c r="AQ130" s="425"/>
      <c r="AR130" s="425"/>
      <c r="AS130" s="425"/>
      <c r="AT130" s="425"/>
      <c r="AU130" s="425"/>
      <c r="AV130" s="425"/>
      <c r="AW130" s="426"/>
      <c r="AX130" s="8"/>
    </row>
    <row r="131" spans="1:50" ht="13.5" customHeight="1">
      <c r="A131" s="5"/>
      <c r="B131" s="320">
        <v>2</v>
      </c>
      <c r="C131" s="320"/>
      <c r="D131" s="321" t="s">
        <v>164</v>
      </c>
      <c r="E131" s="321"/>
      <c r="F131" s="321"/>
      <c r="G131" s="321"/>
      <c r="H131" s="321"/>
      <c r="I131" s="321" t="s">
        <v>165</v>
      </c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421"/>
      <c r="W131" s="422"/>
      <c r="X131" s="422"/>
      <c r="Y131" s="422"/>
      <c r="Z131" s="422"/>
      <c r="AA131" s="422"/>
      <c r="AB131" s="422"/>
      <c r="AC131" s="422"/>
      <c r="AD131" s="422"/>
      <c r="AE131" s="422"/>
      <c r="AF131" s="422"/>
      <c r="AG131" s="422"/>
      <c r="AH131" s="423"/>
      <c r="AI131" s="430"/>
      <c r="AJ131" s="431"/>
      <c r="AK131" s="431"/>
      <c r="AL131" s="431"/>
      <c r="AM131" s="431"/>
      <c r="AN131" s="431"/>
      <c r="AO131" s="431"/>
      <c r="AP131" s="431"/>
      <c r="AQ131" s="431"/>
      <c r="AR131" s="431"/>
      <c r="AS131" s="431"/>
      <c r="AT131" s="431"/>
      <c r="AU131" s="431"/>
      <c r="AV131" s="431"/>
      <c r="AW131" s="432"/>
      <c r="AX131" s="8"/>
    </row>
    <row r="132" spans="1:50" ht="13.5" customHeight="1">
      <c r="A132" s="5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8"/>
    </row>
    <row r="133" spans="1:50" ht="13.5" customHeight="1">
      <c r="A133" s="5"/>
      <c r="B133" s="37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8"/>
    </row>
    <row r="134" spans="1:50" ht="22.5">
      <c r="A134" s="5"/>
      <c r="B134" s="39" t="s">
        <v>143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8"/>
    </row>
    <row r="135" spans="1:50" ht="18.75">
      <c r="A135" s="5"/>
      <c r="B135" s="6" t="s">
        <v>15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8"/>
    </row>
    <row r="136" spans="1:50" ht="13.5" customHeight="1">
      <c r="A136" s="5"/>
      <c r="B136" s="319" t="s">
        <v>215</v>
      </c>
      <c r="C136" s="319"/>
      <c r="D136" s="319" t="s">
        <v>9</v>
      </c>
      <c r="E136" s="319"/>
      <c r="F136" s="319"/>
      <c r="G136" s="319"/>
      <c r="H136" s="319"/>
      <c r="I136" s="319"/>
      <c r="J136" s="319"/>
      <c r="K136" s="319"/>
      <c r="L136" s="319"/>
      <c r="M136" s="319"/>
      <c r="N136" s="319" t="s">
        <v>16</v>
      </c>
      <c r="O136" s="319"/>
      <c r="P136" s="319"/>
      <c r="Q136" s="319"/>
      <c r="R136" s="319"/>
      <c r="S136" s="319"/>
      <c r="T136" s="319"/>
      <c r="U136" s="319" t="s">
        <v>216</v>
      </c>
      <c r="V136" s="319"/>
      <c r="W136" s="319"/>
      <c r="X136" s="319"/>
      <c r="Y136" s="319"/>
      <c r="Z136" s="319"/>
      <c r="AA136" s="319"/>
      <c r="AB136" s="319" t="s">
        <v>18</v>
      </c>
      <c r="AC136" s="319"/>
      <c r="AD136" s="319" t="s">
        <v>19</v>
      </c>
      <c r="AE136" s="319"/>
      <c r="AF136" s="319" t="s">
        <v>20</v>
      </c>
      <c r="AG136" s="319"/>
      <c r="AH136" s="319" t="s">
        <v>21</v>
      </c>
      <c r="AI136" s="319"/>
      <c r="AJ136" s="319" t="s">
        <v>22</v>
      </c>
      <c r="AK136" s="319"/>
      <c r="AL136" s="319"/>
      <c r="AM136" s="319"/>
      <c r="AN136" s="319"/>
      <c r="AO136" s="319"/>
      <c r="AP136" s="319" t="s">
        <v>12</v>
      </c>
      <c r="AQ136" s="319"/>
      <c r="AR136" s="319"/>
      <c r="AS136" s="319"/>
      <c r="AT136" s="319"/>
      <c r="AU136" s="319"/>
      <c r="AV136" s="319"/>
      <c r="AW136" s="319"/>
      <c r="AX136" s="8"/>
    </row>
    <row r="137" spans="1:50" ht="13.5" customHeight="1">
      <c r="A137" s="5"/>
      <c r="B137" s="31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  <c r="AA137" s="319"/>
      <c r="AB137" s="319"/>
      <c r="AC137" s="319"/>
      <c r="AD137" s="319"/>
      <c r="AE137" s="319"/>
      <c r="AF137" s="319"/>
      <c r="AG137" s="319"/>
      <c r="AH137" s="319"/>
      <c r="AI137" s="319"/>
      <c r="AJ137" s="319"/>
      <c r="AK137" s="319"/>
      <c r="AL137" s="319"/>
      <c r="AM137" s="319"/>
      <c r="AN137" s="319"/>
      <c r="AO137" s="319"/>
      <c r="AP137" s="319"/>
      <c r="AQ137" s="319"/>
      <c r="AR137" s="319"/>
      <c r="AS137" s="319"/>
      <c r="AT137" s="319"/>
      <c r="AU137" s="319"/>
      <c r="AV137" s="319"/>
      <c r="AW137" s="319"/>
      <c r="AX137" s="8"/>
    </row>
    <row r="138" spans="1:50" ht="13.5" customHeight="1">
      <c r="A138" s="5"/>
      <c r="B138" s="317">
        <v>1</v>
      </c>
      <c r="C138" s="317"/>
      <c r="D138" s="318" t="s">
        <v>142</v>
      </c>
      <c r="E138" s="318"/>
      <c r="F138" s="318"/>
      <c r="G138" s="318"/>
      <c r="H138" s="318"/>
      <c r="I138" s="318"/>
      <c r="J138" s="318"/>
      <c r="K138" s="318"/>
      <c r="L138" s="318"/>
      <c r="M138" s="318"/>
      <c r="N138" s="395" t="s">
        <v>217</v>
      </c>
      <c r="O138" s="410"/>
      <c r="P138" s="410"/>
      <c r="Q138" s="410"/>
      <c r="R138" s="410"/>
      <c r="S138" s="410"/>
      <c r="T138" s="411"/>
      <c r="U138" s="318" t="s">
        <v>92</v>
      </c>
      <c r="V138" s="318"/>
      <c r="W138" s="318"/>
      <c r="X138" s="318"/>
      <c r="Y138" s="318"/>
      <c r="Z138" s="318"/>
      <c r="AA138" s="318"/>
      <c r="AB138" s="341" t="s">
        <v>217</v>
      </c>
      <c r="AC138" s="341"/>
      <c r="AD138" s="341" t="s">
        <v>217</v>
      </c>
      <c r="AE138" s="341"/>
      <c r="AF138" s="341" t="s">
        <v>217</v>
      </c>
      <c r="AG138" s="341"/>
      <c r="AH138" s="341" t="s">
        <v>217</v>
      </c>
      <c r="AI138" s="341"/>
      <c r="AJ138" s="398" t="s">
        <v>236</v>
      </c>
      <c r="AK138" s="398"/>
      <c r="AL138" s="398"/>
      <c r="AM138" s="398"/>
      <c r="AN138" s="398"/>
      <c r="AO138" s="398"/>
      <c r="AP138" s="399"/>
      <c r="AQ138" s="399"/>
      <c r="AR138" s="399"/>
      <c r="AS138" s="399"/>
      <c r="AT138" s="399"/>
      <c r="AU138" s="399"/>
      <c r="AV138" s="399"/>
      <c r="AW138" s="399"/>
      <c r="AX138" s="8"/>
    </row>
    <row r="139" spans="1:50" ht="13.5" customHeight="1">
      <c r="A139" s="5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8"/>
    </row>
    <row r="140" spans="1:50" ht="13.5" customHeight="1">
      <c r="A140" s="5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8"/>
    </row>
    <row r="141" spans="1:50" ht="13.5" customHeight="1">
      <c r="A141" s="5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8"/>
    </row>
    <row r="142" spans="1:50" ht="13.5" customHeight="1">
      <c r="A142" s="5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8"/>
    </row>
    <row r="143" spans="1:50" ht="13.5" customHeight="1">
      <c r="A143" s="5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8"/>
    </row>
    <row r="144" spans="1:50" ht="13.5" customHeight="1">
      <c r="A144" s="5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8"/>
    </row>
    <row r="145" spans="1:50" ht="13.5" customHeight="1">
      <c r="A145" s="5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8"/>
    </row>
    <row r="146" spans="1:50" ht="13.5" customHeight="1" thickBot="1">
      <c r="A146" s="5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8"/>
    </row>
    <row r="147" spans="1:50" ht="13.5" customHeight="1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4"/>
    </row>
    <row r="148" spans="1:50" ht="18.75">
      <c r="A148" s="5"/>
      <c r="B148" s="32" t="s">
        <v>64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8"/>
    </row>
    <row r="149" spans="1:50" ht="13.5" customHeight="1">
      <c r="A149" s="5"/>
      <c r="B149" s="433" t="s">
        <v>65</v>
      </c>
      <c r="C149" s="433"/>
      <c r="D149" s="434" t="s">
        <v>66</v>
      </c>
      <c r="E149" s="434"/>
      <c r="F149" s="434"/>
      <c r="G149" s="434"/>
      <c r="H149" s="434"/>
      <c r="I149" s="433" t="s">
        <v>67</v>
      </c>
      <c r="J149" s="433"/>
      <c r="K149" s="433"/>
      <c r="L149" s="433"/>
      <c r="M149" s="433"/>
      <c r="N149" s="433"/>
      <c r="O149" s="433"/>
      <c r="P149" s="433"/>
      <c r="Q149" s="433"/>
      <c r="R149" s="433"/>
      <c r="S149" s="433"/>
      <c r="T149" s="433"/>
      <c r="U149" s="433"/>
      <c r="V149" s="433" t="s">
        <v>68</v>
      </c>
      <c r="W149" s="433"/>
      <c r="X149" s="433"/>
      <c r="Y149" s="433"/>
      <c r="Z149" s="433"/>
      <c r="AA149" s="433"/>
      <c r="AB149" s="433"/>
      <c r="AC149" s="433"/>
      <c r="AD149" s="433"/>
      <c r="AE149" s="433"/>
      <c r="AF149" s="433"/>
      <c r="AG149" s="433"/>
      <c r="AH149" s="433"/>
      <c r="AI149" s="433" t="s">
        <v>69</v>
      </c>
      <c r="AJ149" s="433"/>
      <c r="AK149" s="433"/>
      <c r="AL149" s="433"/>
      <c r="AM149" s="433"/>
      <c r="AN149" s="433"/>
      <c r="AO149" s="433"/>
      <c r="AP149" s="433"/>
      <c r="AQ149" s="433"/>
      <c r="AR149" s="433"/>
      <c r="AS149" s="433"/>
      <c r="AT149" s="433"/>
      <c r="AU149" s="433"/>
      <c r="AV149" s="433"/>
      <c r="AW149" s="433"/>
      <c r="AX149" s="8"/>
    </row>
    <row r="150" spans="1:50" ht="13.5" customHeight="1">
      <c r="A150" s="5"/>
      <c r="B150" s="433"/>
      <c r="C150" s="433"/>
      <c r="D150" s="434"/>
      <c r="E150" s="434"/>
      <c r="F150" s="434"/>
      <c r="G150" s="434"/>
      <c r="H150" s="434"/>
      <c r="I150" s="433"/>
      <c r="J150" s="433"/>
      <c r="K150" s="433"/>
      <c r="L150" s="433"/>
      <c r="M150" s="433"/>
      <c r="N150" s="433"/>
      <c r="O150" s="433"/>
      <c r="P150" s="433"/>
      <c r="Q150" s="433"/>
      <c r="R150" s="433"/>
      <c r="S150" s="433"/>
      <c r="T150" s="433"/>
      <c r="U150" s="433"/>
      <c r="V150" s="433"/>
      <c r="W150" s="433"/>
      <c r="X150" s="433"/>
      <c r="Y150" s="433"/>
      <c r="Z150" s="433"/>
      <c r="AA150" s="433"/>
      <c r="AB150" s="433"/>
      <c r="AC150" s="433"/>
      <c r="AD150" s="433"/>
      <c r="AE150" s="433"/>
      <c r="AF150" s="433"/>
      <c r="AG150" s="433"/>
      <c r="AH150" s="433"/>
      <c r="AI150" s="433"/>
      <c r="AJ150" s="433"/>
      <c r="AK150" s="433"/>
      <c r="AL150" s="433"/>
      <c r="AM150" s="433"/>
      <c r="AN150" s="433"/>
      <c r="AO150" s="433"/>
      <c r="AP150" s="433"/>
      <c r="AQ150" s="433"/>
      <c r="AR150" s="433"/>
      <c r="AS150" s="433"/>
      <c r="AT150" s="433"/>
      <c r="AU150" s="433"/>
      <c r="AV150" s="433"/>
      <c r="AW150" s="433"/>
      <c r="AX150" s="8"/>
    </row>
    <row r="151" spans="1:50" ht="13.5" customHeight="1">
      <c r="A151" s="5"/>
      <c r="B151" s="320">
        <v>1</v>
      </c>
      <c r="C151" s="320"/>
      <c r="D151" s="412" t="s">
        <v>237</v>
      </c>
      <c r="E151" s="413"/>
      <c r="F151" s="413"/>
      <c r="G151" s="413"/>
      <c r="H151" s="414"/>
      <c r="I151" s="321" t="s">
        <v>166</v>
      </c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415" t="s">
        <v>72</v>
      </c>
      <c r="W151" s="416"/>
      <c r="X151" s="416"/>
      <c r="Y151" s="416"/>
      <c r="Z151" s="416"/>
      <c r="AA151" s="416"/>
      <c r="AB151" s="416"/>
      <c r="AC151" s="416"/>
      <c r="AD151" s="416"/>
      <c r="AE151" s="416"/>
      <c r="AF151" s="416"/>
      <c r="AG151" s="416"/>
      <c r="AH151" s="417"/>
      <c r="AI151" s="424" t="s">
        <v>217</v>
      </c>
      <c r="AJ151" s="425"/>
      <c r="AK151" s="425"/>
      <c r="AL151" s="425"/>
      <c r="AM151" s="425"/>
      <c r="AN151" s="425"/>
      <c r="AO151" s="425"/>
      <c r="AP151" s="425"/>
      <c r="AQ151" s="425"/>
      <c r="AR151" s="425"/>
      <c r="AS151" s="425"/>
      <c r="AT151" s="425"/>
      <c r="AU151" s="425"/>
      <c r="AV151" s="425"/>
      <c r="AW151" s="426"/>
      <c r="AX151" s="8"/>
    </row>
    <row r="152" spans="1:50" ht="13.5" customHeight="1">
      <c r="A152" s="5"/>
      <c r="B152" s="320">
        <v>2</v>
      </c>
      <c r="C152" s="320"/>
      <c r="D152" s="373"/>
      <c r="E152" s="374"/>
      <c r="F152" s="374"/>
      <c r="G152" s="374"/>
      <c r="H152" s="375"/>
      <c r="I152" s="321" t="s">
        <v>167</v>
      </c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418"/>
      <c r="W152" s="419"/>
      <c r="X152" s="419"/>
      <c r="Y152" s="419"/>
      <c r="Z152" s="419"/>
      <c r="AA152" s="419"/>
      <c r="AB152" s="419"/>
      <c r="AC152" s="419"/>
      <c r="AD152" s="419"/>
      <c r="AE152" s="419"/>
      <c r="AF152" s="419"/>
      <c r="AG152" s="419"/>
      <c r="AH152" s="420"/>
      <c r="AI152" s="427"/>
      <c r="AJ152" s="428"/>
      <c r="AK152" s="428"/>
      <c r="AL152" s="428"/>
      <c r="AM152" s="428"/>
      <c r="AN152" s="428"/>
      <c r="AO152" s="428"/>
      <c r="AP152" s="428"/>
      <c r="AQ152" s="428"/>
      <c r="AR152" s="428"/>
      <c r="AS152" s="428"/>
      <c r="AT152" s="428"/>
      <c r="AU152" s="428"/>
      <c r="AV152" s="428"/>
      <c r="AW152" s="429"/>
      <c r="AX152" s="8"/>
    </row>
    <row r="153" spans="1:50" ht="13.5" customHeight="1">
      <c r="A153" s="5"/>
      <c r="B153" s="320"/>
      <c r="C153" s="320"/>
      <c r="D153" s="373"/>
      <c r="E153" s="374"/>
      <c r="F153" s="374"/>
      <c r="G153" s="374"/>
      <c r="H153" s="375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418"/>
      <c r="W153" s="419"/>
      <c r="X153" s="419"/>
      <c r="Y153" s="419"/>
      <c r="Z153" s="419"/>
      <c r="AA153" s="419"/>
      <c r="AB153" s="419"/>
      <c r="AC153" s="419"/>
      <c r="AD153" s="419"/>
      <c r="AE153" s="419"/>
      <c r="AF153" s="419"/>
      <c r="AG153" s="419"/>
      <c r="AH153" s="420"/>
      <c r="AI153" s="427"/>
      <c r="AJ153" s="428"/>
      <c r="AK153" s="428"/>
      <c r="AL153" s="428"/>
      <c r="AM153" s="428"/>
      <c r="AN153" s="428"/>
      <c r="AO153" s="428"/>
      <c r="AP153" s="428"/>
      <c r="AQ153" s="428"/>
      <c r="AR153" s="428"/>
      <c r="AS153" s="428"/>
      <c r="AT153" s="428"/>
      <c r="AU153" s="428"/>
      <c r="AV153" s="428"/>
      <c r="AW153" s="429"/>
      <c r="AX153" s="8"/>
    </row>
    <row r="154" spans="1:50" ht="13.5" customHeight="1">
      <c r="A154" s="5"/>
      <c r="B154" s="320"/>
      <c r="C154" s="320"/>
      <c r="D154" s="373"/>
      <c r="E154" s="374"/>
      <c r="F154" s="374"/>
      <c r="G154" s="374"/>
      <c r="H154" s="375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418"/>
      <c r="W154" s="419"/>
      <c r="X154" s="419"/>
      <c r="Y154" s="419"/>
      <c r="Z154" s="419"/>
      <c r="AA154" s="419"/>
      <c r="AB154" s="419"/>
      <c r="AC154" s="419"/>
      <c r="AD154" s="419"/>
      <c r="AE154" s="419"/>
      <c r="AF154" s="419"/>
      <c r="AG154" s="419"/>
      <c r="AH154" s="420"/>
      <c r="AI154" s="427"/>
      <c r="AJ154" s="428"/>
      <c r="AK154" s="428"/>
      <c r="AL154" s="428"/>
      <c r="AM154" s="428"/>
      <c r="AN154" s="428"/>
      <c r="AO154" s="428"/>
      <c r="AP154" s="428"/>
      <c r="AQ154" s="428"/>
      <c r="AR154" s="428"/>
      <c r="AS154" s="428"/>
      <c r="AT154" s="428"/>
      <c r="AU154" s="428"/>
      <c r="AV154" s="428"/>
      <c r="AW154" s="429"/>
      <c r="AX154" s="8"/>
    </row>
    <row r="155" spans="1:50" ht="13.5" customHeight="1">
      <c r="A155" s="5"/>
      <c r="B155" s="320"/>
      <c r="C155" s="320"/>
      <c r="D155" s="373"/>
      <c r="E155" s="374"/>
      <c r="F155" s="374"/>
      <c r="G155" s="374"/>
      <c r="H155" s="375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418"/>
      <c r="W155" s="419"/>
      <c r="X155" s="419"/>
      <c r="Y155" s="419"/>
      <c r="Z155" s="419"/>
      <c r="AA155" s="419"/>
      <c r="AB155" s="419"/>
      <c r="AC155" s="419"/>
      <c r="AD155" s="419"/>
      <c r="AE155" s="419"/>
      <c r="AF155" s="419"/>
      <c r="AG155" s="419"/>
      <c r="AH155" s="420"/>
      <c r="AI155" s="427"/>
      <c r="AJ155" s="428"/>
      <c r="AK155" s="428"/>
      <c r="AL155" s="428"/>
      <c r="AM155" s="428"/>
      <c r="AN155" s="428"/>
      <c r="AO155" s="428"/>
      <c r="AP155" s="428"/>
      <c r="AQ155" s="428"/>
      <c r="AR155" s="428"/>
      <c r="AS155" s="428"/>
      <c r="AT155" s="428"/>
      <c r="AU155" s="428"/>
      <c r="AV155" s="428"/>
      <c r="AW155" s="429"/>
      <c r="AX155" s="8"/>
    </row>
    <row r="156" spans="1:50" ht="13.5" customHeight="1">
      <c r="A156" s="5"/>
      <c r="B156" s="320"/>
      <c r="C156" s="320"/>
      <c r="D156" s="326"/>
      <c r="E156" s="327"/>
      <c r="F156" s="327"/>
      <c r="G156" s="327"/>
      <c r="H156" s="328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418"/>
      <c r="W156" s="419"/>
      <c r="X156" s="419"/>
      <c r="Y156" s="419"/>
      <c r="Z156" s="419"/>
      <c r="AA156" s="419"/>
      <c r="AB156" s="419"/>
      <c r="AC156" s="419"/>
      <c r="AD156" s="419"/>
      <c r="AE156" s="419"/>
      <c r="AF156" s="419"/>
      <c r="AG156" s="419"/>
      <c r="AH156" s="420"/>
      <c r="AI156" s="427"/>
      <c r="AJ156" s="428"/>
      <c r="AK156" s="428"/>
      <c r="AL156" s="428"/>
      <c r="AM156" s="428"/>
      <c r="AN156" s="428"/>
      <c r="AO156" s="428"/>
      <c r="AP156" s="428"/>
      <c r="AQ156" s="428"/>
      <c r="AR156" s="428"/>
      <c r="AS156" s="428"/>
      <c r="AT156" s="428"/>
      <c r="AU156" s="428"/>
      <c r="AV156" s="428"/>
      <c r="AW156" s="429"/>
      <c r="AX156" s="8"/>
    </row>
    <row r="157" spans="1:50" ht="13.5" customHeight="1">
      <c r="A157" s="5"/>
      <c r="B157" s="320">
        <v>3</v>
      </c>
      <c r="C157" s="320"/>
      <c r="D157" s="412" t="s">
        <v>238</v>
      </c>
      <c r="E157" s="413"/>
      <c r="F157" s="413"/>
      <c r="G157" s="413"/>
      <c r="H157" s="414"/>
      <c r="I157" s="321" t="s">
        <v>168</v>
      </c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418"/>
      <c r="W157" s="419"/>
      <c r="X157" s="419"/>
      <c r="Y157" s="419"/>
      <c r="Z157" s="419"/>
      <c r="AA157" s="419"/>
      <c r="AB157" s="419"/>
      <c r="AC157" s="419"/>
      <c r="AD157" s="419"/>
      <c r="AE157" s="419"/>
      <c r="AF157" s="419"/>
      <c r="AG157" s="419"/>
      <c r="AH157" s="420"/>
      <c r="AI157" s="427"/>
      <c r="AJ157" s="428"/>
      <c r="AK157" s="428"/>
      <c r="AL157" s="428"/>
      <c r="AM157" s="428"/>
      <c r="AN157" s="428"/>
      <c r="AO157" s="428"/>
      <c r="AP157" s="428"/>
      <c r="AQ157" s="428"/>
      <c r="AR157" s="428"/>
      <c r="AS157" s="428"/>
      <c r="AT157" s="428"/>
      <c r="AU157" s="428"/>
      <c r="AV157" s="428"/>
      <c r="AW157" s="429"/>
      <c r="AX157" s="8"/>
    </row>
    <row r="158" spans="1:50" ht="13.5" customHeight="1">
      <c r="A158" s="5"/>
      <c r="B158" s="320"/>
      <c r="C158" s="320"/>
      <c r="D158" s="373"/>
      <c r="E158" s="374"/>
      <c r="F158" s="374"/>
      <c r="G158" s="374"/>
      <c r="H158" s="375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418"/>
      <c r="W158" s="419"/>
      <c r="X158" s="419"/>
      <c r="Y158" s="419"/>
      <c r="Z158" s="419"/>
      <c r="AA158" s="419"/>
      <c r="AB158" s="419"/>
      <c r="AC158" s="419"/>
      <c r="AD158" s="419"/>
      <c r="AE158" s="419"/>
      <c r="AF158" s="419"/>
      <c r="AG158" s="419"/>
      <c r="AH158" s="420"/>
      <c r="AI158" s="427"/>
      <c r="AJ158" s="428"/>
      <c r="AK158" s="428"/>
      <c r="AL158" s="428"/>
      <c r="AM158" s="428"/>
      <c r="AN158" s="428"/>
      <c r="AO158" s="428"/>
      <c r="AP158" s="428"/>
      <c r="AQ158" s="428"/>
      <c r="AR158" s="428"/>
      <c r="AS158" s="428"/>
      <c r="AT158" s="428"/>
      <c r="AU158" s="428"/>
      <c r="AV158" s="428"/>
      <c r="AW158" s="429"/>
      <c r="AX158" s="8"/>
    </row>
    <row r="159" spans="1:50" ht="13.5" customHeight="1">
      <c r="A159" s="5"/>
      <c r="B159" s="320"/>
      <c r="C159" s="320"/>
      <c r="D159" s="373"/>
      <c r="E159" s="374"/>
      <c r="F159" s="374"/>
      <c r="G159" s="374"/>
      <c r="H159" s="375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418"/>
      <c r="W159" s="419"/>
      <c r="X159" s="419"/>
      <c r="Y159" s="419"/>
      <c r="Z159" s="419"/>
      <c r="AA159" s="419"/>
      <c r="AB159" s="419"/>
      <c r="AC159" s="419"/>
      <c r="AD159" s="419"/>
      <c r="AE159" s="419"/>
      <c r="AF159" s="419"/>
      <c r="AG159" s="419"/>
      <c r="AH159" s="420"/>
      <c r="AI159" s="427"/>
      <c r="AJ159" s="428"/>
      <c r="AK159" s="428"/>
      <c r="AL159" s="428"/>
      <c r="AM159" s="428"/>
      <c r="AN159" s="428"/>
      <c r="AO159" s="428"/>
      <c r="AP159" s="428"/>
      <c r="AQ159" s="428"/>
      <c r="AR159" s="428"/>
      <c r="AS159" s="428"/>
      <c r="AT159" s="428"/>
      <c r="AU159" s="428"/>
      <c r="AV159" s="428"/>
      <c r="AW159" s="429"/>
      <c r="AX159" s="8"/>
    </row>
    <row r="160" spans="1:50" ht="13.5" customHeight="1">
      <c r="A160" s="5"/>
      <c r="B160" s="320"/>
      <c r="C160" s="320"/>
      <c r="D160" s="373"/>
      <c r="E160" s="374"/>
      <c r="F160" s="374"/>
      <c r="G160" s="374"/>
      <c r="H160" s="375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418"/>
      <c r="W160" s="419"/>
      <c r="X160" s="419"/>
      <c r="Y160" s="419"/>
      <c r="Z160" s="419"/>
      <c r="AA160" s="419"/>
      <c r="AB160" s="419"/>
      <c r="AC160" s="419"/>
      <c r="AD160" s="419"/>
      <c r="AE160" s="419"/>
      <c r="AF160" s="419"/>
      <c r="AG160" s="419"/>
      <c r="AH160" s="420"/>
      <c r="AI160" s="427"/>
      <c r="AJ160" s="428"/>
      <c r="AK160" s="428"/>
      <c r="AL160" s="428"/>
      <c r="AM160" s="428"/>
      <c r="AN160" s="428"/>
      <c r="AO160" s="428"/>
      <c r="AP160" s="428"/>
      <c r="AQ160" s="428"/>
      <c r="AR160" s="428"/>
      <c r="AS160" s="428"/>
      <c r="AT160" s="428"/>
      <c r="AU160" s="428"/>
      <c r="AV160" s="428"/>
      <c r="AW160" s="429"/>
      <c r="AX160" s="8"/>
    </row>
    <row r="161" spans="1:50" ht="13.5" customHeight="1">
      <c r="A161" s="5"/>
      <c r="B161" s="320"/>
      <c r="C161" s="320"/>
      <c r="D161" s="373"/>
      <c r="E161" s="374"/>
      <c r="F161" s="374"/>
      <c r="G161" s="374"/>
      <c r="H161" s="375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418"/>
      <c r="W161" s="419"/>
      <c r="X161" s="419"/>
      <c r="Y161" s="419"/>
      <c r="Z161" s="419"/>
      <c r="AA161" s="419"/>
      <c r="AB161" s="419"/>
      <c r="AC161" s="419"/>
      <c r="AD161" s="419"/>
      <c r="AE161" s="419"/>
      <c r="AF161" s="419"/>
      <c r="AG161" s="419"/>
      <c r="AH161" s="420"/>
      <c r="AI161" s="427"/>
      <c r="AJ161" s="428"/>
      <c r="AK161" s="428"/>
      <c r="AL161" s="428"/>
      <c r="AM161" s="428"/>
      <c r="AN161" s="428"/>
      <c r="AO161" s="428"/>
      <c r="AP161" s="428"/>
      <c r="AQ161" s="428"/>
      <c r="AR161" s="428"/>
      <c r="AS161" s="428"/>
      <c r="AT161" s="428"/>
      <c r="AU161" s="428"/>
      <c r="AV161" s="428"/>
      <c r="AW161" s="429"/>
      <c r="AX161" s="8"/>
    </row>
    <row r="162" spans="1:50" ht="13.5" customHeight="1">
      <c r="A162" s="5"/>
      <c r="B162" s="320"/>
      <c r="C162" s="320"/>
      <c r="D162" s="373"/>
      <c r="E162" s="374"/>
      <c r="F162" s="374"/>
      <c r="G162" s="374"/>
      <c r="H162" s="375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418"/>
      <c r="W162" s="419"/>
      <c r="X162" s="419"/>
      <c r="Y162" s="419"/>
      <c r="Z162" s="419"/>
      <c r="AA162" s="419"/>
      <c r="AB162" s="419"/>
      <c r="AC162" s="419"/>
      <c r="AD162" s="419"/>
      <c r="AE162" s="419"/>
      <c r="AF162" s="419"/>
      <c r="AG162" s="419"/>
      <c r="AH162" s="420"/>
      <c r="AI162" s="427"/>
      <c r="AJ162" s="428"/>
      <c r="AK162" s="428"/>
      <c r="AL162" s="428"/>
      <c r="AM162" s="428"/>
      <c r="AN162" s="428"/>
      <c r="AO162" s="428"/>
      <c r="AP162" s="428"/>
      <c r="AQ162" s="428"/>
      <c r="AR162" s="428"/>
      <c r="AS162" s="428"/>
      <c r="AT162" s="428"/>
      <c r="AU162" s="428"/>
      <c r="AV162" s="428"/>
      <c r="AW162" s="429"/>
      <c r="AX162" s="8"/>
    </row>
    <row r="163" spans="1:50" ht="13.5" customHeight="1">
      <c r="A163" s="5"/>
      <c r="B163" s="320"/>
      <c r="C163" s="320"/>
      <c r="D163" s="373"/>
      <c r="E163" s="374"/>
      <c r="F163" s="374"/>
      <c r="G163" s="374"/>
      <c r="H163" s="375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418"/>
      <c r="W163" s="419"/>
      <c r="X163" s="419"/>
      <c r="Y163" s="419"/>
      <c r="Z163" s="419"/>
      <c r="AA163" s="419"/>
      <c r="AB163" s="419"/>
      <c r="AC163" s="419"/>
      <c r="AD163" s="419"/>
      <c r="AE163" s="419"/>
      <c r="AF163" s="419"/>
      <c r="AG163" s="419"/>
      <c r="AH163" s="420"/>
      <c r="AI163" s="427"/>
      <c r="AJ163" s="428"/>
      <c r="AK163" s="428"/>
      <c r="AL163" s="428"/>
      <c r="AM163" s="428"/>
      <c r="AN163" s="428"/>
      <c r="AO163" s="428"/>
      <c r="AP163" s="428"/>
      <c r="AQ163" s="428"/>
      <c r="AR163" s="428"/>
      <c r="AS163" s="428"/>
      <c r="AT163" s="428"/>
      <c r="AU163" s="428"/>
      <c r="AV163" s="428"/>
      <c r="AW163" s="429"/>
      <c r="AX163" s="8"/>
    </row>
    <row r="164" spans="1:50" ht="13.5" customHeight="1">
      <c r="A164" s="5"/>
      <c r="B164" s="320"/>
      <c r="C164" s="320"/>
      <c r="D164" s="326"/>
      <c r="E164" s="327"/>
      <c r="F164" s="327"/>
      <c r="G164" s="327"/>
      <c r="H164" s="328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421"/>
      <c r="W164" s="422"/>
      <c r="X164" s="422"/>
      <c r="Y164" s="422"/>
      <c r="Z164" s="422"/>
      <c r="AA164" s="422"/>
      <c r="AB164" s="422"/>
      <c r="AC164" s="422"/>
      <c r="AD164" s="422"/>
      <c r="AE164" s="422"/>
      <c r="AF164" s="422"/>
      <c r="AG164" s="422"/>
      <c r="AH164" s="423"/>
      <c r="AI164" s="430"/>
      <c r="AJ164" s="431"/>
      <c r="AK164" s="431"/>
      <c r="AL164" s="431"/>
      <c r="AM164" s="431"/>
      <c r="AN164" s="431"/>
      <c r="AO164" s="431"/>
      <c r="AP164" s="431"/>
      <c r="AQ164" s="431"/>
      <c r="AR164" s="431"/>
      <c r="AS164" s="431"/>
      <c r="AT164" s="431"/>
      <c r="AU164" s="431"/>
      <c r="AV164" s="431"/>
      <c r="AW164" s="432"/>
      <c r="AX164" s="8"/>
    </row>
    <row r="165" spans="1:50" ht="13.5" customHeight="1">
      <c r="A165" s="5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8"/>
    </row>
    <row r="166" spans="1:50" ht="13.5" customHeight="1">
      <c r="A166" s="5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8"/>
    </row>
    <row r="167" spans="1:50" ht="22.5">
      <c r="A167" s="5"/>
      <c r="B167" s="39" t="s">
        <v>140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8"/>
    </row>
    <row r="168" spans="1:50" ht="18.75">
      <c r="A168" s="5"/>
      <c r="B168" s="6" t="s">
        <v>15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8"/>
    </row>
    <row r="169" spans="1:50" ht="13.5" customHeight="1">
      <c r="A169" s="5"/>
      <c r="B169" s="319" t="s">
        <v>215</v>
      </c>
      <c r="C169" s="319"/>
      <c r="D169" s="319" t="s">
        <v>9</v>
      </c>
      <c r="E169" s="319"/>
      <c r="F169" s="319"/>
      <c r="G169" s="319"/>
      <c r="H169" s="319"/>
      <c r="I169" s="319"/>
      <c r="J169" s="319"/>
      <c r="K169" s="319"/>
      <c r="L169" s="319"/>
      <c r="M169" s="319"/>
      <c r="N169" s="319" t="s">
        <v>16</v>
      </c>
      <c r="O169" s="319"/>
      <c r="P169" s="319"/>
      <c r="Q169" s="319"/>
      <c r="R169" s="319"/>
      <c r="S169" s="319"/>
      <c r="T169" s="319"/>
      <c r="U169" s="319" t="s">
        <v>216</v>
      </c>
      <c r="V169" s="319"/>
      <c r="W169" s="319"/>
      <c r="X169" s="319"/>
      <c r="Y169" s="319"/>
      <c r="Z169" s="319"/>
      <c r="AA169" s="319"/>
      <c r="AB169" s="319" t="s">
        <v>18</v>
      </c>
      <c r="AC169" s="319"/>
      <c r="AD169" s="319" t="s">
        <v>19</v>
      </c>
      <c r="AE169" s="319"/>
      <c r="AF169" s="319" t="s">
        <v>20</v>
      </c>
      <c r="AG169" s="319"/>
      <c r="AH169" s="319" t="s">
        <v>21</v>
      </c>
      <c r="AI169" s="319"/>
      <c r="AJ169" s="319" t="s">
        <v>22</v>
      </c>
      <c r="AK169" s="319"/>
      <c r="AL169" s="319"/>
      <c r="AM169" s="319"/>
      <c r="AN169" s="319"/>
      <c r="AO169" s="319"/>
      <c r="AP169" s="319" t="s">
        <v>12</v>
      </c>
      <c r="AQ169" s="319"/>
      <c r="AR169" s="319"/>
      <c r="AS169" s="319"/>
      <c r="AT169" s="319"/>
      <c r="AU169" s="319"/>
      <c r="AV169" s="319"/>
      <c r="AW169" s="319"/>
      <c r="AX169" s="8"/>
    </row>
    <row r="170" spans="1:50" ht="13.5" customHeight="1">
      <c r="A170" s="5"/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319"/>
      <c r="AB170" s="319"/>
      <c r="AC170" s="319"/>
      <c r="AD170" s="319"/>
      <c r="AE170" s="319"/>
      <c r="AF170" s="319"/>
      <c r="AG170" s="319"/>
      <c r="AH170" s="319"/>
      <c r="AI170" s="319"/>
      <c r="AJ170" s="319"/>
      <c r="AK170" s="319"/>
      <c r="AL170" s="319"/>
      <c r="AM170" s="319"/>
      <c r="AN170" s="319"/>
      <c r="AO170" s="319"/>
      <c r="AP170" s="319"/>
      <c r="AQ170" s="319"/>
      <c r="AR170" s="319"/>
      <c r="AS170" s="319"/>
      <c r="AT170" s="319"/>
      <c r="AU170" s="319"/>
      <c r="AV170" s="319"/>
      <c r="AW170" s="319"/>
      <c r="AX170" s="8"/>
    </row>
    <row r="171" spans="1:50" ht="13.5" customHeight="1">
      <c r="A171" s="5"/>
      <c r="B171" s="317">
        <v>1</v>
      </c>
      <c r="C171" s="317"/>
      <c r="D171" s="318" t="s">
        <v>141</v>
      </c>
      <c r="E171" s="318"/>
      <c r="F171" s="318"/>
      <c r="G171" s="318"/>
      <c r="H171" s="318"/>
      <c r="I171" s="318"/>
      <c r="J171" s="318"/>
      <c r="K171" s="318"/>
      <c r="L171" s="318"/>
      <c r="M171" s="318"/>
      <c r="N171" s="395" t="s">
        <v>217</v>
      </c>
      <c r="O171" s="410"/>
      <c r="P171" s="410"/>
      <c r="Q171" s="410"/>
      <c r="R171" s="410"/>
      <c r="S171" s="410"/>
      <c r="T171" s="411"/>
      <c r="U171" s="318" t="s">
        <v>92</v>
      </c>
      <c r="V171" s="318"/>
      <c r="W171" s="318"/>
      <c r="X171" s="318"/>
      <c r="Y171" s="318"/>
      <c r="Z171" s="318"/>
      <c r="AA171" s="318"/>
      <c r="AB171" s="341" t="s">
        <v>217</v>
      </c>
      <c r="AC171" s="341"/>
      <c r="AD171" s="341" t="s">
        <v>217</v>
      </c>
      <c r="AE171" s="341"/>
      <c r="AF171" s="341" t="s">
        <v>217</v>
      </c>
      <c r="AG171" s="341"/>
      <c r="AH171" s="341" t="s">
        <v>217</v>
      </c>
      <c r="AI171" s="341"/>
      <c r="AJ171" s="398" t="s">
        <v>236</v>
      </c>
      <c r="AK171" s="398"/>
      <c r="AL171" s="398"/>
      <c r="AM171" s="398"/>
      <c r="AN171" s="398"/>
      <c r="AO171" s="398"/>
      <c r="AP171" s="399"/>
      <c r="AQ171" s="399"/>
      <c r="AR171" s="399"/>
      <c r="AS171" s="399"/>
      <c r="AT171" s="399"/>
      <c r="AU171" s="399"/>
      <c r="AV171" s="399"/>
      <c r="AW171" s="399"/>
      <c r="AX171" s="8"/>
    </row>
    <row r="172" spans="1:50" ht="13.5" customHeight="1">
      <c r="A172" s="5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8"/>
    </row>
    <row r="173" spans="1:50" ht="18.75">
      <c r="A173" s="5"/>
      <c r="B173" s="32" t="s">
        <v>64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8"/>
    </row>
    <row r="174" spans="1:50" ht="13.5" customHeight="1">
      <c r="A174" s="5"/>
      <c r="B174" s="433" t="s">
        <v>65</v>
      </c>
      <c r="C174" s="433"/>
      <c r="D174" s="434" t="s">
        <v>66</v>
      </c>
      <c r="E174" s="434"/>
      <c r="F174" s="434"/>
      <c r="G174" s="434"/>
      <c r="H174" s="434"/>
      <c r="I174" s="433" t="s">
        <v>67</v>
      </c>
      <c r="J174" s="433"/>
      <c r="K174" s="433"/>
      <c r="L174" s="433"/>
      <c r="M174" s="433"/>
      <c r="N174" s="433"/>
      <c r="O174" s="433"/>
      <c r="P174" s="433"/>
      <c r="Q174" s="433"/>
      <c r="R174" s="433"/>
      <c r="S174" s="433"/>
      <c r="T174" s="433"/>
      <c r="U174" s="433"/>
      <c r="V174" s="433" t="s">
        <v>68</v>
      </c>
      <c r="W174" s="433"/>
      <c r="X174" s="433"/>
      <c r="Y174" s="433"/>
      <c r="Z174" s="433"/>
      <c r="AA174" s="433"/>
      <c r="AB174" s="433"/>
      <c r="AC174" s="433"/>
      <c r="AD174" s="433"/>
      <c r="AE174" s="433"/>
      <c r="AF174" s="433"/>
      <c r="AG174" s="433"/>
      <c r="AH174" s="433"/>
      <c r="AI174" s="433" t="s">
        <v>69</v>
      </c>
      <c r="AJ174" s="433"/>
      <c r="AK174" s="433"/>
      <c r="AL174" s="433"/>
      <c r="AM174" s="433"/>
      <c r="AN174" s="433"/>
      <c r="AO174" s="433"/>
      <c r="AP174" s="433"/>
      <c r="AQ174" s="433"/>
      <c r="AR174" s="433"/>
      <c r="AS174" s="433"/>
      <c r="AT174" s="433"/>
      <c r="AU174" s="433"/>
      <c r="AV174" s="433"/>
      <c r="AW174" s="433"/>
      <c r="AX174" s="8"/>
    </row>
    <row r="175" spans="1:50" ht="13.5" customHeight="1">
      <c r="A175" s="5"/>
      <c r="B175" s="433"/>
      <c r="C175" s="433"/>
      <c r="D175" s="434"/>
      <c r="E175" s="434"/>
      <c r="F175" s="434"/>
      <c r="G175" s="434"/>
      <c r="H175" s="434"/>
      <c r="I175" s="433"/>
      <c r="J175" s="433"/>
      <c r="K175" s="433"/>
      <c r="L175" s="433"/>
      <c r="M175" s="433"/>
      <c r="N175" s="433"/>
      <c r="O175" s="433"/>
      <c r="P175" s="433"/>
      <c r="Q175" s="433"/>
      <c r="R175" s="433"/>
      <c r="S175" s="433"/>
      <c r="T175" s="433"/>
      <c r="U175" s="433"/>
      <c r="V175" s="433"/>
      <c r="W175" s="433"/>
      <c r="X175" s="433"/>
      <c r="Y175" s="433"/>
      <c r="Z175" s="433"/>
      <c r="AA175" s="433"/>
      <c r="AB175" s="433"/>
      <c r="AC175" s="433"/>
      <c r="AD175" s="433"/>
      <c r="AE175" s="433"/>
      <c r="AF175" s="433"/>
      <c r="AG175" s="433"/>
      <c r="AH175" s="433"/>
      <c r="AI175" s="433"/>
      <c r="AJ175" s="433"/>
      <c r="AK175" s="433"/>
      <c r="AL175" s="433"/>
      <c r="AM175" s="433"/>
      <c r="AN175" s="433"/>
      <c r="AO175" s="433"/>
      <c r="AP175" s="433"/>
      <c r="AQ175" s="433"/>
      <c r="AR175" s="433"/>
      <c r="AS175" s="433"/>
      <c r="AT175" s="433"/>
      <c r="AU175" s="433"/>
      <c r="AV175" s="433"/>
      <c r="AW175" s="433"/>
      <c r="AX175" s="8"/>
    </row>
    <row r="176" spans="1:50" ht="13.5" customHeight="1">
      <c r="A176" s="5"/>
      <c r="B176" s="320">
        <v>1</v>
      </c>
      <c r="C176" s="320"/>
      <c r="D176" s="322" t="s">
        <v>237</v>
      </c>
      <c r="E176" s="322"/>
      <c r="F176" s="322"/>
      <c r="G176" s="322"/>
      <c r="H176" s="322"/>
      <c r="I176" s="321" t="s">
        <v>166</v>
      </c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435" t="s">
        <v>72</v>
      </c>
      <c r="W176" s="435"/>
      <c r="X176" s="435"/>
      <c r="Y176" s="435"/>
      <c r="Z176" s="435"/>
      <c r="AA176" s="435"/>
      <c r="AB176" s="435"/>
      <c r="AC176" s="435"/>
      <c r="AD176" s="435"/>
      <c r="AE176" s="435"/>
      <c r="AF176" s="435"/>
      <c r="AG176" s="435"/>
      <c r="AH176" s="435"/>
      <c r="AI176" s="405" t="s">
        <v>239</v>
      </c>
      <c r="AJ176" s="405"/>
      <c r="AK176" s="405"/>
      <c r="AL176" s="405"/>
      <c r="AM176" s="405"/>
      <c r="AN176" s="405"/>
      <c r="AO176" s="405"/>
      <c r="AP176" s="405"/>
      <c r="AQ176" s="405"/>
      <c r="AR176" s="405"/>
      <c r="AS176" s="405"/>
      <c r="AT176" s="405"/>
      <c r="AU176" s="405"/>
      <c r="AV176" s="405"/>
      <c r="AW176" s="405"/>
      <c r="AX176" s="8"/>
    </row>
    <row r="177" spans="1:50" s="51" customFormat="1" ht="13.5" customHeight="1">
      <c r="A177" s="46"/>
      <c r="B177" s="47"/>
      <c r="C177" s="47"/>
      <c r="D177" s="48"/>
      <c r="E177" s="48"/>
      <c r="F177" s="48"/>
      <c r="G177" s="48"/>
      <c r="H177" s="48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50"/>
    </row>
    <row r="178" spans="1:50" s="51" customFormat="1" ht="13.5" customHeight="1">
      <c r="A178" s="46"/>
      <c r="B178" s="47"/>
      <c r="C178" s="47"/>
      <c r="D178" s="48"/>
      <c r="E178" s="48"/>
      <c r="F178" s="48"/>
      <c r="G178" s="48"/>
      <c r="H178" s="48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50"/>
    </row>
    <row r="179" spans="1:50" s="51" customFormat="1" ht="13.5" customHeight="1">
      <c r="A179" s="46"/>
      <c r="B179" s="47"/>
      <c r="C179" s="47"/>
      <c r="D179" s="48"/>
      <c r="E179" s="48"/>
      <c r="F179" s="48"/>
      <c r="G179" s="48"/>
      <c r="H179" s="48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50"/>
    </row>
    <row r="180" spans="1:50" s="51" customFormat="1" ht="13.5" customHeight="1">
      <c r="A180" s="46"/>
      <c r="B180" s="47"/>
      <c r="C180" s="47"/>
      <c r="D180" s="48"/>
      <c r="E180" s="48"/>
      <c r="F180" s="48"/>
      <c r="G180" s="48"/>
      <c r="H180" s="48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50"/>
    </row>
    <row r="181" spans="1:50" s="51" customFormat="1" ht="13.5" customHeight="1" thickBot="1">
      <c r="A181" s="52"/>
      <c r="B181" s="53"/>
      <c r="C181" s="53"/>
      <c r="D181" s="54"/>
      <c r="E181" s="54"/>
      <c r="F181" s="54"/>
      <c r="G181" s="54"/>
      <c r="H181" s="54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6"/>
    </row>
    <row r="182" spans="1:50" s="37" customFormat="1" ht="13.5" customHeight="1">
      <c r="A182" s="40"/>
      <c r="B182" s="25"/>
      <c r="C182" s="25"/>
      <c r="D182" s="27"/>
      <c r="E182" s="27"/>
      <c r="F182" s="27"/>
      <c r="G182" s="27"/>
      <c r="H182" s="27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41"/>
    </row>
    <row r="183" spans="1:50" ht="13.5" customHeight="1">
      <c r="A183" s="5"/>
      <c r="B183" s="436">
        <v>2</v>
      </c>
      <c r="C183" s="437"/>
      <c r="D183" s="322" t="s">
        <v>237</v>
      </c>
      <c r="E183" s="322"/>
      <c r="F183" s="322"/>
      <c r="G183" s="322"/>
      <c r="H183" s="322"/>
      <c r="I183" s="321" t="s">
        <v>167</v>
      </c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435" t="s">
        <v>72</v>
      </c>
      <c r="W183" s="435"/>
      <c r="X183" s="435"/>
      <c r="Y183" s="435"/>
      <c r="Z183" s="435"/>
      <c r="AA183" s="435"/>
      <c r="AB183" s="435"/>
      <c r="AC183" s="435"/>
      <c r="AD183" s="435"/>
      <c r="AE183" s="435"/>
      <c r="AF183" s="435"/>
      <c r="AG183" s="435"/>
      <c r="AH183" s="435"/>
      <c r="AI183" s="405" t="s">
        <v>239</v>
      </c>
      <c r="AJ183" s="405"/>
      <c r="AK183" s="405"/>
      <c r="AL183" s="405"/>
      <c r="AM183" s="405"/>
      <c r="AN183" s="405"/>
      <c r="AO183" s="405"/>
      <c r="AP183" s="405"/>
      <c r="AQ183" s="405"/>
      <c r="AR183" s="405"/>
      <c r="AS183" s="405"/>
      <c r="AT183" s="405"/>
      <c r="AU183" s="405"/>
      <c r="AV183" s="405"/>
      <c r="AW183" s="405"/>
      <c r="AX183" s="8"/>
    </row>
    <row r="184" spans="1:50" ht="13.5" customHeight="1">
      <c r="A184" s="5"/>
      <c r="B184" s="438"/>
      <c r="C184" s="439"/>
      <c r="D184" s="322"/>
      <c r="E184" s="322"/>
      <c r="F184" s="322"/>
      <c r="G184" s="322"/>
      <c r="H184" s="322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435"/>
      <c r="W184" s="435"/>
      <c r="X184" s="435"/>
      <c r="Y184" s="435"/>
      <c r="Z184" s="435"/>
      <c r="AA184" s="435"/>
      <c r="AB184" s="435"/>
      <c r="AC184" s="435"/>
      <c r="AD184" s="435"/>
      <c r="AE184" s="435"/>
      <c r="AF184" s="435"/>
      <c r="AG184" s="435"/>
      <c r="AH184" s="435"/>
      <c r="AI184" s="405"/>
      <c r="AJ184" s="405"/>
      <c r="AK184" s="405"/>
      <c r="AL184" s="405"/>
      <c r="AM184" s="405"/>
      <c r="AN184" s="405"/>
      <c r="AO184" s="405"/>
      <c r="AP184" s="405"/>
      <c r="AQ184" s="405"/>
      <c r="AR184" s="405"/>
      <c r="AS184" s="405"/>
      <c r="AT184" s="405"/>
      <c r="AU184" s="405"/>
      <c r="AV184" s="405"/>
      <c r="AW184" s="405"/>
      <c r="AX184" s="8"/>
    </row>
    <row r="185" spans="1:50" ht="13.5" customHeight="1">
      <c r="A185" s="5"/>
      <c r="B185" s="438"/>
      <c r="C185" s="439"/>
      <c r="D185" s="322"/>
      <c r="E185" s="322"/>
      <c r="F185" s="322"/>
      <c r="G185" s="322"/>
      <c r="H185" s="322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435"/>
      <c r="W185" s="435"/>
      <c r="X185" s="435"/>
      <c r="Y185" s="435"/>
      <c r="Z185" s="435"/>
      <c r="AA185" s="435"/>
      <c r="AB185" s="435"/>
      <c r="AC185" s="435"/>
      <c r="AD185" s="435"/>
      <c r="AE185" s="435"/>
      <c r="AF185" s="435"/>
      <c r="AG185" s="435"/>
      <c r="AH185" s="435"/>
      <c r="AI185" s="405"/>
      <c r="AJ185" s="405"/>
      <c r="AK185" s="405"/>
      <c r="AL185" s="405"/>
      <c r="AM185" s="405"/>
      <c r="AN185" s="405"/>
      <c r="AO185" s="405"/>
      <c r="AP185" s="405"/>
      <c r="AQ185" s="405"/>
      <c r="AR185" s="405"/>
      <c r="AS185" s="405"/>
      <c r="AT185" s="405"/>
      <c r="AU185" s="405"/>
      <c r="AV185" s="405"/>
      <c r="AW185" s="405"/>
      <c r="AX185" s="8"/>
    </row>
    <row r="186" spans="1:50" ht="13.5" customHeight="1">
      <c r="A186" s="5"/>
      <c r="B186" s="438"/>
      <c r="C186" s="439"/>
      <c r="D186" s="322"/>
      <c r="E186" s="322"/>
      <c r="F186" s="322"/>
      <c r="G186" s="322"/>
      <c r="H186" s="322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435"/>
      <c r="W186" s="435"/>
      <c r="X186" s="435"/>
      <c r="Y186" s="435"/>
      <c r="Z186" s="435"/>
      <c r="AA186" s="435"/>
      <c r="AB186" s="435"/>
      <c r="AC186" s="435"/>
      <c r="AD186" s="435"/>
      <c r="AE186" s="435"/>
      <c r="AF186" s="435"/>
      <c r="AG186" s="435"/>
      <c r="AH186" s="435"/>
      <c r="AI186" s="405"/>
      <c r="AJ186" s="405"/>
      <c r="AK186" s="405"/>
      <c r="AL186" s="405"/>
      <c r="AM186" s="405"/>
      <c r="AN186" s="405"/>
      <c r="AO186" s="405"/>
      <c r="AP186" s="405"/>
      <c r="AQ186" s="405"/>
      <c r="AR186" s="405"/>
      <c r="AS186" s="405"/>
      <c r="AT186" s="405"/>
      <c r="AU186" s="405"/>
      <c r="AV186" s="405"/>
      <c r="AW186" s="405"/>
      <c r="AX186" s="8"/>
    </row>
    <row r="187" spans="1:50" ht="13.5" customHeight="1">
      <c r="A187" s="5"/>
      <c r="B187" s="440"/>
      <c r="C187" s="441"/>
      <c r="D187" s="322"/>
      <c r="E187" s="322"/>
      <c r="F187" s="322"/>
      <c r="G187" s="322"/>
      <c r="H187" s="322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435"/>
      <c r="W187" s="435"/>
      <c r="X187" s="435"/>
      <c r="Y187" s="435"/>
      <c r="Z187" s="435"/>
      <c r="AA187" s="435"/>
      <c r="AB187" s="435"/>
      <c r="AC187" s="435"/>
      <c r="AD187" s="435"/>
      <c r="AE187" s="435"/>
      <c r="AF187" s="435"/>
      <c r="AG187" s="435"/>
      <c r="AH187" s="435"/>
      <c r="AI187" s="405"/>
      <c r="AJ187" s="405"/>
      <c r="AK187" s="405"/>
      <c r="AL187" s="405"/>
      <c r="AM187" s="405"/>
      <c r="AN187" s="405"/>
      <c r="AO187" s="405"/>
      <c r="AP187" s="405"/>
      <c r="AQ187" s="405"/>
      <c r="AR187" s="405"/>
      <c r="AS187" s="405"/>
      <c r="AT187" s="405"/>
      <c r="AU187" s="405"/>
      <c r="AV187" s="405"/>
      <c r="AW187" s="405"/>
      <c r="AX187" s="8"/>
    </row>
    <row r="188" spans="1:50" ht="13.5" customHeight="1">
      <c r="A188" s="5"/>
      <c r="B188" s="436">
        <v>3</v>
      </c>
      <c r="C188" s="437"/>
      <c r="D188" s="321" t="s">
        <v>238</v>
      </c>
      <c r="E188" s="321"/>
      <c r="F188" s="321"/>
      <c r="G188" s="321"/>
      <c r="H188" s="321"/>
      <c r="I188" s="321" t="s">
        <v>168</v>
      </c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435"/>
      <c r="W188" s="435"/>
      <c r="X188" s="435"/>
      <c r="Y188" s="435"/>
      <c r="Z188" s="435"/>
      <c r="AA188" s="435"/>
      <c r="AB188" s="435"/>
      <c r="AC188" s="435"/>
      <c r="AD188" s="435"/>
      <c r="AE188" s="435"/>
      <c r="AF188" s="435"/>
      <c r="AG188" s="435"/>
      <c r="AH188" s="435"/>
      <c r="AI188" s="405"/>
      <c r="AJ188" s="405"/>
      <c r="AK188" s="405"/>
      <c r="AL188" s="405"/>
      <c r="AM188" s="405"/>
      <c r="AN188" s="405"/>
      <c r="AO188" s="405"/>
      <c r="AP188" s="405"/>
      <c r="AQ188" s="405"/>
      <c r="AR188" s="405"/>
      <c r="AS188" s="405"/>
      <c r="AT188" s="405"/>
      <c r="AU188" s="405"/>
      <c r="AV188" s="405"/>
      <c r="AW188" s="405"/>
      <c r="AX188" s="8"/>
    </row>
    <row r="189" spans="1:50" ht="13.5" customHeight="1">
      <c r="A189" s="5"/>
      <c r="B189" s="438"/>
      <c r="C189" s="439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435"/>
      <c r="W189" s="435"/>
      <c r="X189" s="435"/>
      <c r="Y189" s="435"/>
      <c r="Z189" s="435"/>
      <c r="AA189" s="435"/>
      <c r="AB189" s="435"/>
      <c r="AC189" s="435"/>
      <c r="AD189" s="435"/>
      <c r="AE189" s="435"/>
      <c r="AF189" s="435"/>
      <c r="AG189" s="435"/>
      <c r="AH189" s="435"/>
      <c r="AI189" s="405"/>
      <c r="AJ189" s="405"/>
      <c r="AK189" s="405"/>
      <c r="AL189" s="405"/>
      <c r="AM189" s="405"/>
      <c r="AN189" s="405"/>
      <c r="AO189" s="405"/>
      <c r="AP189" s="405"/>
      <c r="AQ189" s="405"/>
      <c r="AR189" s="405"/>
      <c r="AS189" s="405"/>
      <c r="AT189" s="405"/>
      <c r="AU189" s="405"/>
      <c r="AV189" s="405"/>
      <c r="AW189" s="405"/>
      <c r="AX189" s="8"/>
    </row>
    <row r="190" spans="1:50" ht="13.5" customHeight="1">
      <c r="A190" s="5"/>
      <c r="B190" s="438"/>
      <c r="C190" s="439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435"/>
      <c r="W190" s="435"/>
      <c r="X190" s="435"/>
      <c r="Y190" s="435"/>
      <c r="Z190" s="435"/>
      <c r="AA190" s="435"/>
      <c r="AB190" s="435"/>
      <c r="AC190" s="435"/>
      <c r="AD190" s="435"/>
      <c r="AE190" s="435"/>
      <c r="AF190" s="435"/>
      <c r="AG190" s="435"/>
      <c r="AH190" s="435"/>
      <c r="AI190" s="405"/>
      <c r="AJ190" s="405"/>
      <c r="AK190" s="405"/>
      <c r="AL190" s="405"/>
      <c r="AM190" s="405"/>
      <c r="AN190" s="405"/>
      <c r="AO190" s="405"/>
      <c r="AP190" s="405"/>
      <c r="AQ190" s="405"/>
      <c r="AR190" s="405"/>
      <c r="AS190" s="405"/>
      <c r="AT190" s="405"/>
      <c r="AU190" s="405"/>
      <c r="AV190" s="405"/>
      <c r="AW190" s="405"/>
      <c r="AX190" s="8"/>
    </row>
    <row r="191" spans="1:50" ht="13.5" customHeight="1">
      <c r="A191" s="5"/>
      <c r="B191" s="438"/>
      <c r="C191" s="439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435"/>
      <c r="W191" s="435"/>
      <c r="X191" s="435"/>
      <c r="Y191" s="435"/>
      <c r="Z191" s="435"/>
      <c r="AA191" s="435"/>
      <c r="AB191" s="435"/>
      <c r="AC191" s="435"/>
      <c r="AD191" s="435"/>
      <c r="AE191" s="435"/>
      <c r="AF191" s="435"/>
      <c r="AG191" s="435"/>
      <c r="AH191" s="435"/>
      <c r="AI191" s="405"/>
      <c r="AJ191" s="405"/>
      <c r="AK191" s="405"/>
      <c r="AL191" s="405"/>
      <c r="AM191" s="405"/>
      <c r="AN191" s="405"/>
      <c r="AO191" s="405"/>
      <c r="AP191" s="405"/>
      <c r="AQ191" s="405"/>
      <c r="AR191" s="405"/>
      <c r="AS191" s="405"/>
      <c r="AT191" s="405"/>
      <c r="AU191" s="405"/>
      <c r="AV191" s="405"/>
      <c r="AW191" s="405"/>
      <c r="AX191" s="8"/>
    </row>
    <row r="192" spans="1:50" ht="13.5" customHeight="1">
      <c r="A192" s="5"/>
      <c r="B192" s="438"/>
      <c r="C192" s="439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435"/>
      <c r="W192" s="435"/>
      <c r="X192" s="435"/>
      <c r="Y192" s="435"/>
      <c r="Z192" s="435"/>
      <c r="AA192" s="435"/>
      <c r="AB192" s="435"/>
      <c r="AC192" s="435"/>
      <c r="AD192" s="435"/>
      <c r="AE192" s="435"/>
      <c r="AF192" s="435"/>
      <c r="AG192" s="435"/>
      <c r="AH192" s="435"/>
      <c r="AI192" s="405"/>
      <c r="AJ192" s="405"/>
      <c r="AK192" s="405"/>
      <c r="AL192" s="405"/>
      <c r="AM192" s="405"/>
      <c r="AN192" s="405"/>
      <c r="AO192" s="405"/>
      <c r="AP192" s="405"/>
      <c r="AQ192" s="405"/>
      <c r="AR192" s="405"/>
      <c r="AS192" s="405"/>
      <c r="AT192" s="405"/>
      <c r="AU192" s="405"/>
      <c r="AV192" s="405"/>
      <c r="AW192" s="405"/>
      <c r="AX192" s="8"/>
    </row>
    <row r="193" spans="1:50" ht="13.5" customHeight="1">
      <c r="A193" s="5"/>
      <c r="B193" s="438"/>
      <c r="C193" s="439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435"/>
      <c r="W193" s="435"/>
      <c r="X193" s="435"/>
      <c r="Y193" s="435"/>
      <c r="Z193" s="435"/>
      <c r="AA193" s="435"/>
      <c r="AB193" s="435"/>
      <c r="AC193" s="435"/>
      <c r="AD193" s="435"/>
      <c r="AE193" s="435"/>
      <c r="AF193" s="435"/>
      <c r="AG193" s="435"/>
      <c r="AH193" s="435"/>
      <c r="AI193" s="405"/>
      <c r="AJ193" s="405"/>
      <c r="AK193" s="405"/>
      <c r="AL193" s="405"/>
      <c r="AM193" s="405"/>
      <c r="AN193" s="405"/>
      <c r="AO193" s="405"/>
      <c r="AP193" s="405"/>
      <c r="AQ193" s="405"/>
      <c r="AR193" s="405"/>
      <c r="AS193" s="405"/>
      <c r="AT193" s="405"/>
      <c r="AU193" s="405"/>
      <c r="AV193" s="405"/>
      <c r="AW193" s="405"/>
      <c r="AX193" s="8"/>
    </row>
    <row r="194" spans="1:50" ht="13.5" customHeight="1">
      <c r="A194" s="5"/>
      <c r="B194" s="438"/>
      <c r="C194" s="439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435"/>
      <c r="W194" s="435"/>
      <c r="X194" s="435"/>
      <c r="Y194" s="435"/>
      <c r="Z194" s="435"/>
      <c r="AA194" s="435"/>
      <c r="AB194" s="435"/>
      <c r="AC194" s="435"/>
      <c r="AD194" s="435"/>
      <c r="AE194" s="435"/>
      <c r="AF194" s="435"/>
      <c r="AG194" s="435"/>
      <c r="AH194" s="435"/>
      <c r="AI194" s="405"/>
      <c r="AJ194" s="405"/>
      <c r="AK194" s="405"/>
      <c r="AL194" s="405"/>
      <c r="AM194" s="405"/>
      <c r="AN194" s="405"/>
      <c r="AO194" s="405"/>
      <c r="AP194" s="405"/>
      <c r="AQ194" s="405"/>
      <c r="AR194" s="405"/>
      <c r="AS194" s="405"/>
      <c r="AT194" s="405"/>
      <c r="AU194" s="405"/>
      <c r="AV194" s="405"/>
      <c r="AW194" s="405"/>
      <c r="AX194" s="8"/>
    </row>
    <row r="195" spans="1:50" ht="13.5" customHeight="1">
      <c r="A195" s="5"/>
      <c r="B195" s="440"/>
      <c r="C195" s="44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435"/>
      <c r="W195" s="435"/>
      <c r="X195" s="435"/>
      <c r="Y195" s="435"/>
      <c r="Z195" s="435"/>
      <c r="AA195" s="435"/>
      <c r="AB195" s="435"/>
      <c r="AC195" s="435"/>
      <c r="AD195" s="435"/>
      <c r="AE195" s="435"/>
      <c r="AF195" s="435"/>
      <c r="AG195" s="435"/>
      <c r="AH195" s="435"/>
      <c r="AI195" s="405"/>
      <c r="AJ195" s="405"/>
      <c r="AK195" s="405"/>
      <c r="AL195" s="405"/>
      <c r="AM195" s="405"/>
      <c r="AN195" s="405"/>
      <c r="AO195" s="405"/>
      <c r="AP195" s="405"/>
      <c r="AQ195" s="405"/>
      <c r="AR195" s="405"/>
      <c r="AS195" s="405"/>
      <c r="AT195" s="405"/>
      <c r="AU195" s="405"/>
      <c r="AV195" s="405"/>
      <c r="AW195" s="405"/>
      <c r="AX195" s="8"/>
    </row>
    <row r="196" spans="1:50" ht="13.5" customHeight="1">
      <c r="A196" s="5"/>
      <c r="B196" s="17"/>
      <c r="C196" s="17"/>
      <c r="D196" s="43"/>
      <c r="E196" s="43"/>
      <c r="F196" s="43"/>
      <c r="G196" s="43"/>
      <c r="H196" s="43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8"/>
    </row>
    <row r="197" spans="1:50" ht="13.5" customHeight="1">
      <c r="A197" s="5"/>
      <c r="B197" s="17"/>
      <c r="C197" s="17"/>
      <c r="D197" s="43"/>
      <c r="E197" s="43"/>
      <c r="F197" s="43"/>
      <c r="G197" s="43"/>
      <c r="H197" s="43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8"/>
    </row>
    <row r="198" spans="1:50" ht="22.5">
      <c r="A198" s="5"/>
      <c r="B198" s="39" t="s">
        <v>145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8"/>
    </row>
    <row r="199" spans="1:50" ht="18.75">
      <c r="A199" s="5"/>
      <c r="B199" s="6" t="s">
        <v>15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8"/>
    </row>
    <row r="200" spans="1:50" ht="13.5" customHeight="1">
      <c r="A200" s="5"/>
      <c r="B200" s="319" t="s">
        <v>215</v>
      </c>
      <c r="C200" s="319"/>
      <c r="D200" s="319" t="s">
        <v>9</v>
      </c>
      <c r="E200" s="319"/>
      <c r="F200" s="319"/>
      <c r="G200" s="319"/>
      <c r="H200" s="319"/>
      <c r="I200" s="319"/>
      <c r="J200" s="319"/>
      <c r="K200" s="319"/>
      <c r="L200" s="319"/>
      <c r="M200" s="319"/>
      <c r="N200" s="319" t="s">
        <v>16</v>
      </c>
      <c r="O200" s="319"/>
      <c r="P200" s="319"/>
      <c r="Q200" s="319"/>
      <c r="R200" s="319"/>
      <c r="S200" s="319"/>
      <c r="T200" s="319"/>
      <c r="U200" s="319" t="s">
        <v>216</v>
      </c>
      <c r="V200" s="319"/>
      <c r="W200" s="319"/>
      <c r="X200" s="319"/>
      <c r="Y200" s="319"/>
      <c r="Z200" s="319"/>
      <c r="AA200" s="319"/>
      <c r="AB200" s="319" t="s">
        <v>18</v>
      </c>
      <c r="AC200" s="319"/>
      <c r="AD200" s="319" t="s">
        <v>19</v>
      </c>
      <c r="AE200" s="319"/>
      <c r="AF200" s="319" t="s">
        <v>20</v>
      </c>
      <c r="AG200" s="319"/>
      <c r="AH200" s="319" t="s">
        <v>21</v>
      </c>
      <c r="AI200" s="319"/>
      <c r="AJ200" s="319" t="s">
        <v>22</v>
      </c>
      <c r="AK200" s="319"/>
      <c r="AL200" s="319"/>
      <c r="AM200" s="319"/>
      <c r="AN200" s="319"/>
      <c r="AO200" s="319"/>
      <c r="AP200" s="319" t="s">
        <v>12</v>
      </c>
      <c r="AQ200" s="319"/>
      <c r="AR200" s="319"/>
      <c r="AS200" s="319"/>
      <c r="AT200" s="319"/>
      <c r="AU200" s="319"/>
      <c r="AV200" s="319"/>
      <c r="AW200" s="319"/>
      <c r="AX200" s="8"/>
    </row>
    <row r="201" spans="1:50" ht="13.5" customHeight="1">
      <c r="A201" s="5"/>
      <c r="B201" s="31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  <c r="Z201" s="319"/>
      <c r="AA201" s="319"/>
      <c r="AB201" s="319"/>
      <c r="AC201" s="319"/>
      <c r="AD201" s="319"/>
      <c r="AE201" s="319"/>
      <c r="AF201" s="319"/>
      <c r="AG201" s="319"/>
      <c r="AH201" s="319"/>
      <c r="AI201" s="319"/>
      <c r="AJ201" s="319"/>
      <c r="AK201" s="319"/>
      <c r="AL201" s="319"/>
      <c r="AM201" s="319"/>
      <c r="AN201" s="319"/>
      <c r="AO201" s="319"/>
      <c r="AP201" s="319"/>
      <c r="AQ201" s="319"/>
      <c r="AR201" s="319"/>
      <c r="AS201" s="319"/>
      <c r="AT201" s="319"/>
      <c r="AU201" s="319"/>
      <c r="AV201" s="319"/>
      <c r="AW201" s="319"/>
      <c r="AX201" s="8"/>
    </row>
    <row r="202" spans="1:50" ht="13.5" customHeight="1">
      <c r="A202" s="5"/>
      <c r="B202" s="317">
        <v>1</v>
      </c>
      <c r="C202" s="317"/>
      <c r="D202" s="318" t="s">
        <v>233</v>
      </c>
      <c r="E202" s="318"/>
      <c r="F202" s="318"/>
      <c r="G202" s="318"/>
      <c r="H202" s="318"/>
      <c r="I202" s="318"/>
      <c r="J202" s="318"/>
      <c r="K202" s="318"/>
      <c r="L202" s="318"/>
      <c r="M202" s="318"/>
      <c r="N202" s="395" t="s">
        <v>217</v>
      </c>
      <c r="O202" s="410"/>
      <c r="P202" s="410"/>
      <c r="Q202" s="410"/>
      <c r="R202" s="410"/>
      <c r="S202" s="410"/>
      <c r="T202" s="411"/>
      <c r="U202" s="318" t="s">
        <v>92</v>
      </c>
      <c r="V202" s="318"/>
      <c r="W202" s="318"/>
      <c r="X202" s="318"/>
      <c r="Y202" s="318"/>
      <c r="Z202" s="318"/>
      <c r="AA202" s="318"/>
      <c r="AB202" s="341" t="s">
        <v>217</v>
      </c>
      <c r="AC202" s="341"/>
      <c r="AD202" s="341" t="s">
        <v>217</v>
      </c>
      <c r="AE202" s="341"/>
      <c r="AF202" s="341" t="s">
        <v>217</v>
      </c>
      <c r="AG202" s="341"/>
      <c r="AH202" s="341" t="s">
        <v>217</v>
      </c>
      <c r="AI202" s="341"/>
      <c r="AJ202" s="398" t="s">
        <v>240</v>
      </c>
      <c r="AK202" s="398"/>
      <c r="AL202" s="398"/>
      <c r="AM202" s="398"/>
      <c r="AN202" s="398"/>
      <c r="AO202" s="398"/>
      <c r="AP202" s="399"/>
      <c r="AQ202" s="399"/>
      <c r="AR202" s="399"/>
      <c r="AS202" s="399"/>
      <c r="AT202" s="399"/>
      <c r="AU202" s="399"/>
      <c r="AV202" s="399"/>
      <c r="AW202" s="399"/>
      <c r="AX202" s="8"/>
    </row>
    <row r="203" spans="1:50" ht="13.5" customHeight="1">
      <c r="A203" s="5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8"/>
    </row>
    <row r="204" spans="1:50" ht="18.75">
      <c r="A204" s="5"/>
      <c r="B204" s="32" t="s">
        <v>64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8"/>
    </row>
    <row r="205" spans="1:50" ht="13.5" customHeight="1">
      <c r="A205" s="5"/>
      <c r="B205" s="433" t="s">
        <v>65</v>
      </c>
      <c r="C205" s="433"/>
      <c r="D205" s="434" t="s">
        <v>66</v>
      </c>
      <c r="E205" s="434"/>
      <c r="F205" s="434"/>
      <c r="G205" s="434"/>
      <c r="H205" s="434"/>
      <c r="I205" s="433" t="s">
        <v>67</v>
      </c>
      <c r="J205" s="433"/>
      <c r="K205" s="433"/>
      <c r="L205" s="433"/>
      <c r="M205" s="433"/>
      <c r="N205" s="433"/>
      <c r="O205" s="433"/>
      <c r="P205" s="433"/>
      <c r="Q205" s="433"/>
      <c r="R205" s="433"/>
      <c r="S205" s="433"/>
      <c r="T205" s="433"/>
      <c r="U205" s="433"/>
      <c r="V205" s="433" t="s">
        <v>68</v>
      </c>
      <c r="W205" s="433"/>
      <c r="X205" s="433"/>
      <c r="Y205" s="433"/>
      <c r="Z205" s="433"/>
      <c r="AA205" s="433"/>
      <c r="AB205" s="433"/>
      <c r="AC205" s="433"/>
      <c r="AD205" s="433"/>
      <c r="AE205" s="433"/>
      <c r="AF205" s="433"/>
      <c r="AG205" s="433"/>
      <c r="AH205" s="433"/>
      <c r="AI205" s="433" t="s">
        <v>69</v>
      </c>
      <c r="AJ205" s="433"/>
      <c r="AK205" s="433"/>
      <c r="AL205" s="433"/>
      <c r="AM205" s="433"/>
      <c r="AN205" s="433"/>
      <c r="AO205" s="433"/>
      <c r="AP205" s="433"/>
      <c r="AQ205" s="433"/>
      <c r="AR205" s="433"/>
      <c r="AS205" s="433"/>
      <c r="AT205" s="433"/>
      <c r="AU205" s="433"/>
      <c r="AV205" s="433"/>
      <c r="AW205" s="433"/>
      <c r="AX205" s="8"/>
    </row>
    <row r="206" spans="1:50" ht="13.5" customHeight="1">
      <c r="A206" s="5"/>
      <c r="B206" s="433"/>
      <c r="C206" s="433"/>
      <c r="D206" s="434"/>
      <c r="E206" s="434"/>
      <c r="F206" s="434"/>
      <c r="G206" s="434"/>
      <c r="H206" s="434"/>
      <c r="I206" s="433"/>
      <c r="J206" s="433"/>
      <c r="K206" s="433"/>
      <c r="L206" s="433"/>
      <c r="M206" s="433"/>
      <c r="N206" s="433"/>
      <c r="O206" s="433"/>
      <c r="P206" s="433"/>
      <c r="Q206" s="433"/>
      <c r="R206" s="433"/>
      <c r="S206" s="433"/>
      <c r="T206" s="433"/>
      <c r="U206" s="433"/>
      <c r="V206" s="433"/>
      <c r="W206" s="433"/>
      <c r="X206" s="433"/>
      <c r="Y206" s="433"/>
      <c r="Z206" s="433"/>
      <c r="AA206" s="433"/>
      <c r="AB206" s="433"/>
      <c r="AC206" s="433"/>
      <c r="AD206" s="433"/>
      <c r="AE206" s="433"/>
      <c r="AF206" s="433"/>
      <c r="AG206" s="433"/>
      <c r="AH206" s="433"/>
      <c r="AI206" s="433"/>
      <c r="AJ206" s="433"/>
      <c r="AK206" s="433"/>
      <c r="AL206" s="433"/>
      <c r="AM206" s="433"/>
      <c r="AN206" s="433"/>
      <c r="AO206" s="433"/>
      <c r="AP206" s="433"/>
      <c r="AQ206" s="433"/>
      <c r="AR206" s="433"/>
      <c r="AS206" s="433"/>
      <c r="AT206" s="433"/>
      <c r="AU206" s="433"/>
      <c r="AV206" s="433"/>
      <c r="AW206" s="433"/>
      <c r="AX206" s="8"/>
    </row>
    <row r="207" spans="1:50" ht="13.5" customHeight="1">
      <c r="A207" s="5"/>
      <c r="B207" s="320">
        <v>1</v>
      </c>
      <c r="C207" s="320"/>
      <c r="D207" s="321" t="s">
        <v>84</v>
      </c>
      <c r="E207" s="321"/>
      <c r="F207" s="321"/>
      <c r="G207" s="321"/>
      <c r="H207" s="321"/>
      <c r="I207" s="321" t="s">
        <v>241</v>
      </c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442" t="s">
        <v>72</v>
      </c>
      <c r="W207" s="442"/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05" t="s">
        <v>217</v>
      </c>
      <c r="AJ207" s="405"/>
      <c r="AK207" s="405"/>
      <c r="AL207" s="405"/>
      <c r="AM207" s="405"/>
      <c r="AN207" s="405"/>
      <c r="AO207" s="405"/>
      <c r="AP207" s="405"/>
      <c r="AQ207" s="405"/>
      <c r="AR207" s="405"/>
      <c r="AS207" s="405"/>
      <c r="AT207" s="405"/>
      <c r="AU207" s="405"/>
      <c r="AV207" s="405"/>
      <c r="AW207" s="405"/>
      <c r="AX207" s="8"/>
    </row>
    <row r="208" spans="1:50" ht="13.5" customHeight="1">
      <c r="A208" s="5"/>
      <c r="B208" s="320">
        <v>2</v>
      </c>
      <c r="C208" s="320"/>
      <c r="D208" s="321"/>
      <c r="E208" s="321"/>
      <c r="F208" s="321"/>
      <c r="G208" s="321"/>
      <c r="H208" s="321"/>
      <c r="I208" s="321" t="s">
        <v>242</v>
      </c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442"/>
      <c r="W208" s="442"/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05"/>
      <c r="AJ208" s="405"/>
      <c r="AK208" s="405"/>
      <c r="AL208" s="405"/>
      <c r="AM208" s="405"/>
      <c r="AN208" s="405"/>
      <c r="AO208" s="405"/>
      <c r="AP208" s="405"/>
      <c r="AQ208" s="405"/>
      <c r="AR208" s="405"/>
      <c r="AS208" s="405"/>
      <c r="AT208" s="405"/>
      <c r="AU208" s="405"/>
      <c r="AV208" s="405"/>
      <c r="AW208" s="405"/>
      <c r="AX208" s="8"/>
    </row>
    <row r="209" spans="1:50" ht="13.5" customHeight="1">
      <c r="A209" s="5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8"/>
    </row>
    <row r="210" spans="1:50" ht="13.5" customHeight="1">
      <c r="A210" s="5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8"/>
    </row>
    <row r="211" spans="1:50" ht="13.5" customHeight="1">
      <c r="A211" s="5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8"/>
    </row>
    <row r="212" spans="1:50" ht="13.5" customHeight="1">
      <c r="A212" s="5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8"/>
    </row>
    <row r="213" spans="1:50" ht="13.5" customHeight="1">
      <c r="A213" s="5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8"/>
    </row>
    <row r="214" spans="1:50" ht="13.5" customHeight="1">
      <c r="A214" s="5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8"/>
    </row>
    <row r="215" spans="1:50" ht="13.5" customHeight="1">
      <c r="A215" s="5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8"/>
    </row>
    <row r="216" spans="1:50" ht="13.5" customHeight="1">
      <c r="A216" s="5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8"/>
    </row>
    <row r="217" spans="1:50" ht="13.5" customHeight="1" thickBot="1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3"/>
    </row>
    <row r="218" spans="1:50" ht="13.5" customHeight="1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4"/>
    </row>
    <row r="219" spans="1:50" ht="28.5" customHeight="1">
      <c r="A219" s="5"/>
      <c r="B219" s="39" t="s">
        <v>149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8"/>
    </row>
    <row r="220" spans="1:50" ht="18.75">
      <c r="A220" s="5"/>
      <c r="B220" s="6" t="s">
        <v>15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8"/>
    </row>
    <row r="221" spans="1:50" ht="13.5" customHeight="1">
      <c r="A221" s="5"/>
      <c r="B221" s="319" t="s">
        <v>215</v>
      </c>
      <c r="C221" s="319"/>
      <c r="D221" s="319" t="s">
        <v>9</v>
      </c>
      <c r="E221" s="319"/>
      <c r="F221" s="319"/>
      <c r="G221" s="319"/>
      <c r="H221" s="319"/>
      <c r="I221" s="319"/>
      <c r="J221" s="319"/>
      <c r="K221" s="319"/>
      <c r="L221" s="319"/>
      <c r="M221" s="319"/>
      <c r="N221" s="319" t="s">
        <v>16</v>
      </c>
      <c r="O221" s="319"/>
      <c r="P221" s="319"/>
      <c r="Q221" s="319"/>
      <c r="R221" s="319"/>
      <c r="S221" s="319"/>
      <c r="T221" s="319"/>
      <c r="U221" s="319" t="s">
        <v>216</v>
      </c>
      <c r="V221" s="319"/>
      <c r="W221" s="319"/>
      <c r="X221" s="319"/>
      <c r="Y221" s="319"/>
      <c r="Z221" s="319"/>
      <c r="AA221" s="319"/>
      <c r="AB221" s="319" t="s">
        <v>18</v>
      </c>
      <c r="AC221" s="319"/>
      <c r="AD221" s="319" t="s">
        <v>19</v>
      </c>
      <c r="AE221" s="319"/>
      <c r="AF221" s="319" t="s">
        <v>20</v>
      </c>
      <c r="AG221" s="319"/>
      <c r="AH221" s="319" t="s">
        <v>21</v>
      </c>
      <c r="AI221" s="319"/>
      <c r="AJ221" s="319" t="s">
        <v>22</v>
      </c>
      <c r="AK221" s="319"/>
      <c r="AL221" s="319"/>
      <c r="AM221" s="319"/>
      <c r="AN221" s="319"/>
      <c r="AO221" s="319"/>
      <c r="AP221" s="319" t="s">
        <v>12</v>
      </c>
      <c r="AQ221" s="319"/>
      <c r="AR221" s="319"/>
      <c r="AS221" s="319"/>
      <c r="AT221" s="319"/>
      <c r="AU221" s="319"/>
      <c r="AV221" s="319"/>
      <c r="AW221" s="319"/>
      <c r="AX221" s="8"/>
    </row>
    <row r="222" spans="1:50" ht="13.5" customHeight="1">
      <c r="A222" s="5"/>
      <c r="B222" s="319"/>
      <c r="C222" s="319"/>
      <c r="D222" s="319"/>
      <c r="E222" s="319"/>
      <c r="F222" s="319"/>
      <c r="G222" s="319"/>
      <c r="H222" s="319"/>
      <c r="I222" s="319"/>
      <c r="J222" s="319"/>
      <c r="K222" s="319"/>
      <c r="L222" s="319"/>
      <c r="M222" s="319"/>
      <c r="N222" s="319"/>
      <c r="O222" s="319"/>
      <c r="P222" s="319"/>
      <c r="Q222" s="319"/>
      <c r="R222" s="319"/>
      <c r="S222" s="319"/>
      <c r="T222" s="319"/>
      <c r="U222" s="319"/>
      <c r="V222" s="319"/>
      <c r="W222" s="319"/>
      <c r="X222" s="319"/>
      <c r="Y222" s="319"/>
      <c r="Z222" s="319"/>
      <c r="AA222" s="319"/>
      <c r="AB222" s="319"/>
      <c r="AC222" s="319"/>
      <c r="AD222" s="319"/>
      <c r="AE222" s="319"/>
      <c r="AF222" s="319"/>
      <c r="AG222" s="319"/>
      <c r="AH222" s="319"/>
      <c r="AI222" s="319"/>
      <c r="AJ222" s="319"/>
      <c r="AK222" s="319"/>
      <c r="AL222" s="319"/>
      <c r="AM222" s="319"/>
      <c r="AN222" s="319"/>
      <c r="AO222" s="319"/>
      <c r="AP222" s="319"/>
      <c r="AQ222" s="319"/>
      <c r="AR222" s="319"/>
      <c r="AS222" s="319"/>
      <c r="AT222" s="319"/>
      <c r="AU222" s="319"/>
      <c r="AV222" s="319"/>
      <c r="AW222" s="319"/>
      <c r="AX222" s="8"/>
    </row>
    <row r="223" spans="1:50" ht="13.5" customHeight="1">
      <c r="A223" s="5"/>
      <c r="B223" s="317">
        <v>1</v>
      </c>
      <c r="C223" s="317"/>
      <c r="D223" s="318" t="s">
        <v>94</v>
      </c>
      <c r="E223" s="318"/>
      <c r="F223" s="318"/>
      <c r="G223" s="318"/>
      <c r="H223" s="318"/>
      <c r="I223" s="318"/>
      <c r="J223" s="318"/>
      <c r="K223" s="318"/>
      <c r="L223" s="318"/>
      <c r="M223" s="318"/>
      <c r="N223" s="395" t="s">
        <v>217</v>
      </c>
      <c r="O223" s="410"/>
      <c r="P223" s="410"/>
      <c r="Q223" s="410"/>
      <c r="R223" s="410"/>
      <c r="S223" s="410"/>
      <c r="T223" s="411"/>
      <c r="U223" s="318" t="s">
        <v>92</v>
      </c>
      <c r="V223" s="318"/>
      <c r="W223" s="318"/>
      <c r="X223" s="318"/>
      <c r="Y223" s="318"/>
      <c r="Z223" s="318"/>
      <c r="AA223" s="318"/>
      <c r="AB223" s="341" t="s">
        <v>217</v>
      </c>
      <c r="AC223" s="341"/>
      <c r="AD223" s="341" t="s">
        <v>217</v>
      </c>
      <c r="AE223" s="341"/>
      <c r="AF223" s="341" t="s">
        <v>217</v>
      </c>
      <c r="AG223" s="341"/>
      <c r="AH223" s="341" t="s">
        <v>217</v>
      </c>
      <c r="AI223" s="341"/>
      <c r="AJ223" s="398" t="s">
        <v>243</v>
      </c>
      <c r="AK223" s="398"/>
      <c r="AL223" s="398"/>
      <c r="AM223" s="398"/>
      <c r="AN223" s="398"/>
      <c r="AO223" s="398"/>
      <c r="AP223" s="399"/>
      <c r="AQ223" s="399"/>
      <c r="AR223" s="399"/>
      <c r="AS223" s="399"/>
      <c r="AT223" s="399"/>
      <c r="AU223" s="399"/>
      <c r="AV223" s="399"/>
      <c r="AW223" s="399"/>
      <c r="AX223" s="8"/>
    </row>
    <row r="224" spans="1:50" ht="13.5" customHeight="1">
      <c r="A224" s="5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8"/>
    </row>
    <row r="225" spans="1:50" ht="18.75">
      <c r="A225" s="5"/>
      <c r="B225" s="32" t="s">
        <v>64</v>
      </c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8"/>
    </row>
    <row r="226" spans="1:50" ht="27.75" customHeight="1">
      <c r="A226" s="5"/>
      <c r="B226" s="433" t="s">
        <v>65</v>
      </c>
      <c r="C226" s="433"/>
      <c r="D226" s="434" t="s">
        <v>66</v>
      </c>
      <c r="E226" s="434"/>
      <c r="F226" s="434"/>
      <c r="G226" s="434"/>
      <c r="H226" s="434"/>
      <c r="I226" s="433" t="s">
        <v>67</v>
      </c>
      <c r="J226" s="433"/>
      <c r="K226" s="433"/>
      <c r="L226" s="433"/>
      <c r="M226" s="433"/>
      <c r="N226" s="433"/>
      <c r="O226" s="433"/>
      <c r="P226" s="433"/>
      <c r="Q226" s="433"/>
      <c r="R226" s="433"/>
      <c r="S226" s="433"/>
      <c r="T226" s="433"/>
      <c r="U226" s="433"/>
      <c r="V226" s="433" t="s">
        <v>68</v>
      </c>
      <c r="W226" s="433"/>
      <c r="X226" s="433"/>
      <c r="Y226" s="433"/>
      <c r="Z226" s="433"/>
      <c r="AA226" s="433"/>
      <c r="AB226" s="433"/>
      <c r="AC226" s="433"/>
      <c r="AD226" s="433"/>
      <c r="AE226" s="433"/>
      <c r="AF226" s="433"/>
      <c r="AG226" s="433"/>
      <c r="AH226" s="433"/>
      <c r="AI226" s="433" t="s">
        <v>69</v>
      </c>
      <c r="AJ226" s="433"/>
      <c r="AK226" s="433"/>
      <c r="AL226" s="433"/>
      <c r="AM226" s="433"/>
      <c r="AN226" s="433"/>
      <c r="AO226" s="433"/>
      <c r="AP226" s="433"/>
      <c r="AQ226" s="433"/>
      <c r="AR226" s="433"/>
      <c r="AS226" s="433"/>
      <c r="AT226" s="433"/>
      <c r="AU226" s="433"/>
      <c r="AV226" s="433"/>
      <c r="AW226" s="433"/>
      <c r="AX226" s="8"/>
    </row>
    <row r="227" spans="1:50" ht="13.5" customHeight="1">
      <c r="A227" s="5"/>
      <c r="B227" s="433"/>
      <c r="C227" s="433"/>
      <c r="D227" s="434"/>
      <c r="E227" s="434"/>
      <c r="F227" s="434"/>
      <c r="G227" s="434"/>
      <c r="H227" s="434"/>
      <c r="I227" s="433"/>
      <c r="J227" s="433"/>
      <c r="K227" s="433"/>
      <c r="L227" s="433"/>
      <c r="M227" s="433"/>
      <c r="N227" s="433"/>
      <c r="O227" s="433"/>
      <c r="P227" s="433"/>
      <c r="Q227" s="433"/>
      <c r="R227" s="433"/>
      <c r="S227" s="433"/>
      <c r="T227" s="433"/>
      <c r="U227" s="433"/>
      <c r="V227" s="433"/>
      <c r="W227" s="433"/>
      <c r="X227" s="433"/>
      <c r="Y227" s="433"/>
      <c r="Z227" s="433"/>
      <c r="AA227" s="433"/>
      <c r="AB227" s="433"/>
      <c r="AC227" s="433"/>
      <c r="AD227" s="433"/>
      <c r="AE227" s="433"/>
      <c r="AF227" s="433"/>
      <c r="AG227" s="433"/>
      <c r="AH227" s="433"/>
      <c r="AI227" s="433"/>
      <c r="AJ227" s="433"/>
      <c r="AK227" s="433"/>
      <c r="AL227" s="433"/>
      <c r="AM227" s="433"/>
      <c r="AN227" s="433"/>
      <c r="AO227" s="433"/>
      <c r="AP227" s="433"/>
      <c r="AQ227" s="433"/>
      <c r="AR227" s="433"/>
      <c r="AS227" s="433"/>
      <c r="AT227" s="433"/>
      <c r="AU227" s="433"/>
      <c r="AV227" s="433"/>
      <c r="AW227" s="433"/>
      <c r="AX227" s="8"/>
    </row>
    <row r="228" spans="1:50" ht="13.5" customHeight="1">
      <c r="A228" s="5"/>
      <c r="B228" s="320">
        <v>1</v>
      </c>
      <c r="C228" s="320"/>
      <c r="D228" s="412" t="s">
        <v>75</v>
      </c>
      <c r="E228" s="413"/>
      <c r="F228" s="413"/>
      <c r="G228" s="413"/>
      <c r="H228" s="414"/>
      <c r="I228" s="321" t="s">
        <v>170</v>
      </c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415" t="s">
        <v>72</v>
      </c>
      <c r="W228" s="416"/>
      <c r="X228" s="416"/>
      <c r="Y228" s="416"/>
      <c r="Z228" s="416"/>
      <c r="AA228" s="416"/>
      <c r="AB228" s="416"/>
      <c r="AC228" s="416"/>
      <c r="AD228" s="416"/>
      <c r="AE228" s="416"/>
      <c r="AF228" s="416"/>
      <c r="AG228" s="416"/>
      <c r="AH228" s="417"/>
      <c r="AI228" s="424" t="s">
        <v>217</v>
      </c>
      <c r="AJ228" s="425"/>
      <c r="AK228" s="425"/>
      <c r="AL228" s="425"/>
      <c r="AM228" s="425"/>
      <c r="AN228" s="425"/>
      <c r="AO228" s="425"/>
      <c r="AP228" s="425"/>
      <c r="AQ228" s="425"/>
      <c r="AR228" s="425"/>
      <c r="AS228" s="425"/>
      <c r="AT228" s="425"/>
      <c r="AU228" s="425"/>
      <c r="AV228" s="425"/>
      <c r="AW228" s="426"/>
      <c r="AX228" s="8"/>
    </row>
    <row r="229" spans="1:50" ht="13.5" customHeight="1">
      <c r="A229" s="5"/>
      <c r="B229" s="320">
        <v>2</v>
      </c>
      <c r="C229" s="320"/>
      <c r="D229" s="373"/>
      <c r="E229" s="374"/>
      <c r="F229" s="374"/>
      <c r="G229" s="374"/>
      <c r="H229" s="375"/>
      <c r="I229" s="321" t="s">
        <v>173</v>
      </c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418"/>
      <c r="W229" s="419"/>
      <c r="X229" s="419"/>
      <c r="Y229" s="419"/>
      <c r="Z229" s="419"/>
      <c r="AA229" s="419"/>
      <c r="AB229" s="419"/>
      <c r="AC229" s="419"/>
      <c r="AD229" s="419"/>
      <c r="AE229" s="419"/>
      <c r="AF229" s="419"/>
      <c r="AG229" s="419"/>
      <c r="AH229" s="420"/>
      <c r="AI229" s="427"/>
      <c r="AJ229" s="428"/>
      <c r="AK229" s="428"/>
      <c r="AL229" s="428"/>
      <c r="AM229" s="428"/>
      <c r="AN229" s="428"/>
      <c r="AO229" s="428"/>
      <c r="AP229" s="428"/>
      <c r="AQ229" s="428"/>
      <c r="AR229" s="428"/>
      <c r="AS229" s="428"/>
      <c r="AT229" s="428"/>
      <c r="AU229" s="428"/>
      <c r="AV229" s="428"/>
      <c r="AW229" s="429"/>
      <c r="AX229" s="8"/>
    </row>
    <row r="230" spans="1:50" ht="13.5" customHeight="1">
      <c r="A230" s="5"/>
      <c r="B230" s="436">
        <v>3</v>
      </c>
      <c r="C230" s="437"/>
      <c r="D230" s="412" t="s">
        <v>244</v>
      </c>
      <c r="E230" s="413"/>
      <c r="F230" s="413"/>
      <c r="G230" s="413"/>
      <c r="H230" s="414"/>
      <c r="I230" s="412" t="s">
        <v>171</v>
      </c>
      <c r="J230" s="413"/>
      <c r="K230" s="413"/>
      <c r="L230" s="413"/>
      <c r="M230" s="413"/>
      <c r="N230" s="413"/>
      <c r="O230" s="413"/>
      <c r="P230" s="413"/>
      <c r="Q230" s="413"/>
      <c r="R230" s="413"/>
      <c r="S230" s="413"/>
      <c r="T230" s="413"/>
      <c r="U230" s="414"/>
      <c r="V230" s="418"/>
      <c r="W230" s="419"/>
      <c r="X230" s="419"/>
      <c r="Y230" s="419"/>
      <c r="Z230" s="419"/>
      <c r="AA230" s="419"/>
      <c r="AB230" s="419"/>
      <c r="AC230" s="419"/>
      <c r="AD230" s="419"/>
      <c r="AE230" s="419"/>
      <c r="AF230" s="419"/>
      <c r="AG230" s="419"/>
      <c r="AH230" s="420"/>
      <c r="AI230" s="427"/>
      <c r="AJ230" s="428"/>
      <c r="AK230" s="428"/>
      <c r="AL230" s="428"/>
      <c r="AM230" s="428"/>
      <c r="AN230" s="428"/>
      <c r="AO230" s="428"/>
      <c r="AP230" s="428"/>
      <c r="AQ230" s="428"/>
      <c r="AR230" s="428"/>
      <c r="AS230" s="428"/>
      <c r="AT230" s="428"/>
      <c r="AU230" s="428"/>
      <c r="AV230" s="428"/>
      <c r="AW230" s="429"/>
      <c r="AX230" s="8"/>
    </row>
    <row r="231" spans="1:50" ht="13.5" customHeight="1">
      <c r="A231" s="5"/>
      <c r="B231" s="440"/>
      <c r="C231" s="441"/>
      <c r="D231" s="373"/>
      <c r="E231" s="374"/>
      <c r="F231" s="374"/>
      <c r="G231" s="374"/>
      <c r="H231" s="375"/>
      <c r="I231" s="326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8"/>
      <c r="V231" s="418"/>
      <c r="W231" s="419"/>
      <c r="X231" s="419"/>
      <c r="Y231" s="419"/>
      <c r="Z231" s="419"/>
      <c r="AA231" s="419"/>
      <c r="AB231" s="419"/>
      <c r="AC231" s="419"/>
      <c r="AD231" s="419"/>
      <c r="AE231" s="419"/>
      <c r="AF231" s="419"/>
      <c r="AG231" s="419"/>
      <c r="AH231" s="420"/>
      <c r="AI231" s="427"/>
      <c r="AJ231" s="428"/>
      <c r="AK231" s="428"/>
      <c r="AL231" s="428"/>
      <c r="AM231" s="428"/>
      <c r="AN231" s="428"/>
      <c r="AO231" s="428"/>
      <c r="AP231" s="428"/>
      <c r="AQ231" s="428"/>
      <c r="AR231" s="428"/>
      <c r="AS231" s="428"/>
      <c r="AT231" s="428"/>
      <c r="AU231" s="428"/>
      <c r="AV231" s="428"/>
      <c r="AW231" s="429"/>
      <c r="AX231" s="8"/>
    </row>
    <row r="232" spans="1:50" ht="13.5" customHeight="1">
      <c r="A232" s="5"/>
      <c r="B232" s="320">
        <v>4</v>
      </c>
      <c r="C232" s="320"/>
      <c r="D232" s="373"/>
      <c r="E232" s="374"/>
      <c r="F232" s="374"/>
      <c r="G232" s="374"/>
      <c r="H232" s="375"/>
      <c r="I232" s="321" t="s">
        <v>245</v>
      </c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418"/>
      <c r="W232" s="419"/>
      <c r="X232" s="419"/>
      <c r="Y232" s="419"/>
      <c r="Z232" s="419"/>
      <c r="AA232" s="419"/>
      <c r="AB232" s="419"/>
      <c r="AC232" s="419"/>
      <c r="AD232" s="419"/>
      <c r="AE232" s="419"/>
      <c r="AF232" s="419"/>
      <c r="AG232" s="419"/>
      <c r="AH232" s="420"/>
      <c r="AI232" s="427"/>
      <c r="AJ232" s="428"/>
      <c r="AK232" s="428"/>
      <c r="AL232" s="428"/>
      <c r="AM232" s="428"/>
      <c r="AN232" s="428"/>
      <c r="AO232" s="428"/>
      <c r="AP232" s="428"/>
      <c r="AQ232" s="428"/>
      <c r="AR232" s="428"/>
      <c r="AS232" s="428"/>
      <c r="AT232" s="428"/>
      <c r="AU232" s="428"/>
      <c r="AV232" s="428"/>
      <c r="AW232" s="429"/>
      <c r="AX232" s="8"/>
    </row>
    <row r="233" spans="1:50" ht="13.5" customHeight="1">
      <c r="A233" s="5"/>
      <c r="B233" s="320"/>
      <c r="C233" s="320"/>
      <c r="D233" s="326"/>
      <c r="E233" s="327"/>
      <c r="F233" s="327"/>
      <c r="G233" s="327"/>
      <c r="H233" s="328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418"/>
      <c r="W233" s="419"/>
      <c r="X233" s="419"/>
      <c r="Y233" s="419"/>
      <c r="Z233" s="419"/>
      <c r="AA233" s="419"/>
      <c r="AB233" s="419"/>
      <c r="AC233" s="419"/>
      <c r="AD233" s="419"/>
      <c r="AE233" s="419"/>
      <c r="AF233" s="419"/>
      <c r="AG233" s="419"/>
      <c r="AH233" s="420"/>
      <c r="AI233" s="427"/>
      <c r="AJ233" s="428"/>
      <c r="AK233" s="428"/>
      <c r="AL233" s="428"/>
      <c r="AM233" s="428"/>
      <c r="AN233" s="428"/>
      <c r="AO233" s="428"/>
      <c r="AP233" s="428"/>
      <c r="AQ233" s="428"/>
      <c r="AR233" s="428"/>
      <c r="AS233" s="428"/>
      <c r="AT233" s="428"/>
      <c r="AU233" s="428"/>
      <c r="AV233" s="428"/>
      <c r="AW233" s="429"/>
      <c r="AX233" s="8"/>
    </row>
    <row r="234" spans="1:50" ht="13.5" customHeight="1">
      <c r="A234" s="5"/>
      <c r="B234" s="320">
        <v>5</v>
      </c>
      <c r="C234" s="320"/>
      <c r="D234" s="412" t="s">
        <v>246</v>
      </c>
      <c r="E234" s="413"/>
      <c r="F234" s="413"/>
      <c r="G234" s="413"/>
      <c r="H234" s="414"/>
      <c r="I234" s="321" t="s">
        <v>172</v>
      </c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418"/>
      <c r="W234" s="419"/>
      <c r="X234" s="419"/>
      <c r="Y234" s="419"/>
      <c r="Z234" s="419"/>
      <c r="AA234" s="419"/>
      <c r="AB234" s="419"/>
      <c r="AC234" s="419"/>
      <c r="AD234" s="419"/>
      <c r="AE234" s="419"/>
      <c r="AF234" s="419"/>
      <c r="AG234" s="419"/>
      <c r="AH234" s="420"/>
      <c r="AI234" s="427"/>
      <c r="AJ234" s="428"/>
      <c r="AK234" s="428"/>
      <c r="AL234" s="428"/>
      <c r="AM234" s="428"/>
      <c r="AN234" s="428"/>
      <c r="AO234" s="428"/>
      <c r="AP234" s="428"/>
      <c r="AQ234" s="428"/>
      <c r="AR234" s="428"/>
      <c r="AS234" s="428"/>
      <c r="AT234" s="428"/>
      <c r="AU234" s="428"/>
      <c r="AV234" s="428"/>
      <c r="AW234" s="429"/>
      <c r="AX234" s="8"/>
    </row>
    <row r="235" spans="1:50" ht="13.5" customHeight="1">
      <c r="A235" s="5"/>
      <c r="B235" s="320"/>
      <c r="C235" s="320"/>
      <c r="D235" s="373"/>
      <c r="E235" s="374"/>
      <c r="F235" s="374"/>
      <c r="G235" s="374"/>
      <c r="H235" s="375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418"/>
      <c r="W235" s="419"/>
      <c r="X235" s="419"/>
      <c r="Y235" s="419"/>
      <c r="Z235" s="419"/>
      <c r="AA235" s="419"/>
      <c r="AB235" s="419"/>
      <c r="AC235" s="419"/>
      <c r="AD235" s="419"/>
      <c r="AE235" s="419"/>
      <c r="AF235" s="419"/>
      <c r="AG235" s="419"/>
      <c r="AH235" s="420"/>
      <c r="AI235" s="427"/>
      <c r="AJ235" s="428"/>
      <c r="AK235" s="428"/>
      <c r="AL235" s="428"/>
      <c r="AM235" s="428"/>
      <c r="AN235" s="428"/>
      <c r="AO235" s="428"/>
      <c r="AP235" s="428"/>
      <c r="AQ235" s="428"/>
      <c r="AR235" s="428"/>
      <c r="AS235" s="428"/>
      <c r="AT235" s="428"/>
      <c r="AU235" s="428"/>
      <c r="AV235" s="428"/>
      <c r="AW235" s="429"/>
      <c r="AX235" s="8"/>
    </row>
    <row r="236" spans="1:50" ht="13.5" customHeight="1">
      <c r="A236" s="5"/>
      <c r="B236" s="320">
        <v>6</v>
      </c>
      <c r="C236" s="320"/>
      <c r="D236" s="373"/>
      <c r="E236" s="374"/>
      <c r="F236" s="374"/>
      <c r="G236" s="374"/>
      <c r="H236" s="375"/>
      <c r="I236" s="321" t="s">
        <v>247</v>
      </c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418"/>
      <c r="W236" s="419"/>
      <c r="X236" s="419"/>
      <c r="Y236" s="419"/>
      <c r="Z236" s="419"/>
      <c r="AA236" s="419"/>
      <c r="AB236" s="419"/>
      <c r="AC236" s="419"/>
      <c r="AD236" s="419"/>
      <c r="AE236" s="419"/>
      <c r="AF236" s="419"/>
      <c r="AG236" s="419"/>
      <c r="AH236" s="420"/>
      <c r="AI236" s="427"/>
      <c r="AJ236" s="428"/>
      <c r="AK236" s="428"/>
      <c r="AL236" s="428"/>
      <c r="AM236" s="428"/>
      <c r="AN236" s="428"/>
      <c r="AO236" s="428"/>
      <c r="AP236" s="428"/>
      <c r="AQ236" s="428"/>
      <c r="AR236" s="428"/>
      <c r="AS236" s="428"/>
      <c r="AT236" s="428"/>
      <c r="AU236" s="428"/>
      <c r="AV236" s="428"/>
      <c r="AW236" s="429"/>
      <c r="AX236" s="8"/>
    </row>
    <row r="237" spans="1:50" ht="13.5" customHeight="1">
      <c r="A237" s="5"/>
      <c r="B237" s="320"/>
      <c r="C237" s="320"/>
      <c r="D237" s="326"/>
      <c r="E237" s="327"/>
      <c r="F237" s="327"/>
      <c r="G237" s="327"/>
      <c r="H237" s="328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421"/>
      <c r="W237" s="422"/>
      <c r="X237" s="422"/>
      <c r="Y237" s="422"/>
      <c r="Z237" s="422"/>
      <c r="AA237" s="422"/>
      <c r="AB237" s="422"/>
      <c r="AC237" s="422"/>
      <c r="AD237" s="422"/>
      <c r="AE237" s="422"/>
      <c r="AF237" s="422"/>
      <c r="AG237" s="422"/>
      <c r="AH237" s="423"/>
      <c r="AI237" s="430"/>
      <c r="AJ237" s="431"/>
      <c r="AK237" s="431"/>
      <c r="AL237" s="431"/>
      <c r="AM237" s="431"/>
      <c r="AN237" s="431"/>
      <c r="AO237" s="431"/>
      <c r="AP237" s="431"/>
      <c r="AQ237" s="431"/>
      <c r="AR237" s="431"/>
      <c r="AS237" s="431"/>
      <c r="AT237" s="431"/>
      <c r="AU237" s="431"/>
      <c r="AV237" s="431"/>
      <c r="AW237" s="432"/>
      <c r="AX237" s="8"/>
    </row>
    <row r="238" spans="1:50" ht="13.5" customHeight="1">
      <c r="A238" s="5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8"/>
    </row>
    <row r="239" spans="1:50" ht="22.5">
      <c r="A239" s="5"/>
      <c r="B239" s="129" t="s">
        <v>368</v>
      </c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7"/>
      <c r="AX239" s="8"/>
    </row>
    <row r="240" spans="1:50" ht="18.75">
      <c r="A240" s="5"/>
      <c r="B240" s="6" t="s">
        <v>15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8"/>
    </row>
    <row r="241" spans="1:50" ht="13.5" customHeight="1">
      <c r="A241" s="5"/>
      <c r="B241" s="319" t="s">
        <v>8</v>
      </c>
      <c r="C241" s="319"/>
      <c r="D241" s="319" t="s">
        <v>9</v>
      </c>
      <c r="E241" s="319"/>
      <c r="F241" s="319"/>
      <c r="G241" s="319"/>
      <c r="H241" s="319"/>
      <c r="I241" s="319"/>
      <c r="J241" s="319"/>
      <c r="K241" s="319"/>
      <c r="L241" s="319"/>
      <c r="M241" s="319"/>
      <c r="N241" s="319" t="s">
        <v>16</v>
      </c>
      <c r="O241" s="319"/>
      <c r="P241" s="319"/>
      <c r="Q241" s="319"/>
      <c r="R241" s="319"/>
      <c r="S241" s="319"/>
      <c r="T241" s="319"/>
      <c r="U241" s="319" t="s">
        <v>17</v>
      </c>
      <c r="V241" s="319"/>
      <c r="W241" s="319"/>
      <c r="X241" s="319"/>
      <c r="Y241" s="319"/>
      <c r="Z241" s="319"/>
      <c r="AA241" s="319"/>
      <c r="AB241" s="319" t="s">
        <v>18</v>
      </c>
      <c r="AC241" s="319"/>
      <c r="AD241" s="319" t="s">
        <v>19</v>
      </c>
      <c r="AE241" s="319"/>
      <c r="AF241" s="319" t="s">
        <v>20</v>
      </c>
      <c r="AG241" s="319"/>
      <c r="AH241" s="319" t="s">
        <v>21</v>
      </c>
      <c r="AI241" s="319"/>
      <c r="AJ241" s="319" t="s">
        <v>22</v>
      </c>
      <c r="AK241" s="319"/>
      <c r="AL241" s="319"/>
      <c r="AM241" s="319"/>
      <c r="AN241" s="319"/>
      <c r="AO241" s="319"/>
      <c r="AP241" s="319" t="s">
        <v>12</v>
      </c>
      <c r="AQ241" s="319"/>
      <c r="AR241" s="319"/>
      <c r="AS241" s="319"/>
      <c r="AT241" s="319"/>
      <c r="AU241" s="319"/>
      <c r="AV241" s="319"/>
      <c r="AW241" s="319"/>
      <c r="AX241" s="8"/>
    </row>
    <row r="242" spans="1:50" ht="13.5" customHeight="1">
      <c r="A242" s="5"/>
      <c r="B242" s="319"/>
      <c r="C242" s="319"/>
      <c r="D242" s="319"/>
      <c r="E242" s="319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319"/>
      <c r="V242" s="319"/>
      <c r="W242" s="319"/>
      <c r="X242" s="319"/>
      <c r="Y242" s="319"/>
      <c r="Z242" s="319"/>
      <c r="AA242" s="319"/>
      <c r="AB242" s="319"/>
      <c r="AC242" s="319"/>
      <c r="AD242" s="319"/>
      <c r="AE242" s="319"/>
      <c r="AF242" s="319"/>
      <c r="AG242" s="319"/>
      <c r="AH242" s="319"/>
      <c r="AI242" s="319"/>
      <c r="AJ242" s="319"/>
      <c r="AK242" s="319"/>
      <c r="AL242" s="319"/>
      <c r="AM242" s="319"/>
      <c r="AN242" s="319"/>
      <c r="AO242" s="319"/>
      <c r="AP242" s="319"/>
      <c r="AQ242" s="319"/>
      <c r="AR242" s="319"/>
      <c r="AS242" s="319"/>
      <c r="AT242" s="319"/>
      <c r="AU242" s="319"/>
      <c r="AV242" s="319"/>
      <c r="AW242" s="319"/>
      <c r="AX242" s="8"/>
    </row>
    <row r="243" spans="1:50" ht="13.5" customHeight="1">
      <c r="A243" s="5"/>
      <c r="B243" s="317">
        <v>1</v>
      </c>
      <c r="C243" s="317"/>
      <c r="D243" s="318" t="s">
        <v>369</v>
      </c>
      <c r="E243" s="318"/>
      <c r="F243" s="318"/>
      <c r="G243" s="318"/>
      <c r="H243" s="318"/>
      <c r="I243" s="318"/>
      <c r="J243" s="318"/>
      <c r="K243" s="318"/>
      <c r="L243" s="318"/>
      <c r="M243" s="318"/>
      <c r="N243" s="395" t="s">
        <v>73</v>
      </c>
      <c r="O243" s="396"/>
      <c r="P243" s="396"/>
      <c r="Q243" s="396"/>
      <c r="R243" s="396"/>
      <c r="S243" s="396"/>
      <c r="T243" s="397"/>
      <c r="U243" s="318" t="s">
        <v>92</v>
      </c>
      <c r="V243" s="318"/>
      <c r="W243" s="318"/>
      <c r="X243" s="318"/>
      <c r="Y243" s="318"/>
      <c r="Z243" s="318"/>
      <c r="AA243" s="318"/>
      <c r="AB243" s="341" t="s">
        <v>73</v>
      </c>
      <c r="AC243" s="341"/>
      <c r="AD243" s="341" t="s">
        <v>73</v>
      </c>
      <c r="AE243" s="341"/>
      <c r="AF243" s="341" t="s">
        <v>73</v>
      </c>
      <c r="AG243" s="341"/>
      <c r="AH243" s="341" t="s">
        <v>73</v>
      </c>
      <c r="AI243" s="341"/>
      <c r="AJ243" s="398"/>
      <c r="AK243" s="398"/>
      <c r="AL243" s="398"/>
      <c r="AM243" s="398"/>
      <c r="AN243" s="398"/>
      <c r="AO243" s="398"/>
      <c r="AP243" s="399"/>
      <c r="AQ243" s="399"/>
      <c r="AR243" s="399"/>
      <c r="AS243" s="399"/>
      <c r="AT243" s="399"/>
      <c r="AU243" s="399"/>
      <c r="AV243" s="399"/>
      <c r="AW243" s="399"/>
      <c r="AX243" s="8"/>
    </row>
    <row r="244" spans="1:50" ht="13.5" customHeight="1">
      <c r="A244" s="5"/>
      <c r="B244" s="20"/>
      <c r="C244" s="20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6"/>
      <c r="AB244" s="14"/>
      <c r="AC244" s="14"/>
      <c r="AD244" s="14"/>
      <c r="AE244" s="14"/>
      <c r="AF244" s="14"/>
      <c r="AG244" s="14"/>
      <c r="AH244" s="14"/>
      <c r="AI244" s="14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8"/>
    </row>
    <row r="245" spans="1:50" ht="13.5" customHeight="1">
      <c r="A245" s="5"/>
      <c r="B245" s="32" t="s">
        <v>64</v>
      </c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33"/>
      <c r="AJ245" s="33"/>
      <c r="AK245" s="33"/>
      <c r="AL245" s="33"/>
      <c r="AM245" s="33"/>
      <c r="AN245" s="33"/>
      <c r="AO245" s="33"/>
      <c r="AP245" s="33"/>
      <c r="AQ245" s="31"/>
      <c r="AR245" s="31"/>
      <c r="AS245" s="31"/>
      <c r="AT245" s="31"/>
      <c r="AU245" s="31"/>
      <c r="AV245" s="31"/>
      <c r="AW245" s="7"/>
      <c r="AX245" s="8"/>
    </row>
    <row r="246" spans="1:50" ht="13.5" customHeight="1">
      <c r="A246" s="5"/>
      <c r="B246" s="329" t="s">
        <v>65</v>
      </c>
      <c r="C246" s="329"/>
      <c r="D246" s="330" t="s">
        <v>66</v>
      </c>
      <c r="E246" s="330"/>
      <c r="F246" s="330"/>
      <c r="G246" s="330"/>
      <c r="H246" s="330"/>
      <c r="I246" s="329" t="s">
        <v>67</v>
      </c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 t="s">
        <v>68</v>
      </c>
      <c r="W246" s="329"/>
      <c r="X246" s="329"/>
      <c r="Y246" s="329"/>
      <c r="Z246" s="329"/>
      <c r="AA246" s="329"/>
      <c r="AB246" s="329"/>
      <c r="AC246" s="329"/>
      <c r="AD246" s="329"/>
      <c r="AE246" s="329"/>
      <c r="AF246" s="329"/>
      <c r="AG246" s="329"/>
      <c r="AH246" s="329"/>
      <c r="AI246" s="329" t="s">
        <v>69</v>
      </c>
      <c r="AJ246" s="329"/>
      <c r="AK246" s="329"/>
      <c r="AL246" s="329"/>
      <c r="AM246" s="329"/>
      <c r="AN246" s="329"/>
      <c r="AO246" s="329"/>
      <c r="AP246" s="329"/>
      <c r="AQ246" s="329"/>
      <c r="AR246" s="329"/>
      <c r="AS246" s="329"/>
      <c r="AT246" s="329"/>
      <c r="AU246" s="329"/>
      <c r="AV246" s="329"/>
      <c r="AW246" s="329"/>
      <c r="AX246" s="8"/>
    </row>
    <row r="247" spans="1:50" ht="13.5" customHeight="1">
      <c r="A247" s="5"/>
      <c r="B247" s="329"/>
      <c r="C247" s="329"/>
      <c r="D247" s="330"/>
      <c r="E247" s="330"/>
      <c r="F247" s="330"/>
      <c r="G247" s="330"/>
      <c r="H247" s="330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  <c r="AA247" s="329"/>
      <c r="AB247" s="329"/>
      <c r="AC247" s="329"/>
      <c r="AD247" s="329"/>
      <c r="AE247" s="329"/>
      <c r="AF247" s="329"/>
      <c r="AG247" s="329"/>
      <c r="AH247" s="329"/>
      <c r="AI247" s="329"/>
      <c r="AJ247" s="329"/>
      <c r="AK247" s="329"/>
      <c r="AL247" s="329"/>
      <c r="AM247" s="329"/>
      <c r="AN247" s="329"/>
      <c r="AO247" s="329"/>
      <c r="AP247" s="329"/>
      <c r="AQ247" s="329"/>
      <c r="AR247" s="329"/>
      <c r="AS247" s="329"/>
      <c r="AT247" s="329"/>
      <c r="AU247" s="329"/>
      <c r="AV247" s="329"/>
      <c r="AW247" s="329"/>
      <c r="AX247" s="8"/>
    </row>
    <row r="248" spans="1:50" ht="30" customHeight="1">
      <c r="A248" s="5"/>
      <c r="B248" s="320">
        <v>1</v>
      </c>
      <c r="C248" s="320"/>
      <c r="D248" s="406"/>
      <c r="E248" s="406"/>
      <c r="F248" s="406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7" t="s">
        <v>371</v>
      </c>
      <c r="W248" s="407"/>
      <c r="X248" s="407"/>
      <c r="Y248" s="407"/>
      <c r="Z248" s="407"/>
      <c r="AA248" s="407"/>
      <c r="AB248" s="407"/>
      <c r="AC248" s="407"/>
      <c r="AD248" s="407"/>
      <c r="AE248" s="407"/>
      <c r="AF248" s="407"/>
      <c r="AG248" s="407"/>
      <c r="AH248" s="407"/>
      <c r="AI248" s="403" t="s">
        <v>73</v>
      </c>
      <c r="AJ248" s="403"/>
      <c r="AK248" s="403"/>
      <c r="AL248" s="403"/>
      <c r="AM248" s="403"/>
      <c r="AN248" s="403"/>
      <c r="AO248" s="403"/>
      <c r="AP248" s="403"/>
      <c r="AQ248" s="403"/>
      <c r="AR248" s="403"/>
      <c r="AS248" s="403"/>
      <c r="AT248" s="403"/>
      <c r="AU248" s="403"/>
      <c r="AV248" s="403"/>
      <c r="AW248" s="403"/>
      <c r="AX248" s="8"/>
    </row>
    <row r="249" spans="1:50" ht="13.5" customHeight="1">
      <c r="A249" s="5"/>
      <c r="B249" s="17"/>
      <c r="C249" s="17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7"/>
      <c r="AX249" s="8"/>
    </row>
    <row r="250" spans="1:50" ht="13.5" customHeight="1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8"/>
    </row>
    <row r="251" spans="1:50" ht="22.5">
      <c r="A251" s="5"/>
      <c r="B251" s="39" t="s">
        <v>146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8"/>
    </row>
    <row r="252" spans="1:50" ht="18.75">
      <c r="A252" s="5"/>
      <c r="B252" s="6" t="s">
        <v>15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8"/>
    </row>
    <row r="253" spans="1:50" ht="13.5" customHeight="1">
      <c r="A253" s="5"/>
      <c r="B253" s="319" t="s">
        <v>248</v>
      </c>
      <c r="C253" s="319"/>
      <c r="D253" s="319" t="s">
        <v>9</v>
      </c>
      <c r="E253" s="319"/>
      <c r="F253" s="319"/>
      <c r="G253" s="319"/>
      <c r="H253" s="319"/>
      <c r="I253" s="319"/>
      <c r="J253" s="319"/>
      <c r="K253" s="319"/>
      <c r="L253" s="319"/>
      <c r="M253" s="319"/>
      <c r="N253" s="319" t="s">
        <v>16</v>
      </c>
      <c r="O253" s="319"/>
      <c r="P253" s="319"/>
      <c r="Q253" s="319"/>
      <c r="R253" s="319"/>
      <c r="S253" s="319"/>
      <c r="T253" s="319"/>
      <c r="U253" s="319" t="s">
        <v>249</v>
      </c>
      <c r="V253" s="319"/>
      <c r="W253" s="319"/>
      <c r="X253" s="319"/>
      <c r="Y253" s="319"/>
      <c r="Z253" s="319"/>
      <c r="AA253" s="319"/>
      <c r="AB253" s="319" t="s">
        <v>18</v>
      </c>
      <c r="AC253" s="319"/>
      <c r="AD253" s="319" t="s">
        <v>19</v>
      </c>
      <c r="AE253" s="319"/>
      <c r="AF253" s="319" t="s">
        <v>20</v>
      </c>
      <c r="AG253" s="319"/>
      <c r="AH253" s="319" t="s">
        <v>21</v>
      </c>
      <c r="AI253" s="319"/>
      <c r="AJ253" s="319" t="s">
        <v>22</v>
      </c>
      <c r="AK253" s="319"/>
      <c r="AL253" s="319"/>
      <c r="AM253" s="319"/>
      <c r="AN253" s="319"/>
      <c r="AO253" s="319"/>
      <c r="AP253" s="319" t="s">
        <v>12</v>
      </c>
      <c r="AQ253" s="319"/>
      <c r="AR253" s="319"/>
      <c r="AS253" s="319"/>
      <c r="AT253" s="319"/>
      <c r="AU253" s="319"/>
      <c r="AV253" s="319"/>
      <c r="AW253" s="319"/>
      <c r="AX253" s="8"/>
    </row>
    <row r="254" spans="1:50" ht="13.5" customHeight="1">
      <c r="A254" s="5"/>
      <c r="B254" s="319"/>
      <c r="C254" s="319"/>
      <c r="D254" s="319"/>
      <c r="E254" s="319"/>
      <c r="F254" s="319"/>
      <c r="G254" s="319"/>
      <c r="H254" s="319"/>
      <c r="I254" s="319"/>
      <c r="J254" s="319"/>
      <c r="K254" s="319"/>
      <c r="L254" s="319"/>
      <c r="M254" s="319"/>
      <c r="N254" s="319"/>
      <c r="O254" s="319"/>
      <c r="P254" s="319"/>
      <c r="Q254" s="319"/>
      <c r="R254" s="319"/>
      <c r="S254" s="319"/>
      <c r="T254" s="319"/>
      <c r="U254" s="319"/>
      <c r="V254" s="319"/>
      <c r="W254" s="319"/>
      <c r="X254" s="319"/>
      <c r="Y254" s="319"/>
      <c r="Z254" s="319"/>
      <c r="AA254" s="319"/>
      <c r="AB254" s="319"/>
      <c r="AC254" s="319"/>
      <c r="AD254" s="319"/>
      <c r="AE254" s="319"/>
      <c r="AF254" s="319"/>
      <c r="AG254" s="319"/>
      <c r="AH254" s="319"/>
      <c r="AI254" s="319"/>
      <c r="AJ254" s="319"/>
      <c r="AK254" s="319"/>
      <c r="AL254" s="319"/>
      <c r="AM254" s="319"/>
      <c r="AN254" s="319"/>
      <c r="AO254" s="319"/>
      <c r="AP254" s="319"/>
      <c r="AQ254" s="319"/>
      <c r="AR254" s="319"/>
      <c r="AS254" s="319"/>
      <c r="AT254" s="319"/>
      <c r="AU254" s="319"/>
      <c r="AV254" s="319"/>
      <c r="AW254" s="319"/>
      <c r="AX254" s="8"/>
    </row>
    <row r="255" spans="1:50" ht="13.5" customHeight="1">
      <c r="A255" s="5"/>
      <c r="B255" s="317">
        <v>1</v>
      </c>
      <c r="C255" s="317"/>
      <c r="D255" s="318" t="s">
        <v>94</v>
      </c>
      <c r="E255" s="318"/>
      <c r="F255" s="318"/>
      <c r="G255" s="318"/>
      <c r="H255" s="318"/>
      <c r="I255" s="318"/>
      <c r="J255" s="318"/>
      <c r="K255" s="318"/>
      <c r="L255" s="318"/>
      <c r="M255" s="318"/>
      <c r="N255" s="395" t="s">
        <v>250</v>
      </c>
      <c r="O255" s="410"/>
      <c r="P255" s="410"/>
      <c r="Q255" s="410"/>
      <c r="R255" s="410"/>
      <c r="S255" s="410"/>
      <c r="T255" s="411"/>
      <c r="U255" s="318" t="s">
        <v>92</v>
      </c>
      <c r="V255" s="318"/>
      <c r="W255" s="318"/>
      <c r="X255" s="318"/>
      <c r="Y255" s="318"/>
      <c r="Z255" s="318"/>
      <c r="AA255" s="318"/>
      <c r="AB255" s="341" t="s">
        <v>250</v>
      </c>
      <c r="AC255" s="341"/>
      <c r="AD255" s="341" t="s">
        <v>250</v>
      </c>
      <c r="AE255" s="341"/>
      <c r="AF255" s="341" t="s">
        <v>250</v>
      </c>
      <c r="AG255" s="341"/>
      <c r="AH255" s="341" t="s">
        <v>250</v>
      </c>
      <c r="AI255" s="341"/>
      <c r="AJ255" s="398" t="s">
        <v>251</v>
      </c>
      <c r="AK255" s="398"/>
      <c r="AL255" s="398"/>
      <c r="AM255" s="398"/>
      <c r="AN255" s="398"/>
      <c r="AO255" s="398"/>
      <c r="AP255" s="399"/>
      <c r="AQ255" s="399"/>
      <c r="AR255" s="399"/>
      <c r="AS255" s="399"/>
      <c r="AT255" s="399"/>
      <c r="AU255" s="399"/>
      <c r="AV255" s="399"/>
      <c r="AW255" s="399"/>
      <c r="AX255" s="8"/>
    </row>
    <row r="256" spans="1:50" ht="13.5" customHeight="1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8"/>
    </row>
    <row r="257" spans="1:50" ht="13.5" customHeight="1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8"/>
    </row>
    <row r="258" spans="1:50" ht="13.5" customHeight="1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8"/>
    </row>
    <row r="259" spans="1:50" ht="13.5" customHeight="1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8"/>
    </row>
    <row r="260" spans="1:50" ht="13.5" customHeight="1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8"/>
    </row>
    <row r="261" spans="1:50" ht="17.25" thickBot="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3"/>
    </row>
    <row r="262" spans="1:50" ht="13.5" customHeight="1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4"/>
    </row>
    <row r="263" spans="1:50" ht="18.75">
      <c r="A263" s="5"/>
      <c r="B263" s="32" t="s">
        <v>64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8"/>
    </row>
    <row r="264" spans="1:50" ht="13.5" customHeight="1">
      <c r="A264" s="5"/>
      <c r="B264" s="433" t="s">
        <v>65</v>
      </c>
      <c r="C264" s="433"/>
      <c r="D264" s="434" t="s">
        <v>66</v>
      </c>
      <c r="E264" s="434"/>
      <c r="F264" s="434"/>
      <c r="G264" s="434"/>
      <c r="H264" s="434"/>
      <c r="I264" s="433" t="s">
        <v>67</v>
      </c>
      <c r="J264" s="433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 t="s">
        <v>68</v>
      </c>
      <c r="W264" s="433"/>
      <c r="X264" s="433"/>
      <c r="Y264" s="433"/>
      <c r="Z264" s="433"/>
      <c r="AA264" s="433"/>
      <c r="AB264" s="433"/>
      <c r="AC264" s="433"/>
      <c r="AD264" s="433"/>
      <c r="AE264" s="433"/>
      <c r="AF264" s="433"/>
      <c r="AG264" s="433"/>
      <c r="AH264" s="433"/>
      <c r="AI264" s="433" t="s">
        <v>69</v>
      </c>
      <c r="AJ264" s="433"/>
      <c r="AK264" s="433"/>
      <c r="AL264" s="433"/>
      <c r="AM264" s="433"/>
      <c r="AN264" s="433"/>
      <c r="AO264" s="433"/>
      <c r="AP264" s="433"/>
      <c r="AQ264" s="433"/>
      <c r="AR264" s="433"/>
      <c r="AS264" s="433"/>
      <c r="AT264" s="433"/>
      <c r="AU264" s="433"/>
      <c r="AV264" s="433"/>
      <c r="AW264" s="433"/>
      <c r="AX264" s="8"/>
    </row>
    <row r="265" spans="1:50" ht="13.5" customHeight="1">
      <c r="A265" s="5"/>
      <c r="B265" s="433"/>
      <c r="C265" s="433"/>
      <c r="D265" s="434"/>
      <c r="E265" s="434"/>
      <c r="F265" s="434"/>
      <c r="G265" s="434"/>
      <c r="H265" s="434"/>
      <c r="I265" s="433"/>
      <c r="J265" s="433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  <c r="W265" s="433"/>
      <c r="X265" s="433"/>
      <c r="Y265" s="433"/>
      <c r="Z265" s="433"/>
      <c r="AA265" s="433"/>
      <c r="AB265" s="433"/>
      <c r="AC265" s="433"/>
      <c r="AD265" s="433"/>
      <c r="AE265" s="433"/>
      <c r="AF265" s="433"/>
      <c r="AG265" s="433"/>
      <c r="AH265" s="433"/>
      <c r="AI265" s="433"/>
      <c r="AJ265" s="433"/>
      <c r="AK265" s="433"/>
      <c r="AL265" s="433"/>
      <c r="AM265" s="433"/>
      <c r="AN265" s="433"/>
      <c r="AO265" s="433"/>
      <c r="AP265" s="433"/>
      <c r="AQ265" s="433"/>
      <c r="AR265" s="433"/>
      <c r="AS265" s="433"/>
      <c r="AT265" s="433"/>
      <c r="AU265" s="433"/>
      <c r="AV265" s="433"/>
      <c r="AW265" s="433"/>
      <c r="AX265" s="8"/>
    </row>
    <row r="266" spans="1:50" ht="13.5" customHeight="1">
      <c r="A266" s="5"/>
      <c r="B266" s="320">
        <v>1</v>
      </c>
      <c r="C266" s="320"/>
      <c r="D266" s="424" t="s">
        <v>252</v>
      </c>
      <c r="E266" s="425"/>
      <c r="F266" s="425"/>
      <c r="G266" s="425"/>
      <c r="H266" s="426"/>
      <c r="I266" s="321" t="s">
        <v>176</v>
      </c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415" t="s">
        <v>72</v>
      </c>
      <c r="W266" s="416"/>
      <c r="X266" s="416"/>
      <c r="Y266" s="416"/>
      <c r="Z266" s="416"/>
      <c r="AA266" s="416"/>
      <c r="AB266" s="416"/>
      <c r="AC266" s="416"/>
      <c r="AD266" s="416"/>
      <c r="AE266" s="416"/>
      <c r="AF266" s="416"/>
      <c r="AG266" s="416"/>
      <c r="AH266" s="417"/>
      <c r="AI266" s="424" t="s">
        <v>250</v>
      </c>
      <c r="AJ266" s="425"/>
      <c r="AK266" s="425"/>
      <c r="AL266" s="425"/>
      <c r="AM266" s="425"/>
      <c r="AN266" s="425"/>
      <c r="AO266" s="425"/>
      <c r="AP266" s="425"/>
      <c r="AQ266" s="425"/>
      <c r="AR266" s="425"/>
      <c r="AS266" s="425"/>
      <c r="AT266" s="425"/>
      <c r="AU266" s="425"/>
      <c r="AV266" s="425"/>
      <c r="AW266" s="426"/>
      <c r="AX266" s="8"/>
    </row>
    <row r="267" spans="1:50" ht="13.5" customHeight="1">
      <c r="A267" s="5"/>
      <c r="B267" s="320">
        <v>2</v>
      </c>
      <c r="C267" s="320"/>
      <c r="D267" s="427"/>
      <c r="E267" s="428"/>
      <c r="F267" s="428"/>
      <c r="G267" s="428"/>
      <c r="H267" s="429"/>
      <c r="I267" s="321" t="s">
        <v>175</v>
      </c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418"/>
      <c r="W267" s="419"/>
      <c r="X267" s="419"/>
      <c r="Y267" s="419"/>
      <c r="Z267" s="419"/>
      <c r="AA267" s="419"/>
      <c r="AB267" s="419"/>
      <c r="AC267" s="419"/>
      <c r="AD267" s="419"/>
      <c r="AE267" s="419"/>
      <c r="AF267" s="419"/>
      <c r="AG267" s="419"/>
      <c r="AH267" s="420"/>
      <c r="AI267" s="427"/>
      <c r="AJ267" s="428"/>
      <c r="AK267" s="428"/>
      <c r="AL267" s="428"/>
      <c r="AM267" s="428"/>
      <c r="AN267" s="428"/>
      <c r="AO267" s="428"/>
      <c r="AP267" s="428"/>
      <c r="AQ267" s="428"/>
      <c r="AR267" s="428"/>
      <c r="AS267" s="428"/>
      <c r="AT267" s="428"/>
      <c r="AU267" s="428"/>
      <c r="AV267" s="428"/>
      <c r="AW267" s="429"/>
      <c r="AX267" s="8"/>
    </row>
    <row r="268" spans="1:50" ht="13.5" customHeight="1">
      <c r="A268" s="5"/>
      <c r="B268" s="320"/>
      <c r="C268" s="320"/>
      <c r="D268" s="427"/>
      <c r="E268" s="428"/>
      <c r="F268" s="428"/>
      <c r="G268" s="428"/>
      <c r="H268" s="429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418"/>
      <c r="W268" s="419"/>
      <c r="X268" s="419"/>
      <c r="Y268" s="419"/>
      <c r="Z268" s="419"/>
      <c r="AA268" s="419"/>
      <c r="AB268" s="419"/>
      <c r="AC268" s="419"/>
      <c r="AD268" s="419"/>
      <c r="AE268" s="419"/>
      <c r="AF268" s="419"/>
      <c r="AG268" s="419"/>
      <c r="AH268" s="420"/>
      <c r="AI268" s="427"/>
      <c r="AJ268" s="428"/>
      <c r="AK268" s="428"/>
      <c r="AL268" s="428"/>
      <c r="AM268" s="428"/>
      <c r="AN268" s="428"/>
      <c r="AO268" s="428"/>
      <c r="AP268" s="428"/>
      <c r="AQ268" s="428"/>
      <c r="AR268" s="428"/>
      <c r="AS268" s="428"/>
      <c r="AT268" s="428"/>
      <c r="AU268" s="428"/>
      <c r="AV268" s="428"/>
      <c r="AW268" s="429"/>
      <c r="AX268" s="8"/>
    </row>
    <row r="269" spans="1:50" ht="13.5" customHeight="1">
      <c r="A269" s="5"/>
      <c r="B269" s="320"/>
      <c r="C269" s="320"/>
      <c r="D269" s="430"/>
      <c r="E269" s="431"/>
      <c r="F269" s="431"/>
      <c r="G269" s="431"/>
      <c r="H269" s="432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421"/>
      <c r="W269" s="422"/>
      <c r="X269" s="422"/>
      <c r="Y269" s="422"/>
      <c r="Z269" s="422"/>
      <c r="AA269" s="422"/>
      <c r="AB269" s="422"/>
      <c r="AC269" s="422"/>
      <c r="AD269" s="422"/>
      <c r="AE269" s="422"/>
      <c r="AF269" s="422"/>
      <c r="AG269" s="422"/>
      <c r="AH269" s="423"/>
      <c r="AI269" s="430"/>
      <c r="AJ269" s="431"/>
      <c r="AK269" s="431"/>
      <c r="AL269" s="431"/>
      <c r="AM269" s="431"/>
      <c r="AN269" s="431"/>
      <c r="AO269" s="431"/>
      <c r="AP269" s="431"/>
      <c r="AQ269" s="431"/>
      <c r="AR269" s="431"/>
      <c r="AS269" s="431"/>
      <c r="AT269" s="431"/>
      <c r="AU269" s="431"/>
      <c r="AV269" s="431"/>
      <c r="AW269" s="432"/>
      <c r="AX269" s="8"/>
    </row>
    <row r="270" spans="1:50" s="15" customFormat="1" ht="13.5" customHeight="1">
      <c r="A270" s="34"/>
      <c r="B270" s="17"/>
      <c r="C270" s="17"/>
      <c r="D270" s="43"/>
      <c r="E270" s="43"/>
      <c r="F270" s="43"/>
      <c r="G270" s="43"/>
      <c r="H270" s="43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36"/>
    </row>
    <row r="271" spans="1:50" ht="13.5" customHeight="1">
      <c r="A271" s="5"/>
      <c r="B271" s="17"/>
      <c r="C271" s="17"/>
      <c r="D271" s="43"/>
      <c r="E271" s="43"/>
      <c r="F271" s="43"/>
      <c r="G271" s="43"/>
      <c r="H271" s="43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8"/>
    </row>
    <row r="272" spans="1:50" ht="22.5">
      <c r="A272" s="5"/>
      <c r="B272" s="39" t="s">
        <v>147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8"/>
    </row>
    <row r="273" spans="1:50" ht="18.75">
      <c r="A273" s="5"/>
      <c r="B273" s="6" t="s">
        <v>15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8"/>
    </row>
    <row r="274" spans="1:50" ht="13.5" customHeight="1">
      <c r="A274" s="5"/>
      <c r="B274" s="319" t="s">
        <v>248</v>
      </c>
      <c r="C274" s="319"/>
      <c r="D274" s="319" t="s">
        <v>9</v>
      </c>
      <c r="E274" s="319"/>
      <c r="F274" s="319"/>
      <c r="G274" s="319"/>
      <c r="H274" s="319"/>
      <c r="I274" s="319"/>
      <c r="J274" s="319"/>
      <c r="K274" s="319"/>
      <c r="L274" s="319"/>
      <c r="M274" s="319"/>
      <c r="N274" s="319" t="s">
        <v>16</v>
      </c>
      <c r="O274" s="319"/>
      <c r="P274" s="319"/>
      <c r="Q274" s="319"/>
      <c r="R274" s="319"/>
      <c r="S274" s="319"/>
      <c r="T274" s="319"/>
      <c r="U274" s="319" t="s">
        <v>249</v>
      </c>
      <c r="V274" s="319"/>
      <c r="W274" s="319"/>
      <c r="X274" s="319"/>
      <c r="Y274" s="319"/>
      <c r="Z274" s="319"/>
      <c r="AA274" s="319"/>
      <c r="AB274" s="319" t="s">
        <v>18</v>
      </c>
      <c r="AC274" s="319"/>
      <c r="AD274" s="319" t="s">
        <v>19</v>
      </c>
      <c r="AE274" s="319"/>
      <c r="AF274" s="319" t="s">
        <v>20</v>
      </c>
      <c r="AG274" s="319"/>
      <c r="AH274" s="319" t="s">
        <v>21</v>
      </c>
      <c r="AI274" s="319"/>
      <c r="AJ274" s="319" t="s">
        <v>22</v>
      </c>
      <c r="AK274" s="319"/>
      <c r="AL274" s="319"/>
      <c r="AM274" s="319"/>
      <c r="AN274" s="319"/>
      <c r="AO274" s="319"/>
      <c r="AP274" s="319" t="s">
        <v>12</v>
      </c>
      <c r="AQ274" s="319"/>
      <c r="AR274" s="319"/>
      <c r="AS274" s="319"/>
      <c r="AT274" s="319"/>
      <c r="AU274" s="319"/>
      <c r="AV274" s="319"/>
      <c r="AW274" s="319"/>
      <c r="AX274" s="8"/>
    </row>
    <row r="275" spans="1:50" ht="13.5" customHeight="1">
      <c r="A275" s="5"/>
      <c r="B275" s="319"/>
      <c r="C275" s="319"/>
      <c r="D275" s="319"/>
      <c r="E275" s="319"/>
      <c r="F275" s="319"/>
      <c r="G275" s="319"/>
      <c r="H275" s="319"/>
      <c r="I275" s="319"/>
      <c r="J275" s="319"/>
      <c r="K275" s="319"/>
      <c r="L275" s="319"/>
      <c r="M275" s="319"/>
      <c r="N275" s="319"/>
      <c r="O275" s="319"/>
      <c r="P275" s="319"/>
      <c r="Q275" s="319"/>
      <c r="R275" s="319"/>
      <c r="S275" s="319"/>
      <c r="T275" s="319"/>
      <c r="U275" s="319"/>
      <c r="V275" s="319"/>
      <c r="W275" s="319"/>
      <c r="X275" s="319"/>
      <c r="Y275" s="319"/>
      <c r="Z275" s="319"/>
      <c r="AA275" s="319"/>
      <c r="AB275" s="319"/>
      <c r="AC275" s="319"/>
      <c r="AD275" s="319"/>
      <c r="AE275" s="319"/>
      <c r="AF275" s="319"/>
      <c r="AG275" s="319"/>
      <c r="AH275" s="319"/>
      <c r="AI275" s="319"/>
      <c r="AJ275" s="319"/>
      <c r="AK275" s="319"/>
      <c r="AL275" s="319"/>
      <c r="AM275" s="319"/>
      <c r="AN275" s="319"/>
      <c r="AO275" s="319"/>
      <c r="AP275" s="319"/>
      <c r="AQ275" s="319"/>
      <c r="AR275" s="319"/>
      <c r="AS275" s="319"/>
      <c r="AT275" s="319"/>
      <c r="AU275" s="319"/>
      <c r="AV275" s="319"/>
      <c r="AW275" s="319"/>
      <c r="AX275" s="8"/>
    </row>
    <row r="276" spans="1:50" ht="13.5" customHeight="1">
      <c r="A276" s="5"/>
      <c r="B276" s="317">
        <v>1</v>
      </c>
      <c r="C276" s="317"/>
      <c r="D276" s="318" t="s">
        <v>253</v>
      </c>
      <c r="E276" s="318"/>
      <c r="F276" s="318"/>
      <c r="G276" s="318"/>
      <c r="H276" s="318"/>
      <c r="I276" s="318"/>
      <c r="J276" s="318"/>
      <c r="K276" s="318"/>
      <c r="L276" s="318"/>
      <c r="M276" s="318"/>
      <c r="N276" s="395" t="s">
        <v>250</v>
      </c>
      <c r="O276" s="410"/>
      <c r="P276" s="410"/>
      <c r="Q276" s="410"/>
      <c r="R276" s="410"/>
      <c r="S276" s="410"/>
      <c r="T276" s="411"/>
      <c r="U276" s="318" t="s">
        <v>92</v>
      </c>
      <c r="V276" s="318"/>
      <c r="W276" s="318"/>
      <c r="X276" s="318"/>
      <c r="Y276" s="318"/>
      <c r="Z276" s="318"/>
      <c r="AA276" s="318"/>
      <c r="AB276" s="341" t="s">
        <v>250</v>
      </c>
      <c r="AC276" s="341"/>
      <c r="AD276" s="341" t="s">
        <v>250</v>
      </c>
      <c r="AE276" s="341"/>
      <c r="AF276" s="341" t="s">
        <v>250</v>
      </c>
      <c r="AG276" s="341"/>
      <c r="AH276" s="341" t="s">
        <v>250</v>
      </c>
      <c r="AI276" s="341"/>
      <c r="AJ276" s="398" t="s">
        <v>254</v>
      </c>
      <c r="AK276" s="398"/>
      <c r="AL276" s="398"/>
      <c r="AM276" s="398"/>
      <c r="AN276" s="398"/>
      <c r="AO276" s="398"/>
      <c r="AP276" s="399"/>
      <c r="AQ276" s="399"/>
      <c r="AR276" s="399"/>
      <c r="AS276" s="399"/>
      <c r="AT276" s="399"/>
      <c r="AU276" s="399"/>
      <c r="AV276" s="399"/>
      <c r="AW276" s="399"/>
      <c r="AX276" s="8"/>
    </row>
    <row r="277" spans="1:50" ht="13.5" customHeight="1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8"/>
    </row>
    <row r="278" spans="1:50" ht="18.75">
      <c r="A278" s="5"/>
      <c r="B278" s="32" t="s">
        <v>64</v>
      </c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8"/>
    </row>
    <row r="279" spans="1:50" ht="13.5" customHeight="1">
      <c r="A279" s="5"/>
      <c r="B279" s="433" t="s">
        <v>65</v>
      </c>
      <c r="C279" s="433"/>
      <c r="D279" s="434" t="s">
        <v>66</v>
      </c>
      <c r="E279" s="434"/>
      <c r="F279" s="434"/>
      <c r="G279" s="434"/>
      <c r="H279" s="434"/>
      <c r="I279" s="433" t="s">
        <v>67</v>
      </c>
      <c r="J279" s="433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 t="s">
        <v>68</v>
      </c>
      <c r="W279" s="433"/>
      <c r="X279" s="433"/>
      <c r="Y279" s="433"/>
      <c r="Z279" s="433"/>
      <c r="AA279" s="433"/>
      <c r="AB279" s="433"/>
      <c r="AC279" s="433"/>
      <c r="AD279" s="433"/>
      <c r="AE279" s="433"/>
      <c r="AF279" s="433"/>
      <c r="AG279" s="433"/>
      <c r="AH279" s="433"/>
      <c r="AI279" s="433" t="s">
        <v>69</v>
      </c>
      <c r="AJ279" s="433"/>
      <c r="AK279" s="433"/>
      <c r="AL279" s="433"/>
      <c r="AM279" s="433"/>
      <c r="AN279" s="433"/>
      <c r="AO279" s="433"/>
      <c r="AP279" s="433"/>
      <c r="AQ279" s="433"/>
      <c r="AR279" s="433"/>
      <c r="AS279" s="433"/>
      <c r="AT279" s="433"/>
      <c r="AU279" s="433"/>
      <c r="AV279" s="433"/>
      <c r="AW279" s="433"/>
      <c r="AX279" s="8"/>
    </row>
    <row r="280" spans="1:50" ht="13.5" customHeight="1">
      <c r="A280" s="5"/>
      <c r="B280" s="433"/>
      <c r="C280" s="433"/>
      <c r="D280" s="434"/>
      <c r="E280" s="434"/>
      <c r="F280" s="434"/>
      <c r="G280" s="434"/>
      <c r="H280" s="434"/>
      <c r="I280" s="433"/>
      <c r="J280" s="433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  <c r="W280" s="433"/>
      <c r="X280" s="433"/>
      <c r="Y280" s="433"/>
      <c r="Z280" s="433"/>
      <c r="AA280" s="433"/>
      <c r="AB280" s="433"/>
      <c r="AC280" s="433"/>
      <c r="AD280" s="433"/>
      <c r="AE280" s="433"/>
      <c r="AF280" s="433"/>
      <c r="AG280" s="433"/>
      <c r="AH280" s="433"/>
      <c r="AI280" s="433"/>
      <c r="AJ280" s="433"/>
      <c r="AK280" s="433"/>
      <c r="AL280" s="433"/>
      <c r="AM280" s="433"/>
      <c r="AN280" s="433"/>
      <c r="AO280" s="433"/>
      <c r="AP280" s="433"/>
      <c r="AQ280" s="433"/>
      <c r="AR280" s="433"/>
      <c r="AS280" s="433"/>
      <c r="AT280" s="433"/>
      <c r="AU280" s="433"/>
      <c r="AV280" s="433"/>
      <c r="AW280" s="433"/>
      <c r="AX280" s="8"/>
    </row>
    <row r="281" spans="1:50" ht="13.5" customHeight="1">
      <c r="A281" s="5"/>
      <c r="B281" s="320">
        <v>1</v>
      </c>
      <c r="C281" s="320"/>
      <c r="D281" s="412" t="s">
        <v>177</v>
      </c>
      <c r="E281" s="413"/>
      <c r="F281" s="413"/>
      <c r="G281" s="413"/>
      <c r="H281" s="414"/>
      <c r="I281" s="321" t="s">
        <v>178</v>
      </c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415" t="s">
        <v>72</v>
      </c>
      <c r="W281" s="416"/>
      <c r="X281" s="416"/>
      <c r="Y281" s="416"/>
      <c r="Z281" s="416"/>
      <c r="AA281" s="416"/>
      <c r="AB281" s="416"/>
      <c r="AC281" s="416"/>
      <c r="AD281" s="416"/>
      <c r="AE281" s="416"/>
      <c r="AF281" s="416"/>
      <c r="AG281" s="416"/>
      <c r="AH281" s="417"/>
      <c r="AI281" s="424" t="s">
        <v>250</v>
      </c>
      <c r="AJ281" s="425"/>
      <c r="AK281" s="425"/>
      <c r="AL281" s="425"/>
      <c r="AM281" s="425"/>
      <c r="AN281" s="425"/>
      <c r="AO281" s="425"/>
      <c r="AP281" s="425"/>
      <c r="AQ281" s="425"/>
      <c r="AR281" s="425"/>
      <c r="AS281" s="425"/>
      <c r="AT281" s="425"/>
      <c r="AU281" s="425"/>
      <c r="AV281" s="425"/>
      <c r="AW281" s="426"/>
      <c r="AX281" s="8"/>
    </row>
    <row r="282" spans="1:50" ht="13.5" customHeight="1">
      <c r="A282" s="5"/>
      <c r="B282" s="320">
        <v>2</v>
      </c>
      <c r="C282" s="320"/>
      <c r="D282" s="412" t="s">
        <v>79</v>
      </c>
      <c r="E282" s="413"/>
      <c r="F282" s="413"/>
      <c r="G282" s="413"/>
      <c r="H282" s="414"/>
      <c r="I282" s="321" t="s">
        <v>176</v>
      </c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418"/>
      <c r="W282" s="419"/>
      <c r="X282" s="419"/>
      <c r="Y282" s="419"/>
      <c r="Z282" s="419"/>
      <c r="AA282" s="419"/>
      <c r="AB282" s="419"/>
      <c r="AC282" s="419"/>
      <c r="AD282" s="419"/>
      <c r="AE282" s="419"/>
      <c r="AF282" s="419"/>
      <c r="AG282" s="419"/>
      <c r="AH282" s="420"/>
      <c r="AI282" s="427"/>
      <c r="AJ282" s="428"/>
      <c r="AK282" s="428"/>
      <c r="AL282" s="428"/>
      <c r="AM282" s="428"/>
      <c r="AN282" s="428"/>
      <c r="AO282" s="428"/>
      <c r="AP282" s="428"/>
      <c r="AQ282" s="428"/>
      <c r="AR282" s="428"/>
      <c r="AS282" s="428"/>
      <c r="AT282" s="428"/>
      <c r="AU282" s="428"/>
      <c r="AV282" s="428"/>
      <c r="AW282" s="429"/>
      <c r="AX282" s="8"/>
    </row>
    <row r="283" spans="1:50" ht="13.5" customHeight="1">
      <c r="A283" s="5"/>
      <c r="B283" s="320">
        <v>3</v>
      </c>
      <c r="C283" s="320"/>
      <c r="D283" s="373"/>
      <c r="E283" s="374"/>
      <c r="F283" s="374"/>
      <c r="G283" s="374"/>
      <c r="H283" s="375"/>
      <c r="I283" s="321" t="s">
        <v>179</v>
      </c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418"/>
      <c r="W283" s="419"/>
      <c r="X283" s="419"/>
      <c r="Y283" s="419"/>
      <c r="Z283" s="419"/>
      <c r="AA283" s="419"/>
      <c r="AB283" s="419"/>
      <c r="AC283" s="419"/>
      <c r="AD283" s="419"/>
      <c r="AE283" s="419"/>
      <c r="AF283" s="419"/>
      <c r="AG283" s="419"/>
      <c r="AH283" s="420"/>
      <c r="AI283" s="427"/>
      <c r="AJ283" s="428"/>
      <c r="AK283" s="428"/>
      <c r="AL283" s="428"/>
      <c r="AM283" s="428"/>
      <c r="AN283" s="428"/>
      <c r="AO283" s="428"/>
      <c r="AP283" s="428"/>
      <c r="AQ283" s="428"/>
      <c r="AR283" s="428"/>
      <c r="AS283" s="428"/>
      <c r="AT283" s="428"/>
      <c r="AU283" s="428"/>
      <c r="AV283" s="428"/>
      <c r="AW283" s="429"/>
      <c r="AX283" s="8"/>
    </row>
    <row r="284" spans="1:50" ht="13.5" customHeight="1">
      <c r="A284" s="5"/>
      <c r="B284" s="320"/>
      <c r="C284" s="320"/>
      <c r="D284" s="373"/>
      <c r="E284" s="374"/>
      <c r="F284" s="374"/>
      <c r="G284" s="374"/>
      <c r="H284" s="375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418"/>
      <c r="W284" s="419"/>
      <c r="X284" s="419"/>
      <c r="Y284" s="419"/>
      <c r="Z284" s="419"/>
      <c r="AA284" s="419"/>
      <c r="AB284" s="419"/>
      <c r="AC284" s="419"/>
      <c r="AD284" s="419"/>
      <c r="AE284" s="419"/>
      <c r="AF284" s="419"/>
      <c r="AG284" s="419"/>
      <c r="AH284" s="420"/>
      <c r="AI284" s="427"/>
      <c r="AJ284" s="428"/>
      <c r="AK284" s="428"/>
      <c r="AL284" s="428"/>
      <c r="AM284" s="428"/>
      <c r="AN284" s="428"/>
      <c r="AO284" s="428"/>
      <c r="AP284" s="428"/>
      <c r="AQ284" s="428"/>
      <c r="AR284" s="428"/>
      <c r="AS284" s="428"/>
      <c r="AT284" s="428"/>
      <c r="AU284" s="428"/>
      <c r="AV284" s="428"/>
      <c r="AW284" s="429"/>
      <c r="AX284" s="8"/>
    </row>
    <row r="285" spans="1:50" ht="13.5" customHeight="1">
      <c r="A285" s="5"/>
      <c r="B285" s="320"/>
      <c r="C285" s="320"/>
      <c r="D285" s="326"/>
      <c r="E285" s="327"/>
      <c r="F285" s="327"/>
      <c r="G285" s="327"/>
      <c r="H285" s="328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421"/>
      <c r="W285" s="422"/>
      <c r="X285" s="422"/>
      <c r="Y285" s="422"/>
      <c r="Z285" s="422"/>
      <c r="AA285" s="422"/>
      <c r="AB285" s="422"/>
      <c r="AC285" s="422"/>
      <c r="AD285" s="422"/>
      <c r="AE285" s="422"/>
      <c r="AF285" s="422"/>
      <c r="AG285" s="422"/>
      <c r="AH285" s="423"/>
      <c r="AI285" s="430"/>
      <c r="AJ285" s="431"/>
      <c r="AK285" s="431"/>
      <c r="AL285" s="431"/>
      <c r="AM285" s="431"/>
      <c r="AN285" s="431"/>
      <c r="AO285" s="431"/>
      <c r="AP285" s="431"/>
      <c r="AQ285" s="431"/>
      <c r="AR285" s="431"/>
      <c r="AS285" s="431"/>
      <c r="AT285" s="431"/>
      <c r="AU285" s="431"/>
      <c r="AV285" s="431"/>
      <c r="AW285" s="432"/>
      <c r="AX285" s="8"/>
    </row>
    <row r="286" spans="1:50" s="15" customFormat="1" ht="13.5" customHeight="1">
      <c r="A286" s="34"/>
      <c r="B286" s="17"/>
      <c r="C286" s="17"/>
      <c r="D286" s="43"/>
      <c r="E286" s="43"/>
      <c r="F286" s="43"/>
      <c r="G286" s="43"/>
      <c r="H286" s="43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36"/>
    </row>
    <row r="287" spans="1:50" ht="18.75">
      <c r="A287" s="5"/>
      <c r="B287" s="6" t="s">
        <v>23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8"/>
    </row>
    <row r="288" spans="1:50" ht="16.5">
      <c r="A288" s="5"/>
      <c r="B288" s="7" t="s">
        <v>121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8"/>
    </row>
    <row r="289" spans="1:50" ht="16.5" customHeight="1">
      <c r="A289" s="5"/>
      <c r="B289" s="319" t="s">
        <v>248</v>
      </c>
      <c r="C289" s="319"/>
      <c r="D289" s="402" t="s">
        <v>24</v>
      </c>
      <c r="E289" s="319"/>
      <c r="F289" s="319"/>
      <c r="G289" s="319"/>
      <c r="H289" s="319"/>
      <c r="I289" s="319"/>
      <c r="J289" s="319"/>
      <c r="K289" s="319"/>
      <c r="L289" s="319" t="s">
        <v>25</v>
      </c>
      <c r="M289" s="319"/>
      <c r="N289" s="319"/>
      <c r="O289" s="319"/>
      <c r="P289" s="319"/>
      <c r="Q289" s="319"/>
      <c r="R289" s="319"/>
      <c r="S289" s="319"/>
      <c r="T289" s="319" t="s">
        <v>26</v>
      </c>
      <c r="U289" s="319"/>
      <c r="V289" s="319"/>
      <c r="W289" s="319"/>
      <c r="X289" s="319"/>
      <c r="Y289" s="319"/>
      <c r="Z289" s="319"/>
      <c r="AA289" s="319"/>
      <c r="AB289" s="319" t="s">
        <v>27</v>
      </c>
      <c r="AC289" s="319"/>
      <c r="AD289" s="319"/>
      <c r="AE289" s="319"/>
      <c r="AF289" s="319"/>
      <c r="AG289" s="319"/>
      <c r="AH289" s="319"/>
      <c r="AI289" s="319"/>
      <c r="AJ289" s="319" t="s">
        <v>28</v>
      </c>
      <c r="AK289" s="319"/>
      <c r="AL289" s="319"/>
      <c r="AM289" s="319"/>
      <c r="AN289" s="319"/>
      <c r="AO289" s="319"/>
      <c r="AP289" s="319"/>
      <c r="AQ289" s="319" t="s">
        <v>12</v>
      </c>
      <c r="AR289" s="319"/>
      <c r="AS289" s="319"/>
      <c r="AT289" s="319"/>
      <c r="AU289" s="319"/>
      <c r="AV289" s="319"/>
      <c r="AW289" s="319"/>
      <c r="AX289" s="8"/>
    </row>
    <row r="290" spans="1:50" ht="19.5" customHeight="1">
      <c r="A290" s="5"/>
      <c r="B290" s="319"/>
      <c r="C290" s="319"/>
      <c r="D290" s="319"/>
      <c r="E290" s="319"/>
      <c r="F290" s="319"/>
      <c r="G290" s="319"/>
      <c r="H290" s="319"/>
      <c r="I290" s="319"/>
      <c r="J290" s="319"/>
      <c r="K290" s="319"/>
      <c r="L290" s="319"/>
      <c r="M290" s="319"/>
      <c r="N290" s="319"/>
      <c r="O290" s="319"/>
      <c r="P290" s="319"/>
      <c r="Q290" s="319"/>
      <c r="R290" s="319"/>
      <c r="S290" s="319"/>
      <c r="T290" s="319"/>
      <c r="U290" s="319"/>
      <c r="V290" s="319"/>
      <c r="W290" s="319"/>
      <c r="X290" s="319"/>
      <c r="Y290" s="319"/>
      <c r="Z290" s="319"/>
      <c r="AA290" s="319"/>
      <c r="AB290" s="319"/>
      <c r="AC290" s="319"/>
      <c r="AD290" s="319"/>
      <c r="AE290" s="319"/>
      <c r="AF290" s="319"/>
      <c r="AG290" s="319"/>
      <c r="AH290" s="319"/>
      <c r="AI290" s="319"/>
      <c r="AJ290" s="319"/>
      <c r="AK290" s="319"/>
      <c r="AL290" s="319"/>
      <c r="AM290" s="319"/>
      <c r="AN290" s="319"/>
      <c r="AO290" s="319"/>
      <c r="AP290" s="319"/>
      <c r="AQ290" s="319"/>
      <c r="AR290" s="319"/>
      <c r="AS290" s="319"/>
      <c r="AT290" s="319"/>
      <c r="AU290" s="319"/>
      <c r="AV290" s="319"/>
      <c r="AW290" s="319"/>
      <c r="AX290" s="8"/>
    </row>
    <row r="291" spans="1:50" ht="13.5" customHeight="1">
      <c r="A291" s="5"/>
      <c r="B291" s="443">
        <v>1</v>
      </c>
      <c r="C291" s="444"/>
      <c r="D291" s="447" t="s">
        <v>255</v>
      </c>
      <c r="E291" s="448"/>
      <c r="F291" s="448"/>
      <c r="G291" s="448"/>
      <c r="H291" s="448"/>
      <c r="I291" s="448"/>
      <c r="J291" s="448"/>
      <c r="K291" s="449"/>
      <c r="L291" s="453"/>
      <c r="M291" s="454"/>
      <c r="N291" s="454"/>
      <c r="O291" s="454"/>
      <c r="P291" s="454"/>
      <c r="Q291" s="454"/>
      <c r="R291" s="454"/>
      <c r="S291" s="455"/>
      <c r="T291" s="462" t="s">
        <v>181</v>
      </c>
      <c r="U291" s="463"/>
      <c r="V291" s="463"/>
      <c r="W291" s="463"/>
      <c r="X291" s="463"/>
      <c r="Y291" s="463"/>
      <c r="Z291" s="463"/>
      <c r="AA291" s="464"/>
      <c r="AB291" s="453"/>
      <c r="AC291" s="454"/>
      <c r="AD291" s="454"/>
      <c r="AE291" s="454"/>
      <c r="AF291" s="454"/>
      <c r="AG291" s="454"/>
      <c r="AH291" s="454"/>
      <c r="AI291" s="455"/>
      <c r="AJ291" s="453"/>
      <c r="AK291" s="454"/>
      <c r="AL291" s="454"/>
      <c r="AM291" s="454"/>
      <c r="AN291" s="454"/>
      <c r="AO291" s="454"/>
      <c r="AP291" s="455"/>
      <c r="AQ291" s="471"/>
      <c r="AR291" s="472"/>
      <c r="AS291" s="472"/>
      <c r="AT291" s="472"/>
      <c r="AU291" s="472"/>
      <c r="AV291" s="472"/>
      <c r="AW291" s="473"/>
      <c r="AX291" s="8"/>
    </row>
    <row r="292" spans="1:50" ht="13.5" customHeight="1">
      <c r="A292" s="5"/>
      <c r="B292" s="445"/>
      <c r="C292" s="446"/>
      <c r="D292" s="450"/>
      <c r="E292" s="451"/>
      <c r="F292" s="451"/>
      <c r="G292" s="451"/>
      <c r="H292" s="451"/>
      <c r="I292" s="451"/>
      <c r="J292" s="451"/>
      <c r="K292" s="452"/>
      <c r="L292" s="456"/>
      <c r="M292" s="457"/>
      <c r="N292" s="457"/>
      <c r="O292" s="457"/>
      <c r="P292" s="457"/>
      <c r="Q292" s="457"/>
      <c r="R292" s="457"/>
      <c r="S292" s="458"/>
      <c r="T292" s="465"/>
      <c r="U292" s="466"/>
      <c r="V292" s="466"/>
      <c r="W292" s="466"/>
      <c r="X292" s="466"/>
      <c r="Y292" s="466"/>
      <c r="Z292" s="466"/>
      <c r="AA292" s="467"/>
      <c r="AB292" s="456"/>
      <c r="AC292" s="457"/>
      <c r="AD292" s="457"/>
      <c r="AE292" s="457"/>
      <c r="AF292" s="457"/>
      <c r="AG292" s="457"/>
      <c r="AH292" s="457"/>
      <c r="AI292" s="458"/>
      <c r="AJ292" s="456"/>
      <c r="AK292" s="457"/>
      <c r="AL292" s="457"/>
      <c r="AM292" s="457"/>
      <c r="AN292" s="457"/>
      <c r="AO292" s="457"/>
      <c r="AP292" s="458"/>
      <c r="AQ292" s="474"/>
      <c r="AR292" s="475"/>
      <c r="AS292" s="475"/>
      <c r="AT292" s="475"/>
      <c r="AU292" s="475"/>
      <c r="AV292" s="475"/>
      <c r="AW292" s="476"/>
      <c r="AX292" s="8"/>
    </row>
    <row r="293" spans="1:50" ht="13.5" customHeight="1">
      <c r="A293" s="5"/>
      <c r="B293" s="387"/>
      <c r="C293" s="388"/>
      <c r="D293" s="382"/>
      <c r="E293" s="383"/>
      <c r="F293" s="383"/>
      <c r="G293" s="383"/>
      <c r="H293" s="383"/>
      <c r="I293" s="383"/>
      <c r="J293" s="383"/>
      <c r="K293" s="384"/>
      <c r="L293" s="459"/>
      <c r="M293" s="460"/>
      <c r="N293" s="460"/>
      <c r="O293" s="460"/>
      <c r="P293" s="460"/>
      <c r="Q293" s="460"/>
      <c r="R293" s="460"/>
      <c r="S293" s="461"/>
      <c r="T293" s="468"/>
      <c r="U293" s="469"/>
      <c r="V293" s="469"/>
      <c r="W293" s="469"/>
      <c r="X293" s="469"/>
      <c r="Y293" s="469"/>
      <c r="Z293" s="469"/>
      <c r="AA293" s="470"/>
      <c r="AB293" s="459"/>
      <c r="AC293" s="460"/>
      <c r="AD293" s="460"/>
      <c r="AE293" s="460"/>
      <c r="AF293" s="460"/>
      <c r="AG293" s="460"/>
      <c r="AH293" s="460"/>
      <c r="AI293" s="461"/>
      <c r="AJ293" s="459"/>
      <c r="AK293" s="460"/>
      <c r="AL293" s="460"/>
      <c r="AM293" s="460"/>
      <c r="AN293" s="460"/>
      <c r="AO293" s="460"/>
      <c r="AP293" s="461"/>
      <c r="AQ293" s="477"/>
      <c r="AR293" s="478"/>
      <c r="AS293" s="478"/>
      <c r="AT293" s="478"/>
      <c r="AU293" s="478"/>
      <c r="AV293" s="478"/>
      <c r="AW293" s="479"/>
      <c r="AX293" s="8"/>
    </row>
    <row r="294" spans="1:50" ht="13.5" customHeight="1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8"/>
    </row>
    <row r="295" spans="1:50" ht="13.5" customHeight="1" thickBot="1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3"/>
    </row>
  </sheetData>
  <mergeCells count="408">
    <mergeCell ref="B246:C247"/>
    <mergeCell ref="D246:H247"/>
    <mergeCell ref="I246:U247"/>
    <mergeCell ref="V246:AH247"/>
    <mergeCell ref="AI246:AW247"/>
    <mergeCell ref="B248:C248"/>
    <mergeCell ref="D248:H248"/>
    <mergeCell ref="I248:U248"/>
    <mergeCell ref="V248:AH248"/>
    <mergeCell ref="AI248:AW248"/>
    <mergeCell ref="AP241:AW242"/>
    <mergeCell ref="B243:C243"/>
    <mergeCell ref="D243:M243"/>
    <mergeCell ref="N243:T243"/>
    <mergeCell ref="U243:AA243"/>
    <mergeCell ref="AB243:AC243"/>
    <mergeCell ref="AD243:AE243"/>
    <mergeCell ref="AF243:AG243"/>
    <mergeCell ref="AH243:AI243"/>
    <mergeCell ref="AJ243:AO243"/>
    <mergeCell ref="AP243:AW243"/>
    <mergeCell ref="B241:C242"/>
    <mergeCell ref="D241:M242"/>
    <mergeCell ref="N241:T242"/>
    <mergeCell ref="U241:AA242"/>
    <mergeCell ref="AB241:AC242"/>
    <mergeCell ref="AD241:AE242"/>
    <mergeCell ref="AF241:AG242"/>
    <mergeCell ref="AH241:AI242"/>
    <mergeCell ref="AJ241:AO242"/>
    <mergeCell ref="AQ289:AW290"/>
    <mergeCell ref="B291:C293"/>
    <mergeCell ref="D291:K293"/>
    <mergeCell ref="L291:S293"/>
    <mergeCell ref="T291:AA293"/>
    <mergeCell ref="AB291:AI293"/>
    <mergeCell ref="AJ291:AP293"/>
    <mergeCell ref="AQ291:AW293"/>
    <mergeCell ref="B289:C290"/>
    <mergeCell ref="D289:K290"/>
    <mergeCell ref="L289:S290"/>
    <mergeCell ref="T289:AA290"/>
    <mergeCell ref="AB289:AI290"/>
    <mergeCell ref="AJ289:AP290"/>
    <mergeCell ref="B279:C280"/>
    <mergeCell ref="D279:H280"/>
    <mergeCell ref="I279:U280"/>
    <mergeCell ref="V279:AH280"/>
    <mergeCell ref="AI279:AW280"/>
    <mergeCell ref="B281:C281"/>
    <mergeCell ref="D281:H281"/>
    <mergeCell ref="I281:U281"/>
    <mergeCell ref="V281:AH285"/>
    <mergeCell ref="AI281:AW285"/>
    <mergeCell ref="B282:C282"/>
    <mergeCell ref="D282:H285"/>
    <mergeCell ref="I282:U282"/>
    <mergeCell ref="B283:C285"/>
    <mergeCell ref="I283:U285"/>
    <mergeCell ref="AF274:AG275"/>
    <mergeCell ref="AH274:AI275"/>
    <mergeCell ref="AJ274:AO275"/>
    <mergeCell ref="AP274:AW275"/>
    <mergeCell ref="B276:C276"/>
    <mergeCell ref="D276:M276"/>
    <mergeCell ref="N276:T276"/>
    <mergeCell ref="U276:AA276"/>
    <mergeCell ref="AB276:AC276"/>
    <mergeCell ref="AD276:AE276"/>
    <mergeCell ref="B274:C275"/>
    <mergeCell ref="D274:M275"/>
    <mergeCell ref="N274:T275"/>
    <mergeCell ref="U274:AA275"/>
    <mergeCell ref="AB274:AC275"/>
    <mergeCell ref="AD274:AE275"/>
    <mergeCell ref="AF276:AG276"/>
    <mergeCell ref="AH276:AI276"/>
    <mergeCell ref="AJ276:AO276"/>
    <mergeCell ref="AP276:AW276"/>
    <mergeCell ref="B230:C231"/>
    <mergeCell ref="B266:C266"/>
    <mergeCell ref="D266:H269"/>
    <mergeCell ref="I266:U266"/>
    <mergeCell ref="V266:AH269"/>
    <mergeCell ref="AI266:AW269"/>
    <mergeCell ref="B267:C269"/>
    <mergeCell ref="I267:U269"/>
    <mergeCell ref="AF255:AG255"/>
    <mergeCell ref="AH255:AI255"/>
    <mergeCell ref="AJ255:AO255"/>
    <mergeCell ref="AP255:AW255"/>
    <mergeCell ref="B264:C265"/>
    <mergeCell ref="D264:H265"/>
    <mergeCell ref="I264:U265"/>
    <mergeCell ref="V264:AH265"/>
    <mergeCell ref="AI264:AW265"/>
    <mergeCell ref="AF253:AG254"/>
    <mergeCell ref="AH253:AI254"/>
    <mergeCell ref="AJ253:AO254"/>
    <mergeCell ref="AP253:AW254"/>
    <mergeCell ref="B255:C255"/>
    <mergeCell ref="D255:M255"/>
    <mergeCell ref="N255:T255"/>
    <mergeCell ref="U255:AA255"/>
    <mergeCell ref="AB255:AC255"/>
    <mergeCell ref="AD255:AE255"/>
    <mergeCell ref="B253:C254"/>
    <mergeCell ref="D253:M254"/>
    <mergeCell ref="N253:T254"/>
    <mergeCell ref="U253:AA254"/>
    <mergeCell ref="AB253:AC254"/>
    <mergeCell ref="AD253:AE254"/>
    <mergeCell ref="B232:C233"/>
    <mergeCell ref="I232:U233"/>
    <mergeCell ref="B234:C235"/>
    <mergeCell ref="D234:H237"/>
    <mergeCell ref="I234:U235"/>
    <mergeCell ref="B236:C237"/>
    <mergeCell ref="I236:U237"/>
    <mergeCell ref="B228:C228"/>
    <mergeCell ref="AF221:AG222"/>
    <mergeCell ref="I230:U231"/>
    <mergeCell ref="AF223:AG223"/>
    <mergeCell ref="B226:C227"/>
    <mergeCell ref="D226:H227"/>
    <mergeCell ref="I226:U227"/>
    <mergeCell ref="V226:AH227"/>
    <mergeCell ref="D230:H233"/>
    <mergeCell ref="AH221:AI222"/>
    <mergeCell ref="AI226:AW227"/>
    <mergeCell ref="D228:H229"/>
    <mergeCell ref="I228:U228"/>
    <mergeCell ref="V228:AH237"/>
    <mergeCell ref="AI228:AW237"/>
    <mergeCell ref="B229:C229"/>
    <mergeCell ref="I229:U229"/>
    <mergeCell ref="AJ221:AO222"/>
    <mergeCell ref="AP221:AW222"/>
    <mergeCell ref="B223:C223"/>
    <mergeCell ref="D223:M223"/>
    <mergeCell ref="N223:T223"/>
    <mergeCell ref="U223:AA223"/>
    <mergeCell ref="AB223:AC223"/>
    <mergeCell ref="AD223:AE223"/>
    <mergeCell ref="B221:C222"/>
    <mergeCell ref="D221:M222"/>
    <mergeCell ref="N221:T222"/>
    <mergeCell ref="U221:AA222"/>
    <mergeCell ref="AB221:AC222"/>
    <mergeCell ref="AD221:AE222"/>
    <mergeCell ref="AH223:AI223"/>
    <mergeCell ref="AJ223:AO223"/>
    <mergeCell ref="AP223:AW223"/>
    <mergeCell ref="B207:C207"/>
    <mergeCell ref="D207:H208"/>
    <mergeCell ref="I207:U207"/>
    <mergeCell ref="V207:AH208"/>
    <mergeCell ref="AI207:AW208"/>
    <mergeCell ref="B208:C208"/>
    <mergeCell ref="I208:U208"/>
    <mergeCell ref="AF202:AG202"/>
    <mergeCell ref="AH202:AI202"/>
    <mergeCell ref="AJ202:AO202"/>
    <mergeCell ref="AP202:AW202"/>
    <mergeCell ref="B205:C206"/>
    <mergeCell ref="D205:H206"/>
    <mergeCell ref="I205:U206"/>
    <mergeCell ref="V205:AH206"/>
    <mergeCell ref="AI205:AW206"/>
    <mergeCell ref="B202:C202"/>
    <mergeCell ref="D202:M202"/>
    <mergeCell ref="N202:T202"/>
    <mergeCell ref="U202:AA202"/>
    <mergeCell ref="AB202:AC202"/>
    <mergeCell ref="AD202:AE202"/>
    <mergeCell ref="B183:C187"/>
    <mergeCell ref="D183:H187"/>
    <mergeCell ref="I183:U187"/>
    <mergeCell ref="V183:AH195"/>
    <mergeCell ref="AI183:AW195"/>
    <mergeCell ref="AB200:AC201"/>
    <mergeCell ref="AD200:AE201"/>
    <mergeCell ref="AF200:AG201"/>
    <mergeCell ref="AH200:AI201"/>
    <mergeCell ref="AJ200:AO201"/>
    <mergeCell ref="AP200:AW201"/>
    <mergeCell ref="B188:C195"/>
    <mergeCell ref="D188:H195"/>
    <mergeCell ref="I188:U195"/>
    <mergeCell ref="B200:C201"/>
    <mergeCell ref="D200:M201"/>
    <mergeCell ref="N200:T201"/>
    <mergeCell ref="U200:AA201"/>
    <mergeCell ref="B174:C175"/>
    <mergeCell ref="D174:H175"/>
    <mergeCell ref="I174:U175"/>
    <mergeCell ref="V174:AH175"/>
    <mergeCell ref="AI174:AW175"/>
    <mergeCell ref="B176:C176"/>
    <mergeCell ref="D176:H176"/>
    <mergeCell ref="I176:U176"/>
    <mergeCell ref="V176:AH176"/>
    <mergeCell ref="AI176:AW176"/>
    <mergeCell ref="AF169:AG170"/>
    <mergeCell ref="AH169:AI170"/>
    <mergeCell ref="AJ169:AO170"/>
    <mergeCell ref="AP169:AW170"/>
    <mergeCell ref="B171:C171"/>
    <mergeCell ref="D171:M171"/>
    <mergeCell ref="N171:T171"/>
    <mergeCell ref="U171:AA171"/>
    <mergeCell ref="AB171:AC171"/>
    <mergeCell ref="AD171:AE171"/>
    <mergeCell ref="B169:C170"/>
    <mergeCell ref="D169:M170"/>
    <mergeCell ref="N169:T170"/>
    <mergeCell ref="U169:AA170"/>
    <mergeCell ref="AB169:AC170"/>
    <mergeCell ref="AD169:AE170"/>
    <mergeCell ref="AF171:AG171"/>
    <mergeCell ref="AH171:AI171"/>
    <mergeCell ref="AJ171:AO171"/>
    <mergeCell ref="AP171:AW171"/>
    <mergeCell ref="B149:C150"/>
    <mergeCell ref="D149:H150"/>
    <mergeCell ref="I149:U150"/>
    <mergeCell ref="V149:AH150"/>
    <mergeCell ref="AI149:AW150"/>
    <mergeCell ref="B151:C151"/>
    <mergeCell ref="D151:H156"/>
    <mergeCell ref="I151:U151"/>
    <mergeCell ref="V151:AH164"/>
    <mergeCell ref="AI151:AW164"/>
    <mergeCell ref="B152:C156"/>
    <mergeCell ref="I152:U156"/>
    <mergeCell ref="B157:C164"/>
    <mergeCell ref="D157:H164"/>
    <mergeCell ref="I157:U164"/>
    <mergeCell ref="AF136:AG137"/>
    <mergeCell ref="AH136:AI137"/>
    <mergeCell ref="AJ136:AO137"/>
    <mergeCell ref="AP136:AW137"/>
    <mergeCell ref="B138:C138"/>
    <mergeCell ref="D138:M138"/>
    <mergeCell ref="N138:T138"/>
    <mergeCell ref="U138:AA138"/>
    <mergeCell ref="AB138:AC138"/>
    <mergeCell ref="AD138:AE138"/>
    <mergeCell ref="B136:C137"/>
    <mergeCell ref="D136:M137"/>
    <mergeCell ref="N136:T137"/>
    <mergeCell ref="U136:AA137"/>
    <mergeCell ref="AB136:AC137"/>
    <mergeCell ref="AD136:AE137"/>
    <mergeCell ref="AF138:AG138"/>
    <mergeCell ref="AH138:AI138"/>
    <mergeCell ref="AJ138:AO138"/>
    <mergeCell ref="AP138:AW138"/>
    <mergeCell ref="AI130:AW131"/>
    <mergeCell ref="B131:C131"/>
    <mergeCell ref="D131:H131"/>
    <mergeCell ref="I131:U131"/>
    <mergeCell ref="AF125:AG125"/>
    <mergeCell ref="AH125:AI125"/>
    <mergeCell ref="AJ125:AO125"/>
    <mergeCell ref="AP125:AW125"/>
    <mergeCell ref="B128:C129"/>
    <mergeCell ref="D128:H129"/>
    <mergeCell ref="I128:U129"/>
    <mergeCell ref="V128:AH129"/>
    <mergeCell ref="AI128:AW129"/>
    <mergeCell ref="B125:C125"/>
    <mergeCell ref="D125:M125"/>
    <mergeCell ref="N125:T125"/>
    <mergeCell ref="U125:AA125"/>
    <mergeCell ref="AB125:AC125"/>
    <mergeCell ref="AD125:AE125"/>
    <mergeCell ref="B130:C130"/>
    <mergeCell ref="D130:H130"/>
    <mergeCell ref="I130:U130"/>
    <mergeCell ref="V130:AH131"/>
    <mergeCell ref="AP118:AW118"/>
    <mergeCell ref="B123:C124"/>
    <mergeCell ref="D123:M124"/>
    <mergeCell ref="N123:T124"/>
    <mergeCell ref="U123:AA124"/>
    <mergeCell ref="AB123:AC124"/>
    <mergeCell ref="AD123:AE124"/>
    <mergeCell ref="AF123:AG124"/>
    <mergeCell ref="AH123:AI124"/>
    <mergeCell ref="AJ123:AO124"/>
    <mergeCell ref="AP123:AW124"/>
    <mergeCell ref="B118:C118"/>
    <mergeCell ref="D118:M118"/>
    <mergeCell ref="N118:T118"/>
    <mergeCell ref="U118:AA118"/>
    <mergeCell ref="AB118:AC118"/>
    <mergeCell ref="AD118:AE118"/>
    <mergeCell ref="AF118:AG118"/>
    <mergeCell ref="AH118:AI118"/>
    <mergeCell ref="AJ118:AO118"/>
    <mergeCell ref="AP109:AW109"/>
    <mergeCell ref="B116:C117"/>
    <mergeCell ref="D116:M117"/>
    <mergeCell ref="N116:T117"/>
    <mergeCell ref="U116:AA117"/>
    <mergeCell ref="AB116:AC117"/>
    <mergeCell ref="AD116:AE117"/>
    <mergeCell ref="AF116:AG117"/>
    <mergeCell ref="AH116:AI117"/>
    <mergeCell ref="AJ116:AO117"/>
    <mergeCell ref="AP116:AW117"/>
    <mergeCell ref="B109:C109"/>
    <mergeCell ref="D109:M109"/>
    <mergeCell ref="N109:T109"/>
    <mergeCell ref="U109:AA109"/>
    <mergeCell ref="AB109:AC109"/>
    <mergeCell ref="AD109:AE109"/>
    <mergeCell ref="AF109:AG109"/>
    <mergeCell ref="AH109:AI109"/>
    <mergeCell ref="AJ109:AO109"/>
    <mergeCell ref="AP102:AW102"/>
    <mergeCell ref="B107:C108"/>
    <mergeCell ref="D107:M108"/>
    <mergeCell ref="N107:T108"/>
    <mergeCell ref="U107:AA108"/>
    <mergeCell ref="AB107:AC108"/>
    <mergeCell ref="AD107:AE108"/>
    <mergeCell ref="AF107:AG108"/>
    <mergeCell ref="AH107:AI108"/>
    <mergeCell ref="AJ107:AO108"/>
    <mergeCell ref="AP107:AW108"/>
    <mergeCell ref="B102:C102"/>
    <mergeCell ref="D102:M102"/>
    <mergeCell ref="N102:T102"/>
    <mergeCell ref="U102:AA102"/>
    <mergeCell ref="AB102:AC102"/>
    <mergeCell ref="AD102:AE102"/>
    <mergeCell ref="AF102:AG102"/>
    <mergeCell ref="AH102:AI102"/>
    <mergeCell ref="AJ102:AO102"/>
    <mergeCell ref="AF99:AG100"/>
    <mergeCell ref="AH99:AI100"/>
    <mergeCell ref="AJ99:AO100"/>
    <mergeCell ref="AP99:AW100"/>
    <mergeCell ref="B101:C101"/>
    <mergeCell ref="D101:M101"/>
    <mergeCell ref="N101:T101"/>
    <mergeCell ref="U101:AA101"/>
    <mergeCell ref="AB101:AC101"/>
    <mergeCell ref="AD101:AE101"/>
    <mergeCell ref="B99:C100"/>
    <mergeCell ref="D99:M100"/>
    <mergeCell ref="N99:T100"/>
    <mergeCell ref="U99:AA100"/>
    <mergeCell ref="AB99:AC100"/>
    <mergeCell ref="AD99:AE100"/>
    <mergeCell ref="AF101:AG101"/>
    <mergeCell ref="AH101:AI101"/>
    <mergeCell ref="AJ101:AO101"/>
    <mergeCell ref="AP101:AW101"/>
    <mergeCell ref="B89:C89"/>
    <mergeCell ref="D89:H89"/>
    <mergeCell ref="I89:U89"/>
    <mergeCell ref="V89:AH94"/>
    <mergeCell ref="AI89:AW94"/>
    <mergeCell ref="B90:C94"/>
    <mergeCell ref="D90:H94"/>
    <mergeCell ref="I90:U94"/>
    <mergeCell ref="AF84:AG84"/>
    <mergeCell ref="AH84:AI84"/>
    <mergeCell ref="AJ84:AO84"/>
    <mergeCell ref="AP84:AW84"/>
    <mergeCell ref="B87:C88"/>
    <mergeCell ref="D87:H88"/>
    <mergeCell ref="I87:U88"/>
    <mergeCell ref="V87:AH88"/>
    <mergeCell ref="AI87:AW88"/>
    <mergeCell ref="AF82:AG83"/>
    <mergeCell ref="AH82:AI83"/>
    <mergeCell ref="AJ82:AO83"/>
    <mergeCell ref="AP82:AW83"/>
    <mergeCell ref="B84:C84"/>
    <mergeCell ref="D84:M84"/>
    <mergeCell ref="N84:T84"/>
    <mergeCell ref="U84:AA84"/>
    <mergeCell ref="AB84:AC84"/>
    <mergeCell ref="AD84:AE84"/>
    <mergeCell ref="B82:C83"/>
    <mergeCell ref="D82:M83"/>
    <mergeCell ref="N82:T83"/>
    <mergeCell ref="U82:AA83"/>
    <mergeCell ref="AB82:AC83"/>
    <mergeCell ref="AD82:AE83"/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scale="51" orientation="landscape" r:id="rId1"/>
  <headerFooter>
    <oddFooter>&amp;C&amp;P/&amp;N</oddFooter>
  </headerFooter>
  <rowBreaks count="8" manualBreakCount="8">
    <brk id="41" max="49" man="1"/>
    <brk id="78" max="49" man="1"/>
    <brk id="112" max="49" man="1"/>
    <brk id="146" max="49" man="1"/>
    <brk id="181" max="49" man="1"/>
    <brk id="217" max="49" man="1"/>
    <brk id="261" max="49" man="1"/>
    <brk id="295" max="4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129"/>
  <sheetViews>
    <sheetView showGridLines="0" view="pageBreakPreview" zoomScaleNormal="60" zoomScaleSheetLayoutView="100" workbookViewId="0">
      <selection sqref="A1:I1"/>
    </sheetView>
  </sheetViews>
  <sheetFormatPr defaultColWidth="2.625" defaultRowHeight="13.5" customHeight="1"/>
  <cols>
    <col min="1" max="16384" width="2.625" style="1"/>
  </cols>
  <sheetData>
    <row r="1" spans="1:55" ht="16.5">
      <c r="A1" s="482" t="s">
        <v>259</v>
      </c>
      <c r="B1" s="275"/>
      <c r="C1" s="275"/>
      <c r="D1" s="275"/>
      <c r="E1" s="275"/>
      <c r="F1" s="276"/>
      <c r="G1" s="276"/>
      <c r="H1" s="276"/>
      <c r="I1" s="483"/>
      <c r="J1" s="310" t="s">
        <v>260</v>
      </c>
      <c r="K1" s="275"/>
      <c r="L1" s="275"/>
      <c r="M1" s="275"/>
      <c r="N1" s="275"/>
      <c r="O1" s="275"/>
      <c r="P1" s="276"/>
      <c r="Q1" s="276"/>
      <c r="R1" s="311" t="s">
        <v>349</v>
      </c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3"/>
      <c r="AJ1" s="314" t="s">
        <v>261</v>
      </c>
      <c r="AK1" s="315"/>
      <c r="AL1" s="315"/>
      <c r="AM1" s="315"/>
      <c r="AN1" s="315"/>
      <c r="AO1" s="316" t="s">
        <v>262</v>
      </c>
      <c r="AP1" s="315"/>
      <c r="AQ1" s="315"/>
      <c r="AR1" s="315"/>
      <c r="AS1" s="315"/>
      <c r="AT1" s="316" t="s">
        <v>263</v>
      </c>
      <c r="AU1" s="316"/>
      <c r="AV1" s="316"/>
      <c r="AW1" s="315"/>
      <c r="AX1" s="315"/>
      <c r="AY1" s="484" t="s">
        <v>264</v>
      </c>
      <c r="AZ1" s="485"/>
      <c r="BA1" s="485"/>
      <c r="BB1" s="485"/>
      <c r="BC1" s="486"/>
    </row>
    <row r="2" spans="1:55" ht="13.5" customHeight="1">
      <c r="A2" s="278" t="str">
        <f>表紙!O10</f>
        <v>13期12月対応</v>
      </c>
      <c r="B2" s="279"/>
      <c r="C2" s="279"/>
      <c r="D2" s="279"/>
      <c r="E2" s="279"/>
      <c r="F2" s="280"/>
      <c r="G2" s="280"/>
      <c r="H2" s="280"/>
      <c r="I2" s="281"/>
      <c r="J2" s="286" t="str">
        <f>表紙!O9</f>
        <v>LMS学習管理システム</v>
      </c>
      <c r="K2" s="279"/>
      <c r="L2" s="279"/>
      <c r="M2" s="279"/>
      <c r="N2" s="279"/>
      <c r="O2" s="280"/>
      <c r="P2" s="280"/>
      <c r="Q2" s="287"/>
      <c r="R2" s="487" t="str">
        <f ca="1">RIGHT(CELL("filename",A1),LEN(CELL("filename",A1))-FIND("]",CELL("filename",A1)))</f>
        <v>ユーザー詳細_受講生(企業担当者権限)</v>
      </c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9"/>
      <c r="AJ2" s="614" t="s">
        <v>274</v>
      </c>
      <c r="AK2" s="297"/>
      <c r="AL2" s="297"/>
      <c r="AM2" s="297"/>
      <c r="AN2" s="297"/>
      <c r="AO2" s="300">
        <v>42684</v>
      </c>
      <c r="AP2" s="297"/>
      <c r="AQ2" s="297"/>
      <c r="AR2" s="297"/>
      <c r="AS2" s="297"/>
      <c r="AT2" s="296" t="s">
        <v>375</v>
      </c>
      <c r="AU2" s="297"/>
      <c r="AV2" s="297"/>
      <c r="AW2" s="297"/>
      <c r="AX2" s="297"/>
      <c r="AY2" s="301">
        <v>43804</v>
      </c>
      <c r="AZ2" s="302"/>
      <c r="BA2" s="302"/>
      <c r="BB2" s="302"/>
      <c r="BC2" s="303"/>
    </row>
    <row r="3" spans="1:55" ht="13.5" customHeight="1" thickBot="1">
      <c r="A3" s="282"/>
      <c r="B3" s="283"/>
      <c r="C3" s="283"/>
      <c r="D3" s="283"/>
      <c r="E3" s="283"/>
      <c r="F3" s="284"/>
      <c r="G3" s="284"/>
      <c r="H3" s="284"/>
      <c r="I3" s="285"/>
      <c r="J3" s="288"/>
      <c r="K3" s="283"/>
      <c r="L3" s="283"/>
      <c r="M3" s="283"/>
      <c r="N3" s="283"/>
      <c r="O3" s="284"/>
      <c r="P3" s="284"/>
      <c r="Q3" s="289"/>
      <c r="R3" s="490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2"/>
      <c r="AJ3" s="298"/>
      <c r="AK3" s="299"/>
      <c r="AL3" s="299"/>
      <c r="AM3" s="299"/>
      <c r="AN3" s="299"/>
      <c r="AO3" s="299"/>
      <c r="AP3" s="299"/>
      <c r="AQ3" s="299"/>
      <c r="AR3" s="299"/>
      <c r="AS3" s="299"/>
      <c r="AT3" s="298"/>
      <c r="AU3" s="299"/>
      <c r="AV3" s="299"/>
      <c r="AW3" s="299"/>
      <c r="AX3" s="299"/>
      <c r="AY3" s="304"/>
      <c r="AZ3" s="304"/>
      <c r="BA3" s="304"/>
      <c r="BB3" s="304"/>
      <c r="BC3" s="305"/>
    </row>
    <row r="5" spans="1:55" ht="13.5" customHeight="1">
      <c r="A5" s="7"/>
      <c r="B5" s="92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5" ht="13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5" ht="13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5" ht="13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5" ht="13.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5" ht="13.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5" ht="13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5" ht="13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5" ht="13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5" ht="13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5" ht="13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3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3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3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3.5" customHeight="1">
      <c r="A38" s="7"/>
      <c r="B38" s="9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3.5" customHeight="1">
      <c r="A39" s="7"/>
      <c r="B39" s="9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3.5" customHeight="1">
      <c r="A40" s="7"/>
      <c r="B40" s="9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3.5" customHeight="1">
      <c r="A41" s="7"/>
      <c r="B41" s="9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3.5" customHeight="1">
      <c r="A42" s="7"/>
      <c r="B42" s="9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3.5" customHeight="1">
      <c r="A43" s="7"/>
      <c r="B43" s="9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3.5" customHeight="1">
      <c r="A44" s="7"/>
      <c r="B44" s="9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3.5" customHeight="1">
      <c r="A45" s="7"/>
      <c r="B45" s="9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3.5" customHeight="1">
      <c r="A46" s="7"/>
      <c r="B46" s="9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3.5" customHeight="1">
      <c r="A47" s="7"/>
      <c r="B47" s="9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104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104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104" ht="13.5" customHeight="1">
      <c r="A51" s="7"/>
      <c r="B51" s="112" t="s">
        <v>7</v>
      </c>
      <c r="C51" s="116"/>
      <c r="D51" s="116"/>
      <c r="E51" s="11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104" ht="13.5" customHeight="1">
      <c r="A52" s="7"/>
      <c r="B52" s="113" t="s">
        <v>301</v>
      </c>
      <c r="C52" s="116"/>
      <c r="D52" s="116"/>
      <c r="E52" s="11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104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104" ht="16.5">
      <c r="A54" s="7"/>
      <c r="B54" s="94" t="s">
        <v>149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7"/>
    </row>
    <row r="55" spans="1:104" ht="16.5">
      <c r="A55" s="7"/>
      <c r="B55" s="92" t="s">
        <v>15</v>
      </c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7"/>
    </row>
    <row r="56" spans="1:104" ht="13.5" customHeight="1">
      <c r="A56" s="7"/>
      <c r="B56" s="493" t="s">
        <v>180</v>
      </c>
      <c r="C56" s="494"/>
      <c r="D56" s="493" t="s">
        <v>9</v>
      </c>
      <c r="E56" s="495"/>
      <c r="F56" s="495"/>
      <c r="G56" s="495"/>
      <c r="H56" s="495"/>
      <c r="I56" s="494"/>
      <c r="J56" s="493" t="s">
        <v>16</v>
      </c>
      <c r="K56" s="495"/>
      <c r="L56" s="495"/>
      <c r="M56" s="495"/>
      <c r="N56" s="495"/>
      <c r="O56" s="494"/>
      <c r="P56" s="493" t="s">
        <v>219</v>
      </c>
      <c r="Q56" s="495"/>
      <c r="R56" s="495"/>
      <c r="S56" s="495"/>
      <c r="T56" s="495"/>
      <c r="U56" s="494"/>
      <c r="V56" s="493" t="s">
        <v>281</v>
      </c>
      <c r="W56" s="494"/>
      <c r="X56" s="493" t="s">
        <v>282</v>
      </c>
      <c r="Y56" s="495"/>
      <c r="Z56" s="494"/>
      <c r="AA56" s="493" t="s">
        <v>21</v>
      </c>
      <c r="AB56" s="495"/>
      <c r="AC56" s="494"/>
      <c r="AD56" s="493" t="s">
        <v>283</v>
      </c>
      <c r="AE56" s="495"/>
      <c r="AF56" s="494"/>
      <c r="AG56" s="550" t="s">
        <v>22</v>
      </c>
      <c r="AH56" s="551"/>
      <c r="AI56" s="551"/>
      <c r="AJ56" s="551"/>
      <c r="AK56" s="551"/>
      <c r="AL56" s="551"/>
      <c r="AM56" s="551"/>
      <c r="AN56" s="551"/>
      <c r="AO56" s="551"/>
      <c r="AP56" s="552"/>
      <c r="AQ56" s="493" t="s">
        <v>284</v>
      </c>
      <c r="AR56" s="495"/>
      <c r="AS56" s="495"/>
      <c r="AT56" s="495"/>
      <c r="AU56" s="495"/>
      <c r="AV56" s="495"/>
      <c r="AW56" s="495"/>
      <c r="AX56" s="495"/>
      <c r="AY56" s="495"/>
      <c r="AZ56" s="495"/>
      <c r="BA56" s="495"/>
      <c r="BB56" s="494"/>
    </row>
    <row r="57" spans="1:104" ht="13.5" customHeight="1">
      <c r="A57" s="7"/>
      <c r="B57" s="569">
        <v>1</v>
      </c>
      <c r="C57" s="569"/>
      <c r="D57" s="621" t="s">
        <v>94</v>
      </c>
      <c r="E57" s="622"/>
      <c r="F57" s="622"/>
      <c r="G57" s="622"/>
      <c r="H57" s="622"/>
      <c r="I57" s="623"/>
      <c r="J57" s="520" t="s">
        <v>126</v>
      </c>
      <c r="K57" s="521"/>
      <c r="L57" s="521"/>
      <c r="M57" s="521"/>
      <c r="N57" s="521"/>
      <c r="O57" s="522"/>
      <c r="P57" s="622" t="s">
        <v>92</v>
      </c>
      <c r="Q57" s="622"/>
      <c r="R57" s="622"/>
      <c r="S57" s="622"/>
      <c r="T57" s="622"/>
      <c r="U57" s="623"/>
      <c r="V57" s="520" t="s">
        <v>297</v>
      </c>
      <c r="W57" s="522"/>
      <c r="X57" s="520" t="s">
        <v>286</v>
      </c>
      <c r="Y57" s="521"/>
      <c r="Z57" s="522"/>
      <c r="AA57" s="523" t="s">
        <v>126</v>
      </c>
      <c r="AB57" s="524"/>
      <c r="AC57" s="525"/>
      <c r="AD57" s="523" t="s">
        <v>126</v>
      </c>
      <c r="AE57" s="524"/>
      <c r="AF57" s="525"/>
      <c r="AG57" s="535" t="s">
        <v>275</v>
      </c>
      <c r="AH57" s="536"/>
      <c r="AI57" s="536"/>
      <c r="AJ57" s="536"/>
      <c r="AK57" s="536"/>
      <c r="AL57" s="536"/>
      <c r="AM57" s="536"/>
      <c r="AN57" s="536"/>
      <c r="AO57" s="536"/>
      <c r="AP57" s="537"/>
      <c r="AQ57" s="526"/>
      <c r="AR57" s="527"/>
      <c r="AS57" s="527"/>
      <c r="AT57" s="527"/>
      <c r="AU57" s="527"/>
      <c r="AV57" s="527"/>
      <c r="AW57" s="527"/>
      <c r="AX57" s="527"/>
      <c r="AY57" s="527"/>
      <c r="AZ57" s="527"/>
      <c r="BA57" s="527"/>
      <c r="BB57" s="528"/>
    </row>
    <row r="58" spans="1:104" ht="13.5" customHeight="1">
      <c r="A58" s="7"/>
    </row>
    <row r="59" spans="1:104" ht="16.5">
      <c r="A59" s="7"/>
      <c r="B59" s="93" t="s">
        <v>64</v>
      </c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7"/>
    </row>
    <row r="60" spans="1:104" ht="13.5" customHeight="1">
      <c r="A60" s="7"/>
      <c r="B60" s="480" t="s">
        <v>65</v>
      </c>
      <c r="C60" s="481"/>
      <c r="D60" s="496" t="s">
        <v>66</v>
      </c>
      <c r="E60" s="497"/>
      <c r="F60" s="497"/>
      <c r="G60" s="497"/>
      <c r="H60" s="497"/>
      <c r="I60" s="498"/>
      <c r="J60" s="529" t="s">
        <v>67</v>
      </c>
      <c r="K60" s="530"/>
      <c r="L60" s="530"/>
      <c r="M60" s="530"/>
      <c r="N60" s="530"/>
      <c r="O60" s="530"/>
      <c r="P60" s="530"/>
      <c r="Q60" s="530"/>
      <c r="R60" s="530"/>
      <c r="S60" s="530"/>
      <c r="T60" s="530"/>
      <c r="U60" s="530"/>
      <c r="V60" s="531"/>
      <c r="W60" s="529" t="s">
        <v>68</v>
      </c>
      <c r="X60" s="530"/>
      <c r="Y60" s="530"/>
      <c r="Z60" s="530"/>
      <c r="AA60" s="530"/>
      <c r="AB60" s="530"/>
      <c r="AC60" s="530"/>
      <c r="AD60" s="530"/>
      <c r="AE60" s="530"/>
      <c r="AF60" s="530"/>
      <c r="AG60" s="530"/>
      <c r="AH60" s="530"/>
      <c r="AI60" s="531"/>
      <c r="AJ60" s="529" t="s">
        <v>69</v>
      </c>
      <c r="AK60" s="530"/>
      <c r="AL60" s="530"/>
      <c r="AM60" s="530"/>
      <c r="AN60" s="530"/>
      <c r="AO60" s="530"/>
      <c r="AP60" s="530"/>
      <c r="AQ60" s="530"/>
      <c r="AR60" s="530"/>
      <c r="AS60" s="530"/>
      <c r="AT60" s="530"/>
      <c r="AU60" s="530"/>
      <c r="AV60" s="530"/>
      <c r="AW60" s="530"/>
      <c r="AX60" s="530"/>
      <c r="AY60" s="530"/>
      <c r="AZ60" s="530"/>
      <c r="BA60" s="530"/>
      <c r="BB60" s="531"/>
    </row>
    <row r="61" spans="1:104" ht="13.5" customHeight="1">
      <c r="A61" s="7"/>
      <c r="B61" s="561">
        <v>1</v>
      </c>
      <c r="C61" s="586"/>
      <c r="D61" s="587" t="s">
        <v>289</v>
      </c>
      <c r="E61" s="587"/>
      <c r="F61" s="587"/>
      <c r="G61" s="587"/>
      <c r="H61" s="587"/>
      <c r="I61" s="587"/>
      <c r="J61" s="499" t="s">
        <v>209</v>
      </c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1"/>
      <c r="W61" s="502" t="s">
        <v>292</v>
      </c>
      <c r="X61" s="503"/>
      <c r="Y61" s="503"/>
      <c r="Z61" s="503"/>
      <c r="AA61" s="503"/>
      <c r="AB61" s="503"/>
      <c r="AC61" s="503"/>
      <c r="AD61" s="503"/>
      <c r="AE61" s="503"/>
      <c r="AF61" s="503"/>
      <c r="AG61" s="503"/>
      <c r="AH61" s="503"/>
      <c r="AI61" s="504"/>
      <c r="AJ61" s="511" t="s">
        <v>286</v>
      </c>
      <c r="AK61" s="512"/>
      <c r="AL61" s="512"/>
      <c r="AM61" s="512"/>
      <c r="AN61" s="512"/>
      <c r="AO61" s="512"/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3"/>
    </row>
    <row r="62" spans="1:104" ht="13.5" customHeight="1">
      <c r="A62" s="7"/>
      <c r="B62" s="561">
        <v>2</v>
      </c>
      <c r="C62" s="586"/>
      <c r="D62" s="587"/>
      <c r="E62" s="587"/>
      <c r="F62" s="587"/>
      <c r="G62" s="587"/>
      <c r="H62" s="587"/>
      <c r="I62" s="587"/>
      <c r="J62" s="499" t="s">
        <v>276</v>
      </c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1"/>
      <c r="W62" s="505"/>
      <c r="X62" s="506"/>
      <c r="Y62" s="506"/>
      <c r="Z62" s="506"/>
      <c r="AA62" s="506"/>
      <c r="AB62" s="506"/>
      <c r="AC62" s="506"/>
      <c r="AD62" s="506"/>
      <c r="AE62" s="506"/>
      <c r="AF62" s="506"/>
      <c r="AG62" s="506"/>
      <c r="AH62" s="506"/>
      <c r="AI62" s="507"/>
      <c r="AJ62" s="514"/>
      <c r="AK62" s="515"/>
      <c r="AL62" s="515"/>
      <c r="AM62" s="515"/>
      <c r="AN62" s="515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6"/>
    </row>
    <row r="63" spans="1:104" ht="13.5" customHeight="1">
      <c r="A63" s="7"/>
      <c r="B63" s="561">
        <v>3</v>
      </c>
      <c r="C63" s="586"/>
      <c r="D63" s="587" t="s">
        <v>290</v>
      </c>
      <c r="E63" s="587"/>
      <c r="F63" s="587"/>
      <c r="G63" s="587"/>
      <c r="H63" s="587"/>
      <c r="I63" s="587"/>
      <c r="J63" s="499" t="s">
        <v>208</v>
      </c>
      <c r="K63" s="500"/>
      <c r="L63" s="500"/>
      <c r="M63" s="500"/>
      <c r="N63" s="500"/>
      <c r="O63" s="500"/>
      <c r="P63" s="500"/>
      <c r="Q63" s="500"/>
      <c r="R63" s="500"/>
      <c r="S63" s="500"/>
      <c r="T63" s="500"/>
      <c r="U63" s="500"/>
      <c r="V63" s="501"/>
      <c r="W63" s="505"/>
      <c r="X63" s="506"/>
      <c r="Y63" s="506"/>
      <c r="Z63" s="506"/>
      <c r="AA63" s="506"/>
      <c r="AB63" s="506"/>
      <c r="AC63" s="506"/>
      <c r="AD63" s="506"/>
      <c r="AE63" s="506"/>
      <c r="AF63" s="506"/>
      <c r="AG63" s="506"/>
      <c r="AH63" s="506"/>
      <c r="AI63" s="507"/>
      <c r="AJ63" s="514"/>
      <c r="AK63" s="515"/>
      <c r="AL63" s="515"/>
      <c r="AM63" s="515"/>
      <c r="AN63" s="515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6"/>
    </row>
    <row r="64" spans="1:104" ht="13.5" customHeight="1">
      <c r="A64" s="7"/>
      <c r="B64" s="561">
        <v>4</v>
      </c>
      <c r="C64" s="586"/>
      <c r="D64" s="587"/>
      <c r="E64" s="587"/>
      <c r="F64" s="587"/>
      <c r="G64" s="587"/>
      <c r="H64" s="587"/>
      <c r="I64" s="587"/>
      <c r="J64" s="499" t="s">
        <v>210</v>
      </c>
      <c r="K64" s="500"/>
      <c r="L64" s="500"/>
      <c r="M64" s="500"/>
      <c r="N64" s="500"/>
      <c r="O64" s="500"/>
      <c r="P64" s="500"/>
      <c r="Q64" s="500"/>
      <c r="R64" s="500"/>
      <c r="S64" s="500"/>
      <c r="T64" s="500"/>
      <c r="U64" s="500"/>
      <c r="V64" s="501"/>
      <c r="W64" s="505"/>
      <c r="X64" s="506"/>
      <c r="Y64" s="506"/>
      <c r="Z64" s="506"/>
      <c r="AA64" s="506"/>
      <c r="AB64" s="506"/>
      <c r="AC64" s="506"/>
      <c r="AD64" s="506"/>
      <c r="AE64" s="506"/>
      <c r="AF64" s="506"/>
      <c r="AG64" s="506"/>
      <c r="AH64" s="506"/>
      <c r="AI64" s="507"/>
      <c r="AJ64" s="514"/>
      <c r="AK64" s="515"/>
      <c r="AL64" s="515"/>
      <c r="AM64" s="515"/>
      <c r="AN64" s="515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6"/>
      <c r="BG64" s="99"/>
      <c r="BH64" s="99"/>
      <c r="BI64" s="99"/>
      <c r="BJ64" s="99"/>
      <c r="BK64" s="99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</row>
    <row r="65" spans="1:104" ht="13.5" customHeight="1">
      <c r="A65" s="7"/>
      <c r="B65" s="561">
        <v>5</v>
      </c>
      <c r="C65" s="586"/>
      <c r="D65" s="587" t="s">
        <v>291</v>
      </c>
      <c r="E65" s="587"/>
      <c r="F65" s="587"/>
      <c r="G65" s="587"/>
      <c r="H65" s="587"/>
      <c r="I65" s="587"/>
      <c r="J65" s="499" t="s">
        <v>172</v>
      </c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1"/>
      <c r="W65" s="505"/>
      <c r="X65" s="506"/>
      <c r="Y65" s="506"/>
      <c r="Z65" s="506"/>
      <c r="AA65" s="506"/>
      <c r="AB65" s="506"/>
      <c r="AC65" s="506"/>
      <c r="AD65" s="506"/>
      <c r="AE65" s="506"/>
      <c r="AF65" s="506"/>
      <c r="AG65" s="506"/>
      <c r="AH65" s="506"/>
      <c r="AI65" s="507"/>
      <c r="AJ65" s="514"/>
      <c r="AK65" s="515"/>
      <c r="AL65" s="515"/>
      <c r="AM65" s="515"/>
      <c r="AN65" s="515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6"/>
      <c r="BG65" s="99"/>
      <c r="BH65" s="99"/>
      <c r="BI65" s="99"/>
      <c r="BJ65" s="99"/>
      <c r="BK65" s="99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99"/>
      <c r="BZ65" s="99"/>
      <c r="CA65" s="99"/>
      <c r="CB65" s="99"/>
      <c r="CC65" s="99"/>
      <c r="CD65" s="99"/>
      <c r="CE65" s="99"/>
      <c r="CF65" s="99"/>
      <c r="CG65" s="99"/>
      <c r="CH65" s="99"/>
      <c r="CI65" s="99"/>
      <c r="CJ65" s="99"/>
      <c r="CK65" s="99"/>
      <c r="CL65" s="99"/>
      <c r="CM65" s="99"/>
      <c r="CN65" s="99"/>
      <c r="CO65" s="99"/>
      <c r="CP65" s="99"/>
      <c r="CQ65" s="99"/>
      <c r="CR65" s="99"/>
      <c r="CS65" s="99"/>
      <c r="CT65" s="99"/>
      <c r="CU65" s="99"/>
      <c r="CV65" s="99"/>
      <c r="CW65" s="99"/>
      <c r="CX65" s="99"/>
      <c r="CY65" s="99"/>
      <c r="CZ65" s="99"/>
    </row>
    <row r="66" spans="1:104" ht="13.5" customHeight="1">
      <c r="A66" s="7"/>
      <c r="B66" s="561">
        <v>6</v>
      </c>
      <c r="C66" s="586"/>
      <c r="D66" s="587"/>
      <c r="E66" s="587"/>
      <c r="F66" s="587"/>
      <c r="G66" s="587"/>
      <c r="H66" s="587"/>
      <c r="I66" s="587"/>
      <c r="J66" s="499" t="s">
        <v>166</v>
      </c>
      <c r="K66" s="500"/>
      <c r="L66" s="500"/>
      <c r="M66" s="500"/>
      <c r="N66" s="500"/>
      <c r="O66" s="500"/>
      <c r="P66" s="500"/>
      <c r="Q66" s="500"/>
      <c r="R66" s="500"/>
      <c r="S66" s="500"/>
      <c r="T66" s="500"/>
      <c r="U66" s="500"/>
      <c r="V66" s="501"/>
      <c r="W66" s="508"/>
      <c r="X66" s="509"/>
      <c r="Y66" s="509"/>
      <c r="Z66" s="509"/>
      <c r="AA66" s="509"/>
      <c r="AB66" s="509"/>
      <c r="AC66" s="509"/>
      <c r="AD66" s="509"/>
      <c r="AE66" s="509"/>
      <c r="AF66" s="509"/>
      <c r="AG66" s="509"/>
      <c r="AH66" s="509"/>
      <c r="AI66" s="510"/>
      <c r="AJ66" s="517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  <c r="AU66" s="518"/>
      <c r="AV66" s="518"/>
      <c r="AW66" s="518"/>
      <c r="AX66" s="518"/>
      <c r="AY66" s="518"/>
      <c r="AZ66" s="518"/>
      <c r="BA66" s="518"/>
      <c r="BB66" s="519"/>
      <c r="BG66" s="99"/>
      <c r="BH66" s="99"/>
      <c r="BI66" s="99"/>
      <c r="BJ66" s="99"/>
      <c r="BK66" s="99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99"/>
      <c r="BZ66" s="99"/>
      <c r="CA66" s="99"/>
      <c r="CB66" s="99"/>
      <c r="CC66" s="99"/>
      <c r="CD66" s="99"/>
      <c r="CE66" s="99"/>
      <c r="CF66" s="99"/>
      <c r="CG66" s="99"/>
      <c r="CH66" s="99"/>
      <c r="CI66" s="99"/>
      <c r="CJ66" s="99"/>
      <c r="CK66" s="99"/>
      <c r="CL66" s="99"/>
      <c r="CM66" s="99"/>
      <c r="CN66" s="99"/>
      <c r="CO66" s="99"/>
      <c r="CP66" s="99"/>
      <c r="CQ66" s="99"/>
      <c r="CR66" s="99"/>
      <c r="CS66" s="99"/>
      <c r="CT66" s="99"/>
      <c r="CU66" s="99"/>
      <c r="CV66" s="99"/>
      <c r="CW66" s="99"/>
      <c r="CX66" s="99"/>
      <c r="CY66" s="99"/>
      <c r="CZ66" s="99"/>
    </row>
    <row r="67" spans="1:104" ht="13.5" customHeight="1">
      <c r="A67" s="7"/>
      <c r="B67" s="95"/>
      <c r="C67" s="95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7"/>
      <c r="BG67" s="99"/>
      <c r="BH67" s="99"/>
      <c r="BI67" s="99"/>
      <c r="BJ67" s="99"/>
      <c r="BK67" s="99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99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</row>
    <row r="68" spans="1:104" ht="16.5">
      <c r="A68" s="7"/>
      <c r="B68" s="130" t="s">
        <v>372</v>
      </c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7"/>
    </row>
    <row r="69" spans="1:104" ht="16.5">
      <c r="A69" s="7"/>
      <c r="B69" s="92" t="s">
        <v>15</v>
      </c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7"/>
    </row>
    <row r="70" spans="1:104" ht="13.5" customHeight="1">
      <c r="A70" s="7"/>
      <c r="B70" s="493" t="s">
        <v>8</v>
      </c>
      <c r="C70" s="494"/>
      <c r="D70" s="493" t="s">
        <v>9</v>
      </c>
      <c r="E70" s="495"/>
      <c r="F70" s="495"/>
      <c r="G70" s="495"/>
      <c r="H70" s="495"/>
      <c r="I70" s="494"/>
      <c r="J70" s="493" t="s">
        <v>16</v>
      </c>
      <c r="K70" s="495"/>
      <c r="L70" s="495"/>
      <c r="M70" s="495"/>
      <c r="N70" s="495"/>
      <c r="O70" s="494"/>
      <c r="P70" s="493" t="s">
        <v>17</v>
      </c>
      <c r="Q70" s="495"/>
      <c r="R70" s="495"/>
      <c r="S70" s="495"/>
      <c r="T70" s="495"/>
      <c r="U70" s="494"/>
      <c r="V70" s="493" t="s">
        <v>18</v>
      </c>
      <c r="W70" s="494"/>
      <c r="X70" s="493" t="s">
        <v>19</v>
      </c>
      <c r="Y70" s="495"/>
      <c r="Z70" s="494"/>
      <c r="AA70" s="493" t="s">
        <v>21</v>
      </c>
      <c r="AB70" s="495"/>
      <c r="AC70" s="494"/>
      <c r="AD70" s="493" t="s">
        <v>283</v>
      </c>
      <c r="AE70" s="495"/>
      <c r="AF70" s="494"/>
      <c r="AG70" s="550" t="s">
        <v>22</v>
      </c>
      <c r="AH70" s="551"/>
      <c r="AI70" s="551"/>
      <c r="AJ70" s="551"/>
      <c r="AK70" s="551"/>
      <c r="AL70" s="551"/>
      <c r="AM70" s="551"/>
      <c r="AN70" s="551"/>
      <c r="AO70" s="551"/>
      <c r="AP70" s="552"/>
      <c r="AQ70" s="493" t="s">
        <v>12</v>
      </c>
      <c r="AR70" s="495"/>
      <c r="AS70" s="495"/>
      <c r="AT70" s="495"/>
      <c r="AU70" s="495"/>
      <c r="AV70" s="495"/>
      <c r="AW70" s="495"/>
      <c r="AX70" s="495"/>
      <c r="AY70" s="495"/>
      <c r="AZ70" s="495"/>
      <c r="BA70" s="495"/>
      <c r="BB70" s="494"/>
    </row>
    <row r="71" spans="1:104" ht="13.5" customHeight="1">
      <c r="A71" s="7"/>
      <c r="B71" s="569">
        <v>1</v>
      </c>
      <c r="C71" s="569"/>
      <c r="D71" s="621" t="s">
        <v>369</v>
      </c>
      <c r="E71" s="622"/>
      <c r="F71" s="622"/>
      <c r="G71" s="622"/>
      <c r="H71" s="622"/>
      <c r="I71" s="623"/>
      <c r="J71" s="520" t="s">
        <v>73</v>
      </c>
      <c r="K71" s="521"/>
      <c r="L71" s="521"/>
      <c r="M71" s="521"/>
      <c r="N71" s="521"/>
      <c r="O71" s="522"/>
      <c r="P71" s="588" t="s">
        <v>92</v>
      </c>
      <c r="Q71" s="589"/>
      <c r="R71" s="589"/>
      <c r="S71" s="589"/>
      <c r="T71" s="589"/>
      <c r="U71" s="590"/>
      <c r="V71" s="520" t="s">
        <v>73</v>
      </c>
      <c r="W71" s="522"/>
      <c r="X71" s="520" t="s">
        <v>73</v>
      </c>
      <c r="Y71" s="521"/>
      <c r="Z71" s="522"/>
      <c r="AA71" s="523" t="s">
        <v>73</v>
      </c>
      <c r="AB71" s="524"/>
      <c r="AC71" s="525"/>
      <c r="AD71" s="523" t="s">
        <v>73</v>
      </c>
      <c r="AE71" s="524"/>
      <c r="AF71" s="525"/>
      <c r="AG71" s="535"/>
      <c r="AH71" s="536"/>
      <c r="AI71" s="536"/>
      <c r="AJ71" s="536"/>
      <c r="AK71" s="536"/>
      <c r="AL71" s="536"/>
      <c r="AM71" s="536"/>
      <c r="AN71" s="536"/>
      <c r="AO71" s="536"/>
      <c r="AP71" s="537"/>
      <c r="AQ71" s="526"/>
      <c r="AR71" s="527"/>
      <c r="AS71" s="527"/>
      <c r="AT71" s="527"/>
      <c r="AU71" s="527"/>
      <c r="AV71" s="527"/>
      <c r="AW71" s="527"/>
      <c r="AX71" s="527"/>
      <c r="AY71" s="527"/>
      <c r="AZ71" s="527"/>
      <c r="BA71" s="527"/>
      <c r="BB71" s="528"/>
    </row>
    <row r="72" spans="1:104" ht="13.5" customHeight="1">
      <c r="A72" s="7"/>
    </row>
    <row r="73" spans="1:104" ht="16.5">
      <c r="A73" s="7"/>
      <c r="B73" s="93" t="s">
        <v>64</v>
      </c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7"/>
    </row>
    <row r="74" spans="1:104" ht="13.5" customHeight="1">
      <c r="A74" s="7"/>
      <c r="B74" s="480" t="s">
        <v>65</v>
      </c>
      <c r="C74" s="481"/>
      <c r="D74" s="496" t="s">
        <v>66</v>
      </c>
      <c r="E74" s="497"/>
      <c r="F74" s="497"/>
      <c r="G74" s="497"/>
      <c r="H74" s="497"/>
      <c r="I74" s="498"/>
      <c r="J74" s="529" t="s">
        <v>67</v>
      </c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30"/>
      <c r="V74" s="531"/>
      <c r="W74" s="529" t="s">
        <v>68</v>
      </c>
      <c r="X74" s="530"/>
      <c r="Y74" s="530"/>
      <c r="Z74" s="530"/>
      <c r="AA74" s="530"/>
      <c r="AB74" s="530"/>
      <c r="AC74" s="530"/>
      <c r="AD74" s="530"/>
      <c r="AE74" s="530"/>
      <c r="AF74" s="530"/>
      <c r="AG74" s="530"/>
      <c r="AH74" s="530"/>
      <c r="AI74" s="531"/>
      <c r="AJ74" s="529" t="s">
        <v>69</v>
      </c>
      <c r="AK74" s="530"/>
      <c r="AL74" s="530"/>
      <c r="AM74" s="530"/>
      <c r="AN74" s="530"/>
      <c r="AO74" s="530"/>
      <c r="AP74" s="530"/>
      <c r="AQ74" s="530"/>
      <c r="AR74" s="530"/>
      <c r="AS74" s="530"/>
      <c r="AT74" s="530"/>
      <c r="AU74" s="530"/>
      <c r="AV74" s="530"/>
      <c r="AW74" s="530"/>
      <c r="AX74" s="530"/>
      <c r="AY74" s="530"/>
      <c r="AZ74" s="530"/>
      <c r="BA74" s="530"/>
      <c r="BB74" s="531"/>
    </row>
    <row r="75" spans="1:104" ht="13.5" customHeight="1">
      <c r="A75" s="7"/>
      <c r="B75" s="561">
        <v>1</v>
      </c>
      <c r="C75" s="586"/>
      <c r="D75" s="627"/>
      <c r="E75" s="627"/>
      <c r="F75" s="627"/>
      <c r="G75" s="627"/>
      <c r="H75" s="627"/>
      <c r="I75" s="627"/>
      <c r="J75" s="628"/>
      <c r="K75" s="629"/>
      <c r="L75" s="629"/>
      <c r="M75" s="629"/>
      <c r="N75" s="629"/>
      <c r="O75" s="629"/>
      <c r="P75" s="629"/>
      <c r="Q75" s="629"/>
      <c r="R75" s="629"/>
      <c r="S75" s="629"/>
      <c r="T75" s="629"/>
      <c r="U75" s="629"/>
      <c r="V75" s="630"/>
      <c r="W75" s="632" t="s">
        <v>373</v>
      </c>
      <c r="X75" s="632"/>
      <c r="Y75" s="632"/>
      <c r="Z75" s="632"/>
      <c r="AA75" s="632"/>
      <c r="AB75" s="632"/>
      <c r="AC75" s="632"/>
      <c r="AD75" s="632"/>
      <c r="AE75" s="632"/>
      <c r="AF75" s="632"/>
      <c r="AG75" s="632"/>
      <c r="AH75" s="632"/>
      <c r="AI75" s="632"/>
      <c r="AJ75" s="631" t="s">
        <v>73</v>
      </c>
      <c r="AK75" s="631"/>
      <c r="AL75" s="631"/>
      <c r="AM75" s="631"/>
      <c r="AN75" s="631"/>
      <c r="AO75" s="631"/>
      <c r="AP75" s="631"/>
      <c r="AQ75" s="631"/>
      <c r="AR75" s="631"/>
      <c r="AS75" s="631"/>
      <c r="AT75" s="631"/>
      <c r="AU75" s="631"/>
      <c r="AV75" s="631"/>
      <c r="AW75" s="631"/>
      <c r="AX75" s="631"/>
      <c r="AY75" s="631"/>
      <c r="AZ75" s="631"/>
      <c r="BA75" s="631"/>
      <c r="BB75" s="631"/>
    </row>
    <row r="76" spans="1:104" ht="13.5" customHeight="1">
      <c r="A76" s="7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7"/>
      <c r="BG76" s="128"/>
      <c r="BH76" s="128"/>
      <c r="BI76" s="128"/>
      <c r="BJ76" s="128"/>
      <c r="BK76" s="128"/>
      <c r="BL76" s="127"/>
      <c r="BM76" s="127"/>
      <c r="BN76" s="127"/>
      <c r="BO76" s="127"/>
      <c r="BP76" s="127"/>
      <c r="BQ76" s="127"/>
      <c r="BR76" s="127"/>
      <c r="BS76" s="127"/>
      <c r="BT76" s="127"/>
      <c r="BU76" s="127"/>
      <c r="BV76" s="127"/>
      <c r="BW76" s="127"/>
      <c r="BX76" s="127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  <c r="CJ76" s="128"/>
      <c r="CK76" s="128"/>
      <c r="CL76" s="128"/>
      <c r="CM76" s="128"/>
      <c r="CN76" s="128"/>
      <c r="CO76" s="128"/>
      <c r="CP76" s="128"/>
      <c r="CQ76" s="128"/>
      <c r="CR76" s="128"/>
      <c r="CS76" s="128"/>
      <c r="CT76" s="128"/>
      <c r="CU76" s="128"/>
      <c r="CV76" s="128"/>
      <c r="CW76" s="128"/>
      <c r="CX76" s="128"/>
      <c r="CY76" s="128"/>
      <c r="CZ76" s="128"/>
    </row>
    <row r="77" spans="1:104" ht="13.5" customHeight="1">
      <c r="A77" s="7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7"/>
      <c r="BG77" s="128"/>
      <c r="BH77" s="128"/>
      <c r="BI77" s="128"/>
      <c r="BJ77" s="128"/>
      <c r="BK77" s="128"/>
      <c r="BL77" s="127"/>
      <c r="BM77" s="127"/>
      <c r="BN77" s="127"/>
      <c r="BO77" s="127"/>
      <c r="BP77" s="127"/>
      <c r="BQ77" s="127"/>
      <c r="BR77" s="127"/>
      <c r="BS77" s="127"/>
      <c r="BT77" s="127"/>
      <c r="BU77" s="127"/>
      <c r="BV77" s="127"/>
      <c r="BW77" s="127"/>
      <c r="BX77" s="127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  <c r="CJ77" s="128"/>
      <c r="CK77" s="128"/>
      <c r="CL77" s="128"/>
      <c r="CM77" s="128"/>
      <c r="CN77" s="128"/>
      <c r="CO77" s="128"/>
      <c r="CP77" s="128"/>
      <c r="CQ77" s="128"/>
      <c r="CR77" s="128"/>
      <c r="CS77" s="128"/>
      <c r="CT77" s="128"/>
      <c r="CU77" s="128"/>
      <c r="CV77" s="128"/>
      <c r="CW77" s="128"/>
      <c r="CX77" s="128"/>
      <c r="CY77" s="128"/>
      <c r="CZ77" s="128"/>
    </row>
    <row r="78" spans="1:104" ht="16.5">
      <c r="A78" s="7"/>
      <c r="B78" s="94" t="s">
        <v>145</v>
      </c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7"/>
      <c r="BG78" s="99"/>
      <c r="BH78" s="99"/>
      <c r="BI78" s="99"/>
      <c r="BJ78" s="99"/>
      <c r="BK78" s="99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99"/>
      <c r="BZ78" s="99"/>
      <c r="CA78" s="99"/>
      <c r="CB78" s="99"/>
      <c r="CC78" s="99"/>
      <c r="CD78" s="99"/>
      <c r="CE78" s="99"/>
      <c r="CF78" s="99"/>
      <c r="CG78" s="99"/>
      <c r="CH78" s="99"/>
      <c r="CI78" s="99"/>
      <c r="CJ78" s="99"/>
      <c r="CK78" s="99"/>
      <c r="CL78" s="99"/>
      <c r="CM78" s="99"/>
      <c r="CN78" s="99"/>
      <c r="CO78" s="99"/>
      <c r="CP78" s="99"/>
      <c r="CQ78" s="99"/>
      <c r="CR78" s="99"/>
      <c r="CS78" s="99"/>
      <c r="CT78" s="99"/>
      <c r="CU78" s="99"/>
      <c r="CV78" s="99"/>
      <c r="CW78" s="99"/>
      <c r="CX78" s="99"/>
      <c r="CY78" s="99"/>
      <c r="CZ78" s="99"/>
    </row>
    <row r="79" spans="1:104" ht="16.5">
      <c r="A79" s="7"/>
      <c r="B79" s="92" t="s">
        <v>15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7"/>
    </row>
    <row r="80" spans="1:104" ht="13.5" customHeight="1">
      <c r="A80" s="7"/>
      <c r="B80" s="493" t="s">
        <v>180</v>
      </c>
      <c r="C80" s="494"/>
      <c r="D80" s="493" t="s">
        <v>9</v>
      </c>
      <c r="E80" s="495"/>
      <c r="F80" s="495"/>
      <c r="G80" s="495"/>
      <c r="H80" s="495"/>
      <c r="I80" s="494"/>
      <c r="J80" s="493" t="s">
        <v>16</v>
      </c>
      <c r="K80" s="495"/>
      <c r="L80" s="495"/>
      <c r="M80" s="495"/>
      <c r="N80" s="495"/>
      <c r="O80" s="494"/>
      <c r="P80" s="493" t="s">
        <v>219</v>
      </c>
      <c r="Q80" s="495"/>
      <c r="R80" s="495"/>
      <c r="S80" s="495"/>
      <c r="T80" s="495"/>
      <c r="U80" s="494"/>
      <c r="V80" s="493" t="s">
        <v>281</v>
      </c>
      <c r="W80" s="494"/>
      <c r="X80" s="493" t="s">
        <v>282</v>
      </c>
      <c r="Y80" s="495"/>
      <c r="Z80" s="494"/>
      <c r="AA80" s="493" t="s">
        <v>21</v>
      </c>
      <c r="AB80" s="495"/>
      <c r="AC80" s="494"/>
      <c r="AD80" s="493" t="s">
        <v>283</v>
      </c>
      <c r="AE80" s="495"/>
      <c r="AF80" s="494"/>
      <c r="AG80" s="550" t="s">
        <v>22</v>
      </c>
      <c r="AH80" s="551"/>
      <c r="AI80" s="551"/>
      <c r="AJ80" s="551"/>
      <c r="AK80" s="551"/>
      <c r="AL80" s="551"/>
      <c r="AM80" s="551"/>
      <c r="AN80" s="551"/>
      <c r="AO80" s="551"/>
      <c r="AP80" s="552"/>
      <c r="AQ80" s="493" t="s">
        <v>284</v>
      </c>
      <c r="AR80" s="495"/>
      <c r="AS80" s="495"/>
      <c r="AT80" s="495"/>
      <c r="AU80" s="495"/>
      <c r="AV80" s="495"/>
      <c r="AW80" s="495"/>
      <c r="AX80" s="495"/>
      <c r="AY80" s="495"/>
      <c r="AZ80" s="495"/>
      <c r="BA80" s="495"/>
      <c r="BB80" s="494"/>
    </row>
    <row r="81" spans="1:54" ht="13.5" customHeight="1">
      <c r="A81" s="7"/>
      <c r="B81" s="569">
        <v>1</v>
      </c>
      <c r="C81" s="569"/>
      <c r="D81" s="588" t="s">
        <v>287</v>
      </c>
      <c r="E81" s="589"/>
      <c r="F81" s="589"/>
      <c r="G81" s="589"/>
      <c r="H81" s="589"/>
      <c r="I81" s="590"/>
      <c r="J81" s="544" t="s">
        <v>126</v>
      </c>
      <c r="K81" s="545"/>
      <c r="L81" s="545"/>
      <c r="M81" s="545"/>
      <c r="N81" s="545"/>
      <c r="O81" s="546"/>
      <c r="P81" s="588" t="s">
        <v>92</v>
      </c>
      <c r="Q81" s="589"/>
      <c r="R81" s="589"/>
      <c r="S81" s="589"/>
      <c r="T81" s="589"/>
      <c r="U81" s="590"/>
      <c r="V81" s="544" t="s">
        <v>298</v>
      </c>
      <c r="W81" s="546"/>
      <c r="X81" s="544" t="s">
        <v>286</v>
      </c>
      <c r="Y81" s="545"/>
      <c r="Z81" s="546"/>
      <c r="AA81" s="547" t="s">
        <v>126</v>
      </c>
      <c r="AB81" s="548"/>
      <c r="AC81" s="549"/>
      <c r="AD81" s="547" t="s">
        <v>126</v>
      </c>
      <c r="AE81" s="548"/>
      <c r="AF81" s="549"/>
      <c r="AG81" s="547" t="s">
        <v>288</v>
      </c>
      <c r="AH81" s="548"/>
      <c r="AI81" s="548"/>
      <c r="AJ81" s="548"/>
      <c r="AK81" s="548"/>
      <c r="AL81" s="548"/>
      <c r="AM81" s="548"/>
      <c r="AN81" s="548"/>
      <c r="AO81" s="548"/>
      <c r="AP81" s="549"/>
      <c r="AQ81" s="526"/>
      <c r="AR81" s="527"/>
      <c r="AS81" s="527"/>
      <c r="AT81" s="527"/>
      <c r="AU81" s="527"/>
      <c r="AV81" s="527"/>
      <c r="AW81" s="527"/>
      <c r="AX81" s="527"/>
      <c r="AY81" s="527"/>
      <c r="AZ81" s="527"/>
      <c r="BA81" s="527"/>
      <c r="BB81" s="528"/>
    </row>
    <row r="82" spans="1:54" ht="13.5" customHeight="1">
      <c r="A82" s="7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7"/>
    </row>
    <row r="83" spans="1:54" ht="16.5">
      <c r="A83" s="7"/>
      <c r="B83" s="93" t="s">
        <v>64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7"/>
    </row>
    <row r="84" spans="1:54" ht="13.5" customHeight="1">
      <c r="A84" s="7"/>
      <c r="B84" s="480" t="s">
        <v>65</v>
      </c>
      <c r="C84" s="481"/>
      <c r="D84" s="496" t="s">
        <v>66</v>
      </c>
      <c r="E84" s="497"/>
      <c r="F84" s="497"/>
      <c r="G84" s="497"/>
      <c r="H84" s="497"/>
      <c r="I84" s="498"/>
      <c r="J84" s="529" t="s">
        <v>67</v>
      </c>
      <c r="K84" s="530"/>
      <c r="L84" s="530"/>
      <c r="M84" s="530"/>
      <c r="N84" s="530"/>
      <c r="O84" s="530"/>
      <c r="P84" s="530"/>
      <c r="Q84" s="530"/>
      <c r="R84" s="530"/>
      <c r="S84" s="530"/>
      <c r="T84" s="530"/>
      <c r="U84" s="530"/>
      <c r="V84" s="531"/>
      <c r="W84" s="529" t="s">
        <v>68</v>
      </c>
      <c r="X84" s="530"/>
      <c r="Y84" s="530"/>
      <c r="Z84" s="530"/>
      <c r="AA84" s="530"/>
      <c r="AB84" s="530"/>
      <c r="AC84" s="530"/>
      <c r="AD84" s="530"/>
      <c r="AE84" s="530"/>
      <c r="AF84" s="530"/>
      <c r="AG84" s="530"/>
      <c r="AH84" s="530"/>
      <c r="AI84" s="531"/>
      <c r="AJ84" s="529" t="s">
        <v>69</v>
      </c>
      <c r="AK84" s="530"/>
      <c r="AL84" s="530"/>
      <c r="AM84" s="530"/>
      <c r="AN84" s="530"/>
      <c r="AO84" s="530"/>
      <c r="AP84" s="530"/>
      <c r="AQ84" s="530"/>
      <c r="AR84" s="530"/>
      <c r="AS84" s="530"/>
      <c r="AT84" s="530"/>
      <c r="AU84" s="530"/>
      <c r="AV84" s="530"/>
      <c r="AW84" s="530"/>
      <c r="AX84" s="530"/>
      <c r="AY84" s="530"/>
      <c r="AZ84" s="530"/>
      <c r="BA84" s="530"/>
      <c r="BB84" s="531"/>
    </row>
    <row r="85" spans="1:54" ht="13.5" customHeight="1">
      <c r="A85" s="7"/>
      <c r="B85" s="561">
        <v>1</v>
      </c>
      <c r="C85" s="561"/>
      <c r="D85" s="502" t="s">
        <v>277</v>
      </c>
      <c r="E85" s="503"/>
      <c r="F85" s="503"/>
      <c r="G85" s="503"/>
      <c r="H85" s="503"/>
      <c r="I85" s="504"/>
      <c r="J85" s="553" t="s">
        <v>204</v>
      </c>
      <c r="K85" s="553"/>
      <c r="L85" s="553"/>
      <c r="M85" s="553"/>
      <c r="N85" s="553"/>
      <c r="O85" s="553"/>
      <c r="P85" s="553"/>
      <c r="Q85" s="553"/>
      <c r="R85" s="553"/>
      <c r="S85" s="553"/>
      <c r="T85" s="553"/>
      <c r="U85" s="553"/>
      <c r="V85" s="553"/>
      <c r="W85" s="502" t="s">
        <v>293</v>
      </c>
      <c r="X85" s="503"/>
      <c r="Y85" s="503"/>
      <c r="Z85" s="503"/>
      <c r="AA85" s="503"/>
      <c r="AB85" s="503"/>
      <c r="AC85" s="503"/>
      <c r="AD85" s="503"/>
      <c r="AE85" s="503"/>
      <c r="AF85" s="503"/>
      <c r="AG85" s="503"/>
      <c r="AH85" s="503"/>
      <c r="AI85" s="504"/>
      <c r="AJ85" s="511" t="s">
        <v>285</v>
      </c>
      <c r="AK85" s="512"/>
      <c r="AL85" s="512"/>
      <c r="AM85" s="512"/>
      <c r="AN85" s="512"/>
      <c r="AO85" s="512"/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3"/>
    </row>
    <row r="86" spans="1:54" ht="13.5" customHeight="1">
      <c r="A86" s="7"/>
      <c r="B86" s="561">
        <v>2</v>
      </c>
      <c r="C86" s="561"/>
      <c r="D86" s="505"/>
      <c r="E86" s="506"/>
      <c r="F86" s="506"/>
      <c r="G86" s="506"/>
      <c r="H86" s="506"/>
      <c r="I86" s="507"/>
      <c r="J86" s="553" t="s">
        <v>203</v>
      </c>
      <c r="K86" s="553"/>
      <c r="L86" s="553"/>
      <c r="M86" s="553"/>
      <c r="N86" s="553"/>
      <c r="O86" s="553"/>
      <c r="P86" s="553"/>
      <c r="Q86" s="553"/>
      <c r="R86" s="553"/>
      <c r="S86" s="553"/>
      <c r="T86" s="553"/>
      <c r="U86" s="553"/>
      <c r="V86" s="553"/>
      <c r="W86" s="505"/>
      <c r="X86" s="506"/>
      <c r="Y86" s="506"/>
      <c r="Z86" s="506"/>
      <c r="AA86" s="506"/>
      <c r="AB86" s="506"/>
      <c r="AC86" s="506"/>
      <c r="AD86" s="506"/>
      <c r="AE86" s="506"/>
      <c r="AF86" s="506"/>
      <c r="AG86" s="506"/>
      <c r="AH86" s="506"/>
      <c r="AI86" s="507"/>
      <c r="AJ86" s="514"/>
      <c r="AK86" s="515"/>
      <c r="AL86" s="515"/>
      <c r="AM86" s="515"/>
      <c r="AN86" s="515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6"/>
    </row>
    <row r="87" spans="1:54" ht="13.5" customHeight="1">
      <c r="A87" s="7"/>
      <c r="B87" s="561">
        <v>3</v>
      </c>
      <c r="C87" s="561"/>
      <c r="D87" s="505"/>
      <c r="E87" s="506"/>
      <c r="F87" s="506"/>
      <c r="G87" s="506"/>
      <c r="H87" s="506"/>
      <c r="I87" s="507"/>
      <c r="J87" s="553" t="s">
        <v>207</v>
      </c>
      <c r="K87" s="553"/>
      <c r="L87" s="553"/>
      <c r="M87" s="553"/>
      <c r="N87" s="553"/>
      <c r="O87" s="553"/>
      <c r="P87" s="553"/>
      <c r="Q87" s="553"/>
      <c r="R87" s="553"/>
      <c r="S87" s="553"/>
      <c r="T87" s="553"/>
      <c r="U87" s="553"/>
      <c r="V87" s="553"/>
      <c r="W87" s="505"/>
      <c r="X87" s="506"/>
      <c r="Y87" s="506"/>
      <c r="Z87" s="506"/>
      <c r="AA87" s="506"/>
      <c r="AB87" s="506"/>
      <c r="AC87" s="506"/>
      <c r="AD87" s="506"/>
      <c r="AE87" s="506"/>
      <c r="AF87" s="506"/>
      <c r="AG87" s="506"/>
      <c r="AH87" s="506"/>
      <c r="AI87" s="507"/>
      <c r="AJ87" s="514"/>
      <c r="AK87" s="515"/>
      <c r="AL87" s="515"/>
      <c r="AM87" s="515"/>
      <c r="AN87" s="515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6"/>
    </row>
    <row r="88" spans="1:54" ht="13.5" customHeight="1">
      <c r="A88" s="7"/>
      <c r="B88" s="561"/>
      <c r="C88" s="561"/>
      <c r="D88" s="508"/>
      <c r="E88" s="509"/>
      <c r="F88" s="509"/>
      <c r="G88" s="509"/>
      <c r="H88" s="509"/>
      <c r="I88" s="510"/>
      <c r="J88" s="553"/>
      <c r="K88" s="553"/>
      <c r="L88" s="553"/>
      <c r="M88" s="553"/>
      <c r="N88" s="553"/>
      <c r="O88" s="553"/>
      <c r="P88" s="553"/>
      <c r="Q88" s="553"/>
      <c r="R88" s="553"/>
      <c r="S88" s="553"/>
      <c r="T88" s="553"/>
      <c r="U88" s="553"/>
      <c r="V88" s="553"/>
      <c r="W88" s="505"/>
      <c r="X88" s="506"/>
      <c r="Y88" s="506"/>
      <c r="Z88" s="506"/>
      <c r="AA88" s="506"/>
      <c r="AB88" s="506"/>
      <c r="AC88" s="506"/>
      <c r="AD88" s="506"/>
      <c r="AE88" s="506"/>
      <c r="AF88" s="506"/>
      <c r="AG88" s="506"/>
      <c r="AH88" s="506"/>
      <c r="AI88" s="507"/>
      <c r="AJ88" s="514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6"/>
    </row>
    <row r="89" spans="1:54" ht="13.5" customHeight="1">
      <c r="A89" s="7"/>
      <c r="B89" s="561">
        <v>4</v>
      </c>
      <c r="C89" s="561"/>
      <c r="D89" s="502" t="s">
        <v>86</v>
      </c>
      <c r="E89" s="503"/>
      <c r="F89" s="503"/>
      <c r="G89" s="503"/>
      <c r="H89" s="503"/>
      <c r="I89" s="504"/>
      <c r="J89" s="553" t="s">
        <v>206</v>
      </c>
      <c r="K89" s="553"/>
      <c r="L89" s="553"/>
      <c r="M89" s="553"/>
      <c r="N89" s="553"/>
      <c r="O89" s="553"/>
      <c r="P89" s="553"/>
      <c r="Q89" s="553"/>
      <c r="R89" s="553"/>
      <c r="S89" s="553"/>
      <c r="T89" s="553"/>
      <c r="U89" s="553"/>
      <c r="V89" s="553"/>
      <c r="W89" s="505"/>
      <c r="X89" s="506"/>
      <c r="Y89" s="506"/>
      <c r="Z89" s="506"/>
      <c r="AA89" s="506"/>
      <c r="AB89" s="506"/>
      <c r="AC89" s="506"/>
      <c r="AD89" s="506"/>
      <c r="AE89" s="506"/>
      <c r="AF89" s="506"/>
      <c r="AG89" s="506"/>
      <c r="AH89" s="506"/>
      <c r="AI89" s="507"/>
      <c r="AJ89" s="514"/>
      <c r="AK89" s="515"/>
      <c r="AL89" s="515"/>
      <c r="AM89" s="515"/>
      <c r="AN89" s="515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6"/>
    </row>
    <row r="90" spans="1:54" ht="13.5" customHeight="1">
      <c r="A90" s="7"/>
      <c r="B90" s="561"/>
      <c r="C90" s="561"/>
      <c r="D90" s="508"/>
      <c r="E90" s="509"/>
      <c r="F90" s="509"/>
      <c r="G90" s="509"/>
      <c r="H90" s="509"/>
      <c r="I90" s="510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05"/>
      <c r="X90" s="506"/>
      <c r="Y90" s="506"/>
      <c r="Z90" s="506"/>
      <c r="AA90" s="506"/>
      <c r="AB90" s="506"/>
      <c r="AC90" s="506"/>
      <c r="AD90" s="506"/>
      <c r="AE90" s="506"/>
      <c r="AF90" s="506"/>
      <c r="AG90" s="506"/>
      <c r="AH90" s="506"/>
      <c r="AI90" s="507"/>
      <c r="AJ90" s="514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6"/>
    </row>
    <row r="91" spans="1:54" ht="13.5" customHeight="1">
      <c r="A91" s="7"/>
      <c r="B91" s="561">
        <v>5</v>
      </c>
      <c r="C91" s="561"/>
      <c r="D91" s="508" t="s">
        <v>88</v>
      </c>
      <c r="E91" s="509"/>
      <c r="F91" s="509"/>
      <c r="G91" s="509"/>
      <c r="H91" s="509"/>
      <c r="I91" s="510"/>
      <c r="J91" s="553" t="s">
        <v>205</v>
      </c>
      <c r="K91" s="553"/>
      <c r="L91" s="553"/>
      <c r="M91" s="553"/>
      <c r="N91" s="553"/>
      <c r="O91" s="553"/>
      <c r="P91" s="553"/>
      <c r="Q91" s="553"/>
      <c r="R91" s="553"/>
      <c r="S91" s="553"/>
      <c r="T91" s="553"/>
      <c r="U91" s="553"/>
      <c r="V91" s="553"/>
      <c r="W91" s="508"/>
      <c r="X91" s="509"/>
      <c r="Y91" s="509"/>
      <c r="Z91" s="509"/>
      <c r="AA91" s="509"/>
      <c r="AB91" s="509"/>
      <c r="AC91" s="509"/>
      <c r="AD91" s="509"/>
      <c r="AE91" s="509"/>
      <c r="AF91" s="509"/>
      <c r="AG91" s="509"/>
      <c r="AH91" s="509"/>
      <c r="AI91" s="510"/>
      <c r="AJ91" s="517"/>
      <c r="AK91" s="518"/>
      <c r="AL91" s="518"/>
      <c r="AM91" s="518"/>
      <c r="AN91" s="518"/>
      <c r="AO91" s="518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9"/>
    </row>
    <row r="92" spans="1:54" ht="13.5" customHeight="1">
      <c r="A92" s="7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7"/>
    </row>
    <row r="93" spans="1:54" ht="16.5">
      <c r="A93" s="7"/>
      <c r="B93" s="92" t="s">
        <v>23</v>
      </c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7"/>
    </row>
    <row r="94" spans="1:54" ht="16.5">
      <c r="A94" s="7"/>
      <c r="B94" s="94" t="s">
        <v>121</v>
      </c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7"/>
    </row>
    <row r="95" spans="1:54" ht="16.5" customHeight="1">
      <c r="A95" s="7"/>
      <c r="B95" s="560" t="s">
        <v>180</v>
      </c>
      <c r="C95" s="560"/>
      <c r="D95" s="568" t="s">
        <v>294</v>
      </c>
      <c r="E95" s="560"/>
      <c r="F95" s="560"/>
      <c r="G95" s="560"/>
      <c r="H95" s="560"/>
      <c r="I95" s="560"/>
      <c r="J95" s="560"/>
      <c r="K95" s="560"/>
      <c r="L95" s="560" t="s">
        <v>25</v>
      </c>
      <c r="M95" s="560"/>
      <c r="N95" s="560"/>
      <c r="O95" s="560"/>
      <c r="P95" s="560"/>
      <c r="Q95" s="560"/>
      <c r="R95" s="560"/>
      <c r="S95" s="560"/>
      <c r="T95" s="560" t="s">
        <v>26</v>
      </c>
      <c r="U95" s="560"/>
      <c r="V95" s="560"/>
      <c r="W95" s="560"/>
      <c r="X95" s="560"/>
      <c r="Y95" s="560"/>
      <c r="Z95" s="560"/>
      <c r="AA95" s="560"/>
      <c r="AB95" s="560" t="s">
        <v>27</v>
      </c>
      <c r="AC95" s="560"/>
      <c r="AD95" s="560"/>
      <c r="AE95" s="560"/>
      <c r="AF95" s="560"/>
      <c r="AG95" s="560"/>
      <c r="AH95" s="560"/>
      <c r="AI95" s="560"/>
      <c r="AJ95" s="560" t="s">
        <v>28</v>
      </c>
      <c r="AK95" s="560"/>
      <c r="AL95" s="560"/>
      <c r="AM95" s="560"/>
      <c r="AN95" s="560"/>
      <c r="AO95" s="560"/>
      <c r="AP95" s="560"/>
      <c r="AQ95" s="550" t="s">
        <v>12</v>
      </c>
      <c r="AR95" s="551"/>
      <c r="AS95" s="551"/>
      <c r="AT95" s="551"/>
      <c r="AU95" s="551"/>
      <c r="AV95" s="551"/>
      <c r="AW95" s="551"/>
      <c r="AX95" s="551"/>
      <c r="AY95" s="551"/>
      <c r="AZ95" s="551"/>
      <c r="BA95" s="551"/>
      <c r="BB95" s="552"/>
    </row>
    <row r="96" spans="1:54" ht="13.5" customHeight="1">
      <c r="A96" s="7"/>
      <c r="B96" s="582">
        <v>1</v>
      </c>
      <c r="C96" s="583"/>
      <c r="D96" s="576" t="s">
        <v>278</v>
      </c>
      <c r="E96" s="577"/>
      <c r="F96" s="577"/>
      <c r="G96" s="577"/>
      <c r="H96" s="577"/>
      <c r="I96" s="577"/>
      <c r="J96" s="577"/>
      <c r="K96" s="578"/>
      <c r="L96" s="554"/>
      <c r="M96" s="555"/>
      <c r="N96" s="555"/>
      <c r="O96" s="555"/>
      <c r="P96" s="555"/>
      <c r="Q96" s="555"/>
      <c r="R96" s="555"/>
      <c r="S96" s="556"/>
      <c r="T96" s="570" t="s">
        <v>202</v>
      </c>
      <c r="U96" s="571"/>
      <c r="V96" s="571"/>
      <c r="W96" s="571"/>
      <c r="X96" s="571"/>
      <c r="Y96" s="571"/>
      <c r="Z96" s="571"/>
      <c r="AA96" s="572"/>
      <c r="AB96" s="554"/>
      <c r="AC96" s="555"/>
      <c r="AD96" s="555"/>
      <c r="AE96" s="555"/>
      <c r="AF96" s="555"/>
      <c r="AG96" s="555"/>
      <c r="AH96" s="555"/>
      <c r="AI96" s="556"/>
      <c r="AJ96" s="554"/>
      <c r="AK96" s="555"/>
      <c r="AL96" s="555"/>
      <c r="AM96" s="555"/>
      <c r="AN96" s="555"/>
      <c r="AO96" s="555"/>
      <c r="AP96" s="556"/>
      <c r="AQ96" s="615"/>
      <c r="AR96" s="616"/>
      <c r="AS96" s="616"/>
      <c r="AT96" s="616"/>
      <c r="AU96" s="616"/>
      <c r="AV96" s="616"/>
      <c r="AW96" s="616"/>
      <c r="AX96" s="616"/>
      <c r="AY96" s="616"/>
      <c r="AZ96" s="616"/>
      <c r="BA96" s="616"/>
      <c r="BB96" s="617"/>
    </row>
    <row r="97" spans="1:54" ht="13.5" customHeight="1">
      <c r="A97" s="7"/>
      <c r="B97" s="584"/>
      <c r="C97" s="585"/>
      <c r="D97" s="579"/>
      <c r="E97" s="580"/>
      <c r="F97" s="580"/>
      <c r="G97" s="580"/>
      <c r="H97" s="580"/>
      <c r="I97" s="580"/>
      <c r="J97" s="580"/>
      <c r="K97" s="581"/>
      <c r="L97" s="557"/>
      <c r="M97" s="558"/>
      <c r="N97" s="558"/>
      <c r="O97" s="558"/>
      <c r="P97" s="558"/>
      <c r="Q97" s="558"/>
      <c r="R97" s="558"/>
      <c r="S97" s="559"/>
      <c r="T97" s="573"/>
      <c r="U97" s="574"/>
      <c r="V97" s="574"/>
      <c r="W97" s="574"/>
      <c r="X97" s="574"/>
      <c r="Y97" s="574"/>
      <c r="Z97" s="574"/>
      <c r="AA97" s="575"/>
      <c r="AB97" s="557"/>
      <c r="AC97" s="558"/>
      <c r="AD97" s="558"/>
      <c r="AE97" s="558"/>
      <c r="AF97" s="558"/>
      <c r="AG97" s="558"/>
      <c r="AH97" s="558"/>
      <c r="AI97" s="559"/>
      <c r="AJ97" s="557"/>
      <c r="AK97" s="558"/>
      <c r="AL97" s="558"/>
      <c r="AM97" s="558"/>
      <c r="AN97" s="558"/>
      <c r="AO97" s="558"/>
      <c r="AP97" s="559"/>
      <c r="AQ97" s="618"/>
      <c r="AR97" s="619"/>
      <c r="AS97" s="619"/>
      <c r="AT97" s="619"/>
      <c r="AU97" s="619"/>
      <c r="AV97" s="619"/>
      <c r="AW97" s="619"/>
      <c r="AX97" s="619"/>
      <c r="AY97" s="619"/>
      <c r="AZ97" s="619"/>
      <c r="BA97" s="619"/>
      <c r="BB97" s="620"/>
    </row>
    <row r="98" spans="1:54" ht="13.5" customHeight="1">
      <c r="A98" s="7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7"/>
    </row>
    <row r="99" spans="1:54" ht="16.5">
      <c r="A99" s="7"/>
      <c r="B99" s="94" t="s">
        <v>146</v>
      </c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7"/>
    </row>
    <row r="100" spans="1:54" ht="16.5">
      <c r="A100" s="7"/>
      <c r="B100" s="92" t="s">
        <v>15</v>
      </c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7"/>
    </row>
    <row r="101" spans="1:54" ht="13.5" customHeight="1">
      <c r="A101" s="7"/>
      <c r="B101" s="493" t="s">
        <v>180</v>
      </c>
      <c r="C101" s="494"/>
      <c r="D101" s="493" t="s">
        <v>9</v>
      </c>
      <c r="E101" s="495"/>
      <c r="F101" s="495"/>
      <c r="G101" s="495"/>
      <c r="H101" s="495"/>
      <c r="I101" s="494"/>
      <c r="J101" s="493" t="s">
        <v>16</v>
      </c>
      <c r="K101" s="495"/>
      <c r="L101" s="495"/>
      <c r="M101" s="495"/>
      <c r="N101" s="495"/>
      <c r="O101" s="494"/>
      <c r="P101" s="493" t="s">
        <v>219</v>
      </c>
      <c r="Q101" s="495"/>
      <c r="R101" s="495"/>
      <c r="S101" s="495"/>
      <c r="T101" s="495"/>
      <c r="U101" s="494"/>
      <c r="V101" s="493" t="s">
        <v>18</v>
      </c>
      <c r="W101" s="494"/>
      <c r="X101" s="493" t="s">
        <v>19</v>
      </c>
      <c r="Y101" s="495"/>
      <c r="Z101" s="494"/>
      <c r="AA101" s="493" t="s">
        <v>21</v>
      </c>
      <c r="AB101" s="495"/>
      <c r="AC101" s="494"/>
      <c r="AD101" s="493" t="s">
        <v>283</v>
      </c>
      <c r="AE101" s="495"/>
      <c r="AF101" s="494"/>
      <c r="AG101" s="550" t="s">
        <v>22</v>
      </c>
      <c r="AH101" s="551"/>
      <c r="AI101" s="551"/>
      <c r="AJ101" s="551"/>
      <c r="AK101" s="551"/>
      <c r="AL101" s="551"/>
      <c r="AM101" s="551"/>
      <c r="AN101" s="551"/>
      <c r="AO101" s="551"/>
      <c r="AP101" s="552"/>
      <c r="AQ101" s="493" t="s">
        <v>12</v>
      </c>
      <c r="AR101" s="495"/>
      <c r="AS101" s="495"/>
      <c r="AT101" s="495"/>
      <c r="AU101" s="495"/>
      <c r="AV101" s="495"/>
      <c r="AW101" s="495"/>
      <c r="AX101" s="495"/>
      <c r="AY101" s="495"/>
      <c r="AZ101" s="495"/>
      <c r="BA101" s="495"/>
      <c r="BB101" s="494"/>
    </row>
    <row r="102" spans="1:54" ht="13.5" customHeight="1">
      <c r="A102" s="7"/>
      <c r="B102" s="569">
        <v>1</v>
      </c>
      <c r="C102" s="569"/>
      <c r="D102" s="565" t="s">
        <v>94</v>
      </c>
      <c r="E102" s="566"/>
      <c r="F102" s="566"/>
      <c r="G102" s="566"/>
      <c r="H102" s="566"/>
      <c r="I102" s="567"/>
      <c r="J102" s="562" t="s">
        <v>126</v>
      </c>
      <c r="K102" s="563"/>
      <c r="L102" s="563"/>
      <c r="M102" s="563"/>
      <c r="N102" s="563"/>
      <c r="O102" s="564"/>
      <c r="P102" s="565" t="s">
        <v>92</v>
      </c>
      <c r="Q102" s="566"/>
      <c r="R102" s="566"/>
      <c r="S102" s="566"/>
      <c r="T102" s="566"/>
      <c r="U102" s="567"/>
      <c r="V102" s="562" t="s">
        <v>299</v>
      </c>
      <c r="W102" s="564"/>
      <c r="X102" s="562" t="s">
        <v>296</v>
      </c>
      <c r="Y102" s="563"/>
      <c r="Z102" s="564"/>
      <c r="AA102" s="535" t="s">
        <v>126</v>
      </c>
      <c r="AB102" s="536"/>
      <c r="AC102" s="537"/>
      <c r="AD102" s="535" t="s">
        <v>126</v>
      </c>
      <c r="AE102" s="536"/>
      <c r="AF102" s="537"/>
      <c r="AG102" s="535" t="s">
        <v>295</v>
      </c>
      <c r="AH102" s="536"/>
      <c r="AI102" s="536"/>
      <c r="AJ102" s="536"/>
      <c r="AK102" s="536"/>
      <c r="AL102" s="536"/>
      <c r="AM102" s="536"/>
      <c r="AN102" s="536"/>
      <c r="AO102" s="536"/>
      <c r="AP102" s="536"/>
      <c r="AQ102" s="532"/>
      <c r="AR102" s="533"/>
      <c r="AS102" s="533"/>
      <c r="AT102" s="533"/>
      <c r="AU102" s="533"/>
      <c r="AV102" s="533"/>
      <c r="AW102" s="533"/>
      <c r="AX102" s="533"/>
      <c r="AY102" s="533"/>
      <c r="AZ102" s="533"/>
      <c r="BA102" s="533"/>
      <c r="BB102" s="534"/>
    </row>
    <row r="103" spans="1:54" ht="13.5" customHeight="1">
      <c r="A103" s="7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7"/>
    </row>
    <row r="104" spans="1:54" ht="16.5">
      <c r="A104" s="7"/>
      <c r="B104" s="93" t="s">
        <v>64</v>
      </c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7"/>
    </row>
    <row r="105" spans="1:54" ht="13.5" customHeight="1">
      <c r="A105" s="7"/>
      <c r="B105" s="480" t="s">
        <v>65</v>
      </c>
      <c r="C105" s="481"/>
      <c r="D105" s="496" t="s">
        <v>66</v>
      </c>
      <c r="E105" s="497"/>
      <c r="F105" s="497"/>
      <c r="G105" s="497"/>
      <c r="H105" s="497"/>
      <c r="I105" s="498"/>
      <c r="J105" s="529" t="s">
        <v>67</v>
      </c>
      <c r="K105" s="530"/>
      <c r="L105" s="530"/>
      <c r="M105" s="530"/>
      <c r="N105" s="530"/>
      <c r="O105" s="530"/>
      <c r="P105" s="530"/>
      <c r="Q105" s="530"/>
      <c r="R105" s="530"/>
      <c r="S105" s="530"/>
      <c r="T105" s="530"/>
      <c r="U105" s="530"/>
      <c r="V105" s="531"/>
      <c r="W105" s="529" t="s">
        <v>68</v>
      </c>
      <c r="X105" s="530"/>
      <c r="Y105" s="530"/>
      <c r="Z105" s="530"/>
      <c r="AA105" s="530"/>
      <c r="AB105" s="530"/>
      <c r="AC105" s="530"/>
      <c r="AD105" s="530"/>
      <c r="AE105" s="530"/>
      <c r="AF105" s="530"/>
      <c r="AG105" s="530"/>
      <c r="AH105" s="530"/>
      <c r="AI105" s="531"/>
      <c r="AJ105" s="529" t="s">
        <v>69</v>
      </c>
      <c r="AK105" s="530"/>
      <c r="AL105" s="530"/>
      <c r="AM105" s="530"/>
      <c r="AN105" s="530"/>
      <c r="AO105" s="530"/>
      <c r="AP105" s="530"/>
      <c r="AQ105" s="530"/>
      <c r="AR105" s="530"/>
      <c r="AS105" s="530"/>
      <c r="AT105" s="530"/>
      <c r="AU105" s="530"/>
      <c r="AV105" s="530"/>
      <c r="AW105" s="530"/>
      <c r="AX105" s="530"/>
      <c r="AY105" s="530"/>
      <c r="AZ105" s="530"/>
      <c r="BA105" s="530"/>
      <c r="BB105" s="531"/>
    </row>
    <row r="106" spans="1:54" ht="13.5" customHeight="1">
      <c r="A106" s="7"/>
      <c r="B106" s="561">
        <v>1</v>
      </c>
      <c r="C106" s="561"/>
      <c r="D106" s="538" t="s">
        <v>150</v>
      </c>
      <c r="E106" s="539"/>
      <c r="F106" s="539"/>
      <c r="G106" s="539"/>
      <c r="H106" s="539"/>
      <c r="I106" s="540"/>
      <c r="J106" s="553" t="s">
        <v>176</v>
      </c>
      <c r="K106" s="553"/>
      <c r="L106" s="553"/>
      <c r="M106" s="553"/>
      <c r="N106" s="553"/>
      <c r="O106" s="553"/>
      <c r="P106" s="553"/>
      <c r="Q106" s="553"/>
      <c r="R106" s="553"/>
      <c r="S106" s="553"/>
      <c r="T106" s="553"/>
      <c r="U106" s="553"/>
      <c r="V106" s="553"/>
      <c r="W106" s="538" t="s">
        <v>72</v>
      </c>
      <c r="X106" s="539"/>
      <c r="Y106" s="539"/>
      <c r="Z106" s="539"/>
      <c r="AA106" s="539"/>
      <c r="AB106" s="539"/>
      <c r="AC106" s="539"/>
      <c r="AD106" s="539"/>
      <c r="AE106" s="539"/>
      <c r="AF106" s="539"/>
      <c r="AG106" s="539"/>
      <c r="AH106" s="539"/>
      <c r="AI106" s="540"/>
      <c r="AJ106" s="541" t="s">
        <v>126</v>
      </c>
      <c r="AK106" s="542"/>
      <c r="AL106" s="542"/>
      <c r="AM106" s="542"/>
      <c r="AN106" s="542"/>
      <c r="AO106" s="542"/>
      <c r="AP106" s="542"/>
      <c r="AQ106" s="542"/>
      <c r="AR106" s="542"/>
      <c r="AS106" s="542"/>
      <c r="AT106" s="542"/>
      <c r="AU106" s="542"/>
      <c r="AV106" s="542"/>
      <c r="AW106" s="542"/>
      <c r="AX106" s="542"/>
      <c r="AY106" s="542"/>
      <c r="AZ106" s="542"/>
      <c r="BA106" s="542"/>
      <c r="BB106" s="543"/>
    </row>
    <row r="107" spans="1:54" ht="13.5" customHeight="1">
      <c r="A107" s="7"/>
      <c r="B107" s="561">
        <v>2</v>
      </c>
      <c r="C107" s="561"/>
      <c r="D107" s="505"/>
      <c r="E107" s="506"/>
      <c r="F107" s="506"/>
      <c r="G107" s="506"/>
      <c r="H107" s="506"/>
      <c r="I107" s="507"/>
      <c r="J107" s="553" t="s">
        <v>211</v>
      </c>
      <c r="K107" s="553"/>
      <c r="L107" s="553"/>
      <c r="M107" s="553"/>
      <c r="N107" s="553"/>
      <c r="O107" s="553"/>
      <c r="P107" s="553"/>
      <c r="Q107" s="553"/>
      <c r="R107" s="553"/>
      <c r="S107" s="553"/>
      <c r="T107" s="553"/>
      <c r="U107" s="553"/>
      <c r="V107" s="553"/>
      <c r="W107" s="505"/>
      <c r="X107" s="506"/>
      <c r="Y107" s="506"/>
      <c r="Z107" s="506"/>
      <c r="AA107" s="506"/>
      <c r="AB107" s="506"/>
      <c r="AC107" s="506"/>
      <c r="AD107" s="506"/>
      <c r="AE107" s="506"/>
      <c r="AF107" s="506"/>
      <c r="AG107" s="506"/>
      <c r="AH107" s="506"/>
      <c r="AI107" s="507"/>
      <c r="AJ107" s="514"/>
      <c r="AK107" s="515"/>
      <c r="AL107" s="515"/>
      <c r="AM107" s="515"/>
      <c r="AN107" s="515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6"/>
    </row>
    <row r="108" spans="1:54" ht="13.5" customHeight="1">
      <c r="A108" s="7"/>
      <c r="B108" s="561"/>
      <c r="C108" s="561"/>
      <c r="D108" s="508"/>
      <c r="E108" s="509"/>
      <c r="F108" s="509"/>
      <c r="G108" s="509"/>
      <c r="H108" s="509"/>
      <c r="I108" s="510"/>
      <c r="J108" s="553"/>
      <c r="K108" s="553"/>
      <c r="L108" s="553"/>
      <c r="M108" s="553"/>
      <c r="N108" s="553"/>
      <c r="O108" s="553"/>
      <c r="P108" s="553"/>
      <c r="Q108" s="553"/>
      <c r="R108" s="553"/>
      <c r="S108" s="553"/>
      <c r="T108" s="553"/>
      <c r="U108" s="553"/>
      <c r="V108" s="553"/>
      <c r="W108" s="508"/>
      <c r="X108" s="509"/>
      <c r="Y108" s="509"/>
      <c r="Z108" s="509"/>
      <c r="AA108" s="509"/>
      <c r="AB108" s="509"/>
      <c r="AC108" s="509"/>
      <c r="AD108" s="509"/>
      <c r="AE108" s="509"/>
      <c r="AF108" s="509"/>
      <c r="AG108" s="509"/>
      <c r="AH108" s="509"/>
      <c r="AI108" s="510"/>
      <c r="AJ108" s="517"/>
      <c r="AK108" s="518"/>
      <c r="AL108" s="518"/>
      <c r="AM108" s="518"/>
      <c r="AN108" s="518"/>
      <c r="AO108" s="518"/>
      <c r="AP108" s="518"/>
      <c r="AQ108" s="518"/>
      <c r="AR108" s="518"/>
      <c r="AS108" s="518"/>
      <c r="AT108" s="518"/>
      <c r="AU108" s="518"/>
      <c r="AV108" s="518"/>
      <c r="AW108" s="518"/>
      <c r="AX108" s="518"/>
      <c r="AY108" s="518"/>
      <c r="AZ108" s="518"/>
      <c r="BA108" s="518"/>
      <c r="BB108" s="519"/>
    </row>
    <row r="109" spans="1:54" ht="13.5" customHeight="1">
      <c r="A109" s="7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7"/>
    </row>
    <row r="110" spans="1:54" ht="16.5">
      <c r="A110" s="7"/>
      <c r="B110" s="94" t="s">
        <v>147</v>
      </c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7"/>
    </row>
    <row r="111" spans="1:54" ht="16.5">
      <c r="A111" s="7"/>
      <c r="B111" s="92" t="s">
        <v>15</v>
      </c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7"/>
    </row>
    <row r="112" spans="1:54" ht="13.5" customHeight="1">
      <c r="A112" s="7"/>
      <c r="B112" s="493" t="s">
        <v>180</v>
      </c>
      <c r="C112" s="494"/>
      <c r="D112" s="493" t="s">
        <v>9</v>
      </c>
      <c r="E112" s="495"/>
      <c r="F112" s="495"/>
      <c r="G112" s="495"/>
      <c r="H112" s="495"/>
      <c r="I112" s="494"/>
      <c r="J112" s="493" t="s">
        <v>16</v>
      </c>
      <c r="K112" s="495"/>
      <c r="L112" s="495"/>
      <c r="M112" s="495"/>
      <c r="N112" s="495"/>
      <c r="O112" s="494"/>
      <c r="P112" s="493" t="s">
        <v>219</v>
      </c>
      <c r="Q112" s="495"/>
      <c r="R112" s="495"/>
      <c r="S112" s="495"/>
      <c r="T112" s="495"/>
      <c r="U112" s="494"/>
      <c r="V112" s="493" t="s">
        <v>18</v>
      </c>
      <c r="W112" s="494"/>
      <c r="X112" s="493" t="s">
        <v>19</v>
      </c>
      <c r="Y112" s="495"/>
      <c r="Z112" s="494"/>
      <c r="AA112" s="493" t="s">
        <v>21</v>
      </c>
      <c r="AB112" s="495"/>
      <c r="AC112" s="494"/>
      <c r="AD112" s="493" t="s">
        <v>283</v>
      </c>
      <c r="AE112" s="495"/>
      <c r="AF112" s="494"/>
      <c r="AG112" s="550" t="s">
        <v>22</v>
      </c>
      <c r="AH112" s="551"/>
      <c r="AI112" s="551"/>
      <c r="AJ112" s="551"/>
      <c r="AK112" s="551"/>
      <c r="AL112" s="551"/>
      <c r="AM112" s="551"/>
      <c r="AN112" s="551"/>
      <c r="AO112" s="551"/>
      <c r="AP112" s="552"/>
      <c r="AQ112" s="493" t="s">
        <v>12</v>
      </c>
      <c r="AR112" s="495"/>
      <c r="AS112" s="495"/>
      <c r="AT112" s="495"/>
      <c r="AU112" s="495"/>
      <c r="AV112" s="495"/>
      <c r="AW112" s="495"/>
      <c r="AX112" s="495"/>
      <c r="AY112" s="495"/>
      <c r="AZ112" s="495"/>
      <c r="BA112" s="495"/>
      <c r="BB112" s="494"/>
    </row>
    <row r="113" spans="1:54" ht="13.5" customHeight="1">
      <c r="A113" s="7"/>
      <c r="B113" s="569">
        <v>1</v>
      </c>
      <c r="C113" s="569"/>
      <c r="D113" s="565" t="s">
        <v>253</v>
      </c>
      <c r="E113" s="566"/>
      <c r="F113" s="566"/>
      <c r="G113" s="566"/>
      <c r="H113" s="566"/>
      <c r="I113" s="567"/>
      <c r="J113" s="562" t="s">
        <v>126</v>
      </c>
      <c r="K113" s="563"/>
      <c r="L113" s="563"/>
      <c r="M113" s="563"/>
      <c r="N113" s="563"/>
      <c r="O113" s="563"/>
      <c r="P113" s="565" t="s">
        <v>92</v>
      </c>
      <c r="Q113" s="566"/>
      <c r="R113" s="566"/>
      <c r="S113" s="566"/>
      <c r="T113" s="566"/>
      <c r="U113" s="567"/>
      <c r="V113" s="608" t="s">
        <v>297</v>
      </c>
      <c r="W113" s="608"/>
      <c r="X113" s="535" t="s">
        <v>126</v>
      </c>
      <c r="Y113" s="536"/>
      <c r="Z113" s="536"/>
      <c r="AA113" s="535" t="s">
        <v>126</v>
      </c>
      <c r="AB113" s="536"/>
      <c r="AC113" s="536"/>
      <c r="AD113" s="535" t="s">
        <v>126</v>
      </c>
      <c r="AE113" s="536"/>
      <c r="AF113" s="536"/>
      <c r="AG113" s="609" t="s">
        <v>279</v>
      </c>
      <c r="AH113" s="610"/>
      <c r="AI113" s="610"/>
      <c r="AJ113" s="610"/>
      <c r="AK113" s="610"/>
      <c r="AL113" s="610"/>
      <c r="AM113" s="610"/>
      <c r="AN113" s="610"/>
      <c r="AO113" s="610"/>
      <c r="AP113" s="610"/>
      <c r="AQ113" s="532"/>
      <c r="AR113" s="533"/>
      <c r="AS113" s="533"/>
      <c r="AT113" s="533"/>
      <c r="AU113" s="533"/>
      <c r="AV113" s="533"/>
      <c r="AW113" s="533"/>
      <c r="AX113" s="533"/>
      <c r="AY113" s="533"/>
      <c r="AZ113" s="533"/>
      <c r="BA113" s="533"/>
      <c r="BB113" s="534"/>
    </row>
    <row r="114" spans="1:54" ht="13.5" customHeight="1">
      <c r="A114" s="7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7"/>
    </row>
    <row r="115" spans="1:54" ht="16.5">
      <c r="A115" s="7"/>
      <c r="B115" s="93" t="s">
        <v>64</v>
      </c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7"/>
    </row>
    <row r="116" spans="1:54" ht="13.5" customHeight="1">
      <c r="A116" s="7"/>
      <c r="B116" s="480" t="s">
        <v>65</v>
      </c>
      <c r="C116" s="481"/>
      <c r="D116" s="496" t="s">
        <v>66</v>
      </c>
      <c r="E116" s="497"/>
      <c r="F116" s="497"/>
      <c r="G116" s="497"/>
      <c r="H116" s="497"/>
      <c r="I116" s="498"/>
      <c r="J116" s="529" t="s">
        <v>67</v>
      </c>
      <c r="K116" s="530"/>
      <c r="L116" s="530"/>
      <c r="M116" s="530"/>
      <c r="N116" s="530"/>
      <c r="O116" s="530"/>
      <c r="P116" s="530"/>
      <c r="Q116" s="530"/>
      <c r="R116" s="530"/>
      <c r="S116" s="530"/>
      <c r="T116" s="530"/>
      <c r="U116" s="530"/>
      <c r="V116" s="531"/>
      <c r="W116" s="529" t="s">
        <v>68</v>
      </c>
      <c r="X116" s="530"/>
      <c r="Y116" s="530"/>
      <c r="Z116" s="530"/>
      <c r="AA116" s="530"/>
      <c r="AB116" s="530"/>
      <c r="AC116" s="530"/>
      <c r="AD116" s="530"/>
      <c r="AE116" s="530"/>
      <c r="AF116" s="530"/>
      <c r="AG116" s="530"/>
      <c r="AH116" s="530"/>
      <c r="AI116" s="531"/>
      <c r="AJ116" s="529" t="s">
        <v>69</v>
      </c>
      <c r="AK116" s="530"/>
      <c r="AL116" s="530"/>
      <c r="AM116" s="530"/>
      <c r="AN116" s="530"/>
      <c r="AO116" s="530"/>
      <c r="AP116" s="530"/>
      <c r="AQ116" s="530"/>
      <c r="AR116" s="530"/>
      <c r="AS116" s="530"/>
      <c r="AT116" s="530"/>
      <c r="AU116" s="530"/>
      <c r="AV116" s="530"/>
      <c r="AW116" s="530"/>
      <c r="AX116" s="530"/>
      <c r="AY116" s="530"/>
      <c r="AZ116" s="530"/>
      <c r="BA116" s="530"/>
      <c r="BB116" s="531"/>
    </row>
    <row r="117" spans="1:54" ht="13.5" customHeight="1">
      <c r="A117" s="7"/>
      <c r="B117" s="561">
        <v>1</v>
      </c>
      <c r="C117" s="561"/>
      <c r="D117" s="611" t="s">
        <v>177</v>
      </c>
      <c r="E117" s="612"/>
      <c r="F117" s="612"/>
      <c r="G117" s="612"/>
      <c r="H117" s="612"/>
      <c r="I117" s="613"/>
      <c r="J117" s="553" t="s">
        <v>178</v>
      </c>
      <c r="K117" s="553"/>
      <c r="L117" s="553"/>
      <c r="M117" s="553"/>
      <c r="N117" s="553"/>
      <c r="O117" s="553"/>
      <c r="P117" s="553"/>
      <c r="Q117" s="553"/>
      <c r="R117" s="553"/>
      <c r="S117" s="553"/>
      <c r="T117" s="553"/>
      <c r="U117" s="553"/>
      <c r="V117" s="553"/>
      <c r="W117" s="602" t="s">
        <v>72</v>
      </c>
      <c r="X117" s="603"/>
      <c r="Y117" s="603"/>
      <c r="Z117" s="603"/>
      <c r="AA117" s="603"/>
      <c r="AB117" s="603"/>
      <c r="AC117" s="603"/>
      <c r="AD117" s="603"/>
      <c r="AE117" s="603"/>
      <c r="AF117" s="603"/>
      <c r="AG117" s="603"/>
      <c r="AH117" s="603"/>
      <c r="AI117" s="604"/>
      <c r="AJ117" s="541" t="s">
        <v>126</v>
      </c>
      <c r="AK117" s="542"/>
      <c r="AL117" s="542"/>
      <c r="AM117" s="542"/>
      <c r="AN117" s="542"/>
      <c r="AO117" s="542"/>
      <c r="AP117" s="542"/>
      <c r="AQ117" s="542"/>
      <c r="AR117" s="542"/>
      <c r="AS117" s="542"/>
      <c r="AT117" s="542"/>
      <c r="AU117" s="542"/>
      <c r="AV117" s="542"/>
      <c r="AW117" s="542"/>
      <c r="AX117" s="542"/>
      <c r="AY117" s="542"/>
      <c r="AZ117" s="542"/>
      <c r="BA117" s="542"/>
      <c r="BB117" s="543"/>
    </row>
    <row r="118" spans="1:54" ht="13.5" customHeight="1">
      <c r="A118" s="7"/>
      <c r="B118" s="561">
        <v>2</v>
      </c>
      <c r="C118" s="561"/>
      <c r="D118" s="538" t="s">
        <v>79</v>
      </c>
      <c r="E118" s="539"/>
      <c r="F118" s="539"/>
      <c r="G118" s="539"/>
      <c r="H118" s="539"/>
      <c r="I118" s="540"/>
      <c r="J118" s="553" t="s">
        <v>213</v>
      </c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05"/>
      <c r="X118" s="506"/>
      <c r="Y118" s="506"/>
      <c r="Z118" s="506"/>
      <c r="AA118" s="506"/>
      <c r="AB118" s="506"/>
      <c r="AC118" s="506"/>
      <c r="AD118" s="506"/>
      <c r="AE118" s="506"/>
      <c r="AF118" s="506"/>
      <c r="AG118" s="506"/>
      <c r="AH118" s="506"/>
      <c r="AI118" s="507"/>
      <c r="AJ118" s="514"/>
      <c r="AK118" s="515"/>
      <c r="AL118" s="515"/>
      <c r="AM118" s="515"/>
      <c r="AN118" s="515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6"/>
    </row>
    <row r="119" spans="1:54" ht="13.5" customHeight="1">
      <c r="A119" s="7"/>
      <c r="B119" s="561"/>
      <c r="C119" s="561"/>
      <c r="D119" s="505"/>
      <c r="E119" s="506"/>
      <c r="F119" s="506"/>
      <c r="G119" s="506"/>
      <c r="H119" s="506"/>
      <c r="I119" s="507"/>
      <c r="J119" s="553"/>
      <c r="K119" s="553"/>
      <c r="L119" s="553"/>
      <c r="M119" s="553"/>
      <c r="N119" s="553"/>
      <c r="O119" s="553"/>
      <c r="P119" s="553"/>
      <c r="Q119" s="553"/>
      <c r="R119" s="553"/>
      <c r="S119" s="553"/>
      <c r="T119" s="553"/>
      <c r="U119" s="553"/>
      <c r="V119" s="553"/>
      <c r="W119" s="505"/>
      <c r="X119" s="506"/>
      <c r="Y119" s="506"/>
      <c r="Z119" s="506"/>
      <c r="AA119" s="506"/>
      <c r="AB119" s="506"/>
      <c r="AC119" s="506"/>
      <c r="AD119" s="506"/>
      <c r="AE119" s="506"/>
      <c r="AF119" s="506"/>
      <c r="AG119" s="506"/>
      <c r="AH119" s="506"/>
      <c r="AI119" s="507"/>
      <c r="AJ119" s="514"/>
      <c r="AK119" s="515"/>
      <c r="AL119" s="515"/>
      <c r="AM119" s="515"/>
      <c r="AN119" s="515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6"/>
    </row>
    <row r="120" spans="1:54" ht="13.5" customHeight="1">
      <c r="A120" s="7"/>
      <c r="B120" s="561">
        <v>3</v>
      </c>
      <c r="C120" s="561"/>
      <c r="D120" s="505"/>
      <c r="E120" s="506"/>
      <c r="F120" s="506"/>
      <c r="G120" s="506"/>
      <c r="H120" s="506"/>
      <c r="I120" s="507"/>
      <c r="J120" s="553" t="s">
        <v>280</v>
      </c>
      <c r="K120" s="553"/>
      <c r="L120" s="553"/>
      <c r="M120" s="553"/>
      <c r="N120" s="553"/>
      <c r="O120" s="553"/>
      <c r="P120" s="553"/>
      <c r="Q120" s="553"/>
      <c r="R120" s="553"/>
      <c r="S120" s="553"/>
      <c r="T120" s="553"/>
      <c r="U120" s="553"/>
      <c r="V120" s="553"/>
      <c r="W120" s="505"/>
      <c r="X120" s="506"/>
      <c r="Y120" s="506"/>
      <c r="Z120" s="506"/>
      <c r="AA120" s="506"/>
      <c r="AB120" s="506"/>
      <c r="AC120" s="506"/>
      <c r="AD120" s="506"/>
      <c r="AE120" s="506"/>
      <c r="AF120" s="506"/>
      <c r="AG120" s="506"/>
      <c r="AH120" s="506"/>
      <c r="AI120" s="507"/>
      <c r="AJ120" s="514"/>
      <c r="AK120" s="515"/>
      <c r="AL120" s="515"/>
      <c r="AM120" s="515"/>
      <c r="AN120" s="515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6"/>
    </row>
    <row r="121" spans="1:54" ht="13.5" customHeight="1">
      <c r="A121" s="7"/>
      <c r="B121" s="561"/>
      <c r="C121" s="561"/>
      <c r="D121" s="505"/>
      <c r="E121" s="506"/>
      <c r="F121" s="506"/>
      <c r="G121" s="506"/>
      <c r="H121" s="506"/>
      <c r="I121" s="507"/>
      <c r="J121" s="553"/>
      <c r="K121" s="553"/>
      <c r="L121" s="553"/>
      <c r="M121" s="553"/>
      <c r="N121" s="553"/>
      <c r="O121" s="553"/>
      <c r="P121" s="553"/>
      <c r="Q121" s="553"/>
      <c r="R121" s="553"/>
      <c r="S121" s="553"/>
      <c r="T121" s="553"/>
      <c r="U121" s="553"/>
      <c r="V121" s="553"/>
      <c r="W121" s="505"/>
      <c r="X121" s="506"/>
      <c r="Y121" s="506"/>
      <c r="Z121" s="506"/>
      <c r="AA121" s="506"/>
      <c r="AB121" s="506"/>
      <c r="AC121" s="506"/>
      <c r="AD121" s="506"/>
      <c r="AE121" s="506"/>
      <c r="AF121" s="506"/>
      <c r="AG121" s="506"/>
      <c r="AH121" s="506"/>
      <c r="AI121" s="507"/>
      <c r="AJ121" s="514"/>
      <c r="AK121" s="515"/>
      <c r="AL121" s="515"/>
      <c r="AM121" s="515"/>
      <c r="AN121" s="515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6"/>
    </row>
    <row r="122" spans="1:54" ht="13.5" customHeight="1">
      <c r="A122" s="7"/>
      <c r="B122" s="561"/>
      <c r="C122" s="561"/>
      <c r="D122" s="508"/>
      <c r="E122" s="509"/>
      <c r="F122" s="509"/>
      <c r="G122" s="509"/>
      <c r="H122" s="509"/>
      <c r="I122" s="510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605"/>
      <c r="X122" s="606"/>
      <c r="Y122" s="606"/>
      <c r="Z122" s="606"/>
      <c r="AA122" s="606"/>
      <c r="AB122" s="606"/>
      <c r="AC122" s="606"/>
      <c r="AD122" s="606"/>
      <c r="AE122" s="606"/>
      <c r="AF122" s="606"/>
      <c r="AG122" s="606"/>
      <c r="AH122" s="606"/>
      <c r="AI122" s="607"/>
      <c r="AJ122" s="517"/>
      <c r="AK122" s="518"/>
      <c r="AL122" s="518"/>
      <c r="AM122" s="518"/>
      <c r="AN122" s="518"/>
      <c r="AO122" s="518"/>
      <c r="AP122" s="518"/>
      <c r="AQ122" s="518"/>
      <c r="AR122" s="518"/>
      <c r="AS122" s="518"/>
      <c r="AT122" s="518"/>
      <c r="AU122" s="518"/>
      <c r="AV122" s="518"/>
      <c r="AW122" s="518"/>
      <c r="AX122" s="518"/>
      <c r="AY122" s="518"/>
      <c r="AZ122" s="518"/>
      <c r="BA122" s="518"/>
      <c r="BB122" s="519"/>
    </row>
    <row r="123" spans="1:54" ht="13.5" customHeight="1">
      <c r="A123" s="7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7"/>
    </row>
    <row r="124" spans="1:54" ht="16.5">
      <c r="A124" s="7"/>
      <c r="B124" s="92" t="s">
        <v>23</v>
      </c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7"/>
    </row>
    <row r="125" spans="1:54" ht="16.5">
      <c r="A125" s="7"/>
      <c r="B125" s="94" t="s">
        <v>121</v>
      </c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7"/>
    </row>
    <row r="126" spans="1:54" ht="16.5" customHeight="1">
      <c r="A126" s="7"/>
      <c r="B126" s="560" t="s">
        <v>180</v>
      </c>
      <c r="C126" s="560"/>
      <c r="D126" s="568" t="s">
        <v>294</v>
      </c>
      <c r="E126" s="560"/>
      <c r="F126" s="560"/>
      <c r="G126" s="560"/>
      <c r="H126" s="560"/>
      <c r="I126" s="560"/>
      <c r="J126" s="560"/>
      <c r="K126" s="560"/>
      <c r="L126" s="560" t="s">
        <v>25</v>
      </c>
      <c r="M126" s="560"/>
      <c r="N126" s="560"/>
      <c r="O126" s="560"/>
      <c r="P126" s="560"/>
      <c r="Q126" s="560"/>
      <c r="R126" s="560"/>
      <c r="S126" s="560"/>
      <c r="T126" s="560" t="s">
        <v>26</v>
      </c>
      <c r="U126" s="560"/>
      <c r="V126" s="560"/>
      <c r="W126" s="560"/>
      <c r="X126" s="560"/>
      <c r="Y126" s="560"/>
      <c r="Z126" s="560"/>
      <c r="AA126" s="560"/>
      <c r="AB126" s="560" t="s">
        <v>27</v>
      </c>
      <c r="AC126" s="560"/>
      <c r="AD126" s="560"/>
      <c r="AE126" s="560"/>
      <c r="AF126" s="560"/>
      <c r="AG126" s="560"/>
      <c r="AH126" s="560"/>
      <c r="AI126" s="560"/>
      <c r="AJ126" s="560" t="s">
        <v>28</v>
      </c>
      <c r="AK126" s="560"/>
      <c r="AL126" s="560"/>
      <c r="AM126" s="560"/>
      <c r="AN126" s="560"/>
      <c r="AO126" s="560"/>
      <c r="AP126" s="560"/>
      <c r="AQ126" s="624" t="s">
        <v>12</v>
      </c>
      <c r="AR126" s="625"/>
      <c r="AS126" s="625"/>
      <c r="AT126" s="625"/>
      <c r="AU126" s="625"/>
      <c r="AV126" s="625"/>
      <c r="AW126" s="625"/>
      <c r="AX126" s="625"/>
      <c r="AY126" s="625"/>
      <c r="AZ126" s="625"/>
      <c r="BA126" s="625"/>
      <c r="BB126" s="626"/>
    </row>
    <row r="127" spans="1:54" ht="13.5" customHeight="1">
      <c r="A127" s="7"/>
      <c r="B127" s="591">
        <v>1</v>
      </c>
      <c r="C127" s="592"/>
      <c r="D127" s="596" t="s">
        <v>278</v>
      </c>
      <c r="E127" s="597"/>
      <c r="F127" s="597"/>
      <c r="G127" s="597"/>
      <c r="H127" s="597"/>
      <c r="I127" s="597"/>
      <c r="J127" s="597"/>
      <c r="K127" s="598"/>
      <c r="L127" s="599"/>
      <c r="M127" s="600"/>
      <c r="N127" s="600"/>
      <c r="O127" s="600"/>
      <c r="P127" s="600"/>
      <c r="Q127" s="600"/>
      <c r="R127" s="600"/>
      <c r="S127" s="601"/>
      <c r="T127" s="593" t="s">
        <v>212</v>
      </c>
      <c r="U127" s="594"/>
      <c r="V127" s="594"/>
      <c r="W127" s="594"/>
      <c r="X127" s="594"/>
      <c r="Y127" s="594"/>
      <c r="Z127" s="594"/>
      <c r="AA127" s="595"/>
      <c r="AB127" s="599"/>
      <c r="AC127" s="600"/>
      <c r="AD127" s="600"/>
      <c r="AE127" s="600"/>
      <c r="AF127" s="600"/>
      <c r="AG127" s="600"/>
      <c r="AH127" s="600"/>
      <c r="AI127" s="601"/>
      <c r="AJ127" s="599"/>
      <c r="AK127" s="600"/>
      <c r="AL127" s="600"/>
      <c r="AM127" s="600"/>
      <c r="AN127" s="600"/>
      <c r="AO127" s="600"/>
      <c r="AP127" s="601"/>
      <c r="AQ127" s="615"/>
      <c r="AR127" s="616"/>
      <c r="AS127" s="616"/>
      <c r="AT127" s="616"/>
      <c r="AU127" s="616"/>
      <c r="AV127" s="616"/>
      <c r="AW127" s="616"/>
      <c r="AX127" s="616"/>
      <c r="AY127" s="616"/>
      <c r="AZ127" s="616"/>
      <c r="BA127" s="616"/>
      <c r="BB127" s="617"/>
    </row>
    <row r="128" spans="1:54" ht="13.5" customHeight="1">
      <c r="A128" s="7"/>
      <c r="B128" s="584"/>
      <c r="C128" s="585"/>
      <c r="D128" s="579"/>
      <c r="E128" s="580"/>
      <c r="F128" s="580"/>
      <c r="G128" s="580"/>
      <c r="H128" s="580"/>
      <c r="I128" s="580"/>
      <c r="J128" s="580"/>
      <c r="K128" s="581"/>
      <c r="L128" s="557"/>
      <c r="M128" s="558"/>
      <c r="N128" s="558"/>
      <c r="O128" s="558"/>
      <c r="P128" s="558"/>
      <c r="Q128" s="558"/>
      <c r="R128" s="558"/>
      <c r="S128" s="559"/>
      <c r="T128" s="573"/>
      <c r="U128" s="574"/>
      <c r="V128" s="574"/>
      <c r="W128" s="574"/>
      <c r="X128" s="574"/>
      <c r="Y128" s="574"/>
      <c r="Z128" s="574"/>
      <c r="AA128" s="575"/>
      <c r="AB128" s="557"/>
      <c r="AC128" s="558"/>
      <c r="AD128" s="558"/>
      <c r="AE128" s="558"/>
      <c r="AF128" s="558"/>
      <c r="AG128" s="558"/>
      <c r="AH128" s="558"/>
      <c r="AI128" s="559"/>
      <c r="AJ128" s="557"/>
      <c r="AK128" s="558"/>
      <c r="AL128" s="558"/>
      <c r="AM128" s="558"/>
      <c r="AN128" s="558"/>
      <c r="AO128" s="558"/>
      <c r="AP128" s="559"/>
      <c r="AQ128" s="618"/>
      <c r="AR128" s="619"/>
      <c r="AS128" s="619"/>
      <c r="AT128" s="619"/>
      <c r="AU128" s="619"/>
      <c r="AV128" s="619"/>
      <c r="AW128" s="619"/>
      <c r="AX128" s="619"/>
      <c r="AY128" s="619"/>
      <c r="AZ128" s="619"/>
      <c r="BA128" s="619"/>
      <c r="BB128" s="620"/>
    </row>
    <row r="129" spans="1:50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</sheetData>
  <mergeCells count="221">
    <mergeCell ref="B74:C74"/>
    <mergeCell ref="D74:I74"/>
    <mergeCell ref="J74:V74"/>
    <mergeCell ref="W74:AI74"/>
    <mergeCell ref="AJ74:BB74"/>
    <mergeCell ref="B75:C75"/>
    <mergeCell ref="D75:I75"/>
    <mergeCell ref="J75:V75"/>
    <mergeCell ref="AJ75:BB75"/>
    <mergeCell ref="W75:AI75"/>
    <mergeCell ref="AQ70:BB70"/>
    <mergeCell ref="B71:C71"/>
    <mergeCell ref="D71:I71"/>
    <mergeCell ref="J71:O71"/>
    <mergeCell ref="P71:U71"/>
    <mergeCell ref="V71:W71"/>
    <mergeCell ref="X71:Z71"/>
    <mergeCell ref="AA71:AC71"/>
    <mergeCell ref="AD71:AF71"/>
    <mergeCell ref="AG71:AP71"/>
    <mergeCell ref="AQ71:BB71"/>
    <mergeCell ref="B70:C70"/>
    <mergeCell ref="D70:I70"/>
    <mergeCell ref="J70:O70"/>
    <mergeCell ref="P70:U70"/>
    <mergeCell ref="V70:W70"/>
    <mergeCell ref="X70:Z70"/>
    <mergeCell ref="AA70:AC70"/>
    <mergeCell ref="AD70:AF70"/>
    <mergeCell ref="AG70:AP70"/>
    <mergeCell ref="AQ126:BB126"/>
    <mergeCell ref="AQ127:BB128"/>
    <mergeCell ref="D112:I112"/>
    <mergeCell ref="J112:O112"/>
    <mergeCell ref="P112:U112"/>
    <mergeCell ref="V112:W112"/>
    <mergeCell ref="X112:Z112"/>
    <mergeCell ref="AA112:AC112"/>
    <mergeCell ref="AD112:AF112"/>
    <mergeCell ref="AG112:AP112"/>
    <mergeCell ref="AQ112:BB112"/>
    <mergeCell ref="B112:C112"/>
    <mergeCell ref="AT1:AX1"/>
    <mergeCell ref="AJ2:AN3"/>
    <mergeCell ref="AO2:AS3"/>
    <mergeCell ref="AT2:AX3"/>
    <mergeCell ref="AJ1:AN1"/>
    <mergeCell ref="AO1:AS1"/>
    <mergeCell ref="D85:I88"/>
    <mergeCell ref="AQ95:BB95"/>
    <mergeCell ref="AQ96:BB97"/>
    <mergeCell ref="AG56:AP56"/>
    <mergeCell ref="AG57:AP57"/>
    <mergeCell ref="AG80:AP80"/>
    <mergeCell ref="AG81:AP81"/>
    <mergeCell ref="D101:I101"/>
    <mergeCell ref="J101:O101"/>
    <mergeCell ref="P101:U101"/>
    <mergeCell ref="V101:W101"/>
    <mergeCell ref="X101:Z101"/>
    <mergeCell ref="B57:C57"/>
    <mergeCell ref="D57:I57"/>
    <mergeCell ref="J57:O57"/>
    <mergeCell ref="P57:U57"/>
    <mergeCell ref="V57:W57"/>
    <mergeCell ref="B116:C116"/>
    <mergeCell ref="W117:AI122"/>
    <mergeCell ref="B113:C113"/>
    <mergeCell ref="V113:W113"/>
    <mergeCell ref="D113:I113"/>
    <mergeCell ref="J113:O113"/>
    <mergeCell ref="P113:U113"/>
    <mergeCell ref="X113:Z113"/>
    <mergeCell ref="AA113:AC113"/>
    <mergeCell ref="AD113:AF113"/>
    <mergeCell ref="AG113:AP113"/>
    <mergeCell ref="D116:I116"/>
    <mergeCell ref="J116:V116"/>
    <mergeCell ref="W116:AI116"/>
    <mergeCell ref="AJ116:BB116"/>
    <mergeCell ref="AJ117:BB122"/>
    <mergeCell ref="D117:I117"/>
    <mergeCell ref="B117:C117"/>
    <mergeCell ref="J117:V117"/>
    <mergeCell ref="B118:C119"/>
    <mergeCell ref="J118:V119"/>
    <mergeCell ref="AQ113:BB113"/>
    <mergeCell ref="B127:C128"/>
    <mergeCell ref="AJ126:AP126"/>
    <mergeCell ref="B120:C122"/>
    <mergeCell ref="J120:V122"/>
    <mergeCell ref="B126:C126"/>
    <mergeCell ref="D126:K126"/>
    <mergeCell ref="L126:S126"/>
    <mergeCell ref="T126:AA126"/>
    <mergeCell ref="AB126:AI126"/>
    <mergeCell ref="T127:AA128"/>
    <mergeCell ref="D127:K128"/>
    <mergeCell ref="L127:S128"/>
    <mergeCell ref="AB127:AI128"/>
    <mergeCell ref="AJ127:AP128"/>
    <mergeCell ref="D118:I122"/>
    <mergeCell ref="B61:C61"/>
    <mergeCell ref="B62:C62"/>
    <mergeCell ref="D61:I62"/>
    <mergeCell ref="D63:I64"/>
    <mergeCell ref="D65:I66"/>
    <mergeCell ref="J85:V85"/>
    <mergeCell ref="B86:C86"/>
    <mergeCell ref="J86:V86"/>
    <mergeCell ref="B66:C66"/>
    <mergeCell ref="B63:C63"/>
    <mergeCell ref="P81:U81"/>
    <mergeCell ref="B64:C64"/>
    <mergeCell ref="B65:C65"/>
    <mergeCell ref="D81:I81"/>
    <mergeCell ref="J81:O81"/>
    <mergeCell ref="D84:I84"/>
    <mergeCell ref="J84:V84"/>
    <mergeCell ref="V81:W81"/>
    <mergeCell ref="B84:C84"/>
    <mergeCell ref="B81:C81"/>
    <mergeCell ref="B80:C80"/>
    <mergeCell ref="J66:V66"/>
    <mergeCell ref="D80:I80"/>
    <mergeCell ref="J80:O80"/>
    <mergeCell ref="B107:C108"/>
    <mergeCell ref="J107:V108"/>
    <mergeCell ref="B105:C105"/>
    <mergeCell ref="W106:AI108"/>
    <mergeCell ref="D105:I105"/>
    <mergeCell ref="J105:V105"/>
    <mergeCell ref="W105:AI105"/>
    <mergeCell ref="B101:C101"/>
    <mergeCell ref="D96:K97"/>
    <mergeCell ref="B96:C97"/>
    <mergeCell ref="B106:C106"/>
    <mergeCell ref="J106:V106"/>
    <mergeCell ref="B87:C88"/>
    <mergeCell ref="J87:V88"/>
    <mergeCell ref="B85:C85"/>
    <mergeCell ref="AA102:AC102"/>
    <mergeCell ref="X102:Z102"/>
    <mergeCell ref="V102:W102"/>
    <mergeCell ref="P102:U102"/>
    <mergeCell ref="J102:O102"/>
    <mergeCell ref="D102:I102"/>
    <mergeCell ref="D91:I91"/>
    <mergeCell ref="D89:I90"/>
    <mergeCell ref="J91:V91"/>
    <mergeCell ref="B95:C95"/>
    <mergeCell ref="D95:K95"/>
    <mergeCell ref="B91:C91"/>
    <mergeCell ref="B89:C90"/>
    <mergeCell ref="B102:C102"/>
    <mergeCell ref="T96:AA97"/>
    <mergeCell ref="L96:S97"/>
    <mergeCell ref="AB96:AI97"/>
    <mergeCell ref="AD80:AF80"/>
    <mergeCell ref="AQ80:BB80"/>
    <mergeCell ref="W84:AI84"/>
    <mergeCell ref="AJ84:BB84"/>
    <mergeCell ref="AJ85:BB91"/>
    <mergeCell ref="W85:AI91"/>
    <mergeCell ref="P80:U80"/>
    <mergeCell ref="V80:W80"/>
    <mergeCell ref="X80:Z80"/>
    <mergeCell ref="AA80:AC80"/>
    <mergeCell ref="AQ102:BB102"/>
    <mergeCell ref="AG102:AP102"/>
    <mergeCell ref="AD102:AF102"/>
    <mergeCell ref="AQ81:BB81"/>
    <mergeCell ref="AA101:AC101"/>
    <mergeCell ref="AJ105:BB105"/>
    <mergeCell ref="D106:I108"/>
    <mergeCell ref="AJ106:BB108"/>
    <mergeCell ref="X81:Z81"/>
    <mergeCell ref="AA81:AC81"/>
    <mergeCell ref="AD81:AF81"/>
    <mergeCell ref="AD101:AF101"/>
    <mergeCell ref="AG101:AP101"/>
    <mergeCell ref="AQ101:BB101"/>
    <mergeCell ref="J89:V90"/>
    <mergeCell ref="AJ96:AP97"/>
    <mergeCell ref="AJ95:AP95"/>
    <mergeCell ref="L95:S95"/>
    <mergeCell ref="T95:AA95"/>
    <mergeCell ref="AB95:AI95"/>
    <mergeCell ref="J61:V61"/>
    <mergeCell ref="J62:V62"/>
    <mergeCell ref="J63:V63"/>
    <mergeCell ref="J64:V64"/>
    <mergeCell ref="J65:V65"/>
    <mergeCell ref="W61:AI66"/>
    <mergeCell ref="AJ61:BB66"/>
    <mergeCell ref="X57:Z57"/>
    <mergeCell ref="AA57:AC57"/>
    <mergeCell ref="AD57:AF57"/>
    <mergeCell ref="AQ57:BB57"/>
    <mergeCell ref="J60:V60"/>
    <mergeCell ref="W60:AI60"/>
    <mergeCell ref="AJ60:BB60"/>
    <mergeCell ref="B60:C60"/>
    <mergeCell ref="A1:I1"/>
    <mergeCell ref="J1:Q1"/>
    <mergeCell ref="R1:AI1"/>
    <mergeCell ref="AY1:BC1"/>
    <mergeCell ref="A2:I3"/>
    <mergeCell ref="J2:Q3"/>
    <mergeCell ref="R2:AI3"/>
    <mergeCell ref="AY2:BC3"/>
    <mergeCell ref="B56:C56"/>
    <mergeCell ref="D56:I56"/>
    <mergeCell ref="J56:O56"/>
    <mergeCell ref="P56:U56"/>
    <mergeCell ref="V56:W56"/>
    <mergeCell ref="X56:Z56"/>
    <mergeCell ref="AA56:AC56"/>
    <mergeCell ref="AD56:AF56"/>
    <mergeCell ref="AQ56:BB56"/>
    <mergeCell ref="D60:I60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scale="77" orientation="landscape" r:id="rId1"/>
  <headerFooter>
    <oddFooter>&amp;C&amp;P/&amp;N</oddFooter>
  </headerFooter>
  <rowBreaks count="2" manualBreakCount="2">
    <brk id="50" max="54" man="1"/>
    <brk id="98" max="54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127"/>
  <sheetViews>
    <sheetView showGridLines="0" view="pageBreakPreview" zoomScaleNormal="60" zoomScaleSheetLayoutView="100" workbookViewId="0">
      <selection sqref="A1:I1"/>
    </sheetView>
  </sheetViews>
  <sheetFormatPr defaultColWidth="2.625" defaultRowHeight="13.5" customHeight="1"/>
  <cols>
    <col min="1" max="16384" width="2.625" style="1"/>
  </cols>
  <sheetData>
    <row r="1" spans="1:55" ht="16.5">
      <c r="A1" s="482" t="s">
        <v>259</v>
      </c>
      <c r="B1" s="275"/>
      <c r="C1" s="275"/>
      <c r="D1" s="275"/>
      <c r="E1" s="275"/>
      <c r="F1" s="276"/>
      <c r="G1" s="276"/>
      <c r="H1" s="276"/>
      <c r="I1" s="483"/>
      <c r="J1" s="310" t="s">
        <v>260</v>
      </c>
      <c r="K1" s="275"/>
      <c r="L1" s="275"/>
      <c r="M1" s="275"/>
      <c r="N1" s="275"/>
      <c r="O1" s="275"/>
      <c r="P1" s="276"/>
      <c r="Q1" s="276"/>
      <c r="R1" s="311" t="s">
        <v>349</v>
      </c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3"/>
      <c r="AJ1" s="314" t="s">
        <v>261</v>
      </c>
      <c r="AK1" s="315"/>
      <c r="AL1" s="315"/>
      <c r="AM1" s="315"/>
      <c r="AN1" s="315"/>
      <c r="AO1" s="316" t="s">
        <v>262</v>
      </c>
      <c r="AP1" s="315"/>
      <c r="AQ1" s="315"/>
      <c r="AR1" s="315"/>
      <c r="AS1" s="315"/>
      <c r="AT1" s="316" t="s">
        <v>263</v>
      </c>
      <c r="AU1" s="316"/>
      <c r="AV1" s="316"/>
      <c r="AW1" s="315"/>
      <c r="AX1" s="315"/>
      <c r="AY1" s="484" t="s">
        <v>264</v>
      </c>
      <c r="AZ1" s="485"/>
      <c r="BA1" s="485"/>
      <c r="BB1" s="485"/>
      <c r="BC1" s="486"/>
    </row>
    <row r="2" spans="1:55" ht="13.5" customHeight="1">
      <c r="A2" s="278" t="str">
        <f>表紙!O10</f>
        <v>13期12月対応</v>
      </c>
      <c r="B2" s="279"/>
      <c r="C2" s="279"/>
      <c r="D2" s="279"/>
      <c r="E2" s="279"/>
      <c r="F2" s="280"/>
      <c r="G2" s="280"/>
      <c r="H2" s="280"/>
      <c r="I2" s="281"/>
      <c r="J2" s="286" t="str">
        <f>表紙!O9</f>
        <v>LMS学習管理システム</v>
      </c>
      <c r="K2" s="279"/>
      <c r="L2" s="279"/>
      <c r="M2" s="279"/>
      <c r="N2" s="279"/>
      <c r="O2" s="280"/>
      <c r="P2" s="280"/>
      <c r="Q2" s="287"/>
      <c r="R2" s="487" t="str">
        <f ca="1">RIGHT(CELL("filename",A1),LEN(CELL("filename",A1))-FIND("]",CELL("filename",A1)))</f>
        <v>ユーザー詳細_受講生(育成担当者権限)</v>
      </c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9"/>
      <c r="AJ2" s="614" t="s">
        <v>274</v>
      </c>
      <c r="AK2" s="297"/>
      <c r="AL2" s="297"/>
      <c r="AM2" s="297"/>
      <c r="AN2" s="297"/>
      <c r="AO2" s="300">
        <v>42684</v>
      </c>
      <c r="AP2" s="297"/>
      <c r="AQ2" s="297"/>
      <c r="AR2" s="297"/>
      <c r="AS2" s="297"/>
      <c r="AT2" s="633">
        <v>43804</v>
      </c>
      <c r="AU2" s="297"/>
      <c r="AV2" s="297"/>
      <c r="AW2" s="297"/>
      <c r="AX2" s="297"/>
      <c r="AY2" s="301" t="s">
        <v>374</v>
      </c>
      <c r="AZ2" s="302"/>
      <c r="BA2" s="302"/>
      <c r="BB2" s="302"/>
      <c r="BC2" s="303"/>
    </row>
    <row r="3" spans="1:55" ht="13.5" customHeight="1" thickBot="1">
      <c r="A3" s="282"/>
      <c r="B3" s="283"/>
      <c r="C3" s="283"/>
      <c r="D3" s="283"/>
      <c r="E3" s="283"/>
      <c r="F3" s="284"/>
      <c r="G3" s="284"/>
      <c r="H3" s="284"/>
      <c r="I3" s="285"/>
      <c r="J3" s="288"/>
      <c r="K3" s="283"/>
      <c r="L3" s="283"/>
      <c r="M3" s="283"/>
      <c r="N3" s="283"/>
      <c r="O3" s="284"/>
      <c r="P3" s="284"/>
      <c r="Q3" s="289"/>
      <c r="R3" s="490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2"/>
      <c r="AJ3" s="298"/>
      <c r="AK3" s="299"/>
      <c r="AL3" s="299"/>
      <c r="AM3" s="299"/>
      <c r="AN3" s="299"/>
      <c r="AO3" s="299"/>
      <c r="AP3" s="299"/>
      <c r="AQ3" s="299"/>
      <c r="AR3" s="299"/>
      <c r="AS3" s="299"/>
      <c r="AT3" s="298"/>
      <c r="AU3" s="299"/>
      <c r="AV3" s="299"/>
      <c r="AW3" s="299"/>
      <c r="AX3" s="299"/>
      <c r="AY3" s="304"/>
      <c r="AZ3" s="304"/>
      <c r="BA3" s="304"/>
      <c r="BB3" s="304"/>
      <c r="BC3" s="305"/>
    </row>
    <row r="5" spans="1:55" ht="13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5" ht="13.5" customHeight="1">
      <c r="A6" s="7"/>
      <c r="B6" s="92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5" ht="13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5" ht="13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5" ht="13.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5" ht="13.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5" ht="13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5" ht="13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5" ht="13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5" ht="13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5" ht="13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3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3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3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3.5" customHeight="1">
      <c r="A39" s="7"/>
      <c r="B39" s="9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104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104" ht="13.5" customHeight="1">
      <c r="A50" s="7"/>
      <c r="B50" s="112" t="s">
        <v>7</v>
      </c>
      <c r="C50" s="11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104" ht="13.5" customHeight="1">
      <c r="A51" s="7"/>
      <c r="B51" s="113" t="s">
        <v>301</v>
      </c>
      <c r="C51" s="11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104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104" ht="16.5">
      <c r="A53" s="7"/>
      <c r="B53" s="94" t="s">
        <v>149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7"/>
    </row>
    <row r="54" spans="1:104" ht="16.5">
      <c r="A54" s="7"/>
      <c r="B54" s="92" t="s">
        <v>15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7"/>
    </row>
    <row r="55" spans="1:104" ht="13.5" customHeight="1">
      <c r="A55" s="7"/>
      <c r="B55" s="493" t="s">
        <v>8</v>
      </c>
      <c r="C55" s="494"/>
      <c r="D55" s="493" t="s">
        <v>9</v>
      </c>
      <c r="E55" s="495"/>
      <c r="F55" s="495"/>
      <c r="G55" s="495"/>
      <c r="H55" s="495"/>
      <c r="I55" s="494"/>
      <c r="J55" s="493" t="s">
        <v>16</v>
      </c>
      <c r="K55" s="495"/>
      <c r="L55" s="495"/>
      <c r="M55" s="495"/>
      <c r="N55" s="495"/>
      <c r="O55" s="494"/>
      <c r="P55" s="493" t="s">
        <v>17</v>
      </c>
      <c r="Q55" s="495"/>
      <c r="R55" s="495"/>
      <c r="S55" s="495"/>
      <c r="T55" s="495"/>
      <c r="U55" s="494"/>
      <c r="V55" s="493" t="s">
        <v>18</v>
      </c>
      <c r="W55" s="494"/>
      <c r="X55" s="493" t="s">
        <v>19</v>
      </c>
      <c r="Y55" s="495"/>
      <c r="Z55" s="494"/>
      <c r="AA55" s="493" t="s">
        <v>21</v>
      </c>
      <c r="AB55" s="495"/>
      <c r="AC55" s="494"/>
      <c r="AD55" s="493" t="s">
        <v>283</v>
      </c>
      <c r="AE55" s="495"/>
      <c r="AF55" s="494"/>
      <c r="AG55" s="550" t="s">
        <v>22</v>
      </c>
      <c r="AH55" s="551"/>
      <c r="AI55" s="551"/>
      <c r="AJ55" s="551"/>
      <c r="AK55" s="551"/>
      <c r="AL55" s="551"/>
      <c r="AM55" s="551"/>
      <c r="AN55" s="551"/>
      <c r="AO55" s="551"/>
      <c r="AP55" s="552"/>
      <c r="AQ55" s="493" t="s">
        <v>12</v>
      </c>
      <c r="AR55" s="495"/>
      <c r="AS55" s="495"/>
      <c r="AT55" s="495"/>
      <c r="AU55" s="495"/>
      <c r="AV55" s="495"/>
      <c r="AW55" s="495"/>
      <c r="AX55" s="495"/>
      <c r="AY55" s="495"/>
      <c r="AZ55" s="495"/>
      <c r="BA55" s="495"/>
      <c r="BB55" s="494"/>
    </row>
    <row r="56" spans="1:104" ht="13.5" customHeight="1">
      <c r="A56" s="7"/>
      <c r="B56" s="569">
        <v>1</v>
      </c>
      <c r="C56" s="569"/>
      <c r="D56" s="621" t="s">
        <v>94</v>
      </c>
      <c r="E56" s="622"/>
      <c r="F56" s="622"/>
      <c r="G56" s="622"/>
      <c r="H56" s="622"/>
      <c r="I56" s="623"/>
      <c r="J56" s="520" t="s">
        <v>73</v>
      </c>
      <c r="K56" s="521"/>
      <c r="L56" s="521"/>
      <c r="M56" s="521"/>
      <c r="N56" s="521"/>
      <c r="O56" s="522"/>
      <c r="P56" s="622" t="s">
        <v>92</v>
      </c>
      <c r="Q56" s="622"/>
      <c r="R56" s="622"/>
      <c r="S56" s="622"/>
      <c r="T56" s="622"/>
      <c r="U56" s="623"/>
      <c r="V56" s="520" t="s">
        <v>297</v>
      </c>
      <c r="W56" s="522"/>
      <c r="X56" s="520" t="s">
        <v>286</v>
      </c>
      <c r="Y56" s="521"/>
      <c r="Z56" s="522"/>
      <c r="AA56" s="523" t="s">
        <v>73</v>
      </c>
      <c r="AB56" s="524"/>
      <c r="AC56" s="525"/>
      <c r="AD56" s="523" t="s">
        <v>73</v>
      </c>
      <c r="AE56" s="524"/>
      <c r="AF56" s="525"/>
      <c r="AG56" s="535" t="s">
        <v>275</v>
      </c>
      <c r="AH56" s="536"/>
      <c r="AI56" s="536"/>
      <c r="AJ56" s="536"/>
      <c r="AK56" s="536"/>
      <c r="AL56" s="536"/>
      <c r="AM56" s="536"/>
      <c r="AN56" s="536"/>
      <c r="AO56" s="536"/>
      <c r="AP56" s="537"/>
      <c r="AQ56" s="526"/>
      <c r="AR56" s="527"/>
      <c r="AS56" s="527"/>
      <c r="AT56" s="527"/>
      <c r="AU56" s="527"/>
      <c r="AV56" s="527"/>
      <c r="AW56" s="527"/>
      <c r="AX56" s="527"/>
      <c r="AY56" s="527"/>
      <c r="AZ56" s="527"/>
      <c r="BA56" s="527"/>
      <c r="BB56" s="528"/>
    </row>
    <row r="57" spans="1:104" ht="13.5" customHeight="1">
      <c r="A57" s="7"/>
    </row>
    <row r="58" spans="1:104" ht="16.5">
      <c r="A58" s="7"/>
      <c r="B58" s="93" t="s">
        <v>64</v>
      </c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7"/>
    </row>
    <row r="59" spans="1:104" ht="13.5" customHeight="1">
      <c r="A59" s="7"/>
      <c r="B59" s="480" t="s">
        <v>65</v>
      </c>
      <c r="C59" s="481"/>
      <c r="D59" s="496" t="s">
        <v>66</v>
      </c>
      <c r="E59" s="497"/>
      <c r="F59" s="497"/>
      <c r="G59" s="497"/>
      <c r="H59" s="497"/>
      <c r="I59" s="498"/>
      <c r="J59" s="529" t="s">
        <v>67</v>
      </c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1"/>
      <c r="W59" s="529" t="s">
        <v>68</v>
      </c>
      <c r="X59" s="530"/>
      <c r="Y59" s="530"/>
      <c r="Z59" s="530"/>
      <c r="AA59" s="530"/>
      <c r="AB59" s="530"/>
      <c r="AC59" s="530"/>
      <c r="AD59" s="530"/>
      <c r="AE59" s="530"/>
      <c r="AF59" s="530"/>
      <c r="AG59" s="530"/>
      <c r="AH59" s="530"/>
      <c r="AI59" s="531"/>
      <c r="AJ59" s="529" t="s">
        <v>69</v>
      </c>
      <c r="AK59" s="530"/>
      <c r="AL59" s="530"/>
      <c r="AM59" s="530"/>
      <c r="AN59" s="530"/>
      <c r="AO59" s="530"/>
      <c r="AP59" s="530"/>
      <c r="AQ59" s="530"/>
      <c r="AR59" s="530"/>
      <c r="AS59" s="530"/>
      <c r="AT59" s="530"/>
      <c r="AU59" s="530"/>
      <c r="AV59" s="530"/>
      <c r="AW59" s="530"/>
      <c r="AX59" s="530"/>
      <c r="AY59" s="530"/>
      <c r="AZ59" s="530"/>
      <c r="BA59" s="530"/>
      <c r="BB59" s="531"/>
    </row>
    <row r="60" spans="1:104" ht="13.5" customHeight="1">
      <c r="A60" s="7"/>
      <c r="B60" s="561">
        <v>1</v>
      </c>
      <c r="C60" s="586"/>
      <c r="D60" s="587" t="s">
        <v>289</v>
      </c>
      <c r="E60" s="587"/>
      <c r="F60" s="587"/>
      <c r="G60" s="587"/>
      <c r="H60" s="587"/>
      <c r="I60" s="587"/>
      <c r="J60" s="499" t="s">
        <v>209</v>
      </c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1"/>
      <c r="W60" s="502" t="s">
        <v>292</v>
      </c>
      <c r="X60" s="503"/>
      <c r="Y60" s="503"/>
      <c r="Z60" s="503"/>
      <c r="AA60" s="503"/>
      <c r="AB60" s="503"/>
      <c r="AC60" s="503"/>
      <c r="AD60" s="503"/>
      <c r="AE60" s="503"/>
      <c r="AF60" s="503"/>
      <c r="AG60" s="503"/>
      <c r="AH60" s="503"/>
      <c r="AI60" s="504"/>
      <c r="AJ60" s="511" t="s">
        <v>286</v>
      </c>
      <c r="AK60" s="512"/>
      <c r="AL60" s="512"/>
      <c r="AM60" s="512"/>
      <c r="AN60" s="512"/>
      <c r="AO60" s="512"/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3"/>
    </row>
    <row r="61" spans="1:104" ht="13.5" customHeight="1">
      <c r="A61" s="7"/>
      <c r="B61" s="561">
        <v>2</v>
      </c>
      <c r="C61" s="586"/>
      <c r="D61" s="587"/>
      <c r="E61" s="587"/>
      <c r="F61" s="587"/>
      <c r="G61" s="587"/>
      <c r="H61" s="587"/>
      <c r="I61" s="587"/>
      <c r="J61" s="499" t="s">
        <v>276</v>
      </c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1"/>
      <c r="W61" s="505"/>
      <c r="X61" s="506"/>
      <c r="Y61" s="506"/>
      <c r="Z61" s="506"/>
      <c r="AA61" s="506"/>
      <c r="AB61" s="506"/>
      <c r="AC61" s="506"/>
      <c r="AD61" s="506"/>
      <c r="AE61" s="506"/>
      <c r="AF61" s="506"/>
      <c r="AG61" s="506"/>
      <c r="AH61" s="506"/>
      <c r="AI61" s="507"/>
      <c r="AJ61" s="514"/>
      <c r="AK61" s="515"/>
      <c r="AL61" s="515"/>
      <c r="AM61" s="515"/>
      <c r="AN61" s="515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6"/>
    </row>
    <row r="62" spans="1:104" ht="13.5" customHeight="1">
      <c r="A62" s="7"/>
      <c r="B62" s="561">
        <v>3</v>
      </c>
      <c r="C62" s="586"/>
      <c r="D62" s="587" t="s">
        <v>290</v>
      </c>
      <c r="E62" s="587"/>
      <c r="F62" s="587"/>
      <c r="G62" s="587"/>
      <c r="H62" s="587"/>
      <c r="I62" s="587"/>
      <c r="J62" s="499" t="s">
        <v>208</v>
      </c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1"/>
      <c r="W62" s="505"/>
      <c r="X62" s="506"/>
      <c r="Y62" s="506"/>
      <c r="Z62" s="506"/>
      <c r="AA62" s="506"/>
      <c r="AB62" s="506"/>
      <c r="AC62" s="506"/>
      <c r="AD62" s="506"/>
      <c r="AE62" s="506"/>
      <c r="AF62" s="506"/>
      <c r="AG62" s="506"/>
      <c r="AH62" s="506"/>
      <c r="AI62" s="507"/>
      <c r="AJ62" s="514"/>
      <c r="AK62" s="515"/>
      <c r="AL62" s="515"/>
      <c r="AM62" s="515"/>
      <c r="AN62" s="515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6"/>
    </row>
    <row r="63" spans="1:104" ht="13.5" customHeight="1">
      <c r="A63" s="7"/>
      <c r="B63" s="561">
        <v>4</v>
      </c>
      <c r="C63" s="586"/>
      <c r="D63" s="587"/>
      <c r="E63" s="587"/>
      <c r="F63" s="587"/>
      <c r="G63" s="587"/>
      <c r="H63" s="587"/>
      <c r="I63" s="587"/>
      <c r="J63" s="499" t="s">
        <v>174</v>
      </c>
      <c r="K63" s="500"/>
      <c r="L63" s="500"/>
      <c r="M63" s="500"/>
      <c r="N63" s="500"/>
      <c r="O63" s="500"/>
      <c r="P63" s="500"/>
      <c r="Q63" s="500"/>
      <c r="R63" s="500"/>
      <c r="S63" s="500"/>
      <c r="T63" s="500"/>
      <c r="U63" s="500"/>
      <c r="V63" s="501"/>
      <c r="W63" s="505"/>
      <c r="X63" s="506"/>
      <c r="Y63" s="506"/>
      <c r="Z63" s="506"/>
      <c r="AA63" s="506"/>
      <c r="AB63" s="506"/>
      <c r="AC63" s="506"/>
      <c r="AD63" s="506"/>
      <c r="AE63" s="506"/>
      <c r="AF63" s="506"/>
      <c r="AG63" s="506"/>
      <c r="AH63" s="506"/>
      <c r="AI63" s="507"/>
      <c r="AJ63" s="514"/>
      <c r="AK63" s="515"/>
      <c r="AL63" s="515"/>
      <c r="AM63" s="515"/>
      <c r="AN63" s="515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6"/>
      <c r="BG63" s="99"/>
      <c r="BH63" s="99"/>
      <c r="BI63" s="99"/>
      <c r="BJ63" s="99"/>
      <c r="BK63" s="99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99"/>
      <c r="BZ63" s="99"/>
      <c r="CA63" s="99"/>
      <c r="CB63" s="99"/>
      <c r="CC63" s="99"/>
      <c r="CD63" s="99"/>
      <c r="CE63" s="99"/>
      <c r="CF63" s="99"/>
      <c r="CG63" s="99"/>
      <c r="CH63" s="99"/>
      <c r="CI63" s="99"/>
      <c r="CJ63" s="99"/>
      <c r="CK63" s="99"/>
      <c r="CL63" s="99"/>
      <c r="CM63" s="99"/>
      <c r="CN63" s="99"/>
      <c r="CO63" s="99"/>
      <c r="CP63" s="99"/>
      <c r="CQ63" s="99"/>
      <c r="CR63" s="99"/>
      <c r="CS63" s="99"/>
      <c r="CT63" s="99"/>
      <c r="CU63" s="99"/>
      <c r="CV63" s="99"/>
      <c r="CW63" s="99"/>
      <c r="CX63" s="99"/>
      <c r="CY63" s="99"/>
      <c r="CZ63" s="99"/>
    </row>
    <row r="64" spans="1:104" ht="13.5" customHeight="1">
      <c r="A64" s="7"/>
      <c r="B64" s="561">
        <v>5</v>
      </c>
      <c r="C64" s="586"/>
      <c r="D64" s="587" t="s">
        <v>291</v>
      </c>
      <c r="E64" s="587"/>
      <c r="F64" s="587"/>
      <c r="G64" s="587"/>
      <c r="H64" s="587"/>
      <c r="I64" s="587"/>
      <c r="J64" s="499" t="s">
        <v>172</v>
      </c>
      <c r="K64" s="500"/>
      <c r="L64" s="500"/>
      <c r="M64" s="500"/>
      <c r="N64" s="500"/>
      <c r="O64" s="500"/>
      <c r="P64" s="500"/>
      <c r="Q64" s="500"/>
      <c r="R64" s="500"/>
      <c r="S64" s="500"/>
      <c r="T64" s="500"/>
      <c r="U64" s="500"/>
      <c r="V64" s="501"/>
      <c r="W64" s="505"/>
      <c r="X64" s="506"/>
      <c r="Y64" s="506"/>
      <c r="Z64" s="506"/>
      <c r="AA64" s="506"/>
      <c r="AB64" s="506"/>
      <c r="AC64" s="506"/>
      <c r="AD64" s="506"/>
      <c r="AE64" s="506"/>
      <c r="AF64" s="506"/>
      <c r="AG64" s="506"/>
      <c r="AH64" s="506"/>
      <c r="AI64" s="507"/>
      <c r="AJ64" s="514"/>
      <c r="AK64" s="515"/>
      <c r="AL64" s="515"/>
      <c r="AM64" s="515"/>
      <c r="AN64" s="515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6"/>
      <c r="BG64" s="99"/>
      <c r="BH64" s="99"/>
      <c r="BI64" s="99"/>
      <c r="BJ64" s="99"/>
      <c r="BK64" s="99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</row>
    <row r="65" spans="1:104" ht="13.5" customHeight="1">
      <c r="A65" s="7"/>
      <c r="B65" s="561">
        <v>6</v>
      </c>
      <c r="C65" s="586"/>
      <c r="D65" s="587"/>
      <c r="E65" s="587"/>
      <c r="F65" s="587"/>
      <c r="G65" s="587"/>
      <c r="H65" s="587"/>
      <c r="I65" s="587"/>
      <c r="J65" s="499" t="s">
        <v>166</v>
      </c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1"/>
      <c r="W65" s="508"/>
      <c r="X65" s="509"/>
      <c r="Y65" s="509"/>
      <c r="Z65" s="509"/>
      <c r="AA65" s="509"/>
      <c r="AB65" s="509"/>
      <c r="AC65" s="509"/>
      <c r="AD65" s="509"/>
      <c r="AE65" s="509"/>
      <c r="AF65" s="509"/>
      <c r="AG65" s="509"/>
      <c r="AH65" s="509"/>
      <c r="AI65" s="510"/>
      <c r="AJ65" s="517"/>
      <c r="AK65" s="518"/>
      <c r="AL65" s="518"/>
      <c r="AM65" s="518"/>
      <c r="AN65" s="518"/>
      <c r="AO65" s="518"/>
      <c r="AP65" s="518"/>
      <c r="AQ65" s="518"/>
      <c r="AR65" s="518"/>
      <c r="AS65" s="518"/>
      <c r="AT65" s="518"/>
      <c r="AU65" s="518"/>
      <c r="AV65" s="518"/>
      <c r="AW65" s="518"/>
      <c r="AX65" s="518"/>
      <c r="AY65" s="518"/>
      <c r="AZ65" s="518"/>
      <c r="BA65" s="518"/>
      <c r="BB65" s="519"/>
      <c r="BG65" s="99"/>
      <c r="BH65" s="99"/>
      <c r="BI65" s="99"/>
      <c r="BJ65" s="99"/>
      <c r="BK65" s="99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99"/>
      <c r="BZ65" s="99"/>
      <c r="CA65" s="99"/>
      <c r="CB65" s="99"/>
      <c r="CC65" s="99"/>
      <c r="CD65" s="99"/>
      <c r="CE65" s="99"/>
      <c r="CF65" s="99"/>
      <c r="CG65" s="99"/>
      <c r="CH65" s="99"/>
      <c r="CI65" s="99"/>
      <c r="CJ65" s="99"/>
      <c r="CK65" s="99"/>
      <c r="CL65" s="99"/>
      <c r="CM65" s="99"/>
      <c r="CN65" s="99"/>
      <c r="CO65" s="99"/>
      <c r="CP65" s="99"/>
      <c r="CQ65" s="99"/>
      <c r="CR65" s="99"/>
      <c r="CS65" s="99"/>
      <c r="CT65" s="99"/>
      <c r="CU65" s="99"/>
      <c r="CV65" s="99"/>
      <c r="CW65" s="99"/>
      <c r="CX65" s="99"/>
      <c r="CY65" s="99"/>
      <c r="CZ65" s="99"/>
    </row>
    <row r="66" spans="1:104" ht="13.5" customHeight="1">
      <c r="A66" s="7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7"/>
      <c r="BG66" s="99"/>
      <c r="BH66" s="99"/>
      <c r="BI66" s="99"/>
      <c r="BJ66" s="99"/>
      <c r="BK66" s="99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99"/>
      <c r="BZ66" s="99"/>
      <c r="CA66" s="99"/>
      <c r="CB66" s="99"/>
      <c r="CC66" s="99"/>
      <c r="CD66" s="99"/>
      <c r="CE66" s="99"/>
      <c r="CF66" s="99"/>
      <c r="CG66" s="99"/>
      <c r="CH66" s="99"/>
      <c r="CI66" s="99"/>
      <c r="CJ66" s="99"/>
      <c r="CK66" s="99"/>
      <c r="CL66" s="99"/>
      <c r="CM66" s="99"/>
      <c r="CN66" s="99"/>
      <c r="CO66" s="99"/>
      <c r="CP66" s="99"/>
      <c r="CQ66" s="99"/>
      <c r="CR66" s="99"/>
      <c r="CS66" s="99"/>
      <c r="CT66" s="99"/>
      <c r="CU66" s="99"/>
      <c r="CV66" s="99"/>
      <c r="CW66" s="99"/>
      <c r="CX66" s="99"/>
      <c r="CY66" s="99"/>
      <c r="CZ66" s="99"/>
    </row>
    <row r="67" spans="1:104" ht="16.5">
      <c r="A67" s="7"/>
      <c r="B67" s="130" t="s">
        <v>372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7"/>
    </row>
    <row r="68" spans="1:104" ht="16.5">
      <c r="A68" s="7"/>
      <c r="B68" s="92" t="s">
        <v>15</v>
      </c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7"/>
    </row>
    <row r="69" spans="1:104" ht="13.5" customHeight="1">
      <c r="A69" s="7"/>
      <c r="B69" s="493" t="s">
        <v>8</v>
      </c>
      <c r="C69" s="494"/>
      <c r="D69" s="493" t="s">
        <v>9</v>
      </c>
      <c r="E69" s="495"/>
      <c r="F69" s="495"/>
      <c r="G69" s="495"/>
      <c r="H69" s="495"/>
      <c r="I69" s="494"/>
      <c r="J69" s="493" t="s">
        <v>16</v>
      </c>
      <c r="K69" s="495"/>
      <c r="L69" s="495"/>
      <c r="M69" s="495"/>
      <c r="N69" s="495"/>
      <c r="O69" s="494"/>
      <c r="P69" s="493" t="s">
        <v>17</v>
      </c>
      <c r="Q69" s="495"/>
      <c r="R69" s="495"/>
      <c r="S69" s="495"/>
      <c r="T69" s="495"/>
      <c r="U69" s="494"/>
      <c r="V69" s="493" t="s">
        <v>18</v>
      </c>
      <c r="W69" s="494"/>
      <c r="X69" s="493" t="s">
        <v>19</v>
      </c>
      <c r="Y69" s="495"/>
      <c r="Z69" s="494"/>
      <c r="AA69" s="493" t="s">
        <v>21</v>
      </c>
      <c r="AB69" s="495"/>
      <c r="AC69" s="494"/>
      <c r="AD69" s="493" t="s">
        <v>283</v>
      </c>
      <c r="AE69" s="495"/>
      <c r="AF69" s="494"/>
      <c r="AG69" s="550" t="s">
        <v>22</v>
      </c>
      <c r="AH69" s="551"/>
      <c r="AI69" s="551"/>
      <c r="AJ69" s="551"/>
      <c r="AK69" s="551"/>
      <c r="AL69" s="551"/>
      <c r="AM69" s="551"/>
      <c r="AN69" s="551"/>
      <c r="AO69" s="551"/>
      <c r="AP69" s="552"/>
      <c r="AQ69" s="493" t="s">
        <v>12</v>
      </c>
      <c r="AR69" s="495"/>
      <c r="AS69" s="495"/>
      <c r="AT69" s="495"/>
      <c r="AU69" s="495"/>
      <c r="AV69" s="495"/>
      <c r="AW69" s="495"/>
      <c r="AX69" s="495"/>
      <c r="AY69" s="495"/>
      <c r="AZ69" s="495"/>
      <c r="BA69" s="495"/>
      <c r="BB69" s="494"/>
    </row>
    <row r="70" spans="1:104" ht="13.5" customHeight="1">
      <c r="A70" s="7"/>
      <c r="B70" s="569">
        <v>1</v>
      </c>
      <c r="C70" s="569"/>
      <c r="D70" s="621" t="s">
        <v>369</v>
      </c>
      <c r="E70" s="622"/>
      <c r="F70" s="622"/>
      <c r="G70" s="622"/>
      <c r="H70" s="622"/>
      <c r="I70" s="623"/>
      <c r="J70" s="520" t="s">
        <v>73</v>
      </c>
      <c r="K70" s="521"/>
      <c r="L70" s="521"/>
      <c r="M70" s="521"/>
      <c r="N70" s="521"/>
      <c r="O70" s="522"/>
      <c r="P70" s="588" t="s">
        <v>92</v>
      </c>
      <c r="Q70" s="589"/>
      <c r="R70" s="589"/>
      <c r="S70" s="589"/>
      <c r="T70" s="589"/>
      <c r="U70" s="590"/>
      <c r="V70" s="520" t="s">
        <v>73</v>
      </c>
      <c r="W70" s="522"/>
      <c r="X70" s="520" t="s">
        <v>73</v>
      </c>
      <c r="Y70" s="521"/>
      <c r="Z70" s="522"/>
      <c r="AA70" s="523" t="s">
        <v>73</v>
      </c>
      <c r="AB70" s="524"/>
      <c r="AC70" s="525"/>
      <c r="AD70" s="523" t="s">
        <v>73</v>
      </c>
      <c r="AE70" s="524"/>
      <c r="AF70" s="525"/>
      <c r="AG70" s="535"/>
      <c r="AH70" s="536"/>
      <c r="AI70" s="536"/>
      <c r="AJ70" s="536"/>
      <c r="AK70" s="536"/>
      <c r="AL70" s="536"/>
      <c r="AM70" s="536"/>
      <c r="AN70" s="536"/>
      <c r="AO70" s="536"/>
      <c r="AP70" s="537"/>
      <c r="AQ70" s="526"/>
      <c r="AR70" s="527"/>
      <c r="AS70" s="527"/>
      <c r="AT70" s="527"/>
      <c r="AU70" s="527"/>
      <c r="AV70" s="527"/>
      <c r="AW70" s="527"/>
      <c r="AX70" s="527"/>
      <c r="AY70" s="527"/>
      <c r="AZ70" s="527"/>
      <c r="BA70" s="527"/>
      <c r="BB70" s="528"/>
    </row>
    <row r="71" spans="1:104" ht="13.5" customHeight="1">
      <c r="A71" s="7"/>
    </row>
    <row r="72" spans="1:104" ht="16.5">
      <c r="A72" s="7"/>
      <c r="B72" s="93" t="s">
        <v>64</v>
      </c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7"/>
    </row>
    <row r="73" spans="1:104" ht="13.5" customHeight="1">
      <c r="A73" s="7"/>
      <c r="B73" s="480" t="s">
        <v>65</v>
      </c>
      <c r="C73" s="481"/>
      <c r="D73" s="496" t="s">
        <v>66</v>
      </c>
      <c r="E73" s="497"/>
      <c r="F73" s="497"/>
      <c r="G73" s="497"/>
      <c r="H73" s="497"/>
      <c r="I73" s="498"/>
      <c r="J73" s="529" t="s">
        <v>67</v>
      </c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U73" s="530"/>
      <c r="V73" s="531"/>
      <c r="W73" s="529" t="s">
        <v>68</v>
      </c>
      <c r="X73" s="530"/>
      <c r="Y73" s="530"/>
      <c r="Z73" s="530"/>
      <c r="AA73" s="530"/>
      <c r="AB73" s="530"/>
      <c r="AC73" s="530"/>
      <c r="AD73" s="530"/>
      <c r="AE73" s="530"/>
      <c r="AF73" s="530"/>
      <c r="AG73" s="530"/>
      <c r="AH73" s="530"/>
      <c r="AI73" s="531"/>
      <c r="AJ73" s="529" t="s">
        <v>69</v>
      </c>
      <c r="AK73" s="530"/>
      <c r="AL73" s="530"/>
      <c r="AM73" s="530"/>
      <c r="AN73" s="530"/>
      <c r="AO73" s="530"/>
      <c r="AP73" s="530"/>
      <c r="AQ73" s="530"/>
      <c r="AR73" s="530"/>
      <c r="AS73" s="530"/>
      <c r="AT73" s="530"/>
      <c r="AU73" s="530"/>
      <c r="AV73" s="530"/>
      <c r="AW73" s="530"/>
      <c r="AX73" s="530"/>
      <c r="AY73" s="530"/>
      <c r="AZ73" s="530"/>
      <c r="BA73" s="530"/>
      <c r="BB73" s="531"/>
    </row>
    <row r="74" spans="1:104" ht="13.5" customHeight="1">
      <c r="A74" s="7"/>
      <c r="B74" s="561">
        <v>1</v>
      </c>
      <c r="C74" s="586"/>
      <c r="D74" s="627"/>
      <c r="E74" s="627"/>
      <c r="F74" s="627"/>
      <c r="G74" s="627"/>
      <c r="H74" s="627"/>
      <c r="I74" s="627"/>
      <c r="J74" s="628"/>
      <c r="K74" s="629"/>
      <c r="L74" s="629"/>
      <c r="M74" s="629"/>
      <c r="N74" s="629"/>
      <c r="O74" s="629"/>
      <c r="P74" s="629"/>
      <c r="Q74" s="629"/>
      <c r="R74" s="629"/>
      <c r="S74" s="629"/>
      <c r="T74" s="629"/>
      <c r="U74" s="629"/>
      <c r="V74" s="630"/>
      <c r="W74" s="632" t="s">
        <v>373</v>
      </c>
      <c r="X74" s="632"/>
      <c r="Y74" s="632"/>
      <c r="Z74" s="632"/>
      <c r="AA74" s="632"/>
      <c r="AB74" s="632"/>
      <c r="AC74" s="632"/>
      <c r="AD74" s="632"/>
      <c r="AE74" s="632"/>
      <c r="AF74" s="632"/>
      <c r="AG74" s="632"/>
      <c r="AH74" s="632"/>
      <c r="AI74" s="632"/>
      <c r="AJ74" s="631" t="s">
        <v>73</v>
      </c>
      <c r="AK74" s="631"/>
      <c r="AL74" s="631"/>
      <c r="AM74" s="631"/>
      <c r="AN74" s="631"/>
      <c r="AO74" s="631"/>
      <c r="AP74" s="631"/>
      <c r="AQ74" s="631"/>
      <c r="AR74" s="631"/>
      <c r="AS74" s="631"/>
      <c r="AT74" s="631"/>
      <c r="AU74" s="631"/>
      <c r="AV74" s="631"/>
      <c r="AW74" s="631"/>
      <c r="AX74" s="631"/>
      <c r="AY74" s="631"/>
      <c r="AZ74" s="631"/>
      <c r="BA74" s="631"/>
      <c r="BB74" s="631"/>
    </row>
    <row r="75" spans="1:104" ht="13.5" customHeight="1">
      <c r="A75" s="7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7"/>
      <c r="BG75" s="128"/>
      <c r="BH75" s="128"/>
      <c r="BI75" s="128"/>
      <c r="BJ75" s="128"/>
      <c r="BK75" s="128"/>
      <c r="BL75" s="127"/>
      <c r="BM75" s="127"/>
      <c r="BN75" s="127"/>
      <c r="BO75" s="127"/>
      <c r="BP75" s="127"/>
      <c r="BQ75" s="127"/>
      <c r="BR75" s="127"/>
      <c r="BS75" s="127"/>
      <c r="BT75" s="127"/>
      <c r="BU75" s="127"/>
      <c r="BV75" s="127"/>
      <c r="BW75" s="127"/>
      <c r="BX75" s="127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  <c r="CJ75" s="128"/>
      <c r="CK75" s="128"/>
      <c r="CL75" s="128"/>
      <c r="CM75" s="128"/>
      <c r="CN75" s="128"/>
      <c r="CO75" s="128"/>
      <c r="CP75" s="128"/>
      <c r="CQ75" s="128"/>
      <c r="CR75" s="128"/>
      <c r="CS75" s="128"/>
      <c r="CT75" s="128"/>
      <c r="CU75" s="128"/>
      <c r="CV75" s="128"/>
      <c r="CW75" s="128"/>
      <c r="CX75" s="128"/>
      <c r="CY75" s="128"/>
      <c r="CZ75" s="128"/>
    </row>
    <row r="76" spans="1:104" ht="16.5">
      <c r="A76" s="7"/>
      <c r="B76" s="94" t="s">
        <v>145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7"/>
      <c r="BG76" s="99"/>
      <c r="BH76" s="99"/>
      <c r="BI76" s="99"/>
      <c r="BJ76" s="99"/>
      <c r="BK76" s="99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</row>
    <row r="77" spans="1:104" ht="16.5">
      <c r="A77" s="7"/>
      <c r="B77" s="92" t="s">
        <v>15</v>
      </c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7"/>
    </row>
    <row r="78" spans="1:104" ht="13.5" customHeight="1">
      <c r="A78" s="7"/>
      <c r="B78" s="493" t="s">
        <v>8</v>
      </c>
      <c r="C78" s="494"/>
      <c r="D78" s="493" t="s">
        <v>9</v>
      </c>
      <c r="E78" s="495"/>
      <c r="F78" s="495"/>
      <c r="G78" s="495"/>
      <c r="H78" s="495"/>
      <c r="I78" s="494"/>
      <c r="J78" s="493" t="s">
        <v>16</v>
      </c>
      <c r="K78" s="495"/>
      <c r="L78" s="495"/>
      <c r="M78" s="495"/>
      <c r="N78" s="495"/>
      <c r="O78" s="494"/>
      <c r="P78" s="493" t="s">
        <v>17</v>
      </c>
      <c r="Q78" s="495"/>
      <c r="R78" s="495"/>
      <c r="S78" s="495"/>
      <c r="T78" s="495"/>
      <c r="U78" s="494"/>
      <c r="V78" s="493" t="s">
        <v>18</v>
      </c>
      <c r="W78" s="494"/>
      <c r="X78" s="493" t="s">
        <v>19</v>
      </c>
      <c r="Y78" s="495"/>
      <c r="Z78" s="494"/>
      <c r="AA78" s="493" t="s">
        <v>21</v>
      </c>
      <c r="AB78" s="495"/>
      <c r="AC78" s="494"/>
      <c r="AD78" s="493" t="s">
        <v>283</v>
      </c>
      <c r="AE78" s="495"/>
      <c r="AF78" s="494"/>
      <c r="AG78" s="550" t="s">
        <v>22</v>
      </c>
      <c r="AH78" s="551"/>
      <c r="AI78" s="551"/>
      <c r="AJ78" s="551"/>
      <c r="AK78" s="551"/>
      <c r="AL78" s="551"/>
      <c r="AM78" s="551"/>
      <c r="AN78" s="551"/>
      <c r="AO78" s="551"/>
      <c r="AP78" s="552"/>
      <c r="AQ78" s="493" t="s">
        <v>12</v>
      </c>
      <c r="AR78" s="495"/>
      <c r="AS78" s="495"/>
      <c r="AT78" s="495"/>
      <c r="AU78" s="495"/>
      <c r="AV78" s="495"/>
      <c r="AW78" s="495"/>
      <c r="AX78" s="495"/>
      <c r="AY78" s="495"/>
      <c r="AZ78" s="495"/>
      <c r="BA78" s="495"/>
      <c r="BB78" s="494"/>
    </row>
    <row r="79" spans="1:104" ht="13.5" customHeight="1">
      <c r="A79" s="7"/>
      <c r="B79" s="569">
        <v>1</v>
      </c>
      <c r="C79" s="569"/>
      <c r="D79" s="588" t="s">
        <v>95</v>
      </c>
      <c r="E79" s="589"/>
      <c r="F79" s="589"/>
      <c r="G79" s="589"/>
      <c r="H79" s="589"/>
      <c r="I79" s="590"/>
      <c r="J79" s="544" t="s">
        <v>73</v>
      </c>
      <c r="K79" s="545"/>
      <c r="L79" s="545"/>
      <c r="M79" s="545"/>
      <c r="N79" s="545"/>
      <c r="O79" s="546"/>
      <c r="P79" s="588" t="s">
        <v>92</v>
      </c>
      <c r="Q79" s="589"/>
      <c r="R79" s="589"/>
      <c r="S79" s="589"/>
      <c r="T79" s="589"/>
      <c r="U79" s="590"/>
      <c r="V79" s="544" t="s">
        <v>298</v>
      </c>
      <c r="W79" s="546"/>
      <c r="X79" s="544" t="s">
        <v>286</v>
      </c>
      <c r="Y79" s="545"/>
      <c r="Z79" s="546"/>
      <c r="AA79" s="547" t="s">
        <v>73</v>
      </c>
      <c r="AB79" s="548"/>
      <c r="AC79" s="549"/>
      <c r="AD79" s="547" t="s">
        <v>73</v>
      </c>
      <c r="AE79" s="548"/>
      <c r="AF79" s="549"/>
      <c r="AG79" s="547" t="s">
        <v>288</v>
      </c>
      <c r="AH79" s="548"/>
      <c r="AI79" s="548"/>
      <c r="AJ79" s="548"/>
      <c r="AK79" s="548"/>
      <c r="AL79" s="548"/>
      <c r="AM79" s="548"/>
      <c r="AN79" s="548"/>
      <c r="AO79" s="548"/>
      <c r="AP79" s="549"/>
      <c r="AQ79" s="526"/>
      <c r="AR79" s="527"/>
      <c r="AS79" s="527"/>
      <c r="AT79" s="527"/>
      <c r="AU79" s="527"/>
      <c r="AV79" s="527"/>
      <c r="AW79" s="527"/>
      <c r="AX79" s="527"/>
      <c r="AY79" s="527"/>
      <c r="AZ79" s="527"/>
      <c r="BA79" s="527"/>
      <c r="BB79" s="528"/>
    </row>
    <row r="80" spans="1:104" ht="13.5" customHeight="1">
      <c r="A80" s="7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7"/>
    </row>
    <row r="81" spans="1:54" ht="16.5">
      <c r="A81" s="7"/>
      <c r="B81" s="93" t="s">
        <v>64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7"/>
    </row>
    <row r="82" spans="1:54" ht="13.5" customHeight="1">
      <c r="A82" s="7"/>
      <c r="B82" s="480" t="s">
        <v>65</v>
      </c>
      <c r="C82" s="481"/>
      <c r="D82" s="496" t="s">
        <v>66</v>
      </c>
      <c r="E82" s="497"/>
      <c r="F82" s="497"/>
      <c r="G82" s="497"/>
      <c r="H82" s="497"/>
      <c r="I82" s="498"/>
      <c r="J82" s="529" t="s">
        <v>67</v>
      </c>
      <c r="K82" s="530"/>
      <c r="L82" s="530"/>
      <c r="M82" s="530"/>
      <c r="N82" s="530"/>
      <c r="O82" s="530"/>
      <c r="P82" s="530"/>
      <c r="Q82" s="530"/>
      <c r="R82" s="530"/>
      <c r="S82" s="530"/>
      <c r="T82" s="530"/>
      <c r="U82" s="530"/>
      <c r="V82" s="531"/>
      <c r="W82" s="529" t="s">
        <v>68</v>
      </c>
      <c r="X82" s="530"/>
      <c r="Y82" s="530"/>
      <c r="Z82" s="530"/>
      <c r="AA82" s="530"/>
      <c r="AB82" s="530"/>
      <c r="AC82" s="530"/>
      <c r="AD82" s="530"/>
      <c r="AE82" s="530"/>
      <c r="AF82" s="530"/>
      <c r="AG82" s="530"/>
      <c r="AH82" s="530"/>
      <c r="AI82" s="531"/>
      <c r="AJ82" s="529" t="s">
        <v>69</v>
      </c>
      <c r="AK82" s="530"/>
      <c r="AL82" s="530"/>
      <c r="AM82" s="530"/>
      <c r="AN82" s="530"/>
      <c r="AO82" s="530"/>
      <c r="AP82" s="530"/>
      <c r="AQ82" s="530"/>
      <c r="AR82" s="530"/>
      <c r="AS82" s="530"/>
      <c r="AT82" s="530"/>
      <c r="AU82" s="530"/>
      <c r="AV82" s="530"/>
      <c r="AW82" s="530"/>
      <c r="AX82" s="530"/>
      <c r="AY82" s="530"/>
      <c r="AZ82" s="530"/>
      <c r="BA82" s="530"/>
      <c r="BB82" s="531"/>
    </row>
    <row r="83" spans="1:54" ht="13.5" customHeight="1">
      <c r="A83" s="7"/>
      <c r="B83" s="561">
        <v>1</v>
      </c>
      <c r="C83" s="561"/>
      <c r="D83" s="502" t="s">
        <v>277</v>
      </c>
      <c r="E83" s="503"/>
      <c r="F83" s="503"/>
      <c r="G83" s="503"/>
      <c r="H83" s="503"/>
      <c r="I83" s="504"/>
      <c r="J83" s="553" t="s">
        <v>204</v>
      </c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02" t="s">
        <v>292</v>
      </c>
      <c r="X83" s="503"/>
      <c r="Y83" s="503"/>
      <c r="Z83" s="503"/>
      <c r="AA83" s="503"/>
      <c r="AB83" s="503"/>
      <c r="AC83" s="503"/>
      <c r="AD83" s="503"/>
      <c r="AE83" s="503"/>
      <c r="AF83" s="503"/>
      <c r="AG83" s="503"/>
      <c r="AH83" s="503"/>
      <c r="AI83" s="504"/>
      <c r="AJ83" s="511" t="s">
        <v>285</v>
      </c>
      <c r="AK83" s="512"/>
      <c r="AL83" s="512"/>
      <c r="AM83" s="512"/>
      <c r="AN83" s="512"/>
      <c r="AO83" s="512"/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3"/>
    </row>
    <row r="84" spans="1:54" ht="13.5" customHeight="1">
      <c r="A84" s="7"/>
      <c r="B84" s="561">
        <v>2</v>
      </c>
      <c r="C84" s="561"/>
      <c r="D84" s="505"/>
      <c r="E84" s="506"/>
      <c r="F84" s="506"/>
      <c r="G84" s="506"/>
      <c r="H84" s="506"/>
      <c r="I84" s="507"/>
      <c r="J84" s="553" t="s">
        <v>203</v>
      </c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05"/>
      <c r="X84" s="506"/>
      <c r="Y84" s="506"/>
      <c r="Z84" s="506"/>
      <c r="AA84" s="506"/>
      <c r="AB84" s="506"/>
      <c r="AC84" s="506"/>
      <c r="AD84" s="506"/>
      <c r="AE84" s="506"/>
      <c r="AF84" s="506"/>
      <c r="AG84" s="506"/>
      <c r="AH84" s="506"/>
      <c r="AI84" s="507"/>
      <c r="AJ84" s="514"/>
      <c r="AK84" s="515"/>
      <c r="AL84" s="515"/>
      <c r="AM84" s="515"/>
      <c r="AN84" s="515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6"/>
    </row>
    <row r="85" spans="1:54" ht="13.5" customHeight="1">
      <c r="A85" s="7"/>
      <c r="B85" s="561">
        <v>3</v>
      </c>
      <c r="C85" s="561"/>
      <c r="D85" s="505"/>
      <c r="E85" s="506"/>
      <c r="F85" s="506"/>
      <c r="G85" s="506"/>
      <c r="H85" s="506"/>
      <c r="I85" s="507"/>
      <c r="J85" s="553" t="s">
        <v>207</v>
      </c>
      <c r="K85" s="553"/>
      <c r="L85" s="553"/>
      <c r="M85" s="553"/>
      <c r="N85" s="553"/>
      <c r="O85" s="553"/>
      <c r="P85" s="553"/>
      <c r="Q85" s="553"/>
      <c r="R85" s="553"/>
      <c r="S85" s="553"/>
      <c r="T85" s="553"/>
      <c r="U85" s="553"/>
      <c r="V85" s="553"/>
      <c r="W85" s="505"/>
      <c r="X85" s="506"/>
      <c r="Y85" s="506"/>
      <c r="Z85" s="506"/>
      <c r="AA85" s="506"/>
      <c r="AB85" s="506"/>
      <c r="AC85" s="506"/>
      <c r="AD85" s="506"/>
      <c r="AE85" s="506"/>
      <c r="AF85" s="506"/>
      <c r="AG85" s="506"/>
      <c r="AH85" s="506"/>
      <c r="AI85" s="507"/>
      <c r="AJ85" s="514"/>
      <c r="AK85" s="515"/>
      <c r="AL85" s="515"/>
      <c r="AM85" s="515"/>
      <c r="AN85" s="515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6"/>
    </row>
    <row r="86" spans="1:54" ht="13.5" customHeight="1">
      <c r="A86" s="7"/>
      <c r="B86" s="561"/>
      <c r="C86" s="561"/>
      <c r="D86" s="508"/>
      <c r="E86" s="509"/>
      <c r="F86" s="509"/>
      <c r="G86" s="509"/>
      <c r="H86" s="509"/>
      <c r="I86" s="510"/>
      <c r="J86" s="553"/>
      <c r="K86" s="553"/>
      <c r="L86" s="553"/>
      <c r="M86" s="553"/>
      <c r="N86" s="553"/>
      <c r="O86" s="553"/>
      <c r="P86" s="553"/>
      <c r="Q86" s="553"/>
      <c r="R86" s="553"/>
      <c r="S86" s="553"/>
      <c r="T86" s="553"/>
      <c r="U86" s="553"/>
      <c r="V86" s="553"/>
      <c r="W86" s="505"/>
      <c r="X86" s="506"/>
      <c r="Y86" s="506"/>
      <c r="Z86" s="506"/>
      <c r="AA86" s="506"/>
      <c r="AB86" s="506"/>
      <c r="AC86" s="506"/>
      <c r="AD86" s="506"/>
      <c r="AE86" s="506"/>
      <c r="AF86" s="506"/>
      <c r="AG86" s="506"/>
      <c r="AH86" s="506"/>
      <c r="AI86" s="507"/>
      <c r="AJ86" s="514"/>
      <c r="AK86" s="515"/>
      <c r="AL86" s="515"/>
      <c r="AM86" s="515"/>
      <c r="AN86" s="515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6"/>
    </row>
    <row r="87" spans="1:54" ht="13.5" customHeight="1">
      <c r="A87" s="7"/>
      <c r="B87" s="561">
        <v>4</v>
      </c>
      <c r="C87" s="561"/>
      <c r="D87" s="502" t="s">
        <v>86</v>
      </c>
      <c r="E87" s="503"/>
      <c r="F87" s="503"/>
      <c r="G87" s="503"/>
      <c r="H87" s="503"/>
      <c r="I87" s="504"/>
      <c r="J87" s="553" t="s">
        <v>206</v>
      </c>
      <c r="K87" s="553"/>
      <c r="L87" s="553"/>
      <c r="M87" s="553"/>
      <c r="N87" s="553"/>
      <c r="O87" s="553"/>
      <c r="P87" s="553"/>
      <c r="Q87" s="553"/>
      <c r="R87" s="553"/>
      <c r="S87" s="553"/>
      <c r="T87" s="553"/>
      <c r="U87" s="553"/>
      <c r="V87" s="553"/>
      <c r="W87" s="505"/>
      <c r="X87" s="506"/>
      <c r="Y87" s="506"/>
      <c r="Z87" s="506"/>
      <c r="AA87" s="506"/>
      <c r="AB87" s="506"/>
      <c r="AC87" s="506"/>
      <c r="AD87" s="506"/>
      <c r="AE87" s="506"/>
      <c r="AF87" s="506"/>
      <c r="AG87" s="506"/>
      <c r="AH87" s="506"/>
      <c r="AI87" s="507"/>
      <c r="AJ87" s="514"/>
      <c r="AK87" s="515"/>
      <c r="AL87" s="515"/>
      <c r="AM87" s="515"/>
      <c r="AN87" s="515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6"/>
    </row>
    <row r="88" spans="1:54" ht="13.5" customHeight="1">
      <c r="A88" s="7"/>
      <c r="B88" s="561"/>
      <c r="C88" s="561"/>
      <c r="D88" s="508"/>
      <c r="E88" s="509"/>
      <c r="F88" s="509"/>
      <c r="G88" s="509"/>
      <c r="H88" s="509"/>
      <c r="I88" s="510"/>
      <c r="J88" s="553"/>
      <c r="K88" s="553"/>
      <c r="L88" s="553"/>
      <c r="M88" s="553"/>
      <c r="N88" s="553"/>
      <c r="O88" s="553"/>
      <c r="P88" s="553"/>
      <c r="Q88" s="553"/>
      <c r="R88" s="553"/>
      <c r="S88" s="553"/>
      <c r="T88" s="553"/>
      <c r="U88" s="553"/>
      <c r="V88" s="553"/>
      <c r="W88" s="505"/>
      <c r="X88" s="506"/>
      <c r="Y88" s="506"/>
      <c r="Z88" s="506"/>
      <c r="AA88" s="506"/>
      <c r="AB88" s="506"/>
      <c r="AC88" s="506"/>
      <c r="AD88" s="506"/>
      <c r="AE88" s="506"/>
      <c r="AF88" s="506"/>
      <c r="AG88" s="506"/>
      <c r="AH88" s="506"/>
      <c r="AI88" s="507"/>
      <c r="AJ88" s="514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6"/>
    </row>
    <row r="89" spans="1:54" ht="13.5" customHeight="1">
      <c r="A89" s="7"/>
      <c r="B89" s="561">
        <v>5</v>
      </c>
      <c r="C89" s="561"/>
      <c r="D89" s="508" t="s">
        <v>88</v>
      </c>
      <c r="E89" s="509"/>
      <c r="F89" s="509"/>
      <c r="G89" s="509"/>
      <c r="H89" s="509"/>
      <c r="I89" s="510"/>
      <c r="J89" s="553" t="s">
        <v>205</v>
      </c>
      <c r="K89" s="553"/>
      <c r="L89" s="553"/>
      <c r="M89" s="553"/>
      <c r="N89" s="553"/>
      <c r="O89" s="553"/>
      <c r="P89" s="553"/>
      <c r="Q89" s="553"/>
      <c r="R89" s="553"/>
      <c r="S89" s="553"/>
      <c r="T89" s="553"/>
      <c r="U89" s="553"/>
      <c r="V89" s="553"/>
      <c r="W89" s="508"/>
      <c r="X89" s="509"/>
      <c r="Y89" s="509"/>
      <c r="Z89" s="509"/>
      <c r="AA89" s="509"/>
      <c r="AB89" s="509"/>
      <c r="AC89" s="509"/>
      <c r="AD89" s="509"/>
      <c r="AE89" s="509"/>
      <c r="AF89" s="509"/>
      <c r="AG89" s="509"/>
      <c r="AH89" s="509"/>
      <c r="AI89" s="510"/>
      <c r="AJ89" s="517"/>
      <c r="AK89" s="518"/>
      <c r="AL89" s="518"/>
      <c r="AM89" s="518"/>
      <c r="AN89" s="518"/>
      <c r="AO89" s="518"/>
      <c r="AP89" s="518"/>
      <c r="AQ89" s="518"/>
      <c r="AR89" s="518"/>
      <c r="AS89" s="518"/>
      <c r="AT89" s="518"/>
      <c r="AU89" s="518"/>
      <c r="AV89" s="518"/>
      <c r="AW89" s="518"/>
      <c r="AX89" s="518"/>
      <c r="AY89" s="518"/>
      <c r="AZ89" s="518"/>
      <c r="BA89" s="518"/>
      <c r="BB89" s="519"/>
    </row>
    <row r="90" spans="1:54" ht="13.5" customHeight="1">
      <c r="A90" s="7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7"/>
    </row>
    <row r="91" spans="1:54" ht="16.5">
      <c r="A91" s="7"/>
      <c r="B91" s="92" t="s">
        <v>23</v>
      </c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7"/>
    </row>
    <row r="92" spans="1:54" ht="16.5">
      <c r="A92" s="7"/>
      <c r="B92" s="94" t="s">
        <v>121</v>
      </c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7"/>
    </row>
    <row r="93" spans="1:54" ht="16.5" customHeight="1">
      <c r="A93" s="7"/>
      <c r="B93" s="560" t="s">
        <v>8</v>
      </c>
      <c r="C93" s="560"/>
      <c r="D93" s="568" t="s">
        <v>294</v>
      </c>
      <c r="E93" s="560"/>
      <c r="F93" s="560"/>
      <c r="G93" s="560"/>
      <c r="H93" s="560"/>
      <c r="I93" s="560"/>
      <c r="J93" s="560"/>
      <c r="K93" s="560"/>
      <c r="L93" s="560" t="s">
        <v>25</v>
      </c>
      <c r="M93" s="560"/>
      <c r="N93" s="560"/>
      <c r="O93" s="560"/>
      <c r="P93" s="560"/>
      <c r="Q93" s="560"/>
      <c r="R93" s="560"/>
      <c r="S93" s="560"/>
      <c r="T93" s="560" t="s">
        <v>26</v>
      </c>
      <c r="U93" s="560"/>
      <c r="V93" s="560"/>
      <c r="W93" s="560"/>
      <c r="X93" s="560"/>
      <c r="Y93" s="560"/>
      <c r="Z93" s="560"/>
      <c r="AA93" s="560"/>
      <c r="AB93" s="560" t="s">
        <v>27</v>
      </c>
      <c r="AC93" s="560"/>
      <c r="AD93" s="560"/>
      <c r="AE93" s="560"/>
      <c r="AF93" s="560"/>
      <c r="AG93" s="560"/>
      <c r="AH93" s="560"/>
      <c r="AI93" s="560"/>
      <c r="AJ93" s="560" t="s">
        <v>28</v>
      </c>
      <c r="AK93" s="560"/>
      <c r="AL93" s="560"/>
      <c r="AM93" s="560"/>
      <c r="AN93" s="560"/>
      <c r="AO93" s="560"/>
      <c r="AP93" s="560"/>
      <c r="AQ93" s="550" t="s">
        <v>12</v>
      </c>
      <c r="AR93" s="551"/>
      <c r="AS93" s="551"/>
      <c r="AT93" s="551"/>
      <c r="AU93" s="551"/>
      <c r="AV93" s="551"/>
      <c r="AW93" s="551"/>
      <c r="AX93" s="551"/>
      <c r="AY93" s="551"/>
      <c r="AZ93" s="551"/>
      <c r="BA93" s="551"/>
      <c r="BB93" s="552"/>
    </row>
    <row r="94" spans="1:54" ht="13.5" customHeight="1">
      <c r="A94" s="7"/>
      <c r="B94" s="582">
        <v>1</v>
      </c>
      <c r="C94" s="583"/>
      <c r="D94" s="576" t="s">
        <v>255</v>
      </c>
      <c r="E94" s="577"/>
      <c r="F94" s="577"/>
      <c r="G94" s="577"/>
      <c r="H94" s="577"/>
      <c r="I94" s="577"/>
      <c r="J94" s="577"/>
      <c r="K94" s="578"/>
      <c r="L94" s="554"/>
      <c r="M94" s="555"/>
      <c r="N94" s="555"/>
      <c r="O94" s="555"/>
      <c r="P94" s="555"/>
      <c r="Q94" s="555"/>
      <c r="R94" s="555"/>
      <c r="S94" s="556"/>
      <c r="T94" s="570" t="s">
        <v>202</v>
      </c>
      <c r="U94" s="571"/>
      <c r="V94" s="571"/>
      <c r="W94" s="571"/>
      <c r="X94" s="571"/>
      <c r="Y94" s="571"/>
      <c r="Z94" s="571"/>
      <c r="AA94" s="572"/>
      <c r="AB94" s="554"/>
      <c r="AC94" s="555"/>
      <c r="AD94" s="555"/>
      <c r="AE94" s="555"/>
      <c r="AF94" s="555"/>
      <c r="AG94" s="555"/>
      <c r="AH94" s="555"/>
      <c r="AI94" s="556"/>
      <c r="AJ94" s="554"/>
      <c r="AK94" s="555"/>
      <c r="AL94" s="555"/>
      <c r="AM94" s="555"/>
      <c r="AN94" s="555"/>
      <c r="AO94" s="555"/>
      <c r="AP94" s="556"/>
      <c r="AQ94" s="615"/>
      <c r="AR94" s="616"/>
      <c r="AS94" s="616"/>
      <c r="AT94" s="616"/>
      <c r="AU94" s="616"/>
      <c r="AV94" s="616"/>
      <c r="AW94" s="616"/>
      <c r="AX94" s="616"/>
      <c r="AY94" s="616"/>
      <c r="AZ94" s="616"/>
      <c r="BA94" s="616"/>
      <c r="BB94" s="617"/>
    </row>
    <row r="95" spans="1:54" ht="13.5" customHeight="1">
      <c r="A95" s="7"/>
      <c r="B95" s="584"/>
      <c r="C95" s="585"/>
      <c r="D95" s="579"/>
      <c r="E95" s="580"/>
      <c r="F95" s="580"/>
      <c r="G95" s="580"/>
      <c r="H95" s="580"/>
      <c r="I95" s="580"/>
      <c r="J95" s="580"/>
      <c r="K95" s="581"/>
      <c r="L95" s="557"/>
      <c r="M95" s="558"/>
      <c r="N95" s="558"/>
      <c r="O95" s="558"/>
      <c r="P95" s="558"/>
      <c r="Q95" s="558"/>
      <c r="R95" s="558"/>
      <c r="S95" s="559"/>
      <c r="T95" s="573"/>
      <c r="U95" s="574"/>
      <c r="V95" s="574"/>
      <c r="W95" s="574"/>
      <c r="X95" s="574"/>
      <c r="Y95" s="574"/>
      <c r="Z95" s="574"/>
      <c r="AA95" s="575"/>
      <c r="AB95" s="557"/>
      <c r="AC95" s="558"/>
      <c r="AD95" s="558"/>
      <c r="AE95" s="558"/>
      <c r="AF95" s="558"/>
      <c r="AG95" s="558"/>
      <c r="AH95" s="558"/>
      <c r="AI95" s="559"/>
      <c r="AJ95" s="557"/>
      <c r="AK95" s="558"/>
      <c r="AL95" s="558"/>
      <c r="AM95" s="558"/>
      <c r="AN95" s="558"/>
      <c r="AO95" s="558"/>
      <c r="AP95" s="559"/>
      <c r="AQ95" s="618"/>
      <c r="AR95" s="619"/>
      <c r="AS95" s="619"/>
      <c r="AT95" s="619"/>
      <c r="AU95" s="619"/>
      <c r="AV95" s="619"/>
      <c r="AW95" s="619"/>
      <c r="AX95" s="619"/>
      <c r="AY95" s="619"/>
      <c r="AZ95" s="619"/>
      <c r="BA95" s="619"/>
      <c r="BB95" s="620"/>
    </row>
    <row r="96" spans="1:54" ht="13.5" customHeight="1">
      <c r="A96" s="7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  <c r="AW96" s="100"/>
      <c r="AX96" s="7"/>
    </row>
    <row r="97" spans="1:54" ht="16.5">
      <c r="A97" s="7"/>
      <c r="B97" s="94" t="s">
        <v>146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7"/>
    </row>
    <row r="98" spans="1:54" ht="16.5">
      <c r="A98" s="7"/>
      <c r="B98" s="92" t="s">
        <v>15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7"/>
    </row>
    <row r="99" spans="1:54" ht="13.5" customHeight="1">
      <c r="A99" s="7"/>
      <c r="B99" s="493" t="s">
        <v>8</v>
      </c>
      <c r="C99" s="494"/>
      <c r="D99" s="493" t="s">
        <v>9</v>
      </c>
      <c r="E99" s="495"/>
      <c r="F99" s="495"/>
      <c r="G99" s="495"/>
      <c r="H99" s="495"/>
      <c r="I99" s="494"/>
      <c r="J99" s="493" t="s">
        <v>16</v>
      </c>
      <c r="K99" s="495"/>
      <c r="L99" s="495"/>
      <c r="M99" s="495"/>
      <c r="N99" s="495"/>
      <c r="O99" s="494"/>
      <c r="P99" s="493" t="s">
        <v>17</v>
      </c>
      <c r="Q99" s="495"/>
      <c r="R99" s="495"/>
      <c r="S99" s="495"/>
      <c r="T99" s="495"/>
      <c r="U99" s="494"/>
      <c r="V99" s="493" t="s">
        <v>18</v>
      </c>
      <c r="W99" s="494"/>
      <c r="X99" s="493" t="s">
        <v>19</v>
      </c>
      <c r="Y99" s="495"/>
      <c r="Z99" s="494"/>
      <c r="AA99" s="493" t="s">
        <v>21</v>
      </c>
      <c r="AB99" s="495"/>
      <c r="AC99" s="494"/>
      <c r="AD99" s="493" t="s">
        <v>283</v>
      </c>
      <c r="AE99" s="495"/>
      <c r="AF99" s="494"/>
      <c r="AG99" s="550" t="s">
        <v>22</v>
      </c>
      <c r="AH99" s="551"/>
      <c r="AI99" s="551"/>
      <c r="AJ99" s="551"/>
      <c r="AK99" s="551"/>
      <c r="AL99" s="551"/>
      <c r="AM99" s="551"/>
      <c r="AN99" s="551"/>
      <c r="AO99" s="551"/>
      <c r="AP99" s="552"/>
      <c r="AQ99" s="493" t="s">
        <v>12</v>
      </c>
      <c r="AR99" s="495"/>
      <c r="AS99" s="495"/>
      <c r="AT99" s="495"/>
      <c r="AU99" s="495"/>
      <c r="AV99" s="495"/>
      <c r="AW99" s="495"/>
      <c r="AX99" s="495"/>
      <c r="AY99" s="495"/>
      <c r="AZ99" s="495"/>
      <c r="BA99" s="495"/>
      <c r="BB99" s="494"/>
    </row>
    <row r="100" spans="1:54" ht="13.5" customHeight="1">
      <c r="A100" s="7"/>
      <c r="B100" s="569">
        <v>1</v>
      </c>
      <c r="C100" s="569"/>
      <c r="D100" s="565" t="s">
        <v>94</v>
      </c>
      <c r="E100" s="566"/>
      <c r="F100" s="566"/>
      <c r="G100" s="566"/>
      <c r="H100" s="566"/>
      <c r="I100" s="567"/>
      <c r="J100" s="562" t="s">
        <v>73</v>
      </c>
      <c r="K100" s="563"/>
      <c r="L100" s="563"/>
      <c r="M100" s="563"/>
      <c r="N100" s="563"/>
      <c r="O100" s="564"/>
      <c r="P100" s="565" t="s">
        <v>92</v>
      </c>
      <c r="Q100" s="566"/>
      <c r="R100" s="566"/>
      <c r="S100" s="566"/>
      <c r="T100" s="566"/>
      <c r="U100" s="567"/>
      <c r="V100" s="562" t="s">
        <v>299</v>
      </c>
      <c r="W100" s="564"/>
      <c r="X100" s="562" t="s">
        <v>239</v>
      </c>
      <c r="Y100" s="563"/>
      <c r="Z100" s="564"/>
      <c r="AA100" s="535" t="s">
        <v>73</v>
      </c>
      <c r="AB100" s="536"/>
      <c r="AC100" s="537"/>
      <c r="AD100" s="535" t="s">
        <v>73</v>
      </c>
      <c r="AE100" s="536"/>
      <c r="AF100" s="537"/>
      <c r="AG100" s="535" t="s">
        <v>295</v>
      </c>
      <c r="AH100" s="536"/>
      <c r="AI100" s="536"/>
      <c r="AJ100" s="536"/>
      <c r="AK100" s="536"/>
      <c r="AL100" s="536"/>
      <c r="AM100" s="536"/>
      <c r="AN100" s="536"/>
      <c r="AO100" s="536"/>
      <c r="AP100" s="536"/>
      <c r="AQ100" s="532"/>
      <c r="AR100" s="533"/>
      <c r="AS100" s="533"/>
      <c r="AT100" s="533"/>
      <c r="AU100" s="533"/>
      <c r="AV100" s="533"/>
      <c r="AW100" s="533"/>
      <c r="AX100" s="533"/>
      <c r="AY100" s="533"/>
      <c r="AZ100" s="533"/>
      <c r="BA100" s="533"/>
      <c r="BB100" s="534"/>
    </row>
    <row r="101" spans="1:54" ht="13.5" customHeight="1">
      <c r="A101" s="7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7"/>
    </row>
    <row r="102" spans="1:54" ht="16.5">
      <c r="A102" s="7"/>
      <c r="B102" s="93" t="s">
        <v>64</v>
      </c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7"/>
    </row>
    <row r="103" spans="1:54" ht="13.5" customHeight="1">
      <c r="A103" s="7"/>
      <c r="B103" s="480" t="s">
        <v>65</v>
      </c>
      <c r="C103" s="481"/>
      <c r="D103" s="496" t="s">
        <v>66</v>
      </c>
      <c r="E103" s="497"/>
      <c r="F103" s="497"/>
      <c r="G103" s="497"/>
      <c r="H103" s="497"/>
      <c r="I103" s="498"/>
      <c r="J103" s="529" t="s">
        <v>67</v>
      </c>
      <c r="K103" s="530"/>
      <c r="L103" s="530"/>
      <c r="M103" s="530"/>
      <c r="N103" s="530"/>
      <c r="O103" s="530"/>
      <c r="P103" s="530"/>
      <c r="Q103" s="530"/>
      <c r="R103" s="530"/>
      <c r="S103" s="530"/>
      <c r="T103" s="530"/>
      <c r="U103" s="530"/>
      <c r="V103" s="531"/>
      <c r="W103" s="529" t="s">
        <v>68</v>
      </c>
      <c r="X103" s="530"/>
      <c r="Y103" s="530"/>
      <c r="Z103" s="530"/>
      <c r="AA103" s="530"/>
      <c r="AB103" s="530"/>
      <c r="AC103" s="530"/>
      <c r="AD103" s="530"/>
      <c r="AE103" s="530"/>
      <c r="AF103" s="530"/>
      <c r="AG103" s="530"/>
      <c r="AH103" s="530"/>
      <c r="AI103" s="531"/>
      <c r="AJ103" s="529" t="s">
        <v>69</v>
      </c>
      <c r="AK103" s="530"/>
      <c r="AL103" s="530"/>
      <c r="AM103" s="530"/>
      <c r="AN103" s="530"/>
      <c r="AO103" s="530"/>
      <c r="AP103" s="530"/>
      <c r="AQ103" s="530"/>
      <c r="AR103" s="530"/>
      <c r="AS103" s="530"/>
      <c r="AT103" s="530"/>
      <c r="AU103" s="530"/>
      <c r="AV103" s="530"/>
      <c r="AW103" s="530"/>
      <c r="AX103" s="530"/>
      <c r="AY103" s="530"/>
      <c r="AZ103" s="530"/>
      <c r="BA103" s="530"/>
      <c r="BB103" s="531"/>
    </row>
    <row r="104" spans="1:54" ht="13.5" customHeight="1">
      <c r="A104" s="7"/>
      <c r="B104" s="561">
        <v>1</v>
      </c>
      <c r="C104" s="561"/>
      <c r="D104" s="538" t="s">
        <v>150</v>
      </c>
      <c r="E104" s="539"/>
      <c r="F104" s="539"/>
      <c r="G104" s="539"/>
      <c r="H104" s="539"/>
      <c r="I104" s="540"/>
      <c r="J104" s="553" t="s">
        <v>176</v>
      </c>
      <c r="K104" s="553"/>
      <c r="L104" s="553"/>
      <c r="M104" s="553"/>
      <c r="N104" s="553"/>
      <c r="O104" s="553"/>
      <c r="P104" s="553"/>
      <c r="Q104" s="553"/>
      <c r="R104" s="553"/>
      <c r="S104" s="553"/>
      <c r="T104" s="553"/>
      <c r="U104" s="553"/>
      <c r="V104" s="553"/>
      <c r="W104" s="538" t="s">
        <v>72</v>
      </c>
      <c r="X104" s="539"/>
      <c r="Y104" s="539"/>
      <c r="Z104" s="539"/>
      <c r="AA104" s="539"/>
      <c r="AB104" s="539"/>
      <c r="AC104" s="539"/>
      <c r="AD104" s="539"/>
      <c r="AE104" s="539"/>
      <c r="AF104" s="539"/>
      <c r="AG104" s="539"/>
      <c r="AH104" s="539"/>
      <c r="AI104" s="540"/>
      <c r="AJ104" s="541" t="s">
        <v>73</v>
      </c>
      <c r="AK104" s="542"/>
      <c r="AL104" s="542"/>
      <c r="AM104" s="542"/>
      <c r="AN104" s="542"/>
      <c r="AO104" s="542"/>
      <c r="AP104" s="542"/>
      <c r="AQ104" s="542"/>
      <c r="AR104" s="542"/>
      <c r="AS104" s="542"/>
      <c r="AT104" s="542"/>
      <c r="AU104" s="542"/>
      <c r="AV104" s="542"/>
      <c r="AW104" s="542"/>
      <c r="AX104" s="542"/>
      <c r="AY104" s="542"/>
      <c r="AZ104" s="542"/>
      <c r="BA104" s="542"/>
      <c r="BB104" s="543"/>
    </row>
    <row r="105" spans="1:54" ht="13.5" customHeight="1">
      <c r="A105" s="7"/>
      <c r="B105" s="561">
        <v>2</v>
      </c>
      <c r="C105" s="561"/>
      <c r="D105" s="505"/>
      <c r="E105" s="506"/>
      <c r="F105" s="506"/>
      <c r="G105" s="506"/>
      <c r="H105" s="506"/>
      <c r="I105" s="507"/>
      <c r="J105" s="553" t="s">
        <v>211</v>
      </c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05"/>
      <c r="X105" s="506"/>
      <c r="Y105" s="506"/>
      <c r="Z105" s="506"/>
      <c r="AA105" s="506"/>
      <c r="AB105" s="506"/>
      <c r="AC105" s="506"/>
      <c r="AD105" s="506"/>
      <c r="AE105" s="506"/>
      <c r="AF105" s="506"/>
      <c r="AG105" s="506"/>
      <c r="AH105" s="506"/>
      <c r="AI105" s="507"/>
      <c r="AJ105" s="514"/>
      <c r="AK105" s="515"/>
      <c r="AL105" s="515"/>
      <c r="AM105" s="515"/>
      <c r="AN105" s="515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6"/>
    </row>
    <row r="106" spans="1:54" ht="13.5" customHeight="1">
      <c r="A106" s="7"/>
      <c r="B106" s="561"/>
      <c r="C106" s="561"/>
      <c r="D106" s="508"/>
      <c r="E106" s="509"/>
      <c r="F106" s="509"/>
      <c r="G106" s="509"/>
      <c r="H106" s="509"/>
      <c r="I106" s="510"/>
      <c r="J106" s="553"/>
      <c r="K106" s="553"/>
      <c r="L106" s="553"/>
      <c r="M106" s="553"/>
      <c r="N106" s="553"/>
      <c r="O106" s="553"/>
      <c r="P106" s="553"/>
      <c r="Q106" s="553"/>
      <c r="R106" s="553"/>
      <c r="S106" s="553"/>
      <c r="T106" s="553"/>
      <c r="U106" s="553"/>
      <c r="V106" s="553"/>
      <c r="W106" s="508"/>
      <c r="X106" s="509"/>
      <c r="Y106" s="509"/>
      <c r="Z106" s="509"/>
      <c r="AA106" s="509"/>
      <c r="AB106" s="509"/>
      <c r="AC106" s="509"/>
      <c r="AD106" s="509"/>
      <c r="AE106" s="509"/>
      <c r="AF106" s="509"/>
      <c r="AG106" s="509"/>
      <c r="AH106" s="509"/>
      <c r="AI106" s="510"/>
      <c r="AJ106" s="517"/>
      <c r="AK106" s="518"/>
      <c r="AL106" s="518"/>
      <c r="AM106" s="518"/>
      <c r="AN106" s="518"/>
      <c r="AO106" s="518"/>
      <c r="AP106" s="518"/>
      <c r="AQ106" s="518"/>
      <c r="AR106" s="518"/>
      <c r="AS106" s="518"/>
      <c r="AT106" s="518"/>
      <c r="AU106" s="518"/>
      <c r="AV106" s="518"/>
      <c r="AW106" s="518"/>
      <c r="AX106" s="518"/>
      <c r="AY106" s="518"/>
      <c r="AZ106" s="518"/>
      <c r="BA106" s="518"/>
      <c r="BB106" s="519"/>
    </row>
    <row r="107" spans="1:54" ht="13.5" customHeight="1">
      <c r="A107" s="7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7"/>
    </row>
    <row r="108" spans="1:54" ht="16.5">
      <c r="A108" s="7"/>
      <c r="B108" s="94" t="s">
        <v>147</v>
      </c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7"/>
    </row>
    <row r="109" spans="1:54" ht="16.5">
      <c r="A109" s="7"/>
      <c r="B109" s="92" t="s">
        <v>15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7"/>
    </row>
    <row r="110" spans="1:54" ht="13.5" customHeight="1">
      <c r="A110" s="7"/>
      <c r="B110" s="493" t="s">
        <v>8</v>
      </c>
      <c r="C110" s="494"/>
      <c r="D110" s="493" t="s">
        <v>9</v>
      </c>
      <c r="E110" s="495"/>
      <c r="F110" s="495"/>
      <c r="G110" s="495"/>
      <c r="H110" s="495"/>
      <c r="I110" s="494"/>
      <c r="J110" s="493" t="s">
        <v>16</v>
      </c>
      <c r="K110" s="495"/>
      <c r="L110" s="495"/>
      <c r="M110" s="495"/>
      <c r="N110" s="495"/>
      <c r="O110" s="494"/>
      <c r="P110" s="493" t="s">
        <v>17</v>
      </c>
      <c r="Q110" s="495"/>
      <c r="R110" s="495"/>
      <c r="S110" s="495"/>
      <c r="T110" s="495"/>
      <c r="U110" s="494"/>
      <c r="V110" s="493" t="s">
        <v>18</v>
      </c>
      <c r="W110" s="494"/>
      <c r="X110" s="493" t="s">
        <v>19</v>
      </c>
      <c r="Y110" s="495"/>
      <c r="Z110" s="494"/>
      <c r="AA110" s="493" t="s">
        <v>21</v>
      </c>
      <c r="AB110" s="495"/>
      <c r="AC110" s="494"/>
      <c r="AD110" s="493" t="s">
        <v>283</v>
      </c>
      <c r="AE110" s="495"/>
      <c r="AF110" s="494"/>
      <c r="AG110" s="550" t="s">
        <v>22</v>
      </c>
      <c r="AH110" s="551"/>
      <c r="AI110" s="551"/>
      <c r="AJ110" s="551"/>
      <c r="AK110" s="551"/>
      <c r="AL110" s="551"/>
      <c r="AM110" s="551"/>
      <c r="AN110" s="551"/>
      <c r="AO110" s="551"/>
      <c r="AP110" s="552"/>
      <c r="AQ110" s="493" t="s">
        <v>12</v>
      </c>
      <c r="AR110" s="495"/>
      <c r="AS110" s="495"/>
      <c r="AT110" s="495"/>
      <c r="AU110" s="495"/>
      <c r="AV110" s="495"/>
      <c r="AW110" s="495"/>
      <c r="AX110" s="495"/>
      <c r="AY110" s="495"/>
      <c r="AZ110" s="495"/>
      <c r="BA110" s="495"/>
      <c r="BB110" s="494"/>
    </row>
    <row r="111" spans="1:54" ht="13.5" customHeight="1">
      <c r="A111" s="7"/>
      <c r="B111" s="569">
        <v>1</v>
      </c>
      <c r="C111" s="569"/>
      <c r="D111" s="565" t="s">
        <v>95</v>
      </c>
      <c r="E111" s="566"/>
      <c r="F111" s="566"/>
      <c r="G111" s="566"/>
      <c r="H111" s="566"/>
      <c r="I111" s="567"/>
      <c r="J111" s="562" t="s">
        <v>73</v>
      </c>
      <c r="K111" s="563"/>
      <c r="L111" s="563"/>
      <c r="M111" s="563"/>
      <c r="N111" s="563"/>
      <c r="O111" s="563"/>
      <c r="P111" s="565" t="s">
        <v>92</v>
      </c>
      <c r="Q111" s="566"/>
      <c r="R111" s="566"/>
      <c r="S111" s="566"/>
      <c r="T111" s="566"/>
      <c r="U111" s="567"/>
      <c r="V111" s="608" t="s">
        <v>297</v>
      </c>
      <c r="W111" s="608"/>
      <c r="X111" s="535" t="s">
        <v>73</v>
      </c>
      <c r="Y111" s="536"/>
      <c r="Z111" s="536"/>
      <c r="AA111" s="535" t="s">
        <v>73</v>
      </c>
      <c r="AB111" s="536"/>
      <c r="AC111" s="536"/>
      <c r="AD111" s="535" t="s">
        <v>73</v>
      </c>
      <c r="AE111" s="536"/>
      <c r="AF111" s="536"/>
      <c r="AG111" s="609" t="s">
        <v>279</v>
      </c>
      <c r="AH111" s="610"/>
      <c r="AI111" s="610"/>
      <c r="AJ111" s="610"/>
      <c r="AK111" s="610"/>
      <c r="AL111" s="610"/>
      <c r="AM111" s="610"/>
      <c r="AN111" s="610"/>
      <c r="AO111" s="610"/>
      <c r="AP111" s="610"/>
      <c r="AQ111" s="532"/>
      <c r="AR111" s="533"/>
      <c r="AS111" s="533"/>
      <c r="AT111" s="533"/>
      <c r="AU111" s="533"/>
      <c r="AV111" s="533"/>
      <c r="AW111" s="533"/>
      <c r="AX111" s="533"/>
      <c r="AY111" s="533"/>
      <c r="AZ111" s="533"/>
      <c r="BA111" s="533"/>
      <c r="BB111" s="534"/>
    </row>
    <row r="112" spans="1:54" ht="13.5" customHeight="1">
      <c r="A112" s="7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7"/>
    </row>
    <row r="113" spans="1:54" ht="16.5">
      <c r="A113" s="7"/>
      <c r="B113" s="93" t="s">
        <v>64</v>
      </c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7"/>
    </row>
    <row r="114" spans="1:54" ht="13.5" customHeight="1">
      <c r="A114" s="7"/>
      <c r="B114" s="480" t="s">
        <v>65</v>
      </c>
      <c r="C114" s="481"/>
      <c r="D114" s="496" t="s">
        <v>66</v>
      </c>
      <c r="E114" s="497"/>
      <c r="F114" s="497"/>
      <c r="G114" s="497"/>
      <c r="H114" s="497"/>
      <c r="I114" s="498"/>
      <c r="J114" s="529" t="s">
        <v>67</v>
      </c>
      <c r="K114" s="530"/>
      <c r="L114" s="530"/>
      <c r="M114" s="530"/>
      <c r="N114" s="530"/>
      <c r="O114" s="530"/>
      <c r="P114" s="530"/>
      <c r="Q114" s="530"/>
      <c r="R114" s="530"/>
      <c r="S114" s="530"/>
      <c r="T114" s="530"/>
      <c r="U114" s="530"/>
      <c r="V114" s="531"/>
      <c r="W114" s="529" t="s">
        <v>68</v>
      </c>
      <c r="X114" s="530"/>
      <c r="Y114" s="530"/>
      <c r="Z114" s="530"/>
      <c r="AA114" s="530"/>
      <c r="AB114" s="530"/>
      <c r="AC114" s="530"/>
      <c r="AD114" s="530"/>
      <c r="AE114" s="530"/>
      <c r="AF114" s="530"/>
      <c r="AG114" s="530"/>
      <c r="AH114" s="530"/>
      <c r="AI114" s="531"/>
      <c r="AJ114" s="529" t="s">
        <v>69</v>
      </c>
      <c r="AK114" s="530"/>
      <c r="AL114" s="530"/>
      <c r="AM114" s="530"/>
      <c r="AN114" s="530"/>
      <c r="AO114" s="530"/>
      <c r="AP114" s="530"/>
      <c r="AQ114" s="530"/>
      <c r="AR114" s="530"/>
      <c r="AS114" s="530"/>
      <c r="AT114" s="530"/>
      <c r="AU114" s="530"/>
      <c r="AV114" s="530"/>
      <c r="AW114" s="530"/>
      <c r="AX114" s="530"/>
      <c r="AY114" s="530"/>
      <c r="AZ114" s="530"/>
      <c r="BA114" s="530"/>
      <c r="BB114" s="531"/>
    </row>
    <row r="115" spans="1:54" ht="13.5" customHeight="1">
      <c r="A115" s="7"/>
      <c r="B115" s="561">
        <v>1</v>
      </c>
      <c r="C115" s="561"/>
      <c r="D115" s="611" t="s">
        <v>177</v>
      </c>
      <c r="E115" s="612"/>
      <c r="F115" s="612"/>
      <c r="G115" s="612"/>
      <c r="H115" s="612"/>
      <c r="I115" s="613"/>
      <c r="J115" s="553" t="s">
        <v>178</v>
      </c>
      <c r="K115" s="553"/>
      <c r="L115" s="553"/>
      <c r="M115" s="553"/>
      <c r="N115" s="553"/>
      <c r="O115" s="553"/>
      <c r="P115" s="553"/>
      <c r="Q115" s="553"/>
      <c r="R115" s="553"/>
      <c r="S115" s="553"/>
      <c r="T115" s="553"/>
      <c r="U115" s="553"/>
      <c r="V115" s="553"/>
      <c r="W115" s="602" t="s">
        <v>72</v>
      </c>
      <c r="X115" s="603"/>
      <c r="Y115" s="603"/>
      <c r="Z115" s="603"/>
      <c r="AA115" s="603"/>
      <c r="AB115" s="603"/>
      <c r="AC115" s="603"/>
      <c r="AD115" s="603"/>
      <c r="AE115" s="603"/>
      <c r="AF115" s="603"/>
      <c r="AG115" s="603"/>
      <c r="AH115" s="603"/>
      <c r="AI115" s="604"/>
      <c r="AJ115" s="541" t="s">
        <v>73</v>
      </c>
      <c r="AK115" s="542"/>
      <c r="AL115" s="542"/>
      <c r="AM115" s="542"/>
      <c r="AN115" s="542"/>
      <c r="AO115" s="542"/>
      <c r="AP115" s="542"/>
      <c r="AQ115" s="542"/>
      <c r="AR115" s="542"/>
      <c r="AS115" s="542"/>
      <c r="AT115" s="542"/>
      <c r="AU115" s="542"/>
      <c r="AV115" s="542"/>
      <c r="AW115" s="542"/>
      <c r="AX115" s="542"/>
      <c r="AY115" s="542"/>
      <c r="AZ115" s="542"/>
      <c r="BA115" s="542"/>
      <c r="BB115" s="543"/>
    </row>
    <row r="116" spans="1:54" ht="13.5" customHeight="1">
      <c r="A116" s="7"/>
      <c r="B116" s="561">
        <v>2</v>
      </c>
      <c r="C116" s="561"/>
      <c r="D116" s="538" t="s">
        <v>79</v>
      </c>
      <c r="E116" s="539"/>
      <c r="F116" s="539"/>
      <c r="G116" s="539"/>
      <c r="H116" s="539"/>
      <c r="I116" s="540"/>
      <c r="J116" s="553" t="s">
        <v>213</v>
      </c>
      <c r="K116" s="553"/>
      <c r="L116" s="553"/>
      <c r="M116" s="553"/>
      <c r="N116" s="553"/>
      <c r="O116" s="553"/>
      <c r="P116" s="553"/>
      <c r="Q116" s="553"/>
      <c r="R116" s="553"/>
      <c r="S116" s="553"/>
      <c r="T116" s="553"/>
      <c r="U116" s="553"/>
      <c r="V116" s="553"/>
      <c r="W116" s="505"/>
      <c r="X116" s="506"/>
      <c r="Y116" s="506"/>
      <c r="Z116" s="506"/>
      <c r="AA116" s="506"/>
      <c r="AB116" s="506"/>
      <c r="AC116" s="506"/>
      <c r="AD116" s="506"/>
      <c r="AE116" s="506"/>
      <c r="AF116" s="506"/>
      <c r="AG116" s="506"/>
      <c r="AH116" s="506"/>
      <c r="AI116" s="507"/>
      <c r="AJ116" s="514"/>
      <c r="AK116" s="515"/>
      <c r="AL116" s="515"/>
      <c r="AM116" s="515"/>
      <c r="AN116" s="515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6"/>
    </row>
    <row r="117" spans="1:54" ht="13.5" customHeight="1">
      <c r="A117" s="7"/>
      <c r="B117" s="561"/>
      <c r="C117" s="561"/>
      <c r="D117" s="505"/>
      <c r="E117" s="506"/>
      <c r="F117" s="506"/>
      <c r="G117" s="506"/>
      <c r="H117" s="506"/>
      <c r="I117" s="507"/>
      <c r="J117" s="553"/>
      <c r="K117" s="553"/>
      <c r="L117" s="553"/>
      <c r="M117" s="553"/>
      <c r="N117" s="553"/>
      <c r="O117" s="553"/>
      <c r="P117" s="553"/>
      <c r="Q117" s="553"/>
      <c r="R117" s="553"/>
      <c r="S117" s="553"/>
      <c r="T117" s="553"/>
      <c r="U117" s="553"/>
      <c r="V117" s="553"/>
      <c r="W117" s="505"/>
      <c r="X117" s="506"/>
      <c r="Y117" s="506"/>
      <c r="Z117" s="506"/>
      <c r="AA117" s="506"/>
      <c r="AB117" s="506"/>
      <c r="AC117" s="506"/>
      <c r="AD117" s="506"/>
      <c r="AE117" s="506"/>
      <c r="AF117" s="506"/>
      <c r="AG117" s="506"/>
      <c r="AH117" s="506"/>
      <c r="AI117" s="507"/>
      <c r="AJ117" s="514"/>
      <c r="AK117" s="515"/>
      <c r="AL117" s="515"/>
      <c r="AM117" s="515"/>
      <c r="AN117" s="515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6"/>
    </row>
    <row r="118" spans="1:54" ht="13.5" customHeight="1">
      <c r="A118" s="7"/>
      <c r="B118" s="561">
        <v>3</v>
      </c>
      <c r="C118" s="561"/>
      <c r="D118" s="505"/>
      <c r="E118" s="506"/>
      <c r="F118" s="506"/>
      <c r="G118" s="506"/>
      <c r="H118" s="506"/>
      <c r="I118" s="507"/>
      <c r="J118" s="553" t="s">
        <v>280</v>
      </c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05"/>
      <c r="X118" s="506"/>
      <c r="Y118" s="506"/>
      <c r="Z118" s="506"/>
      <c r="AA118" s="506"/>
      <c r="AB118" s="506"/>
      <c r="AC118" s="506"/>
      <c r="AD118" s="506"/>
      <c r="AE118" s="506"/>
      <c r="AF118" s="506"/>
      <c r="AG118" s="506"/>
      <c r="AH118" s="506"/>
      <c r="AI118" s="507"/>
      <c r="AJ118" s="514"/>
      <c r="AK118" s="515"/>
      <c r="AL118" s="515"/>
      <c r="AM118" s="515"/>
      <c r="AN118" s="515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6"/>
    </row>
    <row r="119" spans="1:54" ht="13.5" customHeight="1">
      <c r="A119" s="7"/>
      <c r="B119" s="561"/>
      <c r="C119" s="561"/>
      <c r="D119" s="505"/>
      <c r="E119" s="506"/>
      <c r="F119" s="506"/>
      <c r="G119" s="506"/>
      <c r="H119" s="506"/>
      <c r="I119" s="507"/>
      <c r="J119" s="553"/>
      <c r="K119" s="553"/>
      <c r="L119" s="553"/>
      <c r="M119" s="553"/>
      <c r="N119" s="553"/>
      <c r="O119" s="553"/>
      <c r="P119" s="553"/>
      <c r="Q119" s="553"/>
      <c r="R119" s="553"/>
      <c r="S119" s="553"/>
      <c r="T119" s="553"/>
      <c r="U119" s="553"/>
      <c r="V119" s="553"/>
      <c r="W119" s="505"/>
      <c r="X119" s="506"/>
      <c r="Y119" s="506"/>
      <c r="Z119" s="506"/>
      <c r="AA119" s="506"/>
      <c r="AB119" s="506"/>
      <c r="AC119" s="506"/>
      <c r="AD119" s="506"/>
      <c r="AE119" s="506"/>
      <c r="AF119" s="506"/>
      <c r="AG119" s="506"/>
      <c r="AH119" s="506"/>
      <c r="AI119" s="507"/>
      <c r="AJ119" s="514"/>
      <c r="AK119" s="515"/>
      <c r="AL119" s="515"/>
      <c r="AM119" s="515"/>
      <c r="AN119" s="515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6"/>
    </row>
    <row r="120" spans="1:54" ht="13.5" customHeight="1">
      <c r="A120" s="7"/>
      <c r="B120" s="561"/>
      <c r="C120" s="561"/>
      <c r="D120" s="508"/>
      <c r="E120" s="509"/>
      <c r="F120" s="509"/>
      <c r="G120" s="509"/>
      <c r="H120" s="509"/>
      <c r="I120" s="510"/>
      <c r="J120" s="553"/>
      <c r="K120" s="553"/>
      <c r="L120" s="553"/>
      <c r="M120" s="553"/>
      <c r="N120" s="553"/>
      <c r="O120" s="553"/>
      <c r="P120" s="553"/>
      <c r="Q120" s="553"/>
      <c r="R120" s="553"/>
      <c r="S120" s="553"/>
      <c r="T120" s="553"/>
      <c r="U120" s="553"/>
      <c r="V120" s="553"/>
      <c r="W120" s="605"/>
      <c r="X120" s="606"/>
      <c r="Y120" s="606"/>
      <c r="Z120" s="606"/>
      <c r="AA120" s="606"/>
      <c r="AB120" s="606"/>
      <c r="AC120" s="606"/>
      <c r="AD120" s="606"/>
      <c r="AE120" s="606"/>
      <c r="AF120" s="606"/>
      <c r="AG120" s="606"/>
      <c r="AH120" s="606"/>
      <c r="AI120" s="607"/>
      <c r="AJ120" s="517"/>
      <c r="AK120" s="518"/>
      <c r="AL120" s="518"/>
      <c r="AM120" s="518"/>
      <c r="AN120" s="518"/>
      <c r="AO120" s="518"/>
      <c r="AP120" s="518"/>
      <c r="AQ120" s="518"/>
      <c r="AR120" s="518"/>
      <c r="AS120" s="518"/>
      <c r="AT120" s="518"/>
      <c r="AU120" s="518"/>
      <c r="AV120" s="518"/>
      <c r="AW120" s="518"/>
      <c r="AX120" s="518"/>
      <c r="AY120" s="518"/>
      <c r="AZ120" s="518"/>
      <c r="BA120" s="518"/>
      <c r="BB120" s="519"/>
    </row>
    <row r="121" spans="1:54" ht="13.5" customHeight="1">
      <c r="A121" s="7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7"/>
    </row>
    <row r="122" spans="1:54" ht="16.5">
      <c r="A122" s="7"/>
      <c r="B122" s="92" t="s">
        <v>23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7"/>
    </row>
    <row r="123" spans="1:54" ht="16.5">
      <c r="A123" s="7"/>
      <c r="B123" s="94" t="s">
        <v>121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7"/>
    </row>
    <row r="124" spans="1:54" ht="16.5" customHeight="1">
      <c r="A124" s="7"/>
      <c r="B124" s="560" t="s">
        <v>8</v>
      </c>
      <c r="C124" s="560"/>
      <c r="D124" s="568" t="s">
        <v>294</v>
      </c>
      <c r="E124" s="560"/>
      <c r="F124" s="560"/>
      <c r="G124" s="560"/>
      <c r="H124" s="560"/>
      <c r="I124" s="560"/>
      <c r="J124" s="560"/>
      <c r="K124" s="560"/>
      <c r="L124" s="560" t="s">
        <v>25</v>
      </c>
      <c r="M124" s="560"/>
      <c r="N124" s="560"/>
      <c r="O124" s="560"/>
      <c r="P124" s="560"/>
      <c r="Q124" s="560"/>
      <c r="R124" s="560"/>
      <c r="S124" s="560"/>
      <c r="T124" s="560" t="s">
        <v>26</v>
      </c>
      <c r="U124" s="560"/>
      <c r="V124" s="560"/>
      <c r="W124" s="560"/>
      <c r="X124" s="560"/>
      <c r="Y124" s="560"/>
      <c r="Z124" s="560"/>
      <c r="AA124" s="560"/>
      <c r="AB124" s="560" t="s">
        <v>27</v>
      </c>
      <c r="AC124" s="560"/>
      <c r="AD124" s="560"/>
      <c r="AE124" s="560"/>
      <c r="AF124" s="560"/>
      <c r="AG124" s="560"/>
      <c r="AH124" s="560"/>
      <c r="AI124" s="560"/>
      <c r="AJ124" s="560" t="s">
        <v>28</v>
      </c>
      <c r="AK124" s="560"/>
      <c r="AL124" s="560"/>
      <c r="AM124" s="560"/>
      <c r="AN124" s="560"/>
      <c r="AO124" s="560"/>
      <c r="AP124" s="560"/>
      <c r="AQ124" s="624" t="s">
        <v>12</v>
      </c>
      <c r="AR124" s="625"/>
      <c r="AS124" s="625"/>
      <c r="AT124" s="625"/>
      <c r="AU124" s="625"/>
      <c r="AV124" s="625"/>
      <c r="AW124" s="625"/>
      <c r="AX124" s="625"/>
      <c r="AY124" s="625"/>
      <c r="AZ124" s="625"/>
      <c r="BA124" s="625"/>
      <c r="BB124" s="626"/>
    </row>
    <row r="125" spans="1:54" ht="13.5" customHeight="1">
      <c r="A125" s="7"/>
      <c r="B125" s="591">
        <v>1</v>
      </c>
      <c r="C125" s="592"/>
      <c r="D125" s="596" t="s">
        <v>255</v>
      </c>
      <c r="E125" s="597"/>
      <c r="F125" s="597"/>
      <c r="G125" s="597"/>
      <c r="H125" s="597"/>
      <c r="I125" s="597"/>
      <c r="J125" s="597"/>
      <c r="K125" s="598"/>
      <c r="L125" s="599"/>
      <c r="M125" s="600"/>
      <c r="N125" s="600"/>
      <c r="O125" s="600"/>
      <c r="P125" s="600"/>
      <c r="Q125" s="600"/>
      <c r="R125" s="600"/>
      <c r="S125" s="601"/>
      <c r="T125" s="593" t="s">
        <v>212</v>
      </c>
      <c r="U125" s="594"/>
      <c r="V125" s="594"/>
      <c r="W125" s="594"/>
      <c r="X125" s="594"/>
      <c r="Y125" s="594"/>
      <c r="Z125" s="594"/>
      <c r="AA125" s="595"/>
      <c r="AB125" s="599"/>
      <c r="AC125" s="600"/>
      <c r="AD125" s="600"/>
      <c r="AE125" s="600"/>
      <c r="AF125" s="600"/>
      <c r="AG125" s="600"/>
      <c r="AH125" s="600"/>
      <c r="AI125" s="601"/>
      <c r="AJ125" s="599"/>
      <c r="AK125" s="600"/>
      <c r="AL125" s="600"/>
      <c r="AM125" s="600"/>
      <c r="AN125" s="600"/>
      <c r="AO125" s="600"/>
      <c r="AP125" s="601"/>
      <c r="AQ125" s="615"/>
      <c r="AR125" s="616"/>
      <c r="AS125" s="616"/>
      <c r="AT125" s="616"/>
      <c r="AU125" s="616"/>
      <c r="AV125" s="616"/>
      <c r="AW125" s="616"/>
      <c r="AX125" s="616"/>
      <c r="AY125" s="616"/>
      <c r="AZ125" s="616"/>
      <c r="BA125" s="616"/>
      <c r="BB125" s="617"/>
    </row>
    <row r="126" spans="1:54" ht="13.5" customHeight="1">
      <c r="A126" s="7"/>
      <c r="B126" s="584"/>
      <c r="C126" s="585"/>
      <c r="D126" s="579"/>
      <c r="E126" s="580"/>
      <c r="F126" s="580"/>
      <c r="G126" s="580"/>
      <c r="H126" s="580"/>
      <c r="I126" s="580"/>
      <c r="J126" s="580"/>
      <c r="K126" s="581"/>
      <c r="L126" s="557"/>
      <c r="M126" s="558"/>
      <c r="N126" s="558"/>
      <c r="O126" s="558"/>
      <c r="P126" s="558"/>
      <c r="Q126" s="558"/>
      <c r="R126" s="558"/>
      <c r="S126" s="559"/>
      <c r="T126" s="573"/>
      <c r="U126" s="574"/>
      <c r="V126" s="574"/>
      <c r="W126" s="574"/>
      <c r="X126" s="574"/>
      <c r="Y126" s="574"/>
      <c r="Z126" s="574"/>
      <c r="AA126" s="575"/>
      <c r="AB126" s="557"/>
      <c r="AC126" s="558"/>
      <c r="AD126" s="558"/>
      <c r="AE126" s="558"/>
      <c r="AF126" s="558"/>
      <c r="AG126" s="558"/>
      <c r="AH126" s="558"/>
      <c r="AI126" s="559"/>
      <c r="AJ126" s="557"/>
      <c r="AK126" s="558"/>
      <c r="AL126" s="558"/>
      <c r="AM126" s="558"/>
      <c r="AN126" s="558"/>
      <c r="AO126" s="558"/>
      <c r="AP126" s="559"/>
      <c r="AQ126" s="618"/>
      <c r="AR126" s="619"/>
      <c r="AS126" s="619"/>
      <c r="AT126" s="619"/>
      <c r="AU126" s="619"/>
      <c r="AV126" s="619"/>
      <c r="AW126" s="619"/>
      <c r="AX126" s="619"/>
      <c r="AY126" s="619"/>
      <c r="AZ126" s="619"/>
      <c r="BA126" s="619"/>
      <c r="BB126" s="620"/>
    </row>
    <row r="127" spans="1:54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</sheetData>
  <mergeCells count="221">
    <mergeCell ref="B73:C73"/>
    <mergeCell ref="D73:I73"/>
    <mergeCell ref="J73:V73"/>
    <mergeCell ref="W73:AI73"/>
    <mergeCell ref="AJ73:BB73"/>
    <mergeCell ref="B74:C74"/>
    <mergeCell ref="D74:I74"/>
    <mergeCell ref="J74:V74"/>
    <mergeCell ref="W74:AI74"/>
    <mergeCell ref="AJ74:BB74"/>
    <mergeCell ref="AQ69:BB69"/>
    <mergeCell ref="B70:C70"/>
    <mergeCell ref="D70:I70"/>
    <mergeCell ref="J70:O70"/>
    <mergeCell ref="P70:U70"/>
    <mergeCell ref="V70:W70"/>
    <mergeCell ref="X70:Z70"/>
    <mergeCell ref="AA70:AC70"/>
    <mergeCell ref="AD70:AF70"/>
    <mergeCell ref="AG70:AP70"/>
    <mergeCell ref="AQ70:BB70"/>
    <mergeCell ref="B69:C69"/>
    <mergeCell ref="D69:I69"/>
    <mergeCell ref="J69:O69"/>
    <mergeCell ref="P69:U69"/>
    <mergeCell ref="V69:W69"/>
    <mergeCell ref="X69:Z69"/>
    <mergeCell ref="AA69:AC69"/>
    <mergeCell ref="AD69:AF69"/>
    <mergeCell ref="AG69:AP6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Q55:BB55"/>
    <mergeCell ref="B56:C56"/>
    <mergeCell ref="D56:I56"/>
    <mergeCell ref="J56:O56"/>
    <mergeCell ref="P56:U56"/>
    <mergeCell ref="V56:W56"/>
    <mergeCell ref="X56:Z56"/>
    <mergeCell ref="B55:C55"/>
    <mergeCell ref="D55:I55"/>
    <mergeCell ref="J55:O55"/>
    <mergeCell ref="P55:U55"/>
    <mergeCell ref="V55:W55"/>
    <mergeCell ref="X55:Z55"/>
    <mergeCell ref="AQ56:BB56"/>
    <mergeCell ref="B64:C64"/>
    <mergeCell ref="D64:I65"/>
    <mergeCell ref="J64:V64"/>
    <mergeCell ref="B65:C65"/>
    <mergeCell ref="J65:V65"/>
    <mergeCell ref="B60:C60"/>
    <mergeCell ref="AA55:AC55"/>
    <mergeCell ref="AD55:AF55"/>
    <mergeCell ref="AG55:AP55"/>
    <mergeCell ref="B61:C61"/>
    <mergeCell ref="J61:V61"/>
    <mergeCell ref="B62:C62"/>
    <mergeCell ref="D62:I63"/>
    <mergeCell ref="J62:V62"/>
    <mergeCell ref="AA56:AC56"/>
    <mergeCell ref="AD56:AF56"/>
    <mergeCell ref="AG56:AP56"/>
    <mergeCell ref="B59:C59"/>
    <mergeCell ref="D59:I59"/>
    <mergeCell ref="J59:V59"/>
    <mergeCell ref="W59:AI59"/>
    <mergeCell ref="AJ59:BB59"/>
    <mergeCell ref="B63:C63"/>
    <mergeCell ref="J63:V63"/>
    <mergeCell ref="D60:I61"/>
    <mergeCell ref="J60:V60"/>
    <mergeCell ref="AA78:AC78"/>
    <mergeCell ref="AD78:AF78"/>
    <mergeCell ref="AG78:AP78"/>
    <mergeCell ref="AQ78:BB78"/>
    <mergeCell ref="B79:C79"/>
    <mergeCell ref="D79:I79"/>
    <mergeCell ref="J79:O79"/>
    <mergeCell ref="P79:U79"/>
    <mergeCell ref="V79:W79"/>
    <mergeCell ref="X79:Z79"/>
    <mergeCell ref="B78:C78"/>
    <mergeCell ref="D78:I78"/>
    <mergeCell ref="J78:O78"/>
    <mergeCell ref="P78:U78"/>
    <mergeCell ref="V78:W78"/>
    <mergeCell ref="X78:Z78"/>
    <mergeCell ref="AA79:AC79"/>
    <mergeCell ref="AD79:AF79"/>
    <mergeCell ref="AG79:AP79"/>
    <mergeCell ref="AQ79:BB79"/>
    <mergeCell ref="W60:AI65"/>
    <mergeCell ref="AJ60:BB65"/>
    <mergeCell ref="B82:C82"/>
    <mergeCell ref="D82:I82"/>
    <mergeCell ref="J82:V82"/>
    <mergeCell ref="W82:AI82"/>
    <mergeCell ref="AJ82:BB82"/>
    <mergeCell ref="B83:C83"/>
    <mergeCell ref="D83:I86"/>
    <mergeCell ref="J83:V83"/>
    <mergeCell ref="W83:AI89"/>
    <mergeCell ref="AJ83:BB89"/>
    <mergeCell ref="B84:C84"/>
    <mergeCell ref="J84:V84"/>
    <mergeCell ref="B85:C86"/>
    <mergeCell ref="J85:V86"/>
    <mergeCell ref="B87:C88"/>
    <mergeCell ref="D87:I88"/>
    <mergeCell ref="J87:V88"/>
    <mergeCell ref="B89:C89"/>
    <mergeCell ref="D89:I89"/>
    <mergeCell ref="J89:V89"/>
    <mergeCell ref="B93:C93"/>
    <mergeCell ref="D93:K93"/>
    <mergeCell ref="L93:S93"/>
    <mergeCell ref="T93:AA93"/>
    <mergeCell ref="AB93:AI93"/>
    <mergeCell ref="AJ93:AP93"/>
    <mergeCell ref="AQ93:BB93"/>
    <mergeCell ref="B94:C95"/>
    <mergeCell ref="D94:K95"/>
    <mergeCell ref="L94:S95"/>
    <mergeCell ref="T94:AA95"/>
    <mergeCell ref="AB94:AI95"/>
    <mergeCell ref="AJ94:AP95"/>
    <mergeCell ref="AQ94:BB95"/>
    <mergeCell ref="AA99:AC99"/>
    <mergeCell ref="AD99:AF99"/>
    <mergeCell ref="AG99:AP99"/>
    <mergeCell ref="AQ99:BB99"/>
    <mergeCell ref="B100:C100"/>
    <mergeCell ref="D100:I100"/>
    <mergeCell ref="J100:O100"/>
    <mergeCell ref="P100:U100"/>
    <mergeCell ref="V100:W100"/>
    <mergeCell ref="X100:Z100"/>
    <mergeCell ref="B99:C99"/>
    <mergeCell ref="D99:I99"/>
    <mergeCell ref="J99:O99"/>
    <mergeCell ref="P99:U99"/>
    <mergeCell ref="V99:W99"/>
    <mergeCell ref="X99:Z99"/>
    <mergeCell ref="B104:C104"/>
    <mergeCell ref="D104:I106"/>
    <mergeCell ref="J104:V104"/>
    <mergeCell ref="W104:AI106"/>
    <mergeCell ref="AJ104:BB106"/>
    <mergeCell ref="B105:C106"/>
    <mergeCell ref="J105:V106"/>
    <mergeCell ref="AA100:AC100"/>
    <mergeCell ref="AD100:AF100"/>
    <mergeCell ref="AG100:AP100"/>
    <mergeCell ref="AQ100:BB100"/>
    <mergeCell ref="B103:C103"/>
    <mergeCell ref="D103:I103"/>
    <mergeCell ref="J103:V103"/>
    <mergeCell ref="W103:AI103"/>
    <mergeCell ref="AJ103:BB103"/>
    <mergeCell ref="AA110:AC110"/>
    <mergeCell ref="AD110:AF110"/>
    <mergeCell ref="AG110:AP110"/>
    <mergeCell ref="AQ110:BB110"/>
    <mergeCell ref="B111:C111"/>
    <mergeCell ref="D111:I111"/>
    <mergeCell ref="J111:O111"/>
    <mergeCell ref="P111:U111"/>
    <mergeCell ref="V111:W111"/>
    <mergeCell ref="X111:Z111"/>
    <mergeCell ref="B110:C110"/>
    <mergeCell ref="D110:I110"/>
    <mergeCell ref="J110:O110"/>
    <mergeCell ref="P110:U110"/>
    <mergeCell ref="V110:W110"/>
    <mergeCell ref="X110:Z110"/>
    <mergeCell ref="AA111:AC111"/>
    <mergeCell ref="AD111:AF111"/>
    <mergeCell ref="AG111:AP111"/>
    <mergeCell ref="AQ111:BB111"/>
    <mergeCell ref="B114:C114"/>
    <mergeCell ref="D114:I114"/>
    <mergeCell ref="J114:V114"/>
    <mergeCell ref="W114:AI114"/>
    <mergeCell ref="AJ114:BB114"/>
    <mergeCell ref="B115:C115"/>
    <mergeCell ref="D115:I115"/>
    <mergeCell ref="J115:V115"/>
    <mergeCell ref="W115:AI120"/>
    <mergeCell ref="AJ115:BB120"/>
    <mergeCell ref="B116:C117"/>
    <mergeCell ref="D116:I120"/>
    <mergeCell ref="J116:V117"/>
    <mergeCell ref="B118:C120"/>
    <mergeCell ref="J118:V120"/>
    <mergeCell ref="AQ124:BB124"/>
    <mergeCell ref="B125:C126"/>
    <mergeCell ref="D125:K126"/>
    <mergeCell ref="L125:S126"/>
    <mergeCell ref="T125:AA126"/>
    <mergeCell ref="AB125:AI126"/>
    <mergeCell ref="AJ125:AP126"/>
    <mergeCell ref="AQ125:BB126"/>
    <mergeCell ref="B124:C124"/>
    <mergeCell ref="D124:K124"/>
    <mergeCell ref="L124:S124"/>
    <mergeCell ref="T124:AA124"/>
    <mergeCell ref="AB124:AI124"/>
    <mergeCell ref="AJ124:AP124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scale="74" orientation="landscape" r:id="rId1"/>
  <headerFooter>
    <oddFooter>&amp;C&amp;P/&amp;N</oddFooter>
  </headerFooter>
  <rowBreaks count="2" manualBreakCount="2">
    <brk id="49" max="54" man="1"/>
    <brk id="96" max="5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CZ255"/>
  <sheetViews>
    <sheetView showGridLines="0" view="pageBreakPreview" zoomScaleNormal="60" zoomScaleSheetLayoutView="100" workbookViewId="0">
      <selection sqref="A1:I1"/>
    </sheetView>
  </sheetViews>
  <sheetFormatPr defaultColWidth="2.625" defaultRowHeight="13.5" customHeight="1"/>
  <cols>
    <col min="1" max="16384" width="2.625" style="1"/>
  </cols>
  <sheetData>
    <row r="1" spans="1:55" ht="16.5">
      <c r="A1" s="482" t="s">
        <v>259</v>
      </c>
      <c r="B1" s="275"/>
      <c r="C1" s="275"/>
      <c r="D1" s="275"/>
      <c r="E1" s="275"/>
      <c r="F1" s="276"/>
      <c r="G1" s="276"/>
      <c r="H1" s="276"/>
      <c r="I1" s="483"/>
      <c r="J1" s="310" t="s">
        <v>260</v>
      </c>
      <c r="K1" s="275"/>
      <c r="L1" s="275"/>
      <c r="M1" s="275"/>
      <c r="N1" s="275"/>
      <c r="O1" s="275"/>
      <c r="P1" s="276"/>
      <c r="Q1" s="276"/>
      <c r="R1" s="311" t="s">
        <v>349</v>
      </c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3"/>
      <c r="AJ1" s="314" t="s">
        <v>261</v>
      </c>
      <c r="AK1" s="315"/>
      <c r="AL1" s="315"/>
      <c r="AM1" s="315"/>
      <c r="AN1" s="315"/>
      <c r="AO1" s="316" t="s">
        <v>262</v>
      </c>
      <c r="AP1" s="315"/>
      <c r="AQ1" s="315"/>
      <c r="AR1" s="315"/>
      <c r="AS1" s="315"/>
      <c r="AT1" s="316" t="s">
        <v>263</v>
      </c>
      <c r="AU1" s="316"/>
      <c r="AV1" s="316"/>
      <c r="AW1" s="315"/>
      <c r="AX1" s="315"/>
      <c r="AY1" s="484" t="s">
        <v>264</v>
      </c>
      <c r="AZ1" s="485"/>
      <c r="BA1" s="485"/>
      <c r="BB1" s="485"/>
      <c r="BC1" s="486"/>
    </row>
    <row r="2" spans="1:55" ht="13.5" customHeight="1">
      <c r="A2" s="278" t="str">
        <f>表紙!O10</f>
        <v>13期12月対応</v>
      </c>
      <c r="B2" s="279"/>
      <c r="C2" s="279"/>
      <c r="D2" s="279"/>
      <c r="E2" s="279"/>
      <c r="F2" s="280"/>
      <c r="G2" s="280"/>
      <c r="H2" s="280"/>
      <c r="I2" s="281"/>
      <c r="J2" s="286" t="str">
        <f>表紙!O9</f>
        <v>LMS学習管理システム</v>
      </c>
      <c r="K2" s="279"/>
      <c r="L2" s="279"/>
      <c r="M2" s="279"/>
      <c r="N2" s="279"/>
      <c r="O2" s="280"/>
      <c r="P2" s="280"/>
      <c r="Q2" s="287"/>
      <c r="R2" s="290" t="str">
        <f ca="1">RIGHT(CELL("filename",A1),LEN(CELL("filename",A1))-FIND("]",CELL("filename",A1)))</f>
        <v>ユーザー詳細_受講生(管理者権限）</v>
      </c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2"/>
      <c r="AJ2" s="614" t="s">
        <v>274</v>
      </c>
      <c r="AK2" s="297"/>
      <c r="AL2" s="297"/>
      <c r="AM2" s="297"/>
      <c r="AN2" s="297"/>
      <c r="AO2" s="300">
        <v>42684</v>
      </c>
      <c r="AP2" s="297"/>
      <c r="AQ2" s="297"/>
      <c r="AR2" s="297"/>
      <c r="AS2" s="297"/>
      <c r="AT2" s="296" t="s">
        <v>375</v>
      </c>
      <c r="AU2" s="297"/>
      <c r="AV2" s="297"/>
      <c r="AW2" s="297"/>
      <c r="AX2" s="297"/>
      <c r="AY2" s="301">
        <v>43804</v>
      </c>
      <c r="AZ2" s="302"/>
      <c r="BA2" s="302"/>
      <c r="BB2" s="302"/>
      <c r="BC2" s="303"/>
    </row>
    <row r="3" spans="1:55" ht="13.5" customHeight="1" thickBot="1">
      <c r="A3" s="282"/>
      <c r="B3" s="283"/>
      <c r="C3" s="283"/>
      <c r="D3" s="283"/>
      <c r="E3" s="283"/>
      <c r="F3" s="284"/>
      <c r="G3" s="284"/>
      <c r="H3" s="284"/>
      <c r="I3" s="285"/>
      <c r="J3" s="288"/>
      <c r="K3" s="283"/>
      <c r="L3" s="283"/>
      <c r="M3" s="283"/>
      <c r="N3" s="283"/>
      <c r="O3" s="284"/>
      <c r="P3" s="284"/>
      <c r="Q3" s="289"/>
      <c r="R3" s="293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5"/>
      <c r="AJ3" s="298"/>
      <c r="AK3" s="299"/>
      <c r="AL3" s="299"/>
      <c r="AM3" s="299"/>
      <c r="AN3" s="299"/>
      <c r="AO3" s="299"/>
      <c r="AP3" s="299"/>
      <c r="AQ3" s="299"/>
      <c r="AR3" s="299"/>
      <c r="AS3" s="299"/>
      <c r="AT3" s="298"/>
      <c r="AU3" s="299"/>
      <c r="AV3" s="299"/>
      <c r="AW3" s="299"/>
      <c r="AX3" s="299"/>
      <c r="AY3" s="304"/>
      <c r="AZ3" s="304"/>
      <c r="BA3" s="304"/>
      <c r="BB3" s="304"/>
      <c r="BC3" s="305"/>
    </row>
    <row r="5" spans="1:55" ht="13.5" customHeight="1">
      <c r="A5" s="7"/>
      <c r="B5" s="92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5" ht="13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5" ht="13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5" ht="13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5" ht="13.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5" ht="13.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5" ht="13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5" ht="13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5" ht="13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5" ht="13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5" ht="13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3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3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3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3.5" customHeight="1">
      <c r="A38" s="7"/>
      <c r="B38" s="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4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4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4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4" ht="13.1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4" ht="16.5">
      <c r="A53" s="7"/>
      <c r="B53" s="92" t="s">
        <v>7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3"/>
      <c r="AZ53" s="103"/>
      <c r="BA53" s="103"/>
      <c r="BB53" s="103"/>
    </row>
    <row r="54" spans="1:54" ht="16.5">
      <c r="A54" s="7"/>
      <c r="B54" s="560" t="s">
        <v>201</v>
      </c>
      <c r="C54" s="560"/>
      <c r="D54" s="560" t="s">
        <v>9</v>
      </c>
      <c r="E54" s="560"/>
      <c r="F54" s="560"/>
      <c r="G54" s="560"/>
      <c r="H54" s="560"/>
      <c r="I54" s="560"/>
      <c r="J54" s="560"/>
      <c r="K54" s="560"/>
      <c r="L54" s="560"/>
      <c r="M54" s="560"/>
      <c r="N54" s="560" t="s">
        <v>10</v>
      </c>
      <c r="O54" s="560"/>
      <c r="P54" s="560"/>
      <c r="Q54" s="560"/>
      <c r="R54" s="560"/>
      <c r="S54" s="560"/>
      <c r="T54" s="560"/>
      <c r="U54" s="560"/>
      <c r="V54" s="560"/>
      <c r="W54" s="560"/>
      <c r="X54" s="560"/>
      <c r="Y54" s="560"/>
      <c r="Z54" s="560"/>
      <c r="AA54" s="560"/>
      <c r="AB54" s="560"/>
      <c r="AC54" s="560"/>
      <c r="AD54" s="624" t="s">
        <v>12</v>
      </c>
      <c r="AE54" s="625"/>
      <c r="AF54" s="625"/>
      <c r="AG54" s="625"/>
      <c r="AH54" s="625"/>
      <c r="AI54" s="625"/>
      <c r="AJ54" s="625"/>
      <c r="AK54" s="625"/>
      <c r="AL54" s="625"/>
      <c r="AM54" s="625"/>
      <c r="AN54" s="625"/>
      <c r="AO54" s="625"/>
      <c r="AP54" s="625"/>
      <c r="AQ54" s="625"/>
      <c r="AR54" s="625"/>
      <c r="AS54" s="625"/>
      <c r="AT54" s="625"/>
      <c r="AU54" s="625"/>
      <c r="AV54" s="625"/>
      <c r="AW54" s="625"/>
      <c r="AX54" s="625"/>
      <c r="AY54" s="625"/>
      <c r="AZ54" s="625"/>
      <c r="BA54" s="625"/>
      <c r="BB54" s="626"/>
    </row>
    <row r="55" spans="1:54" ht="16.5">
      <c r="A55" s="7"/>
      <c r="B55" s="560"/>
      <c r="C55" s="560"/>
      <c r="D55" s="560"/>
      <c r="E55" s="560"/>
      <c r="F55" s="560"/>
      <c r="G55" s="560"/>
      <c r="H55" s="560"/>
      <c r="I55" s="560"/>
      <c r="J55" s="560"/>
      <c r="K55" s="560"/>
      <c r="L55" s="560"/>
      <c r="M55" s="560"/>
      <c r="N55" s="560" t="s">
        <v>13</v>
      </c>
      <c r="O55" s="560"/>
      <c r="P55" s="560"/>
      <c r="Q55" s="560"/>
      <c r="R55" s="560"/>
      <c r="S55" s="560"/>
      <c r="T55" s="560"/>
      <c r="U55" s="560"/>
      <c r="V55" s="560" t="s">
        <v>315</v>
      </c>
      <c r="W55" s="560"/>
      <c r="X55" s="560"/>
      <c r="Y55" s="560"/>
      <c r="Z55" s="560"/>
      <c r="AA55" s="560"/>
      <c r="AB55" s="560"/>
      <c r="AC55" s="560"/>
      <c r="AD55" s="634"/>
      <c r="AE55" s="635"/>
      <c r="AF55" s="635"/>
      <c r="AG55" s="635"/>
      <c r="AH55" s="635"/>
      <c r="AI55" s="635"/>
      <c r="AJ55" s="635"/>
      <c r="AK55" s="635"/>
      <c r="AL55" s="635"/>
      <c r="AM55" s="635"/>
      <c r="AN55" s="635"/>
      <c r="AO55" s="635"/>
      <c r="AP55" s="635"/>
      <c r="AQ55" s="635"/>
      <c r="AR55" s="635"/>
      <c r="AS55" s="635"/>
      <c r="AT55" s="635"/>
      <c r="AU55" s="635"/>
      <c r="AV55" s="635"/>
      <c r="AW55" s="635"/>
      <c r="AX55" s="635"/>
      <c r="AY55" s="635"/>
      <c r="AZ55" s="635"/>
      <c r="BA55" s="635"/>
      <c r="BB55" s="636"/>
    </row>
    <row r="56" spans="1:54" ht="13.5" customHeight="1">
      <c r="A56" s="7"/>
      <c r="B56" s="569">
        <v>1</v>
      </c>
      <c r="C56" s="569"/>
      <c r="D56" s="675" t="s">
        <v>34</v>
      </c>
      <c r="E56" s="675"/>
      <c r="F56" s="675"/>
      <c r="G56" s="675"/>
      <c r="H56" s="675"/>
      <c r="I56" s="675"/>
      <c r="J56" s="675"/>
      <c r="K56" s="675"/>
      <c r="L56" s="675"/>
      <c r="M56" s="675"/>
      <c r="N56" s="674"/>
      <c r="O56" s="674"/>
      <c r="P56" s="674"/>
      <c r="Q56" s="674"/>
      <c r="R56" s="674"/>
      <c r="S56" s="674"/>
      <c r="T56" s="674"/>
      <c r="U56" s="674"/>
      <c r="V56" s="674" t="s">
        <v>155</v>
      </c>
      <c r="W56" s="674"/>
      <c r="X56" s="674"/>
      <c r="Y56" s="674"/>
      <c r="Z56" s="674"/>
      <c r="AA56" s="674"/>
      <c r="AB56" s="674"/>
      <c r="AC56" s="674"/>
      <c r="AD56" s="535"/>
      <c r="AE56" s="536"/>
      <c r="AF56" s="536"/>
      <c r="AG56" s="536"/>
      <c r="AH56" s="536"/>
      <c r="AI56" s="536"/>
      <c r="AJ56" s="536"/>
      <c r="AK56" s="536"/>
      <c r="AL56" s="536"/>
      <c r="AM56" s="536"/>
      <c r="AN56" s="536"/>
      <c r="AO56" s="536"/>
      <c r="AP56" s="536"/>
      <c r="AQ56" s="536"/>
      <c r="AR56" s="536"/>
      <c r="AS56" s="536"/>
      <c r="AT56" s="536"/>
      <c r="AU56" s="536"/>
      <c r="AV56" s="536"/>
      <c r="AW56" s="536"/>
      <c r="AX56" s="536"/>
      <c r="AY56" s="536"/>
      <c r="AZ56" s="536"/>
      <c r="BA56" s="536"/>
      <c r="BB56" s="537"/>
    </row>
    <row r="57" spans="1:54" ht="13.5" customHeight="1">
      <c r="A57" s="7"/>
      <c r="B57" s="569">
        <v>2</v>
      </c>
      <c r="C57" s="569"/>
      <c r="D57" s="675" t="s">
        <v>35</v>
      </c>
      <c r="E57" s="675"/>
      <c r="F57" s="675"/>
      <c r="G57" s="675"/>
      <c r="H57" s="675"/>
      <c r="I57" s="675"/>
      <c r="J57" s="675"/>
      <c r="K57" s="675"/>
      <c r="L57" s="675"/>
      <c r="M57" s="675"/>
      <c r="N57" s="674"/>
      <c r="O57" s="674"/>
      <c r="P57" s="674"/>
      <c r="Q57" s="674"/>
      <c r="R57" s="674"/>
      <c r="S57" s="674"/>
      <c r="T57" s="674"/>
      <c r="U57" s="674"/>
      <c r="V57" s="674" t="s">
        <v>316</v>
      </c>
      <c r="W57" s="674"/>
      <c r="X57" s="674"/>
      <c r="Y57" s="674"/>
      <c r="Z57" s="674"/>
      <c r="AA57" s="674"/>
      <c r="AB57" s="674"/>
      <c r="AC57" s="674"/>
      <c r="AD57" s="535"/>
      <c r="AE57" s="536"/>
      <c r="AF57" s="536"/>
      <c r="AG57" s="536"/>
      <c r="AH57" s="536"/>
      <c r="AI57" s="536"/>
      <c r="AJ57" s="536"/>
      <c r="AK57" s="536"/>
      <c r="AL57" s="536"/>
      <c r="AM57" s="536"/>
      <c r="AN57" s="536"/>
      <c r="AO57" s="536"/>
      <c r="AP57" s="536"/>
      <c r="AQ57" s="536"/>
      <c r="AR57" s="536"/>
      <c r="AS57" s="536"/>
      <c r="AT57" s="536"/>
      <c r="AU57" s="536"/>
      <c r="AV57" s="536"/>
      <c r="AW57" s="536"/>
      <c r="AX57" s="536"/>
      <c r="AY57" s="536"/>
      <c r="AZ57" s="536"/>
      <c r="BA57" s="536"/>
      <c r="BB57" s="537"/>
    </row>
    <row r="58" spans="1:54" ht="13.5" customHeight="1">
      <c r="A58" s="7"/>
      <c r="B58" s="569">
        <v>3</v>
      </c>
      <c r="C58" s="569"/>
      <c r="D58" s="675" t="s">
        <v>38</v>
      </c>
      <c r="E58" s="675"/>
      <c r="F58" s="675"/>
      <c r="G58" s="675"/>
      <c r="H58" s="675"/>
      <c r="I58" s="675"/>
      <c r="J58" s="675"/>
      <c r="K58" s="675"/>
      <c r="L58" s="675"/>
      <c r="M58" s="675"/>
      <c r="N58" s="674"/>
      <c r="O58" s="674"/>
      <c r="P58" s="674"/>
      <c r="Q58" s="674"/>
      <c r="R58" s="674"/>
      <c r="S58" s="674"/>
      <c r="T58" s="674"/>
      <c r="U58" s="674"/>
      <c r="V58" s="674" t="s">
        <v>154</v>
      </c>
      <c r="W58" s="674"/>
      <c r="X58" s="674"/>
      <c r="Y58" s="674"/>
      <c r="Z58" s="674"/>
      <c r="AA58" s="674"/>
      <c r="AB58" s="674"/>
      <c r="AC58" s="674"/>
      <c r="AD58" s="535"/>
      <c r="AE58" s="536"/>
      <c r="AF58" s="536"/>
      <c r="AG58" s="536"/>
      <c r="AH58" s="536"/>
      <c r="AI58" s="536"/>
      <c r="AJ58" s="536"/>
      <c r="AK58" s="536"/>
      <c r="AL58" s="536"/>
      <c r="AM58" s="536"/>
      <c r="AN58" s="536"/>
      <c r="AO58" s="536"/>
      <c r="AP58" s="536"/>
      <c r="AQ58" s="536"/>
      <c r="AR58" s="536"/>
      <c r="AS58" s="536"/>
      <c r="AT58" s="536"/>
      <c r="AU58" s="536"/>
      <c r="AV58" s="536"/>
      <c r="AW58" s="536"/>
      <c r="AX58" s="536"/>
      <c r="AY58" s="536"/>
      <c r="AZ58" s="536"/>
      <c r="BA58" s="536"/>
      <c r="BB58" s="537"/>
    </row>
    <row r="59" spans="1:54" ht="13.5" customHeight="1">
      <c r="A59" s="7"/>
      <c r="B59" s="569">
        <v>4</v>
      </c>
      <c r="C59" s="569"/>
      <c r="D59" s="675" t="s">
        <v>310</v>
      </c>
      <c r="E59" s="675"/>
      <c r="F59" s="675"/>
      <c r="G59" s="675"/>
      <c r="H59" s="675"/>
      <c r="I59" s="675"/>
      <c r="J59" s="675"/>
      <c r="K59" s="675"/>
      <c r="L59" s="675"/>
      <c r="M59" s="675"/>
      <c r="N59" s="674"/>
      <c r="O59" s="674"/>
      <c r="P59" s="674"/>
      <c r="Q59" s="674"/>
      <c r="R59" s="674"/>
      <c r="S59" s="674"/>
      <c r="T59" s="674"/>
      <c r="U59" s="674"/>
      <c r="V59" s="674" t="s">
        <v>156</v>
      </c>
      <c r="W59" s="674"/>
      <c r="X59" s="674"/>
      <c r="Y59" s="674"/>
      <c r="Z59" s="674"/>
      <c r="AA59" s="674"/>
      <c r="AB59" s="674"/>
      <c r="AC59" s="674"/>
      <c r="AD59" s="565" t="s">
        <v>39</v>
      </c>
      <c r="AE59" s="566"/>
      <c r="AF59" s="566"/>
      <c r="AG59" s="566"/>
      <c r="AH59" s="566"/>
      <c r="AI59" s="566"/>
      <c r="AJ59" s="566"/>
      <c r="AK59" s="566"/>
      <c r="AL59" s="566"/>
      <c r="AM59" s="566"/>
      <c r="AN59" s="566"/>
      <c r="AO59" s="566"/>
      <c r="AP59" s="566"/>
      <c r="AQ59" s="566"/>
      <c r="AR59" s="566"/>
      <c r="AS59" s="566"/>
      <c r="AT59" s="566"/>
      <c r="AU59" s="566"/>
      <c r="AV59" s="566"/>
      <c r="AW59" s="566"/>
      <c r="AX59" s="566"/>
      <c r="AY59" s="566"/>
      <c r="AZ59" s="566"/>
      <c r="BA59" s="566"/>
      <c r="BB59" s="567"/>
    </row>
    <row r="60" spans="1:54" ht="13.5" customHeight="1">
      <c r="A60" s="7"/>
      <c r="B60" s="569">
        <v>5</v>
      </c>
      <c r="C60" s="569"/>
      <c r="D60" s="675" t="s">
        <v>43</v>
      </c>
      <c r="E60" s="675"/>
      <c r="F60" s="675"/>
      <c r="G60" s="675"/>
      <c r="H60" s="675"/>
      <c r="I60" s="675"/>
      <c r="J60" s="675"/>
      <c r="K60" s="675"/>
      <c r="L60" s="675"/>
      <c r="M60" s="675"/>
      <c r="N60" s="674"/>
      <c r="O60" s="674"/>
      <c r="P60" s="674"/>
      <c r="Q60" s="674"/>
      <c r="R60" s="674"/>
      <c r="S60" s="674"/>
      <c r="T60" s="674"/>
      <c r="U60" s="674"/>
      <c r="V60" s="674" t="s">
        <v>317</v>
      </c>
      <c r="W60" s="674"/>
      <c r="X60" s="674"/>
      <c r="Y60" s="674"/>
      <c r="Z60" s="674"/>
      <c r="AA60" s="674"/>
      <c r="AB60" s="674"/>
      <c r="AC60" s="674"/>
      <c r="AD60" s="535"/>
      <c r="AE60" s="536"/>
      <c r="AF60" s="536"/>
      <c r="AG60" s="536"/>
      <c r="AH60" s="536"/>
      <c r="AI60" s="536"/>
      <c r="AJ60" s="536"/>
      <c r="AK60" s="536"/>
      <c r="AL60" s="536"/>
      <c r="AM60" s="536"/>
      <c r="AN60" s="536"/>
      <c r="AO60" s="536"/>
      <c r="AP60" s="536"/>
      <c r="AQ60" s="536"/>
      <c r="AR60" s="536"/>
      <c r="AS60" s="536"/>
      <c r="AT60" s="536"/>
      <c r="AU60" s="536"/>
      <c r="AV60" s="536"/>
      <c r="AW60" s="536"/>
      <c r="AX60" s="536"/>
      <c r="AY60" s="536"/>
      <c r="AZ60" s="536"/>
      <c r="BA60" s="536"/>
      <c r="BB60" s="537"/>
    </row>
    <row r="61" spans="1:54" ht="13.5" customHeight="1">
      <c r="A61" s="7"/>
      <c r="B61" s="569">
        <v>6</v>
      </c>
      <c r="C61" s="569"/>
      <c r="D61" s="677" t="s">
        <v>12</v>
      </c>
      <c r="E61" s="677"/>
      <c r="F61" s="677"/>
      <c r="G61" s="677"/>
      <c r="H61" s="677"/>
      <c r="I61" s="677"/>
      <c r="J61" s="677"/>
      <c r="K61" s="677"/>
      <c r="L61" s="677"/>
      <c r="M61" s="677"/>
      <c r="N61" s="674"/>
      <c r="O61" s="674"/>
      <c r="P61" s="674"/>
      <c r="Q61" s="674"/>
      <c r="R61" s="674"/>
      <c r="S61" s="674"/>
      <c r="T61" s="674"/>
      <c r="U61" s="674"/>
      <c r="V61" s="674" t="s">
        <v>318</v>
      </c>
      <c r="W61" s="674"/>
      <c r="X61" s="674"/>
      <c r="Y61" s="674"/>
      <c r="Z61" s="674"/>
      <c r="AA61" s="674"/>
      <c r="AB61" s="674"/>
      <c r="AC61" s="674"/>
      <c r="AD61" s="640"/>
      <c r="AE61" s="641"/>
      <c r="AF61" s="641"/>
      <c r="AG61" s="641"/>
      <c r="AH61" s="641"/>
      <c r="AI61" s="641"/>
      <c r="AJ61" s="641"/>
      <c r="AK61" s="641"/>
      <c r="AL61" s="641"/>
      <c r="AM61" s="641"/>
      <c r="AN61" s="641"/>
      <c r="AO61" s="641"/>
      <c r="AP61" s="641"/>
      <c r="AQ61" s="641"/>
      <c r="AR61" s="641"/>
      <c r="AS61" s="641"/>
      <c r="AT61" s="641"/>
      <c r="AU61" s="641"/>
      <c r="AV61" s="641"/>
      <c r="AW61" s="641"/>
      <c r="AX61" s="641"/>
      <c r="AY61" s="641"/>
      <c r="AZ61" s="641"/>
      <c r="BA61" s="641"/>
      <c r="BB61" s="642"/>
    </row>
    <row r="62" spans="1:54" ht="13.5" customHeight="1">
      <c r="A62" s="7"/>
      <c r="B62" s="569">
        <v>7</v>
      </c>
      <c r="C62" s="569"/>
      <c r="D62" s="677" t="s">
        <v>319</v>
      </c>
      <c r="E62" s="677"/>
      <c r="F62" s="677"/>
      <c r="G62" s="677"/>
      <c r="H62" s="677"/>
      <c r="I62" s="677"/>
      <c r="J62" s="677"/>
      <c r="K62" s="677"/>
      <c r="L62" s="677"/>
      <c r="M62" s="677"/>
      <c r="N62" s="674"/>
      <c r="O62" s="674"/>
      <c r="P62" s="674"/>
      <c r="Q62" s="674"/>
      <c r="R62" s="674"/>
      <c r="S62" s="674"/>
      <c r="T62" s="674"/>
      <c r="U62" s="674"/>
      <c r="V62" s="674" t="s">
        <v>153</v>
      </c>
      <c r="W62" s="674"/>
      <c r="X62" s="674"/>
      <c r="Y62" s="674"/>
      <c r="Z62" s="674"/>
      <c r="AA62" s="674"/>
      <c r="AB62" s="674"/>
      <c r="AC62" s="674"/>
      <c r="AD62" s="640"/>
      <c r="AE62" s="641"/>
      <c r="AF62" s="641"/>
      <c r="AG62" s="641"/>
      <c r="AH62" s="641"/>
      <c r="AI62" s="641"/>
      <c r="AJ62" s="641"/>
      <c r="AK62" s="641"/>
      <c r="AL62" s="641"/>
      <c r="AM62" s="641"/>
      <c r="AN62" s="641"/>
      <c r="AO62" s="641"/>
      <c r="AP62" s="641"/>
      <c r="AQ62" s="641"/>
      <c r="AR62" s="641"/>
      <c r="AS62" s="641"/>
      <c r="AT62" s="641"/>
      <c r="AU62" s="641"/>
      <c r="AV62" s="641"/>
      <c r="AW62" s="641"/>
      <c r="AX62" s="641"/>
      <c r="AY62" s="641"/>
      <c r="AZ62" s="641"/>
      <c r="BA62" s="641"/>
      <c r="BB62" s="642"/>
    </row>
    <row r="63" spans="1:54" ht="13.5" customHeight="1">
      <c r="A63" s="7"/>
      <c r="B63" s="569">
        <v>8</v>
      </c>
      <c r="C63" s="569"/>
      <c r="D63" s="677" t="s">
        <v>320</v>
      </c>
      <c r="E63" s="677"/>
      <c r="F63" s="677"/>
      <c r="G63" s="677"/>
      <c r="H63" s="677"/>
      <c r="I63" s="677"/>
      <c r="J63" s="677"/>
      <c r="K63" s="677"/>
      <c r="L63" s="677"/>
      <c r="M63" s="677"/>
      <c r="N63" s="674"/>
      <c r="O63" s="674"/>
      <c r="P63" s="674"/>
      <c r="Q63" s="674"/>
      <c r="R63" s="674"/>
      <c r="S63" s="674"/>
      <c r="T63" s="674"/>
      <c r="U63" s="674"/>
      <c r="V63" s="674" t="s">
        <v>321</v>
      </c>
      <c r="W63" s="674"/>
      <c r="X63" s="674"/>
      <c r="Y63" s="674"/>
      <c r="Z63" s="674"/>
      <c r="AA63" s="674"/>
      <c r="AB63" s="674"/>
      <c r="AC63" s="674"/>
      <c r="AD63" s="640"/>
      <c r="AE63" s="641"/>
      <c r="AF63" s="641"/>
      <c r="AG63" s="641"/>
      <c r="AH63" s="641"/>
      <c r="AI63" s="641"/>
      <c r="AJ63" s="641"/>
      <c r="AK63" s="641"/>
      <c r="AL63" s="641"/>
      <c r="AM63" s="641"/>
      <c r="AN63" s="641"/>
      <c r="AO63" s="641"/>
      <c r="AP63" s="641"/>
      <c r="AQ63" s="641"/>
      <c r="AR63" s="641"/>
      <c r="AS63" s="641"/>
      <c r="AT63" s="641"/>
      <c r="AU63" s="641"/>
      <c r="AV63" s="641"/>
      <c r="AW63" s="641"/>
      <c r="AX63" s="641"/>
      <c r="AY63" s="641"/>
      <c r="AZ63" s="641"/>
      <c r="BA63" s="641"/>
      <c r="BB63" s="642"/>
    </row>
    <row r="64" spans="1:54" ht="13.5" customHeight="1">
      <c r="A64" s="7"/>
      <c r="B64" s="591">
        <v>9</v>
      </c>
      <c r="C64" s="592"/>
      <c r="D64" s="678" t="s">
        <v>322</v>
      </c>
      <c r="E64" s="679"/>
      <c r="F64" s="679"/>
      <c r="G64" s="679"/>
      <c r="H64" s="679"/>
      <c r="I64" s="679"/>
      <c r="J64" s="679"/>
      <c r="K64" s="679"/>
      <c r="L64" s="679"/>
      <c r="M64" s="680"/>
      <c r="N64" s="643"/>
      <c r="O64" s="644"/>
      <c r="P64" s="644"/>
      <c r="Q64" s="644"/>
      <c r="R64" s="644"/>
      <c r="S64" s="644"/>
      <c r="T64" s="644"/>
      <c r="U64" s="645"/>
      <c r="V64" s="643" t="s">
        <v>323</v>
      </c>
      <c r="W64" s="644"/>
      <c r="X64" s="644"/>
      <c r="Y64" s="644"/>
      <c r="Z64" s="644"/>
      <c r="AA64" s="644"/>
      <c r="AB64" s="644"/>
      <c r="AC64" s="645"/>
      <c r="AD64" s="637" t="s">
        <v>131</v>
      </c>
      <c r="AE64" s="638"/>
      <c r="AF64" s="638"/>
      <c r="AG64" s="638"/>
      <c r="AH64" s="638"/>
      <c r="AI64" s="638"/>
      <c r="AJ64" s="638"/>
      <c r="AK64" s="638"/>
      <c r="AL64" s="638"/>
      <c r="AM64" s="638"/>
      <c r="AN64" s="638"/>
      <c r="AO64" s="638"/>
      <c r="AP64" s="638"/>
      <c r="AQ64" s="638"/>
      <c r="AR64" s="638"/>
      <c r="AS64" s="638"/>
      <c r="AT64" s="638"/>
      <c r="AU64" s="638"/>
      <c r="AV64" s="638"/>
      <c r="AW64" s="638"/>
      <c r="AX64" s="638"/>
      <c r="AY64" s="638"/>
      <c r="AZ64" s="638"/>
      <c r="BA64" s="638"/>
      <c r="BB64" s="639"/>
    </row>
    <row r="65" spans="1:54" ht="13.5" customHeight="1">
      <c r="A65" s="7"/>
      <c r="B65" s="591">
        <v>10</v>
      </c>
      <c r="C65" s="592"/>
      <c r="D65" s="678" t="s">
        <v>352</v>
      </c>
      <c r="E65" s="679"/>
      <c r="F65" s="679"/>
      <c r="G65" s="679"/>
      <c r="H65" s="679"/>
      <c r="I65" s="679"/>
      <c r="J65" s="679"/>
      <c r="K65" s="679"/>
      <c r="L65" s="679"/>
      <c r="M65" s="680"/>
      <c r="N65" s="643" t="s">
        <v>347</v>
      </c>
      <c r="O65" s="644"/>
      <c r="P65" s="644"/>
      <c r="Q65" s="644"/>
      <c r="R65" s="644"/>
      <c r="S65" s="644"/>
      <c r="T65" s="644"/>
      <c r="U65" s="645"/>
      <c r="V65" s="643" t="s">
        <v>300</v>
      </c>
      <c r="W65" s="644"/>
      <c r="X65" s="644"/>
      <c r="Y65" s="644"/>
      <c r="Z65" s="644"/>
      <c r="AA65" s="644"/>
      <c r="AB65" s="644"/>
      <c r="AC65" s="645"/>
      <c r="AD65" s="643" t="s">
        <v>350</v>
      </c>
      <c r="AE65" s="644"/>
      <c r="AF65" s="644"/>
      <c r="AG65" s="644"/>
      <c r="AH65" s="644"/>
      <c r="AI65" s="644"/>
      <c r="AJ65" s="644"/>
      <c r="AK65" s="644"/>
      <c r="AL65" s="644"/>
      <c r="AM65" s="644"/>
      <c r="AN65" s="644"/>
      <c r="AO65" s="644"/>
      <c r="AP65" s="644"/>
      <c r="AQ65" s="644"/>
      <c r="AR65" s="644"/>
      <c r="AS65" s="644"/>
      <c r="AT65" s="644"/>
      <c r="AU65" s="644"/>
      <c r="AV65" s="644"/>
      <c r="AW65" s="644"/>
      <c r="AX65" s="644"/>
      <c r="AY65" s="644"/>
      <c r="AZ65" s="644"/>
      <c r="BA65" s="644"/>
      <c r="BB65" s="645"/>
    </row>
    <row r="66" spans="1:54" ht="13.5" customHeight="1">
      <c r="A66" s="7"/>
      <c r="B66" s="114"/>
      <c r="C66" s="115"/>
      <c r="D66" s="117"/>
      <c r="E66" s="118"/>
      <c r="F66" s="118"/>
      <c r="G66" s="118"/>
      <c r="H66" s="118"/>
      <c r="I66" s="118"/>
      <c r="J66" s="118"/>
      <c r="K66" s="118"/>
      <c r="L66" s="118"/>
      <c r="M66" s="119"/>
      <c r="N66" s="120"/>
      <c r="O66" s="121"/>
      <c r="P66" s="121"/>
      <c r="Q66" s="121"/>
      <c r="R66" s="121"/>
      <c r="S66" s="121"/>
      <c r="T66" s="121"/>
      <c r="U66" s="122"/>
      <c r="V66" s="120"/>
      <c r="W66" s="121"/>
      <c r="X66" s="121"/>
      <c r="Y66" s="121"/>
      <c r="Z66" s="121"/>
      <c r="AA66" s="121"/>
      <c r="AB66" s="121"/>
      <c r="AC66" s="122"/>
      <c r="AD66" s="120" t="s">
        <v>351</v>
      </c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/>
      <c r="BA66" s="121"/>
      <c r="BB66" s="122"/>
    </row>
    <row r="67" spans="1:54" ht="13.5" customHeight="1">
      <c r="A67" s="7"/>
      <c r="B67" s="569">
        <v>11</v>
      </c>
      <c r="C67" s="569"/>
      <c r="D67" s="677" t="s">
        <v>226</v>
      </c>
      <c r="E67" s="677"/>
      <c r="F67" s="677"/>
      <c r="G67" s="677"/>
      <c r="H67" s="677"/>
      <c r="I67" s="677"/>
      <c r="J67" s="677"/>
      <c r="K67" s="677"/>
      <c r="L67" s="677"/>
      <c r="M67" s="677"/>
      <c r="N67" s="674"/>
      <c r="O67" s="674"/>
      <c r="P67" s="674"/>
      <c r="Q67" s="674"/>
      <c r="R67" s="674"/>
      <c r="S67" s="674"/>
      <c r="T67" s="674"/>
      <c r="U67" s="674"/>
      <c r="V67" s="674" t="s">
        <v>324</v>
      </c>
      <c r="W67" s="674"/>
      <c r="X67" s="674"/>
      <c r="Y67" s="674"/>
      <c r="Z67" s="674"/>
      <c r="AA67" s="674"/>
      <c r="AB67" s="674"/>
      <c r="AC67" s="674"/>
      <c r="AD67" s="646" t="s">
        <v>39</v>
      </c>
      <c r="AE67" s="647"/>
      <c r="AF67" s="647"/>
      <c r="AG67" s="647"/>
      <c r="AH67" s="647"/>
      <c r="AI67" s="647"/>
      <c r="AJ67" s="647"/>
      <c r="AK67" s="647"/>
      <c r="AL67" s="647"/>
      <c r="AM67" s="647"/>
      <c r="AN67" s="647"/>
      <c r="AO67" s="647"/>
      <c r="AP67" s="647"/>
      <c r="AQ67" s="647"/>
      <c r="AR67" s="647"/>
      <c r="AS67" s="647"/>
      <c r="AT67" s="647"/>
      <c r="AU67" s="647"/>
      <c r="AV67" s="647"/>
      <c r="AW67" s="647"/>
      <c r="AX67" s="647"/>
      <c r="AY67" s="647"/>
      <c r="AZ67" s="647"/>
      <c r="BA67" s="647"/>
      <c r="BB67" s="648"/>
    </row>
    <row r="68" spans="1:54" ht="13.5" customHeight="1">
      <c r="A68" s="7"/>
      <c r="B68" s="562">
        <v>12</v>
      </c>
      <c r="C68" s="564"/>
      <c r="D68" s="677" t="s">
        <v>191</v>
      </c>
      <c r="E68" s="677"/>
      <c r="F68" s="677"/>
      <c r="G68" s="677"/>
      <c r="H68" s="677"/>
      <c r="I68" s="677"/>
      <c r="J68" s="677"/>
      <c r="K68" s="677"/>
      <c r="L68" s="677"/>
      <c r="M68" s="677"/>
      <c r="N68" s="674"/>
      <c r="O68" s="674"/>
      <c r="P68" s="674"/>
      <c r="Q68" s="674"/>
      <c r="R68" s="674"/>
      <c r="S68" s="674"/>
      <c r="T68" s="674"/>
      <c r="U68" s="674"/>
      <c r="V68" s="674" t="s">
        <v>325</v>
      </c>
      <c r="W68" s="674"/>
      <c r="X68" s="674"/>
      <c r="Y68" s="674"/>
      <c r="Z68" s="674"/>
      <c r="AA68" s="674"/>
      <c r="AB68" s="674"/>
      <c r="AC68" s="674"/>
      <c r="AD68" s="646" t="s">
        <v>39</v>
      </c>
      <c r="AE68" s="647"/>
      <c r="AF68" s="647"/>
      <c r="AG68" s="647"/>
      <c r="AH68" s="647"/>
      <c r="AI68" s="647"/>
      <c r="AJ68" s="647"/>
      <c r="AK68" s="647"/>
      <c r="AL68" s="647"/>
      <c r="AM68" s="647"/>
      <c r="AN68" s="647"/>
      <c r="AO68" s="647"/>
      <c r="AP68" s="647"/>
      <c r="AQ68" s="647"/>
      <c r="AR68" s="647"/>
      <c r="AS68" s="647"/>
      <c r="AT68" s="647"/>
      <c r="AU68" s="647"/>
      <c r="AV68" s="647"/>
      <c r="AW68" s="647"/>
      <c r="AX68" s="647"/>
      <c r="AY68" s="647"/>
      <c r="AZ68" s="647"/>
      <c r="BA68" s="647"/>
      <c r="BB68" s="648"/>
    </row>
    <row r="69" spans="1:54" ht="13.5" customHeight="1">
      <c r="A69" s="7"/>
      <c r="B69" s="569">
        <v>13</v>
      </c>
      <c r="C69" s="569"/>
      <c r="D69" s="677" t="s">
        <v>326</v>
      </c>
      <c r="E69" s="677"/>
      <c r="F69" s="677"/>
      <c r="G69" s="677"/>
      <c r="H69" s="677"/>
      <c r="I69" s="677"/>
      <c r="J69" s="677"/>
      <c r="K69" s="677"/>
      <c r="L69" s="677"/>
      <c r="M69" s="677"/>
      <c r="N69" s="674"/>
      <c r="O69" s="674"/>
      <c r="P69" s="674"/>
      <c r="Q69" s="674"/>
      <c r="R69" s="674"/>
      <c r="S69" s="674"/>
      <c r="T69" s="674"/>
      <c r="U69" s="674"/>
      <c r="V69" s="674" t="s">
        <v>55</v>
      </c>
      <c r="W69" s="674"/>
      <c r="X69" s="674"/>
      <c r="Y69" s="674"/>
      <c r="Z69" s="674"/>
      <c r="AA69" s="674"/>
      <c r="AB69" s="674"/>
      <c r="AC69" s="674"/>
      <c r="AD69" s="646" t="s">
        <v>327</v>
      </c>
      <c r="AE69" s="647"/>
      <c r="AF69" s="647"/>
      <c r="AG69" s="647"/>
      <c r="AH69" s="647"/>
      <c r="AI69" s="647"/>
      <c r="AJ69" s="647"/>
      <c r="AK69" s="647"/>
      <c r="AL69" s="647"/>
      <c r="AM69" s="647"/>
      <c r="AN69" s="647"/>
      <c r="AO69" s="647"/>
      <c r="AP69" s="647"/>
      <c r="AQ69" s="647"/>
      <c r="AR69" s="647"/>
      <c r="AS69" s="647"/>
      <c r="AT69" s="647"/>
      <c r="AU69" s="647"/>
      <c r="AV69" s="647"/>
      <c r="AW69" s="647"/>
      <c r="AX69" s="647"/>
      <c r="AY69" s="647"/>
      <c r="AZ69" s="647"/>
      <c r="BA69" s="647"/>
      <c r="BB69" s="648"/>
    </row>
    <row r="70" spans="1:54" ht="13.5" customHeight="1">
      <c r="A70" s="7"/>
      <c r="B70" s="562">
        <v>14</v>
      </c>
      <c r="C70" s="564"/>
      <c r="D70" s="677" t="s">
        <v>328</v>
      </c>
      <c r="E70" s="677"/>
      <c r="F70" s="677"/>
      <c r="G70" s="677"/>
      <c r="H70" s="677"/>
      <c r="I70" s="677"/>
      <c r="J70" s="677"/>
      <c r="K70" s="677"/>
      <c r="L70" s="677"/>
      <c r="M70" s="677"/>
      <c r="N70" s="674"/>
      <c r="O70" s="674"/>
      <c r="P70" s="674"/>
      <c r="Q70" s="674"/>
      <c r="R70" s="674"/>
      <c r="S70" s="674"/>
      <c r="T70" s="674"/>
      <c r="U70" s="674"/>
      <c r="V70" s="674" t="s">
        <v>329</v>
      </c>
      <c r="W70" s="674"/>
      <c r="X70" s="674"/>
      <c r="Y70" s="674"/>
      <c r="Z70" s="674"/>
      <c r="AA70" s="674"/>
      <c r="AB70" s="674"/>
      <c r="AC70" s="674"/>
      <c r="AD70" s="646" t="s">
        <v>39</v>
      </c>
      <c r="AE70" s="647"/>
      <c r="AF70" s="647"/>
      <c r="AG70" s="647"/>
      <c r="AH70" s="647"/>
      <c r="AI70" s="647"/>
      <c r="AJ70" s="647"/>
      <c r="AK70" s="647"/>
      <c r="AL70" s="647"/>
      <c r="AM70" s="647"/>
      <c r="AN70" s="647"/>
      <c r="AO70" s="647"/>
      <c r="AP70" s="647"/>
      <c r="AQ70" s="647"/>
      <c r="AR70" s="647"/>
      <c r="AS70" s="647"/>
      <c r="AT70" s="647"/>
      <c r="AU70" s="647"/>
      <c r="AV70" s="647"/>
      <c r="AW70" s="647"/>
      <c r="AX70" s="647"/>
      <c r="AY70" s="647"/>
      <c r="AZ70" s="647"/>
      <c r="BA70" s="647"/>
      <c r="BB70" s="648"/>
    </row>
    <row r="71" spans="1:54" ht="13.5" customHeight="1">
      <c r="A71" s="7"/>
      <c r="B71" s="569">
        <v>15</v>
      </c>
      <c r="C71" s="569"/>
      <c r="D71" s="677" t="s">
        <v>330</v>
      </c>
      <c r="E71" s="677"/>
      <c r="F71" s="677"/>
      <c r="G71" s="677"/>
      <c r="H71" s="677"/>
      <c r="I71" s="677"/>
      <c r="J71" s="677"/>
      <c r="K71" s="677"/>
      <c r="L71" s="677"/>
      <c r="M71" s="677"/>
      <c r="N71" s="674"/>
      <c r="O71" s="674"/>
      <c r="P71" s="674"/>
      <c r="Q71" s="674"/>
      <c r="R71" s="674"/>
      <c r="S71" s="674"/>
      <c r="T71" s="674"/>
      <c r="U71" s="674"/>
      <c r="V71" s="674" t="s">
        <v>331</v>
      </c>
      <c r="W71" s="674"/>
      <c r="X71" s="674"/>
      <c r="Y71" s="674"/>
      <c r="Z71" s="674"/>
      <c r="AA71" s="674"/>
      <c r="AB71" s="674"/>
      <c r="AC71" s="674"/>
      <c r="AD71" s="640"/>
      <c r="AE71" s="641"/>
      <c r="AF71" s="641"/>
      <c r="AG71" s="641"/>
      <c r="AH71" s="641"/>
      <c r="AI71" s="641"/>
      <c r="AJ71" s="641"/>
      <c r="AK71" s="641"/>
      <c r="AL71" s="641"/>
      <c r="AM71" s="641"/>
      <c r="AN71" s="641"/>
      <c r="AO71" s="641"/>
      <c r="AP71" s="641"/>
      <c r="AQ71" s="641"/>
      <c r="AR71" s="641"/>
      <c r="AS71" s="641"/>
      <c r="AT71" s="641"/>
      <c r="AU71" s="641"/>
      <c r="AV71" s="641"/>
      <c r="AW71" s="641"/>
      <c r="AX71" s="641"/>
      <c r="AY71" s="641"/>
      <c r="AZ71" s="641"/>
      <c r="BA71" s="641"/>
      <c r="BB71" s="642"/>
    </row>
    <row r="72" spans="1:54" ht="13.5" customHeight="1">
      <c r="A72" s="7"/>
      <c r="B72" s="562">
        <v>16</v>
      </c>
      <c r="C72" s="564"/>
      <c r="D72" s="675" t="s">
        <v>332</v>
      </c>
      <c r="E72" s="675"/>
      <c r="F72" s="675"/>
      <c r="G72" s="675"/>
      <c r="H72" s="675"/>
      <c r="I72" s="675"/>
      <c r="J72" s="675"/>
      <c r="K72" s="675"/>
      <c r="L72" s="675"/>
      <c r="M72" s="675"/>
      <c r="N72" s="674"/>
      <c r="O72" s="674"/>
      <c r="P72" s="674"/>
      <c r="Q72" s="674"/>
      <c r="R72" s="674"/>
      <c r="S72" s="674"/>
      <c r="T72" s="674"/>
      <c r="U72" s="674"/>
      <c r="V72" s="674" t="s">
        <v>333</v>
      </c>
      <c r="W72" s="674"/>
      <c r="X72" s="674"/>
      <c r="Y72" s="674"/>
      <c r="Z72" s="674"/>
      <c r="AA72" s="674"/>
      <c r="AB72" s="674"/>
      <c r="AC72" s="674"/>
      <c r="AD72" s="565" t="s">
        <v>39</v>
      </c>
      <c r="AE72" s="566"/>
      <c r="AF72" s="566"/>
      <c r="AG72" s="566"/>
      <c r="AH72" s="566"/>
      <c r="AI72" s="566"/>
      <c r="AJ72" s="566"/>
      <c r="AK72" s="566"/>
      <c r="AL72" s="566"/>
      <c r="AM72" s="566"/>
      <c r="AN72" s="566"/>
      <c r="AO72" s="566"/>
      <c r="AP72" s="566"/>
      <c r="AQ72" s="566"/>
      <c r="AR72" s="566"/>
      <c r="AS72" s="566"/>
      <c r="AT72" s="566"/>
      <c r="AU72" s="566"/>
      <c r="AV72" s="566"/>
      <c r="AW72" s="566"/>
      <c r="AX72" s="566"/>
      <c r="AY72" s="566"/>
      <c r="AZ72" s="566"/>
      <c r="BA72" s="566"/>
      <c r="BB72" s="567"/>
    </row>
    <row r="73" spans="1:54" ht="13.5" customHeight="1">
      <c r="A73" s="7"/>
      <c r="B73" s="569">
        <v>17</v>
      </c>
      <c r="C73" s="569"/>
      <c r="D73" s="675" t="s">
        <v>277</v>
      </c>
      <c r="E73" s="675"/>
      <c r="F73" s="675"/>
      <c r="G73" s="675"/>
      <c r="H73" s="675"/>
      <c r="I73" s="675"/>
      <c r="J73" s="675"/>
      <c r="K73" s="675"/>
      <c r="L73" s="675"/>
      <c r="M73" s="675"/>
      <c r="N73" s="674"/>
      <c r="O73" s="674"/>
      <c r="P73" s="674"/>
      <c r="Q73" s="674"/>
      <c r="R73" s="674"/>
      <c r="S73" s="674"/>
      <c r="T73" s="674"/>
      <c r="U73" s="674"/>
      <c r="V73" s="674" t="s">
        <v>334</v>
      </c>
      <c r="W73" s="674"/>
      <c r="X73" s="674"/>
      <c r="Y73" s="674"/>
      <c r="Z73" s="674"/>
      <c r="AA73" s="674"/>
      <c r="AB73" s="674"/>
      <c r="AC73" s="674"/>
      <c r="AD73" s="535"/>
      <c r="AE73" s="536"/>
      <c r="AF73" s="536"/>
      <c r="AG73" s="536"/>
      <c r="AH73" s="536"/>
      <c r="AI73" s="536"/>
      <c r="AJ73" s="536"/>
      <c r="AK73" s="536"/>
      <c r="AL73" s="536"/>
      <c r="AM73" s="536"/>
      <c r="AN73" s="536"/>
      <c r="AO73" s="536"/>
      <c r="AP73" s="536"/>
      <c r="AQ73" s="536"/>
      <c r="AR73" s="536"/>
      <c r="AS73" s="536"/>
      <c r="AT73" s="536"/>
      <c r="AU73" s="536"/>
      <c r="AV73" s="536"/>
      <c r="AW73" s="536"/>
      <c r="AX73" s="536"/>
      <c r="AY73" s="536"/>
      <c r="AZ73" s="536"/>
      <c r="BA73" s="536"/>
      <c r="BB73" s="537"/>
    </row>
    <row r="74" spans="1:54" ht="13.5" customHeight="1">
      <c r="A74" s="7"/>
      <c r="B74" s="562">
        <v>18</v>
      </c>
      <c r="C74" s="564"/>
      <c r="D74" s="675" t="s">
        <v>54</v>
      </c>
      <c r="E74" s="675"/>
      <c r="F74" s="675"/>
      <c r="G74" s="675"/>
      <c r="H74" s="675"/>
      <c r="I74" s="675"/>
      <c r="J74" s="675"/>
      <c r="K74" s="675"/>
      <c r="L74" s="675"/>
      <c r="M74" s="675"/>
      <c r="N74" s="674"/>
      <c r="O74" s="674"/>
      <c r="P74" s="674"/>
      <c r="Q74" s="674"/>
      <c r="R74" s="674"/>
      <c r="S74" s="674"/>
      <c r="T74" s="674"/>
      <c r="U74" s="674"/>
      <c r="V74" s="674" t="s">
        <v>335</v>
      </c>
      <c r="W74" s="674"/>
      <c r="X74" s="674"/>
      <c r="Y74" s="674"/>
      <c r="Z74" s="674"/>
      <c r="AA74" s="674"/>
      <c r="AB74" s="674"/>
      <c r="AC74" s="674"/>
      <c r="AD74" s="535"/>
      <c r="AE74" s="536"/>
      <c r="AF74" s="536"/>
      <c r="AG74" s="536"/>
      <c r="AH74" s="536"/>
      <c r="AI74" s="536"/>
      <c r="AJ74" s="536"/>
      <c r="AK74" s="536"/>
      <c r="AL74" s="536"/>
      <c r="AM74" s="536"/>
      <c r="AN74" s="536"/>
      <c r="AO74" s="536"/>
      <c r="AP74" s="536"/>
      <c r="AQ74" s="536"/>
      <c r="AR74" s="536"/>
      <c r="AS74" s="536"/>
      <c r="AT74" s="536"/>
      <c r="AU74" s="536"/>
      <c r="AV74" s="536"/>
      <c r="AW74" s="536"/>
      <c r="AX74" s="536"/>
      <c r="AY74" s="536"/>
      <c r="AZ74" s="536"/>
      <c r="BA74" s="536"/>
      <c r="BB74" s="537"/>
    </row>
    <row r="75" spans="1:54" ht="13.5" customHeight="1">
      <c r="A75" s="7"/>
      <c r="B75" s="569">
        <v>19</v>
      </c>
      <c r="C75" s="569"/>
      <c r="D75" s="675" t="s">
        <v>326</v>
      </c>
      <c r="E75" s="675"/>
      <c r="F75" s="675"/>
      <c r="G75" s="675"/>
      <c r="H75" s="675"/>
      <c r="I75" s="675"/>
      <c r="J75" s="675"/>
      <c r="K75" s="675"/>
      <c r="L75" s="675"/>
      <c r="M75" s="675"/>
      <c r="N75" s="674" t="s">
        <v>56</v>
      </c>
      <c r="O75" s="674"/>
      <c r="P75" s="674"/>
      <c r="Q75" s="674"/>
      <c r="R75" s="674"/>
      <c r="S75" s="674"/>
      <c r="T75" s="674"/>
      <c r="U75" s="674"/>
      <c r="V75" s="674" t="s">
        <v>55</v>
      </c>
      <c r="W75" s="674"/>
      <c r="X75" s="674"/>
      <c r="Y75" s="674"/>
      <c r="Z75" s="674"/>
      <c r="AA75" s="674"/>
      <c r="AB75" s="674"/>
      <c r="AC75" s="674"/>
      <c r="AD75" s="565" t="s">
        <v>327</v>
      </c>
      <c r="AE75" s="566"/>
      <c r="AF75" s="566"/>
      <c r="AG75" s="566"/>
      <c r="AH75" s="566"/>
      <c r="AI75" s="566"/>
      <c r="AJ75" s="566"/>
      <c r="AK75" s="566"/>
      <c r="AL75" s="566"/>
      <c r="AM75" s="566"/>
      <c r="AN75" s="566"/>
      <c r="AO75" s="566"/>
      <c r="AP75" s="566"/>
      <c r="AQ75" s="566"/>
      <c r="AR75" s="566"/>
      <c r="AS75" s="566"/>
      <c r="AT75" s="566"/>
      <c r="AU75" s="566"/>
      <c r="AV75" s="566"/>
      <c r="AW75" s="566"/>
      <c r="AX75" s="566"/>
      <c r="AY75" s="566"/>
      <c r="AZ75" s="566"/>
      <c r="BA75" s="566"/>
      <c r="BB75" s="567"/>
    </row>
    <row r="76" spans="1:54" ht="13.5" customHeight="1">
      <c r="A76" s="7"/>
      <c r="B76" s="562">
        <v>20</v>
      </c>
      <c r="C76" s="564"/>
      <c r="D76" s="675" t="s">
        <v>62</v>
      </c>
      <c r="E76" s="675"/>
      <c r="F76" s="675"/>
      <c r="G76" s="675"/>
      <c r="H76" s="675"/>
      <c r="I76" s="675"/>
      <c r="J76" s="675"/>
      <c r="K76" s="675"/>
      <c r="L76" s="675"/>
      <c r="M76" s="675"/>
      <c r="N76" s="676" t="s">
        <v>132</v>
      </c>
      <c r="O76" s="676"/>
      <c r="P76" s="676"/>
      <c r="Q76" s="676"/>
      <c r="R76" s="676"/>
      <c r="S76" s="676"/>
      <c r="T76" s="676"/>
      <c r="U76" s="676"/>
      <c r="V76" s="676" t="s">
        <v>132</v>
      </c>
      <c r="W76" s="676"/>
      <c r="X76" s="676"/>
      <c r="Y76" s="676"/>
      <c r="Z76" s="676"/>
      <c r="AA76" s="676"/>
      <c r="AB76" s="676"/>
      <c r="AC76" s="676"/>
      <c r="AD76" s="565" t="s">
        <v>336</v>
      </c>
      <c r="AE76" s="566"/>
      <c r="AF76" s="566"/>
      <c r="AG76" s="566"/>
      <c r="AH76" s="566"/>
      <c r="AI76" s="566"/>
      <c r="AJ76" s="566"/>
      <c r="AK76" s="566"/>
      <c r="AL76" s="566"/>
      <c r="AM76" s="566"/>
      <c r="AN76" s="566"/>
      <c r="AO76" s="566"/>
      <c r="AP76" s="566"/>
      <c r="AQ76" s="566"/>
      <c r="AR76" s="566"/>
      <c r="AS76" s="566"/>
      <c r="AT76" s="566"/>
      <c r="AU76" s="566"/>
      <c r="AV76" s="566"/>
      <c r="AW76" s="566"/>
      <c r="AX76" s="566"/>
      <c r="AY76" s="566"/>
      <c r="AZ76" s="566"/>
      <c r="BA76" s="566"/>
      <c r="BB76" s="567"/>
    </row>
    <row r="77" spans="1:54" ht="13.5" customHeight="1">
      <c r="A77" s="7"/>
      <c r="B77" s="569">
        <v>21</v>
      </c>
      <c r="C77" s="569"/>
      <c r="D77" s="675" t="s">
        <v>75</v>
      </c>
      <c r="E77" s="675"/>
      <c r="F77" s="675"/>
      <c r="G77" s="675"/>
      <c r="H77" s="675"/>
      <c r="I77" s="675"/>
      <c r="J77" s="675"/>
      <c r="K77" s="675"/>
      <c r="L77" s="675"/>
      <c r="M77" s="675"/>
      <c r="N77" s="674"/>
      <c r="O77" s="674"/>
      <c r="P77" s="674"/>
      <c r="Q77" s="674"/>
      <c r="R77" s="674"/>
      <c r="S77" s="674"/>
      <c r="T77" s="674"/>
      <c r="U77" s="674"/>
      <c r="V77" s="674" t="s">
        <v>337</v>
      </c>
      <c r="W77" s="674"/>
      <c r="X77" s="674"/>
      <c r="Y77" s="674"/>
      <c r="Z77" s="674"/>
      <c r="AA77" s="674"/>
      <c r="AB77" s="674"/>
      <c r="AC77" s="674"/>
      <c r="AD77" s="565" t="s">
        <v>39</v>
      </c>
      <c r="AE77" s="566"/>
      <c r="AF77" s="566"/>
      <c r="AG77" s="566"/>
      <c r="AH77" s="566"/>
      <c r="AI77" s="566"/>
      <c r="AJ77" s="566"/>
      <c r="AK77" s="566"/>
      <c r="AL77" s="566"/>
      <c r="AM77" s="566"/>
      <c r="AN77" s="566"/>
      <c r="AO77" s="566"/>
      <c r="AP77" s="566"/>
      <c r="AQ77" s="566"/>
      <c r="AR77" s="566"/>
      <c r="AS77" s="566"/>
      <c r="AT77" s="566"/>
      <c r="AU77" s="566"/>
      <c r="AV77" s="566"/>
      <c r="AW77" s="566"/>
      <c r="AX77" s="566"/>
      <c r="AY77" s="566"/>
      <c r="AZ77" s="566"/>
      <c r="BA77" s="566"/>
      <c r="BB77" s="567"/>
    </row>
    <row r="78" spans="1:54" ht="13.5" customHeight="1">
      <c r="A78" s="7"/>
      <c r="B78" s="562">
        <v>22</v>
      </c>
      <c r="C78" s="564"/>
      <c r="D78" s="675" t="s">
        <v>244</v>
      </c>
      <c r="E78" s="675"/>
      <c r="F78" s="675"/>
      <c r="G78" s="675"/>
      <c r="H78" s="675"/>
      <c r="I78" s="675"/>
      <c r="J78" s="675"/>
      <c r="K78" s="675"/>
      <c r="L78" s="675"/>
      <c r="M78" s="675"/>
      <c r="N78" s="674"/>
      <c r="O78" s="674"/>
      <c r="P78" s="674"/>
      <c r="Q78" s="674"/>
      <c r="R78" s="674"/>
      <c r="S78" s="674"/>
      <c r="T78" s="674"/>
      <c r="U78" s="674"/>
      <c r="V78" s="674" t="s">
        <v>338</v>
      </c>
      <c r="W78" s="674"/>
      <c r="X78" s="674"/>
      <c r="Y78" s="674"/>
      <c r="Z78" s="674"/>
      <c r="AA78" s="674"/>
      <c r="AB78" s="674"/>
      <c r="AC78" s="674"/>
      <c r="AD78" s="535"/>
      <c r="AE78" s="536"/>
      <c r="AF78" s="536"/>
      <c r="AG78" s="536"/>
      <c r="AH78" s="536"/>
      <c r="AI78" s="536"/>
      <c r="AJ78" s="536"/>
      <c r="AK78" s="536"/>
      <c r="AL78" s="536"/>
      <c r="AM78" s="536"/>
      <c r="AN78" s="536"/>
      <c r="AO78" s="536"/>
      <c r="AP78" s="536"/>
      <c r="AQ78" s="536"/>
      <c r="AR78" s="536"/>
      <c r="AS78" s="536"/>
      <c r="AT78" s="536"/>
      <c r="AU78" s="536"/>
      <c r="AV78" s="536"/>
      <c r="AW78" s="536"/>
      <c r="AX78" s="536"/>
      <c r="AY78" s="536"/>
      <c r="AZ78" s="536"/>
      <c r="BA78" s="536"/>
      <c r="BB78" s="537"/>
    </row>
    <row r="79" spans="1:54" ht="13.5" customHeight="1">
      <c r="A79" s="7"/>
      <c r="B79" s="688">
        <v>23</v>
      </c>
      <c r="C79" s="688"/>
      <c r="D79" s="689" t="s">
        <v>360</v>
      </c>
      <c r="E79" s="689"/>
      <c r="F79" s="689"/>
      <c r="G79" s="689"/>
      <c r="H79" s="689"/>
      <c r="I79" s="689"/>
      <c r="J79" s="689"/>
      <c r="K79" s="689"/>
      <c r="L79" s="689"/>
      <c r="M79" s="689"/>
      <c r="N79" s="690" t="s">
        <v>379</v>
      </c>
      <c r="O79" s="690"/>
      <c r="P79" s="690"/>
      <c r="Q79" s="690"/>
      <c r="R79" s="690"/>
      <c r="S79" s="690"/>
      <c r="T79" s="690"/>
      <c r="U79" s="690"/>
      <c r="V79" s="690" t="s">
        <v>382</v>
      </c>
      <c r="W79" s="690"/>
      <c r="X79" s="690"/>
      <c r="Y79" s="690"/>
      <c r="Z79" s="690"/>
      <c r="AA79" s="690"/>
      <c r="AB79" s="690"/>
      <c r="AC79" s="690"/>
      <c r="AD79" s="691"/>
      <c r="AE79" s="692"/>
      <c r="AF79" s="692"/>
      <c r="AG79" s="692"/>
      <c r="AH79" s="692"/>
      <c r="AI79" s="692"/>
      <c r="AJ79" s="692"/>
      <c r="AK79" s="692"/>
      <c r="AL79" s="692"/>
      <c r="AM79" s="692"/>
      <c r="AN79" s="692"/>
      <c r="AO79" s="692"/>
      <c r="AP79" s="692"/>
      <c r="AQ79" s="692"/>
      <c r="AR79" s="692"/>
      <c r="AS79" s="692"/>
      <c r="AT79" s="692"/>
      <c r="AU79" s="692"/>
      <c r="AV79" s="692"/>
      <c r="AW79" s="692"/>
      <c r="AX79" s="692"/>
      <c r="AY79" s="692"/>
      <c r="AZ79" s="692"/>
      <c r="BA79" s="692"/>
      <c r="BB79" s="693"/>
    </row>
    <row r="80" spans="1:54" ht="13.5" customHeight="1">
      <c r="A80" s="7"/>
      <c r="B80" s="694">
        <v>24</v>
      </c>
      <c r="C80" s="695"/>
      <c r="D80" s="689" t="s">
        <v>106</v>
      </c>
      <c r="E80" s="689"/>
      <c r="F80" s="689"/>
      <c r="G80" s="689"/>
      <c r="H80" s="689"/>
      <c r="I80" s="689"/>
      <c r="J80" s="689"/>
      <c r="K80" s="689"/>
      <c r="L80" s="689"/>
      <c r="M80" s="689"/>
      <c r="N80" s="690" t="s">
        <v>362</v>
      </c>
      <c r="O80" s="690"/>
      <c r="P80" s="690"/>
      <c r="Q80" s="690"/>
      <c r="R80" s="690"/>
      <c r="S80" s="690"/>
      <c r="T80" s="690"/>
      <c r="U80" s="690"/>
      <c r="V80" s="690" t="s">
        <v>55</v>
      </c>
      <c r="W80" s="690"/>
      <c r="X80" s="690"/>
      <c r="Y80" s="690"/>
      <c r="Z80" s="690"/>
      <c r="AA80" s="690"/>
      <c r="AB80" s="690"/>
      <c r="AC80" s="690"/>
      <c r="AD80" s="696" t="s">
        <v>99</v>
      </c>
      <c r="AE80" s="697"/>
      <c r="AF80" s="697"/>
      <c r="AG80" s="697"/>
      <c r="AH80" s="697"/>
      <c r="AI80" s="697"/>
      <c r="AJ80" s="697"/>
      <c r="AK80" s="697"/>
      <c r="AL80" s="697"/>
      <c r="AM80" s="697"/>
      <c r="AN80" s="697"/>
      <c r="AO80" s="697"/>
      <c r="AP80" s="697"/>
      <c r="AQ80" s="697"/>
      <c r="AR80" s="697"/>
      <c r="AS80" s="697"/>
      <c r="AT80" s="697"/>
      <c r="AU80" s="697"/>
      <c r="AV80" s="697"/>
      <c r="AW80" s="697"/>
      <c r="AX80" s="697"/>
      <c r="AY80" s="697"/>
      <c r="AZ80" s="697"/>
      <c r="BA80" s="697"/>
      <c r="BB80" s="698"/>
    </row>
    <row r="81" spans="1:54" ht="13.5" customHeight="1">
      <c r="A81" s="7"/>
      <c r="B81" s="688">
        <v>25</v>
      </c>
      <c r="C81" s="688"/>
      <c r="D81" s="689" t="s">
        <v>381</v>
      </c>
      <c r="E81" s="689"/>
      <c r="F81" s="689"/>
      <c r="G81" s="689"/>
      <c r="H81" s="689"/>
      <c r="I81" s="689"/>
      <c r="J81" s="689"/>
      <c r="K81" s="689"/>
      <c r="L81" s="689"/>
      <c r="M81" s="689"/>
      <c r="N81" s="690" t="s">
        <v>364</v>
      </c>
      <c r="O81" s="690"/>
      <c r="P81" s="690"/>
      <c r="Q81" s="690"/>
      <c r="R81" s="690"/>
      <c r="S81" s="690"/>
      <c r="T81" s="690"/>
      <c r="U81" s="690"/>
      <c r="V81" s="690" t="s">
        <v>383</v>
      </c>
      <c r="W81" s="690"/>
      <c r="X81" s="690"/>
      <c r="Y81" s="690"/>
      <c r="Z81" s="690"/>
      <c r="AA81" s="690"/>
      <c r="AB81" s="690"/>
      <c r="AC81" s="690"/>
      <c r="AD81" s="696"/>
      <c r="AE81" s="697"/>
      <c r="AF81" s="697"/>
      <c r="AG81" s="697"/>
      <c r="AH81" s="697"/>
      <c r="AI81" s="697"/>
      <c r="AJ81" s="697"/>
      <c r="AK81" s="697"/>
      <c r="AL81" s="697"/>
      <c r="AM81" s="697"/>
      <c r="AN81" s="697"/>
      <c r="AO81" s="697"/>
      <c r="AP81" s="697"/>
      <c r="AQ81" s="697"/>
      <c r="AR81" s="697"/>
      <c r="AS81" s="697"/>
      <c r="AT81" s="697"/>
      <c r="AU81" s="697"/>
      <c r="AV81" s="697"/>
      <c r="AW81" s="697"/>
      <c r="AX81" s="697"/>
      <c r="AY81" s="697"/>
      <c r="AZ81" s="697"/>
      <c r="BA81" s="697"/>
      <c r="BB81" s="698"/>
    </row>
    <row r="82" spans="1:54" ht="13.5" customHeight="1">
      <c r="A82" s="7"/>
      <c r="B82" s="694">
        <v>26</v>
      </c>
      <c r="C82" s="695"/>
      <c r="D82" s="689" t="s">
        <v>366</v>
      </c>
      <c r="E82" s="689"/>
      <c r="F82" s="689"/>
      <c r="G82" s="689"/>
      <c r="H82" s="689"/>
      <c r="I82" s="689"/>
      <c r="J82" s="689"/>
      <c r="K82" s="689"/>
      <c r="L82" s="689"/>
      <c r="M82" s="689"/>
      <c r="N82" s="690" t="s">
        <v>380</v>
      </c>
      <c r="O82" s="690"/>
      <c r="P82" s="690"/>
      <c r="Q82" s="690"/>
      <c r="R82" s="690"/>
      <c r="S82" s="690"/>
      <c r="T82" s="690"/>
      <c r="U82" s="690"/>
      <c r="V82" s="690" t="s">
        <v>367</v>
      </c>
      <c r="W82" s="690"/>
      <c r="X82" s="690"/>
      <c r="Y82" s="690"/>
      <c r="Z82" s="690"/>
      <c r="AA82" s="690"/>
      <c r="AB82" s="690"/>
      <c r="AC82" s="690"/>
      <c r="AD82" s="696" t="s">
        <v>384</v>
      </c>
      <c r="AE82" s="697"/>
      <c r="AF82" s="697"/>
      <c r="AG82" s="697"/>
      <c r="AH82" s="697"/>
      <c r="AI82" s="697"/>
      <c r="AJ82" s="697"/>
      <c r="AK82" s="697"/>
      <c r="AL82" s="697"/>
      <c r="AM82" s="697"/>
      <c r="AN82" s="697"/>
      <c r="AO82" s="697"/>
      <c r="AP82" s="697"/>
      <c r="AQ82" s="697"/>
      <c r="AR82" s="697"/>
      <c r="AS82" s="697"/>
      <c r="AT82" s="697"/>
      <c r="AU82" s="697"/>
      <c r="AV82" s="697"/>
      <c r="AW82" s="697"/>
      <c r="AX82" s="697"/>
      <c r="AY82" s="697"/>
      <c r="AZ82" s="697"/>
      <c r="BA82" s="697"/>
      <c r="BB82" s="698"/>
    </row>
    <row r="83" spans="1:54" ht="13.5" customHeight="1">
      <c r="A83" s="7"/>
      <c r="B83" s="569">
        <v>27</v>
      </c>
      <c r="C83" s="569"/>
      <c r="D83" s="675" t="s">
        <v>152</v>
      </c>
      <c r="E83" s="675"/>
      <c r="F83" s="675"/>
      <c r="G83" s="675"/>
      <c r="H83" s="675"/>
      <c r="I83" s="675"/>
      <c r="J83" s="675"/>
      <c r="K83" s="675"/>
      <c r="L83" s="675"/>
      <c r="M83" s="675"/>
      <c r="N83" s="674" t="s">
        <v>103</v>
      </c>
      <c r="O83" s="674"/>
      <c r="P83" s="674"/>
      <c r="Q83" s="674"/>
      <c r="R83" s="674"/>
      <c r="S83" s="674"/>
      <c r="T83" s="674"/>
      <c r="U83" s="674"/>
      <c r="V83" s="674" t="s">
        <v>339</v>
      </c>
      <c r="W83" s="674"/>
      <c r="X83" s="674"/>
      <c r="Y83" s="674"/>
      <c r="Z83" s="674"/>
      <c r="AA83" s="674"/>
      <c r="AB83" s="674"/>
      <c r="AC83" s="674"/>
      <c r="AD83" s="565" t="s">
        <v>327</v>
      </c>
      <c r="AE83" s="566"/>
      <c r="AF83" s="566"/>
      <c r="AG83" s="566"/>
      <c r="AH83" s="566"/>
      <c r="AI83" s="566"/>
      <c r="AJ83" s="566"/>
      <c r="AK83" s="566"/>
      <c r="AL83" s="566"/>
      <c r="AM83" s="566"/>
      <c r="AN83" s="566"/>
      <c r="AO83" s="566"/>
      <c r="AP83" s="566"/>
      <c r="AQ83" s="566"/>
      <c r="AR83" s="566"/>
      <c r="AS83" s="566"/>
      <c r="AT83" s="566"/>
      <c r="AU83" s="566"/>
      <c r="AV83" s="566"/>
      <c r="AW83" s="566"/>
      <c r="AX83" s="566"/>
      <c r="AY83" s="566"/>
      <c r="AZ83" s="566"/>
      <c r="BA83" s="566"/>
      <c r="BB83" s="567"/>
    </row>
    <row r="84" spans="1:54" ht="13.5" customHeight="1">
      <c r="A84" s="7"/>
      <c r="B84" s="562">
        <v>28</v>
      </c>
      <c r="C84" s="564"/>
      <c r="D84" s="675" t="s">
        <v>109</v>
      </c>
      <c r="E84" s="675"/>
      <c r="F84" s="675"/>
      <c r="G84" s="675"/>
      <c r="H84" s="675"/>
      <c r="I84" s="675"/>
      <c r="J84" s="675"/>
      <c r="K84" s="675"/>
      <c r="L84" s="675"/>
      <c r="M84" s="675"/>
      <c r="N84" s="674"/>
      <c r="O84" s="674"/>
      <c r="P84" s="674"/>
      <c r="Q84" s="674"/>
      <c r="R84" s="674"/>
      <c r="S84" s="674"/>
      <c r="T84" s="674"/>
      <c r="U84" s="674"/>
      <c r="V84" s="674" t="s">
        <v>340</v>
      </c>
      <c r="W84" s="674"/>
      <c r="X84" s="674"/>
      <c r="Y84" s="674"/>
      <c r="Z84" s="674"/>
      <c r="AA84" s="674"/>
      <c r="AB84" s="674"/>
      <c r="AC84" s="674"/>
      <c r="AD84" s="535"/>
      <c r="AE84" s="536"/>
      <c r="AF84" s="536"/>
      <c r="AG84" s="536"/>
      <c r="AH84" s="536"/>
      <c r="AI84" s="536"/>
      <c r="AJ84" s="536"/>
      <c r="AK84" s="536"/>
      <c r="AL84" s="536"/>
      <c r="AM84" s="536"/>
      <c r="AN84" s="536"/>
      <c r="AO84" s="536"/>
      <c r="AP84" s="536"/>
      <c r="AQ84" s="536"/>
      <c r="AR84" s="536"/>
      <c r="AS84" s="536"/>
      <c r="AT84" s="536"/>
      <c r="AU84" s="536"/>
      <c r="AV84" s="536"/>
      <c r="AW84" s="536"/>
      <c r="AX84" s="536"/>
      <c r="AY84" s="536"/>
      <c r="AZ84" s="536"/>
      <c r="BA84" s="536"/>
      <c r="BB84" s="537"/>
    </row>
    <row r="85" spans="1:54" ht="13.5" customHeight="1">
      <c r="A85" s="7"/>
      <c r="B85" s="569">
        <v>29</v>
      </c>
      <c r="C85" s="569"/>
      <c r="D85" s="675" t="s">
        <v>151</v>
      </c>
      <c r="E85" s="675"/>
      <c r="F85" s="675"/>
      <c r="G85" s="675"/>
      <c r="H85" s="675"/>
      <c r="I85" s="675"/>
      <c r="J85" s="675"/>
      <c r="K85" s="675"/>
      <c r="L85" s="675"/>
      <c r="M85" s="675"/>
      <c r="N85" s="640" t="s">
        <v>132</v>
      </c>
      <c r="O85" s="641"/>
      <c r="P85" s="641"/>
      <c r="Q85" s="641"/>
      <c r="R85" s="641"/>
      <c r="S85" s="641"/>
      <c r="T85" s="641"/>
      <c r="U85" s="642"/>
      <c r="V85" s="674" t="s">
        <v>341</v>
      </c>
      <c r="W85" s="674"/>
      <c r="X85" s="674"/>
      <c r="Y85" s="674"/>
      <c r="Z85" s="674"/>
      <c r="AA85" s="674"/>
      <c r="AB85" s="674"/>
      <c r="AC85" s="674"/>
      <c r="AD85" s="565" t="s">
        <v>342</v>
      </c>
      <c r="AE85" s="566"/>
      <c r="AF85" s="566"/>
      <c r="AG85" s="566"/>
      <c r="AH85" s="566"/>
      <c r="AI85" s="566"/>
      <c r="AJ85" s="566"/>
      <c r="AK85" s="566"/>
      <c r="AL85" s="566"/>
      <c r="AM85" s="566"/>
      <c r="AN85" s="566"/>
      <c r="AO85" s="566"/>
      <c r="AP85" s="566"/>
      <c r="AQ85" s="566"/>
      <c r="AR85" s="566"/>
      <c r="AS85" s="566"/>
      <c r="AT85" s="566"/>
      <c r="AU85" s="566"/>
      <c r="AV85" s="566"/>
      <c r="AW85" s="566"/>
      <c r="AX85" s="566"/>
      <c r="AY85" s="566"/>
      <c r="AZ85" s="566"/>
      <c r="BA85" s="566"/>
      <c r="BB85" s="567"/>
    </row>
    <row r="86" spans="1:54" ht="13.5" customHeight="1">
      <c r="A86" s="7"/>
      <c r="B86" s="562">
        <v>30</v>
      </c>
      <c r="C86" s="564"/>
      <c r="D86" s="675" t="s">
        <v>252</v>
      </c>
      <c r="E86" s="675"/>
      <c r="F86" s="675"/>
      <c r="G86" s="675"/>
      <c r="H86" s="675"/>
      <c r="I86" s="675"/>
      <c r="J86" s="675"/>
      <c r="K86" s="675"/>
      <c r="L86" s="675"/>
      <c r="M86" s="675"/>
      <c r="N86" s="674"/>
      <c r="O86" s="674"/>
      <c r="P86" s="674"/>
      <c r="Q86" s="674"/>
      <c r="R86" s="674"/>
      <c r="S86" s="674"/>
      <c r="T86" s="674"/>
      <c r="U86" s="674"/>
      <c r="V86" s="674" t="s">
        <v>343</v>
      </c>
      <c r="W86" s="674"/>
      <c r="X86" s="674"/>
      <c r="Y86" s="674"/>
      <c r="Z86" s="674"/>
      <c r="AA86" s="674"/>
      <c r="AB86" s="674"/>
      <c r="AC86" s="674"/>
      <c r="AD86" s="565" t="s">
        <v>39</v>
      </c>
      <c r="AE86" s="566"/>
      <c r="AF86" s="566"/>
      <c r="AG86" s="566"/>
      <c r="AH86" s="566"/>
      <c r="AI86" s="566"/>
      <c r="AJ86" s="566"/>
      <c r="AK86" s="566"/>
      <c r="AL86" s="566"/>
      <c r="AM86" s="566"/>
      <c r="AN86" s="566"/>
      <c r="AO86" s="566"/>
      <c r="AP86" s="566"/>
      <c r="AQ86" s="566"/>
      <c r="AR86" s="566"/>
      <c r="AS86" s="566"/>
      <c r="AT86" s="566"/>
      <c r="AU86" s="566"/>
      <c r="AV86" s="566"/>
      <c r="AW86" s="566"/>
      <c r="AX86" s="566"/>
      <c r="AY86" s="566"/>
      <c r="AZ86" s="566"/>
      <c r="BA86" s="566"/>
      <c r="BB86" s="567"/>
    </row>
    <row r="87" spans="1:54" ht="13.5" customHeight="1">
      <c r="A87" s="7"/>
      <c r="B87" s="569">
        <v>31</v>
      </c>
      <c r="C87" s="569"/>
      <c r="D87" s="675" t="s">
        <v>344</v>
      </c>
      <c r="E87" s="675"/>
      <c r="F87" s="675"/>
      <c r="G87" s="675"/>
      <c r="H87" s="675"/>
      <c r="I87" s="675"/>
      <c r="J87" s="675"/>
      <c r="K87" s="675"/>
      <c r="L87" s="675"/>
      <c r="M87" s="675"/>
      <c r="N87" s="674"/>
      <c r="O87" s="674"/>
      <c r="P87" s="674"/>
      <c r="Q87" s="674"/>
      <c r="R87" s="674"/>
      <c r="S87" s="674"/>
      <c r="T87" s="674"/>
      <c r="U87" s="674"/>
      <c r="V87" s="674" t="s">
        <v>345</v>
      </c>
      <c r="W87" s="674"/>
      <c r="X87" s="674"/>
      <c r="Y87" s="674"/>
      <c r="Z87" s="674"/>
      <c r="AA87" s="674"/>
      <c r="AB87" s="674"/>
      <c r="AC87" s="674"/>
      <c r="AD87" s="565" t="s">
        <v>39</v>
      </c>
      <c r="AE87" s="566"/>
      <c r="AF87" s="566"/>
      <c r="AG87" s="566"/>
      <c r="AH87" s="566"/>
      <c r="AI87" s="566"/>
      <c r="AJ87" s="566"/>
      <c r="AK87" s="566"/>
      <c r="AL87" s="566"/>
      <c r="AM87" s="566"/>
      <c r="AN87" s="566"/>
      <c r="AO87" s="566"/>
      <c r="AP87" s="566"/>
      <c r="AQ87" s="566"/>
      <c r="AR87" s="566"/>
      <c r="AS87" s="566"/>
      <c r="AT87" s="566"/>
      <c r="AU87" s="566"/>
      <c r="AV87" s="566"/>
      <c r="AW87" s="566"/>
      <c r="AX87" s="566"/>
      <c r="AY87" s="566"/>
      <c r="AZ87" s="566"/>
      <c r="BA87" s="566"/>
      <c r="BB87" s="567"/>
    </row>
    <row r="88" spans="1:54" ht="13.5" customHeight="1">
      <c r="A88" s="7"/>
      <c r="B88" s="104"/>
      <c r="C88" s="104"/>
      <c r="D88" s="97"/>
      <c r="E88" s="97"/>
      <c r="F88" s="97"/>
      <c r="G88" s="97"/>
      <c r="H88" s="97"/>
      <c r="I88" s="97"/>
      <c r="J88" s="97"/>
      <c r="K88" s="97"/>
      <c r="L88" s="97"/>
      <c r="M88" s="98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2"/>
      <c r="AE88" s="102"/>
      <c r="AF88" s="102"/>
      <c r="AG88" s="98"/>
      <c r="AH88" s="98"/>
      <c r="AI88" s="98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97"/>
      <c r="AW88" s="97"/>
      <c r="AX88" s="100"/>
      <c r="AY88" s="103"/>
      <c r="AZ88" s="103"/>
      <c r="BA88" s="103"/>
      <c r="BB88" s="103"/>
    </row>
    <row r="89" spans="1:54" ht="16.5">
      <c r="A89" s="7"/>
      <c r="B89" s="94" t="s">
        <v>123</v>
      </c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3"/>
      <c r="AZ89" s="103"/>
      <c r="BA89" s="103"/>
      <c r="BB89" s="103"/>
    </row>
    <row r="90" spans="1:54" ht="16.5">
      <c r="A90" s="7"/>
      <c r="B90" s="92" t="s">
        <v>15</v>
      </c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3"/>
      <c r="AZ90" s="103"/>
      <c r="BA90" s="103"/>
      <c r="BB90" s="103"/>
    </row>
    <row r="91" spans="1:54" ht="13.5" customHeight="1">
      <c r="A91" s="7"/>
      <c r="B91" s="493" t="s">
        <v>201</v>
      </c>
      <c r="C91" s="494"/>
      <c r="D91" s="493" t="s">
        <v>9</v>
      </c>
      <c r="E91" s="495"/>
      <c r="F91" s="495"/>
      <c r="G91" s="495"/>
      <c r="H91" s="495"/>
      <c r="I91" s="494"/>
      <c r="J91" s="493" t="s">
        <v>16</v>
      </c>
      <c r="K91" s="495"/>
      <c r="L91" s="495"/>
      <c r="M91" s="495"/>
      <c r="N91" s="495"/>
      <c r="O91" s="494"/>
      <c r="P91" s="493" t="s">
        <v>216</v>
      </c>
      <c r="Q91" s="495"/>
      <c r="R91" s="495"/>
      <c r="S91" s="495"/>
      <c r="T91" s="495"/>
      <c r="U91" s="494"/>
      <c r="V91" s="493" t="s">
        <v>18</v>
      </c>
      <c r="W91" s="494"/>
      <c r="X91" s="493" t="s">
        <v>19</v>
      </c>
      <c r="Y91" s="495"/>
      <c r="Z91" s="494"/>
      <c r="AA91" s="493" t="s">
        <v>21</v>
      </c>
      <c r="AB91" s="495"/>
      <c r="AC91" s="494"/>
      <c r="AD91" s="493" t="s">
        <v>283</v>
      </c>
      <c r="AE91" s="495"/>
      <c r="AF91" s="494"/>
      <c r="AG91" s="550" t="s">
        <v>22</v>
      </c>
      <c r="AH91" s="551"/>
      <c r="AI91" s="551"/>
      <c r="AJ91" s="551"/>
      <c r="AK91" s="551"/>
      <c r="AL91" s="551"/>
      <c r="AM91" s="551"/>
      <c r="AN91" s="551"/>
      <c r="AO91" s="551"/>
      <c r="AP91" s="552"/>
      <c r="AQ91" s="493" t="s">
        <v>12</v>
      </c>
      <c r="AR91" s="495"/>
      <c r="AS91" s="495"/>
      <c r="AT91" s="495"/>
      <c r="AU91" s="495"/>
      <c r="AV91" s="495"/>
      <c r="AW91" s="495"/>
      <c r="AX91" s="495"/>
      <c r="AY91" s="495"/>
      <c r="AZ91" s="495"/>
      <c r="BA91" s="495"/>
      <c r="BB91" s="494"/>
    </row>
    <row r="92" spans="1:54" ht="13.5" customHeight="1">
      <c r="A92" s="7"/>
      <c r="B92" s="569">
        <v>1</v>
      </c>
      <c r="C92" s="569"/>
      <c r="D92" s="565" t="s">
        <v>136</v>
      </c>
      <c r="E92" s="566"/>
      <c r="F92" s="566"/>
      <c r="G92" s="566"/>
      <c r="H92" s="566"/>
      <c r="I92" s="567"/>
      <c r="J92" s="562" t="s">
        <v>132</v>
      </c>
      <c r="K92" s="563"/>
      <c r="L92" s="563"/>
      <c r="M92" s="563"/>
      <c r="N92" s="563"/>
      <c r="O92" s="564"/>
      <c r="P92" s="566" t="s">
        <v>185</v>
      </c>
      <c r="Q92" s="566"/>
      <c r="R92" s="566"/>
      <c r="S92" s="566"/>
      <c r="T92" s="566"/>
      <c r="U92" s="567"/>
      <c r="V92" s="562" t="s">
        <v>302</v>
      </c>
      <c r="W92" s="564"/>
      <c r="X92" s="562"/>
      <c r="Y92" s="563"/>
      <c r="Z92" s="564"/>
      <c r="AA92" s="535" t="s">
        <v>132</v>
      </c>
      <c r="AB92" s="536"/>
      <c r="AC92" s="537"/>
      <c r="AD92" s="535" t="s">
        <v>132</v>
      </c>
      <c r="AE92" s="536"/>
      <c r="AF92" s="537"/>
      <c r="AG92" s="535" t="s">
        <v>304</v>
      </c>
      <c r="AH92" s="536"/>
      <c r="AI92" s="536"/>
      <c r="AJ92" s="536"/>
      <c r="AK92" s="536"/>
      <c r="AL92" s="536"/>
      <c r="AM92" s="536"/>
      <c r="AN92" s="536"/>
      <c r="AO92" s="536"/>
      <c r="AP92" s="537"/>
      <c r="AQ92" s="532"/>
      <c r="AR92" s="533"/>
      <c r="AS92" s="533"/>
      <c r="AT92" s="533"/>
      <c r="AU92" s="533"/>
      <c r="AV92" s="533"/>
      <c r="AW92" s="533"/>
      <c r="AX92" s="533"/>
      <c r="AY92" s="533"/>
      <c r="AZ92" s="533"/>
      <c r="BA92" s="533"/>
      <c r="BB92" s="534"/>
    </row>
    <row r="93" spans="1:54" ht="13.5" customHeight="1">
      <c r="A93" s="7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3"/>
      <c r="AQ93" s="103"/>
      <c r="AR93" s="103"/>
      <c r="AS93" s="103"/>
      <c r="AT93" s="103"/>
      <c r="AU93" s="103"/>
      <c r="AV93" s="103"/>
      <c r="AW93" s="103"/>
      <c r="AX93" s="100"/>
      <c r="AY93" s="103"/>
      <c r="AZ93" s="103"/>
      <c r="BA93" s="103"/>
      <c r="BB93" s="103"/>
    </row>
    <row r="94" spans="1:54" ht="16.5">
      <c r="A94" s="7"/>
      <c r="B94" s="93" t="s">
        <v>64</v>
      </c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3"/>
      <c r="AZ94" s="103"/>
      <c r="BA94" s="103"/>
      <c r="BB94" s="103"/>
    </row>
    <row r="95" spans="1:54" ht="13.5" customHeight="1">
      <c r="A95" s="7"/>
      <c r="B95" s="480" t="s">
        <v>65</v>
      </c>
      <c r="C95" s="481"/>
      <c r="D95" s="496" t="s">
        <v>66</v>
      </c>
      <c r="E95" s="497"/>
      <c r="F95" s="497"/>
      <c r="G95" s="497"/>
      <c r="H95" s="497"/>
      <c r="I95" s="498"/>
      <c r="J95" s="529" t="s">
        <v>67</v>
      </c>
      <c r="K95" s="530"/>
      <c r="L95" s="530"/>
      <c r="M95" s="530"/>
      <c r="N95" s="530"/>
      <c r="O95" s="530"/>
      <c r="P95" s="530"/>
      <c r="Q95" s="530"/>
      <c r="R95" s="530"/>
      <c r="S95" s="530"/>
      <c r="T95" s="530"/>
      <c r="U95" s="530"/>
      <c r="V95" s="531"/>
      <c r="W95" s="529" t="s">
        <v>68</v>
      </c>
      <c r="X95" s="530"/>
      <c r="Y95" s="530"/>
      <c r="Z95" s="530"/>
      <c r="AA95" s="530"/>
      <c r="AB95" s="530"/>
      <c r="AC95" s="530"/>
      <c r="AD95" s="530"/>
      <c r="AE95" s="530"/>
      <c r="AF95" s="530"/>
      <c r="AG95" s="530"/>
      <c r="AH95" s="530"/>
      <c r="AI95" s="531"/>
      <c r="AJ95" s="529" t="s">
        <v>69</v>
      </c>
      <c r="AK95" s="530"/>
      <c r="AL95" s="530"/>
      <c r="AM95" s="530"/>
      <c r="AN95" s="530"/>
      <c r="AO95" s="530"/>
      <c r="AP95" s="530"/>
      <c r="AQ95" s="530"/>
      <c r="AR95" s="530"/>
      <c r="AS95" s="530"/>
      <c r="AT95" s="530"/>
      <c r="AU95" s="530"/>
      <c r="AV95" s="530"/>
      <c r="AW95" s="530"/>
      <c r="AX95" s="530"/>
      <c r="AY95" s="530"/>
      <c r="AZ95" s="530"/>
      <c r="BA95" s="530"/>
      <c r="BB95" s="531"/>
    </row>
    <row r="96" spans="1:54" ht="13.5" customHeight="1">
      <c r="A96" s="7"/>
      <c r="B96" s="561">
        <v>1</v>
      </c>
      <c r="C96" s="561"/>
      <c r="D96" s="611" t="s">
        <v>303</v>
      </c>
      <c r="E96" s="612"/>
      <c r="F96" s="612"/>
      <c r="G96" s="612"/>
      <c r="H96" s="612"/>
      <c r="I96" s="613"/>
      <c r="J96" s="553" t="s">
        <v>157</v>
      </c>
      <c r="K96" s="553"/>
      <c r="L96" s="553"/>
      <c r="M96" s="553"/>
      <c r="N96" s="553"/>
      <c r="O96" s="553"/>
      <c r="P96" s="553"/>
      <c r="Q96" s="553"/>
      <c r="R96" s="553"/>
      <c r="S96" s="553"/>
      <c r="T96" s="553"/>
      <c r="U96" s="553"/>
      <c r="V96" s="553"/>
      <c r="W96" s="538" t="s">
        <v>72</v>
      </c>
      <c r="X96" s="539"/>
      <c r="Y96" s="539"/>
      <c r="Z96" s="539"/>
      <c r="AA96" s="539"/>
      <c r="AB96" s="539"/>
      <c r="AC96" s="539"/>
      <c r="AD96" s="539"/>
      <c r="AE96" s="539"/>
      <c r="AF96" s="539"/>
      <c r="AG96" s="539"/>
      <c r="AH96" s="539"/>
      <c r="AI96" s="540"/>
      <c r="AJ96" s="541" t="s">
        <v>132</v>
      </c>
      <c r="AK96" s="542"/>
      <c r="AL96" s="542"/>
      <c r="AM96" s="542"/>
      <c r="AN96" s="542"/>
      <c r="AO96" s="542"/>
      <c r="AP96" s="542"/>
      <c r="AQ96" s="542"/>
      <c r="AR96" s="542"/>
      <c r="AS96" s="542"/>
      <c r="AT96" s="542"/>
      <c r="AU96" s="542"/>
      <c r="AV96" s="542"/>
      <c r="AW96" s="542"/>
      <c r="AX96" s="542"/>
      <c r="AY96" s="542"/>
      <c r="AZ96" s="542"/>
      <c r="BA96" s="542"/>
      <c r="BB96" s="543"/>
    </row>
    <row r="97" spans="1:54" ht="13.5" customHeight="1">
      <c r="A97" s="7"/>
      <c r="B97" s="561">
        <v>2</v>
      </c>
      <c r="C97" s="561"/>
      <c r="D97" s="538" t="s">
        <v>226</v>
      </c>
      <c r="E97" s="539"/>
      <c r="F97" s="539"/>
      <c r="G97" s="539"/>
      <c r="H97" s="539"/>
      <c r="I97" s="540"/>
      <c r="J97" s="553" t="s">
        <v>166</v>
      </c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05"/>
      <c r="X97" s="506"/>
      <c r="Y97" s="506"/>
      <c r="Z97" s="506"/>
      <c r="AA97" s="506"/>
      <c r="AB97" s="506"/>
      <c r="AC97" s="506"/>
      <c r="AD97" s="506"/>
      <c r="AE97" s="506"/>
      <c r="AF97" s="506"/>
      <c r="AG97" s="506"/>
      <c r="AH97" s="506"/>
      <c r="AI97" s="507"/>
      <c r="AJ97" s="514"/>
      <c r="AK97" s="515"/>
      <c r="AL97" s="515"/>
      <c r="AM97" s="515"/>
      <c r="AN97" s="515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6"/>
    </row>
    <row r="98" spans="1:54" ht="13.5" customHeight="1">
      <c r="A98" s="7"/>
      <c r="B98" s="561">
        <v>3</v>
      </c>
      <c r="C98" s="561"/>
      <c r="D98" s="505"/>
      <c r="E98" s="506"/>
      <c r="F98" s="506"/>
      <c r="G98" s="506"/>
      <c r="H98" s="506"/>
      <c r="I98" s="507"/>
      <c r="J98" s="553" t="s">
        <v>158</v>
      </c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05"/>
      <c r="X98" s="506"/>
      <c r="Y98" s="506"/>
      <c r="Z98" s="506"/>
      <c r="AA98" s="506"/>
      <c r="AB98" s="506"/>
      <c r="AC98" s="506"/>
      <c r="AD98" s="506"/>
      <c r="AE98" s="506"/>
      <c r="AF98" s="506"/>
      <c r="AG98" s="506"/>
      <c r="AH98" s="506"/>
      <c r="AI98" s="507"/>
      <c r="AJ98" s="514"/>
      <c r="AK98" s="515"/>
      <c r="AL98" s="515"/>
      <c r="AM98" s="515"/>
      <c r="AN98" s="515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6"/>
    </row>
    <row r="99" spans="1:54" ht="13.5" customHeight="1">
      <c r="A99" s="7"/>
      <c r="B99" s="561"/>
      <c r="C99" s="561"/>
      <c r="D99" s="505"/>
      <c r="E99" s="506"/>
      <c r="F99" s="506"/>
      <c r="G99" s="506"/>
      <c r="H99" s="506"/>
      <c r="I99" s="507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05"/>
      <c r="X99" s="506"/>
      <c r="Y99" s="506"/>
      <c r="Z99" s="506"/>
      <c r="AA99" s="506"/>
      <c r="AB99" s="506"/>
      <c r="AC99" s="506"/>
      <c r="AD99" s="506"/>
      <c r="AE99" s="506"/>
      <c r="AF99" s="506"/>
      <c r="AG99" s="506"/>
      <c r="AH99" s="506"/>
      <c r="AI99" s="507"/>
      <c r="AJ99" s="514"/>
      <c r="AK99" s="515"/>
      <c r="AL99" s="515"/>
      <c r="AM99" s="515"/>
      <c r="AN99" s="515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6"/>
    </row>
    <row r="100" spans="1:54" ht="13.5" customHeight="1">
      <c r="A100" s="7"/>
      <c r="B100" s="561"/>
      <c r="C100" s="561"/>
      <c r="D100" s="505"/>
      <c r="E100" s="506"/>
      <c r="F100" s="506"/>
      <c r="G100" s="506"/>
      <c r="H100" s="506"/>
      <c r="I100" s="507"/>
      <c r="J100" s="553"/>
      <c r="K100" s="553"/>
      <c r="L100" s="553"/>
      <c r="M100" s="553"/>
      <c r="N100" s="553"/>
      <c r="O100" s="553"/>
      <c r="P100" s="553"/>
      <c r="Q100" s="553"/>
      <c r="R100" s="553"/>
      <c r="S100" s="553"/>
      <c r="T100" s="553"/>
      <c r="U100" s="553"/>
      <c r="V100" s="553"/>
      <c r="W100" s="505"/>
      <c r="X100" s="506"/>
      <c r="Y100" s="506"/>
      <c r="Z100" s="506"/>
      <c r="AA100" s="506"/>
      <c r="AB100" s="506"/>
      <c r="AC100" s="506"/>
      <c r="AD100" s="506"/>
      <c r="AE100" s="506"/>
      <c r="AF100" s="506"/>
      <c r="AG100" s="506"/>
      <c r="AH100" s="506"/>
      <c r="AI100" s="507"/>
      <c r="AJ100" s="514"/>
      <c r="AK100" s="515"/>
      <c r="AL100" s="515"/>
      <c r="AM100" s="515"/>
      <c r="AN100" s="515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6"/>
    </row>
    <row r="101" spans="1:54" ht="13.5" customHeight="1">
      <c r="A101" s="7"/>
      <c r="B101" s="561"/>
      <c r="C101" s="561"/>
      <c r="D101" s="508"/>
      <c r="E101" s="509"/>
      <c r="F101" s="509"/>
      <c r="G101" s="509"/>
      <c r="H101" s="509"/>
      <c r="I101" s="510"/>
      <c r="J101" s="553"/>
      <c r="K101" s="553"/>
      <c r="L101" s="553"/>
      <c r="M101" s="553"/>
      <c r="N101" s="553"/>
      <c r="O101" s="553"/>
      <c r="P101" s="553"/>
      <c r="Q101" s="553"/>
      <c r="R101" s="553"/>
      <c r="S101" s="553"/>
      <c r="T101" s="553"/>
      <c r="U101" s="553"/>
      <c r="V101" s="553"/>
      <c r="W101" s="508"/>
      <c r="X101" s="509"/>
      <c r="Y101" s="509"/>
      <c r="Z101" s="509"/>
      <c r="AA101" s="509"/>
      <c r="AB101" s="509"/>
      <c r="AC101" s="509"/>
      <c r="AD101" s="509"/>
      <c r="AE101" s="509"/>
      <c r="AF101" s="509"/>
      <c r="AG101" s="509"/>
      <c r="AH101" s="509"/>
      <c r="AI101" s="510"/>
      <c r="AJ101" s="517"/>
      <c r="AK101" s="518"/>
      <c r="AL101" s="518"/>
      <c r="AM101" s="518"/>
      <c r="AN101" s="518"/>
      <c r="AO101" s="518"/>
      <c r="AP101" s="518"/>
      <c r="AQ101" s="518"/>
      <c r="AR101" s="518"/>
      <c r="AS101" s="518"/>
      <c r="AT101" s="518"/>
      <c r="AU101" s="518"/>
      <c r="AV101" s="518"/>
      <c r="AW101" s="518"/>
      <c r="AX101" s="518"/>
      <c r="AY101" s="518"/>
      <c r="AZ101" s="518"/>
      <c r="BA101" s="518"/>
      <c r="BB101" s="519"/>
    </row>
    <row r="102" spans="1:54" ht="13.5" customHeight="1">
      <c r="A102" s="7"/>
      <c r="B102" s="106"/>
      <c r="C102" s="106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100"/>
      <c r="AY102" s="103"/>
      <c r="AZ102" s="103"/>
      <c r="BA102" s="103"/>
      <c r="BB102" s="103"/>
    </row>
    <row r="103" spans="1:54" ht="16.5">
      <c r="A103" s="7"/>
      <c r="B103" s="94" t="s">
        <v>134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3"/>
      <c r="AZ103" s="103"/>
      <c r="BA103" s="103"/>
      <c r="BB103" s="103"/>
    </row>
    <row r="104" spans="1:54" ht="16.5">
      <c r="A104" s="7"/>
      <c r="B104" s="92" t="s">
        <v>15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3"/>
      <c r="AZ104" s="103"/>
      <c r="BA104" s="103"/>
      <c r="BB104" s="103"/>
    </row>
    <row r="105" spans="1:54" ht="13.5" customHeight="1">
      <c r="A105" s="7"/>
      <c r="B105" s="493" t="s">
        <v>201</v>
      </c>
      <c r="C105" s="494"/>
      <c r="D105" s="493" t="s">
        <v>9</v>
      </c>
      <c r="E105" s="495"/>
      <c r="F105" s="495"/>
      <c r="G105" s="495"/>
      <c r="H105" s="495"/>
      <c r="I105" s="494"/>
      <c r="J105" s="493" t="s">
        <v>16</v>
      </c>
      <c r="K105" s="495"/>
      <c r="L105" s="495"/>
      <c r="M105" s="495"/>
      <c r="N105" s="495"/>
      <c r="O105" s="494"/>
      <c r="P105" s="493" t="s">
        <v>216</v>
      </c>
      <c r="Q105" s="495"/>
      <c r="R105" s="495"/>
      <c r="S105" s="495"/>
      <c r="T105" s="495"/>
      <c r="U105" s="494"/>
      <c r="V105" s="550" t="s">
        <v>18</v>
      </c>
      <c r="W105" s="552"/>
      <c r="X105" s="493" t="s">
        <v>19</v>
      </c>
      <c r="Y105" s="495"/>
      <c r="Z105" s="494"/>
      <c r="AA105" s="493" t="s">
        <v>21</v>
      </c>
      <c r="AB105" s="495"/>
      <c r="AC105" s="494"/>
      <c r="AD105" s="493" t="s">
        <v>283</v>
      </c>
      <c r="AE105" s="495"/>
      <c r="AF105" s="494"/>
      <c r="AG105" s="550" t="s">
        <v>22</v>
      </c>
      <c r="AH105" s="551"/>
      <c r="AI105" s="551"/>
      <c r="AJ105" s="551"/>
      <c r="AK105" s="551"/>
      <c r="AL105" s="551"/>
      <c r="AM105" s="551"/>
      <c r="AN105" s="551"/>
      <c r="AO105" s="551"/>
      <c r="AP105" s="552"/>
      <c r="AQ105" s="493" t="s">
        <v>12</v>
      </c>
      <c r="AR105" s="495"/>
      <c r="AS105" s="495"/>
      <c r="AT105" s="495"/>
      <c r="AU105" s="495"/>
      <c r="AV105" s="495"/>
      <c r="AW105" s="495"/>
      <c r="AX105" s="495"/>
      <c r="AY105" s="495"/>
      <c r="AZ105" s="495"/>
      <c r="BA105" s="495"/>
      <c r="BB105" s="494"/>
    </row>
    <row r="106" spans="1:54" ht="13.5" customHeight="1">
      <c r="A106" s="7"/>
      <c r="B106" s="569">
        <v>1</v>
      </c>
      <c r="C106" s="569"/>
      <c r="D106" s="565" t="s">
        <v>138</v>
      </c>
      <c r="E106" s="566"/>
      <c r="F106" s="566"/>
      <c r="G106" s="566"/>
      <c r="H106" s="566"/>
      <c r="I106" s="567"/>
      <c r="J106" s="562" t="s">
        <v>132</v>
      </c>
      <c r="K106" s="563"/>
      <c r="L106" s="563"/>
      <c r="M106" s="563"/>
      <c r="N106" s="563"/>
      <c r="O106" s="563"/>
      <c r="P106" s="565" t="s">
        <v>185</v>
      </c>
      <c r="Q106" s="566"/>
      <c r="R106" s="566"/>
      <c r="S106" s="566"/>
      <c r="T106" s="566"/>
      <c r="U106" s="567"/>
      <c r="V106" s="562" t="s">
        <v>302</v>
      </c>
      <c r="W106" s="564"/>
      <c r="X106" s="562" t="s">
        <v>296</v>
      </c>
      <c r="Y106" s="563"/>
      <c r="Z106" s="564"/>
      <c r="AA106" s="535" t="s">
        <v>132</v>
      </c>
      <c r="AB106" s="536"/>
      <c r="AC106" s="537"/>
      <c r="AD106" s="535" t="s">
        <v>132</v>
      </c>
      <c r="AE106" s="536"/>
      <c r="AF106" s="537"/>
      <c r="AG106" s="535" t="s">
        <v>221</v>
      </c>
      <c r="AH106" s="536"/>
      <c r="AI106" s="536"/>
      <c r="AJ106" s="536"/>
      <c r="AK106" s="536"/>
      <c r="AL106" s="536"/>
      <c r="AM106" s="536"/>
      <c r="AN106" s="536"/>
      <c r="AO106" s="536"/>
      <c r="AP106" s="537"/>
      <c r="AQ106" s="532"/>
      <c r="AR106" s="533"/>
      <c r="AS106" s="533"/>
      <c r="AT106" s="533"/>
      <c r="AU106" s="533"/>
      <c r="AV106" s="533"/>
      <c r="AW106" s="533"/>
      <c r="AX106" s="533"/>
      <c r="AY106" s="533"/>
      <c r="AZ106" s="533"/>
      <c r="BA106" s="533"/>
      <c r="BB106" s="534"/>
    </row>
    <row r="107" spans="1:54" ht="13.5" customHeight="1">
      <c r="A107" s="7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3"/>
      <c r="AZ107" s="103"/>
      <c r="BA107" s="103"/>
      <c r="BB107" s="103"/>
    </row>
    <row r="108" spans="1:54" ht="16.5">
      <c r="A108" s="7"/>
      <c r="B108" s="93" t="s">
        <v>64</v>
      </c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100"/>
      <c r="AY108" s="103"/>
      <c r="AZ108" s="103"/>
      <c r="BA108" s="103"/>
      <c r="BB108" s="103"/>
    </row>
    <row r="109" spans="1:54" ht="13.5" customHeight="1">
      <c r="A109" s="7"/>
      <c r="B109" s="480" t="s">
        <v>65</v>
      </c>
      <c r="C109" s="481"/>
      <c r="D109" s="496" t="s">
        <v>66</v>
      </c>
      <c r="E109" s="497"/>
      <c r="F109" s="497"/>
      <c r="G109" s="497"/>
      <c r="H109" s="497"/>
      <c r="I109" s="498"/>
      <c r="J109" s="529" t="s">
        <v>67</v>
      </c>
      <c r="K109" s="530"/>
      <c r="L109" s="530"/>
      <c r="M109" s="530"/>
      <c r="N109" s="530"/>
      <c r="O109" s="530"/>
      <c r="P109" s="530"/>
      <c r="Q109" s="530"/>
      <c r="R109" s="530"/>
      <c r="S109" s="530"/>
      <c r="T109" s="530"/>
      <c r="U109" s="530"/>
      <c r="V109" s="531"/>
      <c r="W109" s="529" t="s">
        <v>68</v>
      </c>
      <c r="X109" s="530"/>
      <c r="Y109" s="530"/>
      <c r="Z109" s="530"/>
      <c r="AA109" s="530"/>
      <c r="AB109" s="530"/>
      <c r="AC109" s="530"/>
      <c r="AD109" s="530"/>
      <c r="AE109" s="530"/>
      <c r="AF109" s="530"/>
      <c r="AG109" s="530"/>
      <c r="AH109" s="530"/>
      <c r="AI109" s="531"/>
      <c r="AJ109" s="529" t="s">
        <v>69</v>
      </c>
      <c r="AK109" s="530"/>
      <c r="AL109" s="530"/>
      <c r="AM109" s="530"/>
      <c r="AN109" s="530"/>
      <c r="AO109" s="530"/>
      <c r="AP109" s="530"/>
      <c r="AQ109" s="530"/>
      <c r="AR109" s="530"/>
      <c r="AS109" s="530"/>
      <c r="AT109" s="530"/>
      <c r="AU109" s="530"/>
      <c r="AV109" s="530"/>
      <c r="AW109" s="530"/>
      <c r="AX109" s="530"/>
      <c r="AY109" s="530"/>
      <c r="AZ109" s="530"/>
      <c r="BA109" s="530"/>
      <c r="BB109" s="531"/>
    </row>
    <row r="110" spans="1:54" ht="13.5" customHeight="1">
      <c r="A110" s="7"/>
      <c r="B110" s="561">
        <v>1</v>
      </c>
      <c r="C110" s="561"/>
      <c r="D110" s="611" t="s">
        <v>191</v>
      </c>
      <c r="E110" s="612"/>
      <c r="F110" s="612"/>
      <c r="G110" s="612"/>
      <c r="H110" s="612"/>
      <c r="I110" s="613"/>
      <c r="J110" s="553" t="s">
        <v>159</v>
      </c>
      <c r="K110" s="553"/>
      <c r="L110" s="553"/>
      <c r="M110" s="553"/>
      <c r="N110" s="553"/>
      <c r="O110" s="553"/>
      <c r="P110" s="553"/>
      <c r="Q110" s="553"/>
      <c r="R110" s="553"/>
      <c r="S110" s="553"/>
      <c r="T110" s="553"/>
      <c r="U110" s="553"/>
      <c r="V110" s="553"/>
      <c r="W110" s="538" t="s">
        <v>72</v>
      </c>
      <c r="X110" s="539"/>
      <c r="Y110" s="539"/>
      <c r="Z110" s="539"/>
      <c r="AA110" s="539"/>
      <c r="AB110" s="539"/>
      <c r="AC110" s="539"/>
      <c r="AD110" s="539"/>
      <c r="AE110" s="539"/>
      <c r="AF110" s="539"/>
      <c r="AG110" s="539"/>
      <c r="AH110" s="539"/>
      <c r="AI110" s="540"/>
      <c r="AJ110" s="541" t="s">
        <v>132</v>
      </c>
      <c r="AK110" s="542"/>
      <c r="AL110" s="542"/>
      <c r="AM110" s="542"/>
      <c r="AN110" s="542"/>
      <c r="AO110" s="542"/>
      <c r="AP110" s="542"/>
      <c r="AQ110" s="542"/>
      <c r="AR110" s="542"/>
      <c r="AS110" s="542"/>
      <c r="AT110" s="542"/>
      <c r="AU110" s="542"/>
      <c r="AV110" s="542"/>
      <c r="AW110" s="542"/>
      <c r="AX110" s="542"/>
      <c r="AY110" s="542"/>
      <c r="AZ110" s="542"/>
      <c r="BA110" s="542"/>
      <c r="BB110" s="543"/>
    </row>
    <row r="111" spans="1:54" ht="13.5" customHeight="1">
      <c r="A111" s="7"/>
      <c r="B111" s="561">
        <v>2</v>
      </c>
      <c r="C111" s="561"/>
      <c r="D111" s="538" t="s">
        <v>223</v>
      </c>
      <c r="E111" s="539"/>
      <c r="F111" s="539"/>
      <c r="G111" s="539"/>
      <c r="H111" s="539"/>
      <c r="I111" s="540"/>
      <c r="J111" s="553" t="s">
        <v>160</v>
      </c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05"/>
      <c r="X111" s="506"/>
      <c r="Y111" s="506"/>
      <c r="Z111" s="506"/>
      <c r="AA111" s="506"/>
      <c r="AB111" s="506"/>
      <c r="AC111" s="506"/>
      <c r="AD111" s="506"/>
      <c r="AE111" s="506"/>
      <c r="AF111" s="506"/>
      <c r="AG111" s="506"/>
      <c r="AH111" s="506"/>
      <c r="AI111" s="507"/>
      <c r="AJ111" s="514"/>
      <c r="AK111" s="515"/>
      <c r="AL111" s="515"/>
      <c r="AM111" s="515"/>
      <c r="AN111" s="515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6"/>
    </row>
    <row r="112" spans="1:54" ht="13.5" customHeight="1">
      <c r="A112" s="7"/>
      <c r="B112" s="561"/>
      <c r="C112" s="561"/>
      <c r="D112" s="505"/>
      <c r="E112" s="506"/>
      <c r="F112" s="506"/>
      <c r="G112" s="506"/>
      <c r="H112" s="506"/>
      <c r="I112" s="507"/>
      <c r="J112" s="553"/>
      <c r="K112" s="553"/>
      <c r="L112" s="553"/>
      <c r="M112" s="553"/>
      <c r="N112" s="553"/>
      <c r="O112" s="553"/>
      <c r="P112" s="553"/>
      <c r="Q112" s="553"/>
      <c r="R112" s="553"/>
      <c r="S112" s="553"/>
      <c r="T112" s="553"/>
      <c r="U112" s="553"/>
      <c r="V112" s="553"/>
      <c r="W112" s="505"/>
      <c r="X112" s="506"/>
      <c r="Y112" s="506"/>
      <c r="Z112" s="506"/>
      <c r="AA112" s="506"/>
      <c r="AB112" s="506"/>
      <c r="AC112" s="506"/>
      <c r="AD112" s="506"/>
      <c r="AE112" s="506"/>
      <c r="AF112" s="506"/>
      <c r="AG112" s="506"/>
      <c r="AH112" s="506"/>
      <c r="AI112" s="507"/>
      <c r="AJ112" s="514"/>
      <c r="AK112" s="515"/>
      <c r="AL112" s="515"/>
      <c r="AM112" s="515"/>
      <c r="AN112" s="515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6"/>
    </row>
    <row r="113" spans="1:54" ht="13.5" customHeight="1">
      <c r="A113" s="7"/>
      <c r="B113" s="561"/>
      <c r="C113" s="561"/>
      <c r="D113" s="505"/>
      <c r="E113" s="506"/>
      <c r="F113" s="506"/>
      <c r="G113" s="506"/>
      <c r="H113" s="506"/>
      <c r="I113" s="507"/>
      <c r="J113" s="553"/>
      <c r="K113" s="553"/>
      <c r="L113" s="553"/>
      <c r="M113" s="553"/>
      <c r="N113" s="553"/>
      <c r="O113" s="553"/>
      <c r="P113" s="553"/>
      <c r="Q113" s="553"/>
      <c r="R113" s="553"/>
      <c r="S113" s="553"/>
      <c r="T113" s="553"/>
      <c r="U113" s="553"/>
      <c r="V113" s="553"/>
      <c r="W113" s="505"/>
      <c r="X113" s="506"/>
      <c r="Y113" s="506"/>
      <c r="Z113" s="506"/>
      <c r="AA113" s="506"/>
      <c r="AB113" s="506"/>
      <c r="AC113" s="506"/>
      <c r="AD113" s="506"/>
      <c r="AE113" s="506"/>
      <c r="AF113" s="506"/>
      <c r="AG113" s="506"/>
      <c r="AH113" s="506"/>
      <c r="AI113" s="507"/>
      <c r="AJ113" s="514"/>
      <c r="AK113" s="515"/>
      <c r="AL113" s="515"/>
      <c r="AM113" s="515"/>
      <c r="AN113" s="515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6"/>
    </row>
    <row r="114" spans="1:54" ht="13.5" customHeight="1">
      <c r="A114" s="7"/>
      <c r="B114" s="561"/>
      <c r="C114" s="561"/>
      <c r="D114" s="505"/>
      <c r="E114" s="506"/>
      <c r="F114" s="506"/>
      <c r="G114" s="506"/>
      <c r="H114" s="506"/>
      <c r="I114" s="507"/>
      <c r="J114" s="553"/>
      <c r="K114" s="553"/>
      <c r="L114" s="553"/>
      <c r="M114" s="553"/>
      <c r="N114" s="553"/>
      <c r="O114" s="553"/>
      <c r="P114" s="553"/>
      <c r="Q114" s="553"/>
      <c r="R114" s="553"/>
      <c r="S114" s="553"/>
      <c r="T114" s="553"/>
      <c r="U114" s="553"/>
      <c r="V114" s="553"/>
      <c r="W114" s="505"/>
      <c r="X114" s="506"/>
      <c r="Y114" s="506"/>
      <c r="Z114" s="506"/>
      <c r="AA114" s="506"/>
      <c r="AB114" s="506"/>
      <c r="AC114" s="506"/>
      <c r="AD114" s="506"/>
      <c r="AE114" s="506"/>
      <c r="AF114" s="506"/>
      <c r="AG114" s="506"/>
      <c r="AH114" s="506"/>
      <c r="AI114" s="507"/>
      <c r="AJ114" s="514"/>
      <c r="AK114" s="515"/>
      <c r="AL114" s="515"/>
      <c r="AM114" s="515"/>
      <c r="AN114" s="515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6"/>
    </row>
    <row r="115" spans="1:54" ht="13.5" customHeight="1">
      <c r="A115" s="7"/>
      <c r="B115" s="561"/>
      <c r="C115" s="561"/>
      <c r="D115" s="508"/>
      <c r="E115" s="509"/>
      <c r="F115" s="509"/>
      <c r="G115" s="509"/>
      <c r="H115" s="509"/>
      <c r="I115" s="510"/>
      <c r="J115" s="553"/>
      <c r="K115" s="553"/>
      <c r="L115" s="553"/>
      <c r="M115" s="553"/>
      <c r="N115" s="553"/>
      <c r="O115" s="553"/>
      <c r="P115" s="553"/>
      <c r="Q115" s="553"/>
      <c r="R115" s="553"/>
      <c r="S115" s="553"/>
      <c r="T115" s="553"/>
      <c r="U115" s="553"/>
      <c r="V115" s="553"/>
      <c r="W115" s="508"/>
      <c r="X115" s="509"/>
      <c r="Y115" s="509"/>
      <c r="Z115" s="509"/>
      <c r="AA115" s="509"/>
      <c r="AB115" s="509"/>
      <c r="AC115" s="509"/>
      <c r="AD115" s="509"/>
      <c r="AE115" s="509"/>
      <c r="AF115" s="509"/>
      <c r="AG115" s="509"/>
      <c r="AH115" s="509"/>
      <c r="AI115" s="510"/>
      <c r="AJ115" s="517"/>
      <c r="AK115" s="518"/>
      <c r="AL115" s="518"/>
      <c r="AM115" s="518"/>
      <c r="AN115" s="518"/>
      <c r="AO115" s="518"/>
      <c r="AP115" s="518"/>
      <c r="AQ115" s="518"/>
      <c r="AR115" s="518"/>
      <c r="AS115" s="518"/>
      <c r="AT115" s="518"/>
      <c r="AU115" s="518"/>
      <c r="AV115" s="518"/>
      <c r="AW115" s="518"/>
      <c r="AX115" s="518"/>
      <c r="AY115" s="518"/>
      <c r="AZ115" s="518"/>
      <c r="BA115" s="518"/>
      <c r="BB115" s="519"/>
    </row>
    <row r="116" spans="1:54" ht="13.5" customHeight="1">
      <c r="A116" s="7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3"/>
      <c r="AZ116" s="103"/>
      <c r="BA116" s="103"/>
      <c r="BB116" s="103"/>
    </row>
    <row r="117" spans="1:54" ht="16.5">
      <c r="A117" s="7"/>
      <c r="B117" s="94" t="s">
        <v>133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3"/>
      <c r="AZ117" s="103"/>
      <c r="BA117" s="103"/>
      <c r="BB117" s="103"/>
    </row>
    <row r="118" spans="1:54" ht="16.5">
      <c r="A118" s="7"/>
      <c r="B118" s="92" t="s">
        <v>15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3"/>
      <c r="AZ118" s="103"/>
      <c r="BA118" s="103"/>
      <c r="BB118" s="103"/>
    </row>
    <row r="119" spans="1:54" ht="13.5" customHeight="1">
      <c r="A119" s="7"/>
      <c r="B119" s="493" t="s">
        <v>201</v>
      </c>
      <c r="C119" s="494"/>
      <c r="D119" s="493" t="s">
        <v>9</v>
      </c>
      <c r="E119" s="495"/>
      <c r="F119" s="495"/>
      <c r="G119" s="495"/>
      <c r="H119" s="495"/>
      <c r="I119" s="494"/>
      <c r="J119" s="493" t="s">
        <v>16</v>
      </c>
      <c r="K119" s="495"/>
      <c r="L119" s="495"/>
      <c r="M119" s="495"/>
      <c r="N119" s="495"/>
      <c r="O119" s="494"/>
      <c r="P119" s="493" t="s">
        <v>216</v>
      </c>
      <c r="Q119" s="495"/>
      <c r="R119" s="495"/>
      <c r="S119" s="495"/>
      <c r="T119" s="495"/>
      <c r="U119" s="494"/>
      <c r="V119" s="550" t="s">
        <v>18</v>
      </c>
      <c r="W119" s="552"/>
      <c r="X119" s="493" t="s">
        <v>19</v>
      </c>
      <c r="Y119" s="495"/>
      <c r="Z119" s="494"/>
      <c r="AA119" s="493" t="s">
        <v>21</v>
      </c>
      <c r="AB119" s="495"/>
      <c r="AC119" s="494"/>
      <c r="AD119" s="493" t="s">
        <v>283</v>
      </c>
      <c r="AE119" s="495"/>
      <c r="AF119" s="494"/>
      <c r="AG119" s="550" t="s">
        <v>22</v>
      </c>
      <c r="AH119" s="551"/>
      <c r="AI119" s="551"/>
      <c r="AJ119" s="551"/>
      <c r="AK119" s="551"/>
      <c r="AL119" s="551"/>
      <c r="AM119" s="551"/>
      <c r="AN119" s="551"/>
      <c r="AO119" s="551"/>
      <c r="AP119" s="552"/>
      <c r="AQ119" s="493" t="s">
        <v>12</v>
      </c>
      <c r="AR119" s="495"/>
      <c r="AS119" s="495"/>
      <c r="AT119" s="495"/>
      <c r="AU119" s="495"/>
      <c r="AV119" s="495"/>
      <c r="AW119" s="495"/>
      <c r="AX119" s="495"/>
      <c r="AY119" s="495"/>
      <c r="AZ119" s="495"/>
      <c r="BA119" s="495"/>
      <c r="BB119" s="494"/>
    </row>
    <row r="120" spans="1:54" ht="13.5" customHeight="1">
      <c r="A120" s="7"/>
      <c r="B120" s="569">
        <v>1</v>
      </c>
      <c r="C120" s="569"/>
      <c r="D120" s="565" t="s">
        <v>226</v>
      </c>
      <c r="E120" s="566"/>
      <c r="F120" s="566"/>
      <c r="G120" s="566"/>
      <c r="H120" s="566"/>
      <c r="I120" s="567"/>
      <c r="J120" s="565" t="s">
        <v>190</v>
      </c>
      <c r="K120" s="566"/>
      <c r="L120" s="566"/>
      <c r="M120" s="566"/>
      <c r="N120" s="566"/>
      <c r="O120" s="567"/>
      <c r="P120" s="565" t="s">
        <v>124</v>
      </c>
      <c r="Q120" s="566"/>
      <c r="R120" s="566"/>
      <c r="S120" s="566"/>
      <c r="T120" s="566"/>
      <c r="U120" s="567"/>
      <c r="V120" s="565"/>
      <c r="W120" s="567"/>
      <c r="X120" s="562" t="s">
        <v>296</v>
      </c>
      <c r="Y120" s="563"/>
      <c r="Z120" s="564"/>
      <c r="AA120" s="535" t="s">
        <v>296</v>
      </c>
      <c r="AB120" s="536"/>
      <c r="AC120" s="537"/>
      <c r="AD120" s="535" t="s">
        <v>296</v>
      </c>
      <c r="AE120" s="536"/>
      <c r="AF120" s="537"/>
      <c r="AG120" s="535" t="s">
        <v>296</v>
      </c>
      <c r="AH120" s="536"/>
      <c r="AI120" s="536"/>
      <c r="AJ120" s="536"/>
      <c r="AK120" s="536"/>
      <c r="AL120" s="536"/>
      <c r="AM120" s="536"/>
      <c r="AN120" s="536"/>
      <c r="AO120" s="536"/>
      <c r="AP120" s="537"/>
      <c r="AQ120" s="681"/>
      <c r="AR120" s="682"/>
      <c r="AS120" s="682"/>
      <c r="AT120" s="682"/>
      <c r="AU120" s="682"/>
      <c r="AV120" s="682"/>
      <c r="AW120" s="682"/>
      <c r="AX120" s="682"/>
      <c r="AY120" s="682"/>
      <c r="AZ120" s="682"/>
      <c r="BA120" s="682"/>
      <c r="BB120" s="683"/>
    </row>
    <row r="121" spans="1:54" ht="13.5" customHeight="1">
      <c r="A121" s="7"/>
      <c r="B121" s="569">
        <v>2</v>
      </c>
      <c r="C121" s="569"/>
      <c r="D121" s="565" t="s">
        <v>139</v>
      </c>
      <c r="E121" s="566"/>
      <c r="F121" s="566"/>
      <c r="G121" s="566"/>
      <c r="H121" s="566"/>
      <c r="I121" s="567"/>
      <c r="J121" s="562" t="s">
        <v>132</v>
      </c>
      <c r="K121" s="563"/>
      <c r="L121" s="563"/>
      <c r="M121" s="563"/>
      <c r="N121" s="563"/>
      <c r="O121" s="563"/>
      <c r="P121" s="565" t="s">
        <v>92</v>
      </c>
      <c r="Q121" s="566"/>
      <c r="R121" s="566"/>
      <c r="S121" s="566"/>
      <c r="T121" s="566"/>
      <c r="U121" s="567"/>
      <c r="V121" s="565"/>
      <c r="W121" s="567"/>
      <c r="X121" s="562" t="s">
        <v>296</v>
      </c>
      <c r="Y121" s="563"/>
      <c r="Z121" s="564"/>
      <c r="AA121" s="535" t="s">
        <v>132</v>
      </c>
      <c r="AB121" s="536"/>
      <c r="AC121" s="537"/>
      <c r="AD121" s="535" t="s">
        <v>132</v>
      </c>
      <c r="AE121" s="536"/>
      <c r="AF121" s="537"/>
      <c r="AG121" s="535" t="s">
        <v>305</v>
      </c>
      <c r="AH121" s="536"/>
      <c r="AI121" s="536"/>
      <c r="AJ121" s="536"/>
      <c r="AK121" s="536"/>
      <c r="AL121" s="536"/>
      <c r="AM121" s="536"/>
      <c r="AN121" s="536"/>
      <c r="AO121" s="536"/>
      <c r="AP121" s="537"/>
      <c r="AQ121" s="684"/>
      <c r="AR121" s="685"/>
      <c r="AS121" s="685"/>
      <c r="AT121" s="685"/>
      <c r="AU121" s="685"/>
      <c r="AV121" s="685"/>
      <c r="AW121" s="685"/>
      <c r="AX121" s="685"/>
      <c r="AY121" s="685"/>
      <c r="AZ121" s="685"/>
      <c r="BA121" s="685"/>
      <c r="BB121" s="686"/>
    </row>
    <row r="122" spans="1:54" ht="13.5" customHeight="1">
      <c r="A122" s="7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3"/>
      <c r="AZ122" s="103"/>
      <c r="BA122" s="103"/>
      <c r="BB122" s="103"/>
    </row>
    <row r="123" spans="1:54" ht="16.5">
      <c r="A123" s="7"/>
      <c r="B123" s="94" t="s">
        <v>140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Z123" s="103"/>
      <c r="BA123" s="103"/>
      <c r="BB123" s="103"/>
    </row>
    <row r="124" spans="1:54" ht="16.5">
      <c r="A124" s="7"/>
      <c r="B124" s="92" t="s">
        <v>15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3"/>
      <c r="AZ124" s="103"/>
      <c r="BA124" s="103"/>
      <c r="BB124" s="103"/>
    </row>
    <row r="125" spans="1:54" ht="13.5" customHeight="1">
      <c r="A125" s="7"/>
      <c r="B125" s="493" t="s">
        <v>201</v>
      </c>
      <c r="C125" s="494"/>
      <c r="D125" s="493" t="s">
        <v>9</v>
      </c>
      <c r="E125" s="495"/>
      <c r="F125" s="495"/>
      <c r="G125" s="495"/>
      <c r="H125" s="495"/>
      <c r="I125" s="494"/>
      <c r="J125" s="493" t="s">
        <v>16</v>
      </c>
      <c r="K125" s="495"/>
      <c r="L125" s="495"/>
      <c r="M125" s="495"/>
      <c r="N125" s="495"/>
      <c r="O125" s="494"/>
      <c r="P125" s="493" t="s">
        <v>216</v>
      </c>
      <c r="Q125" s="495"/>
      <c r="R125" s="495"/>
      <c r="S125" s="495"/>
      <c r="T125" s="495"/>
      <c r="U125" s="494"/>
      <c r="V125" s="550" t="s">
        <v>18</v>
      </c>
      <c r="W125" s="552"/>
      <c r="X125" s="493" t="s">
        <v>19</v>
      </c>
      <c r="Y125" s="495"/>
      <c r="Z125" s="494"/>
      <c r="AA125" s="493" t="s">
        <v>21</v>
      </c>
      <c r="AB125" s="495"/>
      <c r="AC125" s="494"/>
      <c r="AD125" s="493" t="s">
        <v>283</v>
      </c>
      <c r="AE125" s="495"/>
      <c r="AF125" s="494"/>
      <c r="AG125" s="550" t="s">
        <v>22</v>
      </c>
      <c r="AH125" s="551"/>
      <c r="AI125" s="551"/>
      <c r="AJ125" s="551"/>
      <c r="AK125" s="551"/>
      <c r="AL125" s="551"/>
      <c r="AM125" s="551"/>
      <c r="AN125" s="551"/>
      <c r="AO125" s="551"/>
      <c r="AP125" s="552"/>
      <c r="AQ125" s="493" t="s">
        <v>12</v>
      </c>
      <c r="AR125" s="495"/>
      <c r="AS125" s="495"/>
      <c r="AT125" s="495"/>
      <c r="AU125" s="495"/>
      <c r="AV125" s="495"/>
      <c r="AW125" s="495"/>
      <c r="AX125" s="495"/>
      <c r="AY125" s="495"/>
      <c r="AZ125" s="495"/>
      <c r="BA125" s="495"/>
      <c r="BB125" s="494"/>
    </row>
    <row r="126" spans="1:54" ht="13.5" customHeight="1">
      <c r="A126" s="7"/>
      <c r="B126" s="569">
        <v>1</v>
      </c>
      <c r="C126" s="569"/>
      <c r="D126" s="565" t="s">
        <v>141</v>
      </c>
      <c r="E126" s="566"/>
      <c r="F126" s="566"/>
      <c r="G126" s="566"/>
      <c r="H126" s="566"/>
      <c r="I126" s="567"/>
      <c r="J126" s="562" t="s">
        <v>132</v>
      </c>
      <c r="K126" s="563"/>
      <c r="L126" s="563"/>
      <c r="M126" s="563"/>
      <c r="N126" s="563"/>
      <c r="O126" s="563"/>
      <c r="P126" s="565" t="s">
        <v>92</v>
      </c>
      <c r="Q126" s="566"/>
      <c r="R126" s="566"/>
      <c r="S126" s="566"/>
      <c r="T126" s="566"/>
      <c r="U126" s="567"/>
      <c r="V126" s="562"/>
      <c r="W126" s="564"/>
      <c r="X126" s="562"/>
      <c r="Y126" s="563"/>
      <c r="Z126" s="564"/>
      <c r="AA126" s="535" t="s">
        <v>132</v>
      </c>
      <c r="AB126" s="536"/>
      <c r="AC126" s="537"/>
      <c r="AD126" s="535" t="s">
        <v>132</v>
      </c>
      <c r="AE126" s="536"/>
      <c r="AF126" s="537"/>
      <c r="AG126" s="535" t="s">
        <v>306</v>
      </c>
      <c r="AH126" s="536"/>
      <c r="AI126" s="536"/>
      <c r="AJ126" s="536"/>
      <c r="AK126" s="536"/>
      <c r="AL126" s="536"/>
      <c r="AM126" s="536"/>
      <c r="AN126" s="536"/>
      <c r="AO126" s="536"/>
      <c r="AP126" s="536"/>
      <c r="AQ126" s="656"/>
      <c r="AR126" s="656"/>
      <c r="AS126" s="656"/>
      <c r="AT126" s="656"/>
      <c r="AU126" s="656"/>
      <c r="AV126" s="656"/>
      <c r="AW126" s="656"/>
      <c r="AX126" s="656"/>
      <c r="AY126" s="656"/>
      <c r="AZ126" s="656"/>
      <c r="BA126" s="656"/>
      <c r="BB126" s="657"/>
    </row>
    <row r="127" spans="1:54" ht="13.5" customHeight="1">
      <c r="A127" s="7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Y127" s="103"/>
      <c r="AZ127" s="103"/>
      <c r="BA127" s="103"/>
      <c r="BB127" s="103"/>
    </row>
    <row r="128" spans="1:54" ht="16.5">
      <c r="A128" s="7"/>
      <c r="B128" s="94" t="s">
        <v>122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3"/>
      <c r="AZ128" s="103"/>
      <c r="BA128" s="103"/>
      <c r="BB128" s="103"/>
    </row>
    <row r="129" spans="1:54" ht="16.5">
      <c r="A129" s="7"/>
      <c r="B129" s="92" t="s">
        <v>15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3"/>
      <c r="AZ129" s="103"/>
      <c r="BA129" s="103"/>
      <c r="BB129" s="103"/>
    </row>
    <row r="130" spans="1:54" ht="13.5" customHeight="1">
      <c r="A130" s="7"/>
      <c r="B130" s="493" t="s">
        <v>201</v>
      </c>
      <c r="C130" s="494"/>
      <c r="D130" s="493" t="s">
        <v>9</v>
      </c>
      <c r="E130" s="495"/>
      <c r="F130" s="495"/>
      <c r="G130" s="495"/>
      <c r="H130" s="495"/>
      <c r="I130" s="494"/>
      <c r="J130" s="493" t="s">
        <v>16</v>
      </c>
      <c r="K130" s="495"/>
      <c r="L130" s="495"/>
      <c r="M130" s="495"/>
      <c r="N130" s="495"/>
      <c r="O130" s="494"/>
      <c r="P130" s="493" t="s">
        <v>216</v>
      </c>
      <c r="Q130" s="495"/>
      <c r="R130" s="495"/>
      <c r="S130" s="495"/>
      <c r="T130" s="495"/>
      <c r="U130" s="494"/>
      <c r="V130" s="550" t="s">
        <v>18</v>
      </c>
      <c r="W130" s="552"/>
      <c r="X130" s="493" t="s">
        <v>19</v>
      </c>
      <c r="Y130" s="495"/>
      <c r="Z130" s="494"/>
      <c r="AA130" s="493" t="s">
        <v>21</v>
      </c>
      <c r="AB130" s="495"/>
      <c r="AC130" s="494"/>
      <c r="AD130" s="493" t="s">
        <v>283</v>
      </c>
      <c r="AE130" s="495"/>
      <c r="AF130" s="494"/>
      <c r="AG130" s="550" t="s">
        <v>22</v>
      </c>
      <c r="AH130" s="551"/>
      <c r="AI130" s="551"/>
      <c r="AJ130" s="551"/>
      <c r="AK130" s="551"/>
      <c r="AL130" s="551"/>
      <c r="AM130" s="551"/>
      <c r="AN130" s="551"/>
      <c r="AO130" s="551"/>
      <c r="AP130" s="552"/>
      <c r="AQ130" s="493" t="s">
        <v>12</v>
      </c>
      <c r="AR130" s="495"/>
      <c r="AS130" s="495"/>
      <c r="AT130" s="495"/>
      <c r="AU130" s="495"/>
      <c r="AV130" s="495"/>
      <c r="AW130" s="495"/>
      <c r="AX130" s="495"/>
      <c r="AY130" s="495"/>
      <c r="AZ130" s="495"/>
      <c r="BA130" s="495"/>
      <c r="BB130" s="494"/>
    </row>
    <row r="131" spans="1:54" ht="13.5" customHeight="1">
      <c r="A131" s="7"/>
      <c r="B131" s="569">
        <v>1</v>
      </c>
      <c r="C131" s="569"/>
      <c r="D131" s="565" t="s">
        <v>125</v>
      </c>
      <c r="E131" s="566"/>
      <c r="F131" s="566"/>
      <c r="G131" s="566"/>
      <c r="H131" s="566"/>
      <c r="I131" s="567"/>
      <c r="J131" s="562" t="s">
        <v>132</v>
      </c>
      <c r="K131" s="563"/>
      <c r="L131" s="563"/>
      <c r="M131" s="563"/>
      <c r="N131" s="563"/>
      <c r="O131" s="564"/>
      <c r="P131" s="566" t="s">
        <v>92</v>
      </c>
      <c r="Q131" s="566"/>
      <c r="R131" s="566"/>
      <c r="S131" s="566"/>
      <c r="T131" s="566"/>
      <c r="U131" s="567"/>
      <c r="V131" s="565"/>
      <c r="W131" s="567"/>
      <c r="X131" s="565"/>
      <c r="Y131" s="566"/>
      <c r="Z131" s="567"/>
      <c r="AA131" s="535" t="s">
        <v>132</v>
      </c>
      <c r="AB131" s="536"/>
      <c r="AC131" s="537"/>
      <c r="AD131" s="535" t="s">
        <v>132</v>
      </c>
      <c r="AE131" s="536"/>
      <c r="AF131" s="537"/>
      <c r="AG131" s="535" t="s">
        <v>307</v>
      </c>
      <c r="AH131" s="536"/>
      <c r="AI131" s="536"/>
      <c r="AJ131" s="536"/>
      <c r="AK131" s="536"/>
      <c r="AL131" s="536"/>
      <c r="AM131" s="536"/>
      <c r="AN131" s="536"/>
      <c r="AO131" s="536"/>
      <c r="AP131" s="536"/>
      <c r="AQ131" s="656"/>
      <c r="AR131" s="656"/>
      <c r="AS131" s="656"/>
      <c r="AT131" s="656"/>
      <c r="AU131" s="656"/>
      <c r="AV131" s="656"/>
      <c r="AW131" s="656"/>
      <c r="AX131" s="656"/>
      <c r="AY131" s="656"/>
      <c r="AZ131" s="656"/>
      <c r="BA131" s="656"/>
      <c r="BB131" s="657"/>
    </row>
    <row r="132" spans="1:54" ht="13.5" customHeight="1">
      <c r="A132" s="7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3"/>
      <c r="AZ132" s="103"/>
      <c r="BA132" s="103"/>
      <c r="BB132" s="103"/>
    </row>
    <row r="133" spans="1:54" ht="16.5">
      <c r="A133" s="7"/>
      <c r="B133" s="94" t="s">
        <v>148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3"/>
      <c r="AZ133" s="103"/>
      <c r="BA133" s="103"/>
      <c r="BB133" s="103"/>
    </row>
    <row r="134" spans="1:54" ht="16.5">
      <c r="A134" s="7"/>
      <c r="B134" s="92" t="s">
        <v>15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3"/>
      <c r="AZ134" s="103"/>
      <c r="BA134" s="103"/>
      <c r="BB134" s="103"/>
    </row>
    <row r="135" spans="1:54" ht="13.5" customHeight="1">
      <c r="A135" s="7"/>
      <c r="B135" s="493" t="s">
        <v>201</v>
      </c>
      <c r="C135" s="494"/>
      <c r="D135" s="493" t="s">
        <v>9</v>
      </c>
      <c r="E135" s="495"/>
      <c r="F135" s="495"/>
      <c r="G135" s="495"/>
      <c r="H135" s="495"/>
      <c r="I135" s="494"/>
      <c r="J135" s="493" t="s">
        <v>16</v>
      </c>
      <c r="K135" s="495"/>
      <c r="L135" s="495"/>
      <c r="M135" s="495"/>
      <c r="N135" s="495"/>
      <c r="O135" s="494"/>
      <c r="P135" s="493" t="s">
        <v>216</v>
      </c>
      <c r="Q135" s="495"/>
      <c r="R135" s="495"/>
      <c r="S135" s="495"/>
      <c r="T135" s="495"/>
      <c r="U135" s="494"/>
      <c r="V135" s="550" t="s">
        <v>18</v>
      </c>
      <c r="W135" s="552"/>
      <c r="X135" s="493" t="s">
        <v>19</v>
      </c>
      <c r="Y135" s="495"/>
      <c r="Z135" s="494"/>
      <c r="AA135" s="493" t="s">
        <v>21</v>
      </c>
      <c r="AB135" s="495"/>
      <c r="AC135" s="494"/>
      <c r="AD135" s="493" t="s">
        <v>283</v>
      </c>
      <c r="AE135" s="495"/>
      <c r="AF135" s="494"/>
      <c r="AG135" s="550" t="s">
        <v>22</v>
      </c>
      <c r="AH135" s="551"/>
      <c r="AI135" s="551"/>
      <c r="AJ135" s="551"/>
      <c r="AK135" s="551"/>
      <c r="AL135" s="551"/>
      <c r="AM135" s="551"/>
      <c r="AN135" s="551"/>
      <c r="AO135" s="551"/>
      <c r="AP135" s="552"/>
      <c r="AQ135" s="493" t="s">
        <v>12</v>
      </c>
      <c r="AR135" s="495"/>
      <c r="AS135" s="495"/>
      <c r="AT135" s="495"/>
      <c r="AU135" s="495"/>
      <c r="AV135" s="495"/>
      <c r="AW135" s="495"/>
      <c r="AX135" s="495"/>
      <c r="AY135" s="495"/>
      <c r="AZ135" s="495"/>
      <c r="BA135" s="495"/>
      <c r="BB135" s="494"/>
    </row>
    <row r="136" spans="1:54" ht="13.5" customHeight="1">
      <c r="A136" s="7"/>
      <c r="B136" s="569">
        <v>1</v>
      </c>
      <c r="C136" s="569"/>
      <c r="D136" s="565" t="s">
        <v>308</v>
      </c>
      <c r="E136" s="566"/>
      <c r="F136" s="566"/>
      <c r="G136" s="566"/>
      <c r="H136" s="566"/>
      <c r="I136" s="567"/>
      <c r="J136" s="562" t="s">
        <v>132</v>
      </c>
      <c r="K136" s="563"/>
      <c r="L136" s="563"/>
      <c r="M136" s="563"/>
      <c r="N136" s="563"/>
      <c r="O136" s="564"/>
      <c r="P136" s="566" t="s">
        <v>92</v>
      </c>
      <c r="Q136" s="566"/>
      <c r="R136" s="566"/>
      <c r="S136" s="566"/>
      <c r="T136" s="566"/>
      <c r="U136" s="567"/>
      <c r="V136" s="562"/>
      <c r="W136" s="564"/>
      <c r="X136" s="562"/>
      <c r="Y136" s="563"/>
      <c r="Z136" s="564"/>
      <c r="AA136" s="535" t="s">
        <v>132</v>
      </c>
      <c r="AB136" s="536"/>
      <c r="AC136" s="537"/>
      <c r="AD136" s="535" t="s">
        <v>132</v>
      </c>
      <c r="AE136" s="536"/>
      <c r="AF136" s="537"/>
      <c r="AG136" s="535" t="s">
        <v>309</v>
      </c>
      <c r="AH136" s="536"/>
      <c r="AI136" s="536"/>
      <c r="AJ136" s="536"/>
      <c r="AK136" s="536"/>
      <c r="AL136" s="536"/>
      <c r="AM136" s="536"/>
      <c r="AN136" s="536"/>
      <c r="AO136" s="536"/>
      <c r="AP136" s="537"/>
      <c r="AQ136" s="655"/>
      <c r="AR136" s="656"/>
      <c r="AS136" s="656"/>
      <c r="AT136" s="656"/>
      <c r="AU136" s="656"/>
      <c r="AV136" s="656"/>
      <c r="AW136" s="656"/>
      <c r="AX136" s="656"/>
      <c r="AY136" s="656"/>
      <c r="AZ136" s="656"/>
      <c r="BA136" s="656"/>
      <c r="BB136" s="657"/>
    </row>
    <row r="137" spans="1:54" ht="13.5" customHeight="1">
      <c r="A137" s="7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</row>
    <row r="138" spans="1:54" ht="16.5">
      <c r="A138" s="7"/>
      <c r="B138" s="93" t="s">
        <v>64</v>
      </c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3"/>
      <c r="AZ138" s="103"/>
      <c r="BA138" s="103"/>
      <c r="BB138" s="103"/>
    </row>
    <row r="139" spans="1:54" ht="13.5" customHeight="1">
      <c r="A139" s="7"/>
      <c r="B139" s="480" t="s">
        <v>65</v>
      </c>
      <c r="C139" s="481"/>
      <c r="D139" s="496" t="s">
        <v>66</v>
      </c>
      <c r="E139" s="497"/>
      <c r="F139" s="497"/>
      <c r="G139" s="497"/>
      <c r="H139" s="497"/>
      <c r="I139" s="498"/>
      <c r="J139" s="529" t="s">
        <v>67</v>
      </c>
      <c r="K139" s="530"/>
      <c r="L139" s="530"/>
      <c r="M139" s="530"/>
      <c r="N139" s="530"/>
      <c r="O139" s="530"/>
      <c r="P139" s="530"/>
      <c r="Q139" s="530"/>
      <c r="R139" s="530"/>
      <c r="S139" s="530"/>
      <c r="T139" s="530"/>
      <c r="U139" s="530"/>
      <c r="V139" s="531"/>
      <c r="W139" s="529" t="s">
        <v>68</v>
      </c>
      <c r="X139" s="530"/>
      <c r="Y139" s="530"/>
      <c r="Z139" s="530"/>
      <c r="AA139" s="530"/>
      <c r="AB139" s="530"/>
      <c r="AC139" s="530"/>
      <c r="AD139" s="530"/>
      <c r="AE139" s="530"/>
      <c r="AF139" s="530"/>
      <c r="AG139" s="530"/>
      <c r="AH139" s="530"/>
      <c r="AI139" s="531"/>
      <c r="AJ139" s="529" t="s">
        <v>69</v>
      </c>
      <c r="AK139" s="530"/>
      <c r="AL139" s="530"/>
      <c r="AM139" s="530"/>
      <c r="AN139" s="530"/>
      <c r="AO139" s="530"/>
      <c r="AP139" s="530"/>
      <c r="AQ139" s="530"/>
      <c r="AR139" s="530"/>
      <c r="AS139" s="530"/>
      <c r="AT139" s="530"/>
      <c r="AU139" s="530"/>
      <c r="AV139" s="530"/>
      <c r="AW139" s="530"/>
      <c r="AX139" s="530"/>
      <c r="AY139" s="530"/>
      <c r="AZ139" s="530"/>
      <c r="BA139" s="530"/>
      <c r="BB139" s="531"/>
    </row>
    <row r="140" spans="1:54" ht="13.5" customHeight="1">
      <c r="A140" s="7"/>
      <c r="B140" s="561">
        <v>1</v>
      </c>
      <c r="C140" s="561"/>
      <c r="D140" s="553" t="s">
        <v>310</v>
      </c>
      <c r="E140" s="553"/>
      <c r="F140" s="553"/>
      <c r="G140" s="553"/>
      <c r="H140" s="553"/>
      <c r="I140" s="553"/>
      <c r="J140" s="553" t="s">
        <v>163</v>
      </c>
      <c r="K140" s="553"/>
      <c r="L140" s="553"/>
      <c r="M140" s="553"/>
      <c r="N140" s="553"/>
      <c r="O140" s="553"/>
      <c r="P140" s="553"/>
      <c r="Q140" s="553"/>
      <c r="R140" s="553"/>
      <c r="S140" s="553"/>
      <c r="T140" s="553"/>
      <c r="U140" s="553"/>
      <c r="V140" s="553"/>
      <c r="W140" s="553" t="s">
        <v>162</v>
      </c>
      <c r="X140" s="553"/>
      <c r="Y140" s="553"/>
      <c r="Z140" s="553"/>
      <c r="AA140" s="553"/>
      <c r="AB140" s="553"/>
      <c r="AC140" s="553"/>
      <c r="AD140" s="553"/>
      <c r="AE140" s="553"/>
      <c r="AF140" s="553"/>
      <c r="AG140" s="553"/>
      <c r="AH140" s="553"/>
      <c r="AI140" s="553"/>
      <c r="AJ140" s="631" t="s">
        <v>132</v>
      </c>
      <c r="AK140" s="631"/>
      <c r="AL140" s="631"/>
      <c r="AM140" s="631"/>
      <c r="AN140" s="631"/>
      <c r="AO140" s="631"/>
      <c r="AP140" s="631"/>
      <c r="AQ140" s="631"/>
      <c r="AR140" s="631"/>
      <c r="AS140" s="631"/>
      <c r="AT140" s="631"/>
      <c r="AU140" s="631"/>
      <c r="AV140" s="631"/>
      <c r="AW140" s="631"/>
      <c r="AX140" s="631"/>
      <c r="AY140" s="631"/>
      <c r="AZ140" s="631"/>
      <c r="BA140" s="631"/>
      <c r="BB140" s="631"/>
    </row>
    <row r="141" spans="1:54" ht="13.5" customHeight="1">
      <c r="A141" s="7"/>
      <c r="B141" s="561">
        <v>2</v>
      </c>
      <c r="C141" s="561"/>
      <c r="D141" s="553" t="s">
        <v>164</v>
      </c>
      <c r="E141" s="553"/>
      <c r="F141" s="553"/>
      <c r="G141" s="553"/>
      <c r="H141" s="553"/>
      <c r="I141" s="553"/>
      <c r="J141" s="553" t="s">
        <v>165</v>
      </c>
      <c r="K141" s="553"/>
      <c r="L141" s="553"/>
      <c r="M141" s="553"/>
      <c r="N141" s="553"/>
      <c r="O141" s="553"/>
      <c r="P141" s="553"/>
      <c r="Q141" s="553"/>
      <c r="R141" s="553"/>
      <c r="S141" s="553"/>
      <c r="T141" s="553"/>
      <c r="U141" s="553"/>
      <c r="V141" s="553"/>
      <c r="W141" s="553"/>
      <c r="X141" s="553"/>
      <c r="Y141" s="553"/>
      <c r="Z141" s="553"/>
      <c r="AA141" s="553"/>
      <c r="AB141" s="553"/>
      <c r="AC141" s="553"/>
      <c r="AD141" s="553"/>
      <c r="AE141" s="553"/>
      <c r="AF141" s="553"/>
      <c r="AG141" s="553"/>
      <c r="AH141" s="553"/>
      <c r="AI141" s="553"/>
      <c r="AJ141" s="631"/>
      <c r="AK141" s="631"/>
      <c r="AL141" s="631"/>
      <c r="AM141" s="631"/>
      <c r="AN141" s="631"/>
      <c r="AO141" s="631"/>
      <c r="AP141" s="631"/>
      <c r="AQ141" s="631"/>
      <c r="AR141" s="631"/>
      <c r="AS141" s="631"/>
      <c r="AT141" s="631"/>
      <c r="AU141" s="631"/>
      <c r="AV141" s="631"/>
      <c r="AW141" s="631"/>
      <c r="AX141" s="631"/>
      <c r="AY141" s="631"/>
      <c r="AZ141" s="631"/>
      <c r="BA141" s="631"/>
      <c r="BB141" s="631"/>
    </row>
    <row r="142" spans="1:54" ht="13.5" customHeight="1">
      <c r="A142" s="7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AI142" s="100"/>
      <c r="AJ142" s="100"/>
      <c r="AK142" s="100"/>
      <c r="AL142" s="100"/>
      <c r="AM142" s="100"/>
    </row>
    <row r="143" spans="1:54" ht="16.5">
      <c r="A143" s="7"/>
      <c r="B143" s="94" t="s">
        <v>143</v>
      </c>
      <c r="C143" s="100"/>
      <c r="D143" s="100"/>
      <c r="E143" s="100"/>
      <c r="F143" s="100"/>
      <c r="G143" s="100"/>
      <c r="H143" s="100"/>
      <c r="I143" s="100"/>
      <c r="J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3"/>
      <c r="AZ143" s="103"/>
      <c r="BA143" s="103"/>
      <c r="BB143" s="103"/>
    </row>
    <row r="144" spans="1:54" ht="16.5">
      <c r="A144" s="7"/>
      <c r="B144" s="92" t="s">
        <v>15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3"/>
      <c r="AZ144" s="103"/>
      <c r="BA144" s="103"/>
      <c r="BB144" s="103"/>
    </row>
    <row r="145" spans="1:54" ht="13.5" customHeight="1">
      <c r="A145" s="7"/>
      <c r="B145" s="493" t="s">
        <v>201</v>
      </c>
      <c r="C145" s="494"/>
      <c r="D145" s="493" t="s">
        <v>9</v>
      </c>
      <c r="E145" s="495"/>
      <c r="F145" s="495"/>
      <c r="G145" s="495"/>
      <c r="H145" s="495"/>
      <c r="I145" s="494"/>
      <c r="J145" s="493" t="s">
        <v>16</v>
      </c>
      <c r="K145" s="495"/>
      <c r="L145" s="495"/>
      <c r="M145" s="495"/>
      <c r="N145" s="495"/>
      <c r="O145" s="494"/>
      <c r="P145" s="493" t="s">
        <v>216</v>
      </c>
      <c r="Q145" s="495"/>
      <c r="R145" s="495"/>
      <c r="S145" s="495"/>
      <c r="T145" s="495"/>
      <c r="U145" s="494"/>
      <c r="V145" s="550" t="s">
        <v>18</v>
      </c>
      <c r="W145" s="552"/>
      <c r="X145" s="493" t="s">
        <v>19</v>
      </c>
      <c r="Y145" s="495"/>
      <c r="Z145" s="494"/>
      <c r="AA145" s="493" t="s">
        <v>21</v>
      </c>
      <c r="AB145" s="495"/>
      <c r="AC145" s="494"/>
      <c r="AD145" s="493" t="s">
        <v>283</v>
      </c>
      <c r="AE145" s="495"/>
      <c r="AF145" s="494"/>
      <c r="AG145" s="550" t="s">
        <v>22</v>
      </c>
      <c r="AH145" s="551"/>
      <c r="AI145" s="551"/>
      <c r="AJ145" s="551"/>
      <c r="AK145" s="551"/>
      <c r="AL145" s="551"/>
      <c r="AM145" s="551"/>
      <c r="AN145" s="551"/>
      <c r="AO145" s="551"/>
      <c r="AP145" s="552"/>
      <c r="AQ145" s="493" t="s">
        <v>12</v>
      </c>
      <c r="AR145" s="495"/>
      <c r="AS145" s="495"/>
      <c r="AT145" s="495"/>
      <c r="AU145" s="495"/>
      <c r="AV145" s="495"/>
      <c r="AW145" s="495"/>
      <c r="AX145" s="495"/>
      <c r="AY145" s="495"/>
      <c r="AZ145" s="495"/>
      <c r="BA145" s="495"/>
      <c r="BB145" s="494"/>
    </row>
    <row r="146" spans="1:54" ht="13.5" customHeight="1">
      <c r="A146" s="7"/>
      <c r="B146" s="569">
        <v>1</v>
      </c>
      <c r="C146" s="569"/>
      <c r="D146" s="565" t="s">
        <v>142</v>
      </c>
      <c r="E146" s="566"/>
      <c r="F146" s="566"/>
      <c r="G146" s="566"/>
      <c r="H146" s="566"/>
      <c r="I146" s="567"/>
      <c r="J146" s="562" t="s">
        <v>132</v>
      </c>
      <c r="K146" s="563"/>
      <c r="L146" s="563"/>
      <c r="M146" s="563"/>
      <c r="N146" s="563"/>
      <c r="O146" s="564"/>
      <c r="P146" s="566" t="s">
        <v>92</v>
      </c>
      <c r="Q146" s="566"/>
      <c r="R146" s="566"/>
      <c r="S146" s="566"/>
      <c r="T146" s="566"/>
      <c r="U146" s="567"/>
      <c r="V146" s="562"/>
      <c r="W146" s="564"/>
      <c r="X146" s="562"/>
      <c r="Y146" s="563"/>
      <c r="Z146" s="564"/>
      <c r="AA146" s="535" t="s">
        <v>132</v>
      </c>
      <c r="AB146" s="536"/>
      <c r="AC146" s="537"/>
      <c r="AD146" s="535" t="s">
        <v>132</v>
      </c>
      <c r="AE146" s="536"/>
      <c r="AF146" s="537"/>
      <c r="AG146" s="535" t="s">
        <v>311</v>
      </c>
      <c r="AH146" s="536"/>
      <c r="AI146" s="536"/>
      <c r="AJ146" s="536"/>
      <c r="AK146" s="536"/>
      <c r="AL146" s="536"/>
      <c r="AM146" s="536"/>
      <c r="AN146" s="536"/>
      <c r="AO146" s="536"/>
      <c r="AP146" s="537"/>
      <c r="AQ146" s="656"/>
      <c r="AR146" s="656"/>
      <c r="AS146" s="656"/>
      <c r="AT146" s="656"/>
      <c r="AU146" s="656"/>
      <c r="AV146" s="656"/>
      <c r="AW146" s="656"/>
      <c r="AX146" s="656"/>
      <c r="AY146" s="656"/>
      <c r="AZ146" s="656"/>
      <c r="BA146" s="656"/>
      <c r="BB146" s="657"/>
    </row>
    <row r="147" spans="1:54" ht="13.5" customHeight="1">
      <c r="A147" s="7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Z147" s="103"/>
      <c r="BA147" s="103"/>
      <c r="BB147" s="103"/>
    </row>
    <row r="148" spans="1:54" ht="16.5">
      <c r="A148" s="7"/>
      <c r="B148" s="93" t="s">
        <v>64</v>
      </c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3"/>
      <c r="AZ148" s="103"/>
      <c r="BA148" s="103"/>
      <c r="BB148" s="103"/>
    </row>
    <row r="149" spans="1:54" ht="13.5" customHeight="1">
      <c r="A149" s="7"/>
      <c r="B149" s="480" t="s">
        <v>65</v>
      </c>
      <c r="C149" s="481"/>
      <c r="D149" s="496" t="s">
        <v>66</v>
      </c>
      <c r="E149" s="497"/>
      <c r="F149" s="497"/>
      <c r="G149" s="497"/>
      <c r="H149" s="497"/>
      <c r="I149" s="498"/>
      <c r="J149" s="529" t="s">
        <v>67</v>
      </c>
      <c r="K149" s="530"/>
      <c r="L149" s="530"/>
      <c r="M149" s="530"/>
      <c r="N149" s="530"/>
      <c r="O149" s="530"/>
      <c r="P149" s="530"/>
      <c r="Q149" s="530"/>
      <c r="R149" s="530"/>
      <c r="S149" s="530"/>
      <c r="T149" s="530"/>
      <c r="U149" s="530"/>
      <c r="V149" s="531"/>
      <c r="W149" s="529" t="s">
        <v>68</v>
      </c>
      <c r="X149" s="530"/>
      <c r="Y149" s="530"/>
      <c r="Z149" s="530"/>
      <c r="AA149" s="530"/>
      <c r="AB149" s="530"/>
      <c r="AC149" s="530"/>
      <c r="AD149" s="530"/>
      <c r="AE149" s="530"/>
      <c r="AF149" s="530"/>
      <c r="AG149" s="530"/>
      <c r="AH149" s="530"/>
      <c r="AI149" s="531"/>
      <c r="AJ149" s="529" t="s">
        <v>69</v>
      </c>
      <c r="AK149" s="530"/>
      <c r="AL149" s="530"/>
      <c r="AM149" s="530"/>
      <c r="AN149" s="530"/>
      <c r="AO149" s="530"/>
      <c r="AP149" s="530"/>
      <c r="AQ149" s="530"/>
      <c r="AR149" s="530"/>
      <c r="AS149" s="530"/>
      <c r="AT149" s="530"/>
      <c r="AU149" s="530"/>
      <c r="AV149" s="530"/>
      <c r="AW149" s="530"/>
      <c r="AX149" s="530"/>
      <c r="AY149" s="530"/>
      <c r="AZ149" s="530"/>
      <c r="BA149" s="530"/>
      <c r="BB149" s="531"/>
    </row>
    <row r="150" spans="1:54" ht="13.5" customHeight="1">
      <c r="A150" s="7"/>
      <c r="B150" s="561">
        <v>1</v>
      </c>
      <c r="C150" s="561"/>
      <c r="D150" s="553" t="s">
        <v>226</v>
      </c>
      <c r="E150" s="553"/>
      <c r="F150" s="553"/>
      <c r="G150" s="553"/>
      <c r="H150" s="553"/>
      <c r="I150" s="553"/>
      <c r="J150" s="553" t="s">
        <v>166</v>
      </c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 t="s">
        <v>72</v>
      </c>
      <c r="X150" s="553"/>
      <c r="Y150" s="553"/>
      <c r="Z150" s="553"/>
      <c r="AA150" s="553"/>
      <c r="AB150" s="553"/>
      <c r="AC150" s="553"/>
      <c r="AD150" s="553"/>
      <c r="AE150" s="553"/>
      <c r="AF150" s="553"/>
      <c r="AG150" s="553"/>
      <c r="AH150" s="553"/>
      <c r="AI150" s="553"/>
      <c r="AJ150" s="631" t="s">
        <v>132</v>
      </c>
      <c r="AK150" s="631"/>
      <c r="AL150" s="631"/>
      <c r="AM150" s="631"/>
      <c r="AN150" s="631"/>
      <c r="AO150" s="631"/>
      <c r="AP150" s="631"/>
      <c r="AQ150" s="631"/>
      <c r="AR150" s="631"/>
      <c r="AS150" s="631"/>
      <c r="AT150" s="631"/>
      <c r="AU150" s="631"/>
      <c r="AV150" s="631"/>
      <c r="AW150" s="631"/>
      <c r="AX150" s="631"/>
      <c r="AY150" s="631"/>
      <c r="AZ150" s="631"/>
      <c r="BA150" s="631"/>
      <c r="BB150" s="631"/>
    </row>
    <row r="151" spans="1:54" ht="13.5" customHeight="1">
      <c r="A151" s="7"/>
      <c r="B151" s="561">
        <v>2</v>
      </c>
      <c r="C151" s="561"/>
      <c r="D151" s="553"/>
      <c r="E151" s="553"/>
      <c r="F151" s="553"/>
      <c r="G151" s="553"/>
      <c r="H151" s="553"/>
      <c r="I151" s="553"/>
      <c r="J151" s="553" t="s">
        <v>167</v>
      </c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53"/>
      <c r="AB151" s="553"/>
      <c r="AC151" s="553"/>
      <c r="AD151" s="553"/>
      <c r="AE151" s="553"/>
      <c r="AF151" s="553"/>
      <c r="AG151" s="553"/>
      <c r="AH151" s="553"/>
      <c r="AI151" s="553"/>
      <c r="AJ151" s="631"/>
      <c r="AK151" s="631"/>
      <c r="AL151" s="631"/>
      <c r="AM151" s="631"/>
      <c r="AN151" s="631"/>
      <c r="AO151" s="631"/>
      <c r="AP151" s="631"/>
      <c r="AQ151" s="631"/>
      <c r="AR151" s="631"/>
      <c r="AS151" s="631"/>
      <c r="AT151" s="631"/>
      <c r="AU151" s="631"/>
      <c r="AV151" s="631"/>
      <c r="AW151" s="631"/>
      <c r="AX151" s="631"/>
      <c r="AY151" s="631"/>
      <c r="AZ151" s="631"/>
      <c r="BA151" s="631"/>
      <c r="BB151" s="631"/>
    </row>
    <row r="152" spans="1:54" ht="13.5" customHeight="1">
      <c r="A152" s="7"/>
      <c r="B152" s="561"/>
      <c r="C152" s="561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53"/>
      <c r="P152" s="553"/>
      <c r="Q152" s="553"/>
      <c r="R152" s="553"/>
      <c r="S152" s="553"/>
      <c r="T152" s="553"/>
      <c r="U152" s="553"/>
      <c r="V152" s="553"/>
      <c r="W152" s="553"/>
      <c r="X152" s="553"/>
      <c r="Y152" s="553"/>
      <c r="Z152" s="553"/>
      <c r="AA152" s="553"/>
      <c r="AB152" s="553"/>
      <c r="AC152" s="553"/>
      <c r="AD152" s="553"/>
      <c r="AE152" s="553"/>
      <c r="AF152" s="553"/>
      <c r="AG152" s="553"/>
      <c r="AH152" s="553"/>
      <c r="AI152" s="553"/>
      <c r="AJ152" s="631"/>
      <c r="AK152" s="631"/>
      <c r="AL152" s="631"/>
      <c r="AM152" s="631"/>
      <c r="AN152" s="631"/>
      <c r="AO152" s="631"/>
      <c r="AP152" s="631"/>
      <c r="AQ152" s="631"/>
      <c r="AR152" s="631"/>
      <c r="AS152" s="631"/>
      <c r="AT152" s="631"/>
      <c r="AU152" s="631"/>
      <c r="AV152" s="631"/>
      <c r="AW152" s="631"/>
      <c r="AX152" s="631"/>
      <c r="AY152" s="631"/>
      <c r="AZ152" s="631"/>
      <c r="BA152" s="631"/>
      <c r="BB152" s="631"/>
    </row>
    <row r="153" spans="1:54" ht="13.5" customHeight="1">
      <c r="A153" s="7"/>
      <c r="B153" s="561"/>
      <c r="C153" s="561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53"/>
      <c r="P153" s="553"/>
      <c r="Q153" s="553"/>
      <c r="R153" s="553"/>
      <c r="S153" s="553"/>
      <c r="T153" s="553"/>
      <c r="U153" s="553"/>
      <c r="V153" s="553"/>
      <c r="W153" s="553"/>
      <c r="X153" s="553"/>
      <c r="Y153" s="553"/>
      <c r="Z153" s="553"/>
      <c r="AA153" s="553"/>
      <c r="AB153" s="553"/>
      <c r="AC153" s="553"/>
      <c r="AD153" s="553"/>
      <c r="AE153" s="553"/>
      <c r="AF153" s="553"/>
      <c r="AG153" s="553"/>
      <c r="AH153" s="553"/>
      <c r="AI153" s="553"/>
      <c r="AJ153" s="631"/>
      <c r="AK153" s="631"/>
      <c r="AL153" s="631"/>
      <c r="AM153" s="631"/>
      <c r="AN153" s="631"/>
      <c r="AO153" s="631"/>
      <c r="AP153" s="631"/>
      <c r="AQ153" s="631"/>
      <c r="AR153" s="631"/>
      <c r="AS153" s="631"/>
      <c r="AT153" s="631"/>
      <c r="AU153" s="631"/>
      <c r="AV153" s="631"/>
      <c r="AW153" s="631"/>
      <c r="AX153" s="631"/>
      <c r="AY153" s="631"/>
      <c r="AZ153" s="631"/>
      <c r="BA153" s="631"/>
      <c r="BB153" s="631"/>
    </row>
    <row r="154" spans="1:54" ht="13.5" customHeight="1">
      <c r="A154" s="7"/>
      <c r="B154" s="561"/>
      <c r="C154" s="561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53"/>
      <c r="P154" s="553"/>
      <c r="Q154" s="553"/>
      <c r="R154" s="553"/>
      <c r="S154" s="553"/>
      <c r="T154" s="553"/>
      <c r="U154" s="553"/>
      <c r="V154" s="553"/>
      <c r="W154" s="553"/>
      <c r="X154" s="553"/>
      <c r="Y154" s="553"/>
      <c r="Z154" s="553"/>
      <c r="AA154" s="553"/>
      <c r="AB154" s="553"/>
      <c r="AC154" s="553"/>
      <c r="AD154" s="553"/>
      <c r="AE154" s="553"/>
      <c r="AF154" s="553"/>
      <c r="AG154" s="553"/>
      <c r="AH154" s="553"/>
      <c r="AI154" s="553"/>
      <c r="AJ154" s="631"/>
      <c r="AK154" s="631"/>
      <c r="AL154" s="631"/>
      <c r="AM154" s="631"/>
      <c r="AN154" s="631"/>
      <c r="AO154" s="631"/>
      <c r="AP154" s="631"/>
      <c r="AQ154" s="631"/>
      <c r="AR154" s="631"/>
      <c r="AS154" s="631"/>
      <c r="AT154" s="631"/>
      <c r="AU154" s="631"/>
      <c r="AV154" s="631"/>
      <c r="AW154" s="631"/>
      <c r="AX154" s="631"/>
      <c r="AY154" s="631"/>
      <c r="AZ154" s="631"/>
      <c r="BA154" s="631"/>
      <c r="BB154" s="631"/>
    </row>
    <row r="155" spans="1:54" ht="13.5" customHeight="1">
      <c r="A155" s="7"/>
      <c r="B155" s="561"/>
      <c r="C155" s="561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53"/>
      <c r="AB155" s="553"/>
      <c r="AC155" s="553"/>
      <c r="AD155" s="553"/>
      <c r="AE155" s="553"/>
      <c r="AF155" s="553"/>
      <c r="AG155" s="553"/>
      <c r="AH155" s="553"/>
      <c r="AI155" s="553"/>
      <c r="AJ155" s="631"/>
      <c r="AK155" s="631"/>
      <c r="AL155" s="631"/>
      <c r="AM155" s="631"/>
      <c r="AN155" s="631"/>
      <c r="AO155" s="631"/>
      <c r="AP155" s="631"/>
      <c r="AQ155" s="631"/>
      <c r="AR155" s="631"/>
      <c r="AS155" s="631"/>
      <c r="AT155" s="631"/>
      <c r="AU155" s="631"/>
      <c r="AV155" s="631"/>
      <c r="AW155" s="631"/>
      <c r="AX155" s="631"/>
      <c r="AY155" s="631"/>
      <c r="AZ155" s="631"/>
      <c r="BA155" s="631"/>
      <c r="BB155" s="631"/>
    </row>
    <row r="156" spans="1:54" ht="13.5" customHeight="1">
      <c r="A156" s="7"/>
      <c r="B156" s="561">
        <v>3</v>
      </c>
      <c r="C156" s="561"/>
      <c r="D156" s="553" t="s">
        <v>303</v>
      </c>
      <c r="E156" s="553"/>
      <c r="F156" s="553"/>
      <c r="G156" s="553"/>
      <c r="H156" s="553"/>
      <c r="I156" s="553"/>
      <c r="J156" s="553" t="s">
        <v>168</v>
      </c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53"/>
      <c r="AB156" s="553"/>
      <c r="AC156" s="553"/>
      <c r="AD156" s="553"/>
      <c r="AE156" s="553"/>
      <c r="AF156" s="553"/>
      <c r="AG156" s="553"/>
      <c r="AH156" s="553"/>
      <c r="AI156" s="553"/>
      <c r="AJ156" s="631"/>
      <c r="AK156" s="631"/>
      <c r="AL156" s="631"/>
      <c r="AM156" s="631"/>
      <c r="AN156" s="631"/>
      <c r="AO156" s="631"/>
      <c r="AP156" s="631"/>
      <c r="AQ156" s="631"/>
      <c r="AR156" s="631"/>
      <c r="AS156" s="631"/>
      <c r="AT156" s="631"/>
      <c r="AU156" s="631"/>
      <c r="AV156" s="631"/>
      <c r="AW156" s="631"/>
      <c r="AX156" s="631"/>
      <c r="AY156" s="631"/>
      <c r="AZ156" s="631"/>
      <c r="BA156" s="631"/>
      <c r="BB156" s="631"/>
    </row>
    <row r="157" spans="1:54" ht="13.5" customHeight="1">
      <c r="A157" s="7"/>
      <c r="B157" s="561"/>
      <c r="C157" s="561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53"/>
      <c r="AB157" s="553"/>
      <c r="AC157" s="553"/>
      <c r="AD157" s="553"/>
      <c r="AE157" s="553"/>
      <c r="AF157" s="553"/>
      <c r="AG157" s="553"/>
      <c r="AH157" s="553"/>
      <c r="AI157" s="553"/>
      <c r="AJ157" s="631"/>
      <c r="AK157" s="631"/>
      <c r="AL157" s="631"/>
      <c r="AM157" s="631"/>
      <c r="AN157" s="631"/>
      <c r="AO157" s="631"/>
      <c r="AP157" s="631"/>
      <c r="AQ157" s="631"/>
      <c r="AR157" s="631"/>
      <c r="AS157" s="631"/>
      <c r="AT157" s="631"/>
      <c r="AU157" s="631"/>
      <c r="AV157" s="631"/>
      <c r="AW157" s="631"/>
      <c r="AX157" s="631"/>
      <c r="AY157" s="631"/>
      <c r="AZ157" s="631"/>
      <c r="BA157" s="631"/>
      <c r="BB157" s="631"/>
    </row>
    <row r="158" spans="1:54" ht="13.5" customHeight="1">
      <c r="A158" s="7"/>
      <c r="B158" s="561"/>
      <c r="C158" s="561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53"/>
      <c r="P158" s="553"/>
      <c r="Q158" s="553"/>
      <c r="R158" s="553"/>
      <c r="S158" s="553"/>
      <c r="T158" s="553"/>
      <c r="U158" s="553"/>
      <c r="V158" s="553"/>
      <c r="W158" s="553"/>
      <c r="X158" s="553"/>
      <c r="Y158" s="553"/>
      <c r="Z158" s="553"/>
      <c r="AA158" s="553"/>
      <c r="AB158" s="553"/>
      <c r="AC158" s="553"/>
      <c r="AD158" s="553"/>
      <c r="AE158" s="553"/>
      <c r="AF158" s="553"/>
      <c r="AG158" s="553"/>
      <c r="AH158" s="553"/>
      <c r="AI158" s="553"/>
      <c r="AJ158" s="631"/>
      <c r="AK158" s="631"/>
      <c r="AL158" s="631"/>
      <c r="AM158" s="631"/>
      <c r="AN158" s="631"/>
      <c r="AO158" s="631"/>
      <c r="AP158" s="631"/>
      <c r="AQ158" s="631"/>
      <c r="AR158" s="631"/>
      <c r="AS158" s="631"/>
      <c r="AT158" s="631"/>
      <c r="AU158" s="631"/>
      <c r="AV158" s="631"/>
      <c r="AW158" s="631"/>
      <c r="AX158" s="631"/>
      <c r="AY158" s="631"/>
      <c r="AZ158" s="631"/>
      <c r="BA158" s="631"/>
      <c r="BB158" s="631"/>
    </row>
    <row r="159" spans="1:54" ht="13.5" customHeight="1">
      <c r="A159" s="7"/>
      <c r="B159" s="561"/>
      <c r="C159" s="561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53"/>
      <c r="P159" s="553"/>
      <c r="Q159" s="553"/>
      <c r="R159" s="553"/>
      <c r="S159" s="553"/>
      <c r="T159" s="553"/>
      <c r="U159" s="553"/>
      <c r="V159" s="553"/>
      <c r="W159" s="553"/>
      <c r="X159" s="553"/>
      <c r="Y159" s="553"/>
      <c r="Z159" s="553"/>
      <c r="AA159" s="553"/>
      <c r="AB159" s="553"/>
      <c r="AC159" s="553"/>
      <c r="AD159" s="553"/>
      <c r="AE159" s="553"/>
      <c r="AF159" s="553"/>
      <c r="AG159" s="553"/>
      <c r="AH159" s="553"/>
      <c r="AI159" s="553"/>
      <c r="AJ159" s="631"/>
      <c r="AK159" s="631"/>
      <c r="AL159" s="631"/>
      <c r="AM159" s="631"/>
      <c r="AN159" s="631"/>
      <c r="AO159" s="631"/>
      <c r="AP159" s="631"/>
      <c r="AQ159" s="631"/>
      <c r="AR159" s="631"/>
      <c r="AS159" s="631"/>
      <c r="AT159" s="631"/>
      <c r="AU159" s="631"/>
      <c r="AV159" s="631"/>
      <c r="AW159" s="631"/>
      <c r="AX159" s="631"/>
      <c r="AY159" s="631"/>
      <c r="AZ159" s="631"/>
      <c r="BA159" s="631"/>
      <c r="BB159" s="631"/>
    </row>
    <row r="160" spans="1:54" ht="13.5" customHeight="1">
      <c r="A160" s="7"/>
      <c r="B160" s="561"/>
      <c r="C160" s="561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53"/>
      <c r="AB160" s="553"/>
      <c r="AC160" s="553"/>
      <c r="AD160" s="553"/>
      <c r="AE160" s="553"/>
      <c r="AF160" s="553"/>
      <c r="AG160" s="553"/>
      <c r="AH160" s="553"/>
      <c r="AI160" s="553"/>
      <c r="AJ160" s="631"/>
      <c r="AK160" s="631"/>
      <c r="AL160" s="631"/>
      <c r="AM160" s="631"/>
      <c r="AN160" s="631"/>
      <c r="AO160" s="631"/>
      <c r="AP160" s="631"/>
      <c r="AQ160" s="631"/>
      <c r="AR160" s="631"/>
      <c r="AS160" s="631"/>
      <c r="AT160" s="631"/>
      <c r="AU160" s="631"/>
      <c r="AV160" s="631"/>
      <c r="AW160" s="631"/>
      <c r="AX160" s="631"/>
      <c r="AY160" s="631"/>
      <c r="AZ160" s="631"/>
      <c r="BA160" s="631"/>
      <c r="BB160" s="631"/>
    </row>
    <row r="161" spans="1:54" ht="13.5" customHeight="1">
      <c r="A161" s="7"/>
      <c r="B161" s="561"/>
      <c r="C161" s="561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53"/>
      <c r="AB161" s="553"/>
      <c r="AC161" s="553"/>
      <c r="AD161" s="553"/>
      <c r="AE161" s="553"/>
      <c r="AF161" s="553"/>
      <c r="AG161" s="553"/>
      <c r="AH161" s="553"/>
      <c r="AI161" s="553"/>
      <c r="AJ161" s="631"/>
      <c r="AK161" s="631"/>
      <c r="AL161" s="631"/>
      <c r="AM161" s="631"/>
      <c r="AN161" s="631"/>
      <c r="AO161" s="631"/>
      <c r="AP161" s="631"/>
      <c r="AQ161" s="631"/>
      <c r="AR161" s="631"/>
      <c r="AS161" s="631"/>
      <c r="AT161" s="631"/>
      <c r="AU161" s="631"/>
      <c r="AV161" s="631"/>
      <c r="AW161" s="631"/>
      <c r="AX161" s="631"/>
      <c r="AY161" s="631"/>
      <c r="AZ161" s="631"/>
      <c r="BA161" s="631"/>
      <c r="BB161" s="631"/>
    </row>
    <row r="162" spans="1:54" ht="13.5" customHeight="1">
      <c r="A162" s="7"/>
      <c r="B162" s="561"/>
      <c r="C162" s="561"/>
      <c r="D162" s="553"/>
      <c r="E162" s="553"/>
      <c r="F162" s="553"/>
      <c r="G162" s="553"/>
      <c r="H162" s="553"/>
      <c r="I162" s="553"/>
      <c r="J162" s="553"/>
      <c r="K162" s="553"/>
      <c r="L162" s="553"/>
      <c r="M162" s="553"/>
      <c r="N162" s="553"/>
      <c r="O162" s="553"/>
      <c r="P162" s="553"/>
      <c r="Q162" s="553"/>
      <c r="R162" s="553"/>
      <c r="S162" s="553"/>
      <c r="T162" s="553"/>
      <c r="U162" s="553"/>
      <c r="V162" s="553"/>
      <c r="W162" s="553"/>
      <c r="X162" s="553"/>
      <c r="Y162" s="553"/>
      <c r="Z162" s="553"/>
      <c r="AA162" s="553"/>
      <c r="AB162" s="553"/>
      <c r="AC162" s="553"/>
      <c r="AD162" s="553"/>
      <c r="AE162" s="553"/>
      <c r="AF162" s="553"/>
      <c r="AG162" s="553"/>
      <c r="AH162" s="553"/>
      <c r="AI162" s="553"/>
      <c r="AJ162" s="631"/>
      <c r="AK162" s="631"/>
      <c r="AL162" s="631"/>
      <c r="AM162" s="631"/>
      <c r="AN162" s="631"/>
      <c r="AO162" s="631"/>
      <c r="AP162" s="631"/>
      <c r="AQ162" s="631"/>
      <c r="AR162" s="631"/>
      <c r="AS162" s="631"/>
      <c r="AT162" s="631"/>
      <c r="AU162" s="631"/>
      <c r="AV162" s="631"/>
      <c r="AW162" s="631"/>
      <c r="AX162" s="631"/>
      <c r="AY162" s="631"/>
      <c r="AZ162" s="631"/>
      <c r="BA162" s="631"/>
      <c r="BB162" s="631"/>
    </row>
    <row r="163" spans="1:54" ht="13.5" customHeight="1">
      <c r="A163" s="7"/>
      <c r="B163" s="561"/>
      <c r="C163" s="561"/>
      <c r="D163" s="553"/>
      <c r="E163" s="553"/>
      <c r="F163" s="553"/>
      <c r="G163" s="553"/>
      <c r="H163" s="553"/>
      <c r="I163" s="553"/>
      <c r="J163" s="553"/>
      <c r="K163" s="553"/>
      <c r="L163" s="553"/>
      <c r="M163" s="553"/>
      <c r="N163" s="553"/>
      <c r="O163" s="553"/>
      <c r="P163" s="553"/>
      <c r="Q163" s="553"/>
      <c r="R163" s="553"/>
      <c r="S163" s="553"/>
      <c r="T163" s="553"/>
      <c r="U163" s="553"/>
      <c r="V163" s="553"/>
      <c r="W163" s="553"/>
      <c r="X163" s="553"/>
      <c r="Y163" s="553"/>
      <c r="Z163" s="553"/>
      <c r="AA163" s="553"/>
      <c r="AB163" s="553"/>
      <c r="AC163" s="553"/>
      <c r="AD163" s="553"/>
      <c r="AE163" s="553"/>
      <c r="AF163" s="553"/>
      <c r="AG163" s="553"/>
      <c r="AH163" s="553"/>
      <c r="AI163" s="553"/>
      <c r="AJ163" s="631"/>
      <c r="AK163" s="631"/>
      <c r="AL163" s="631"/>
      <c r="AM163" s="631"/>
      <c r="AN163" s="631"/>
      <c r="AO163" s="631"/>
      <c r="AP163" s="631"/>
      <c r="AQ163" s="631"/>
      <c r="AR163" s="631"/>
      <c r="AS163" s="631"/>
      <c r="AT163" s="631"/>
      <c r="AU163" s="631"/>
      <c r="AV163" s="631"/>
      <c r="AW163" s="631"/>
      <c r="AX163" s="631"/>
      <c r="AY163" s="631"/>
      <c r="AZ163" s="631"/>
      <c r="BA163" s="631"/>
      <c r="BB163" s="631"/>
    </row>
    <row r="164" spans="1:54" ht="13.5" customHeight="1">
      <c r="A164" s="7"/>
      <c r="B164" s="106"/>
      <c r="C164" s="106"/>
      <c r="D164" s="99"/>
      <c r="E164" s="99"/>
      <c r="F164" s="99"/>
      <c r="G164" s="99"/>
      <c r="H164" s="99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100"/>
      <c r="AY164" s="103"/>
      <c r="AZ164" s="103"/>
      <c r="BA164" s="103"/>
      <c r="BB164" s="103"/>
    </row>
    <row r="165" spans="1:54" ht="16.5">
      <c r="A165" s="7"/>
      <c r="B165" s="94" t="s">
        <v>140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3"/>
      <c r="AZ165" s="103"/>
      <c r="BA165" s="103"/>
      <c r="BB165" s="103"/>
    </row>
    <row r="166" spans="1:54" ht="16.5">
      <c r="A166" s="7"/>
      <c r="B166" s="92" t="s">
        <v>15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3"/>
      <c r="AZ166" s="103"/>
      <c r="BA166" s="103"/>
      <c r="BB166" s="103"/>
    </row>
    <row r="167" spans="1:54" ht="13.5" customHeight="1">
      <c r="A167" s="7"/>
      <c r="B167" s="493" t="s">
        <v>201</v>
      </c>
      <c r="C167" s="494"/>
      <c r="D167" s="493" t="s">
        <v>9</v>
      </c>
      <c r="E167" s="495"/>
      <c r="F167" s="495"/>
      <c r="G167" s="495"/>
      <c r="H167" s="495"/>
      <c r="I167" s="494"/>
      <c r="J167" s="493" t="s">
        <v>16</v>
      </c>
      <c r="K167" s="495"/>
      <c r="L167" s="495"/>
      <c r="M167" s="495"/>
      <c r="N167" s="495"/>
      <c r="O167" s="494"/>
      <c r="P167" s="493" t="s">
        <v>216</v>
      </c>
      <c r="Q167" s="495"/>
      <c r="R167" s="495"/>
      <c r="S167" s="495"/>
      <c r="T167" s="495"/>
      <c r="U167" s="494"/>
      <c r="V167" s="550" t="s">
        <v>18</v>
      </c>
      <c r="W167" s="552"/>
      <c r="X167" s="493" t="s">
        <v>19</v>
      </c>
      <c r="Y167" s="495"/>
      <c r="Z167" s="494"/>
      <c r="AA167" s="493" t="s">
        <v>21</v>
      </c>
      <c r="AB167" s="495"/>
      <c r="AC167" s="494"/>
      <c r="AD167" s="493" t="s">
        <v>283</v>
      </c>
      <c r="AE167" s="495"/>
      <c r="AF167" s="494"/>
      <c r="AG167" s="550" t="s">
        <v>22</v>
      </c>
      <c r="AH167" s="551"/>
      <c r="AI167" s="551"/>
      <c r="AJ167" s="551"/>
      <c r="AK167" s="551"/>
      <c r="AL167" s="551"/>
      <c r="AM167" s="551"/>
      <c r="AN167" s="551"/>
      <c r="AO167" s="551"/>
      <c r="AP167" s="552"/>
      <c r="AQ167" s="493" t="s">
        <v>12</v>
      </c>
      <c r="AR167" s="495"/>
      <c r="AS167" s="495"/>
      <c r="AT167" s="495"/>
      <c r="AU167" s="495"/>
      <c r="AV167" s="495"/>
      <c r="AW167" s="495"/>
      <c r="AX167" s="495"/>
      <c r="AY167" s="495"/>
      <c r="AZ167" s="495"/>
      <c r="BA167" s="495"/>
      <c r="BB167" s="494"/>
    </row>
    <row r="168" spans="1:54" ht="13.5" customHeight="1">
      <c r="A168" s="7"/>
      <c r="B168" s="569">
        <v>1</v>
      </c>
      <c r="C168" s="569"/>
      <c r="D168" s="565" t="s">
        <v>141</v>
      </c>
      <c r="E168" s="566"/>
      <c r="F168" s="566"/>
      <c r="G168" s="566"/>
      <c r="H168" s="566"/>
      <c r="I168" s="567"/>
      <c r="J168" s="562" t="s">
        <v>132</v>
      </c>
      <c r="K168" s="563"/>
      <c r="L168" s="563"/>
      <c r="M168" s="563"/>
      <c r="N168" s="563"/>
      <c r="O168" s="564"/>
      <c r="P168" s="566" t="s">
        <v>92</v>
      </c>
      <c r="Q168" s="566"/>
      <c r="R168" s="566"/>
      <c r="S168" s="566"/>
      <c r="T168" s="566"/>
      <c r="U168" s="567"/>
      <c r="V168" s="562"/>
      <c r="W168" s="564"/>
      <c r="X168" s="562"/>
      <c r="Y168" s="563"/>
      <c r="Z168" s="564"/>
      <c r="AA168" s="535" t="s">
        <v>132</v>
      </c>
      <c r="AB168" s="536"/>
      <c r="AC168" s="537"/>
      <c r="AD168" s="535" t="s">
        <v>132</v>
      </c>
      <c r="AE168" s="536"/>
      <c r="AF168" s="537"/>
      <c r="AG168" s="535" t="s">
        <v>311</v>
      </c>
      <c r="AH168" s="536"/>
      <c r="AI168" s="536"/>
      <c r="AJ168" s="536"/>
      <c r="AK168" s="536"/>
      <c r="AL168" s="536"/>
      <c r="AM168" s="536"/>
      <c r="AN168" s="536"/>
      <c r="AO168" s="536"/>
      <c r="AP168" s="537"/>
      <c r="AQ168" s="109"/>
      <c r="AR168" s="110"/>
      <c r="AS168" s="110"/>
      <c r="AT168" s="110"/>
      <c r="AU168" s="687"/>
      <c r="AV168" s="687"/>
      <c r="AW168" s="687"/>
      <c r="AX168" s="687"/>
      <c r="AY168" s="687"/>
      <c r="AZ168" s="687"/>
      <c r="BA168" s="687"/>
      <c r="BB168" s="687"/>
    </row>
    <row r="169" spans="1:54" ht="13.5" customHeight="1">
      <c r="A169" s="7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BA169" s="103"/>
      <c r="BB169" s="103"/>
    </row>
    <row r="170" spans="1:54" ht="16.5">
      <c r="A170" s="7"/>
      <c r="B170" s="93" t="s">
        <v>64</v>
      </c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3"/>
      <c r="AZ170" s="103"/>
      <c r="BA170" s="103"/>
      <c r="BB170" s="103"/>
    </row>
    <row r="171" spans="1:54" ht="13.5" customHeight="1">
      <c r="A171" s="7"/>
      <c r="B171" s="480" t="s">
        <v>65</v>
      </c>
      <c r="C171" s="481"/>
      <c r="D171" s="496" t="s">
        <v>66</v>
      </c>
      <c r="E171" s="497"/>
      <c r="F171" s="497"/>
      <c r="G171" s="497"/>
      <c r="H171" s="497"/>
      <c r="I171" s="498"/>
      <c r="J171" s="529" t="s">
        <v>67</v>
      </c>
      <c r="K171" s="530"/>
      <c r="L171" s="530"/>
      <c r="M171" s="530"/>
      <c r="N171" s="530"/>
      <c r="O171" s="530"/>
      <c r="P171" s="530"/>
      <c r="Q171" s="530"/>
      <c r="R171" s="530"/>
      <c r="S171" s="530"/>
      <c r="T171" s="530"/>
      <c r="U171" s="530"/>
      <c r="V171" s="531"/>
      <c r="W171" s="529" t="s">
        <v>68</v>
      </c>
      <c r="X171" s="530"/>
      <c r="Y171" s="530"/>
      <c r="Z171" s="530"/>
      <c r="AA171" s="530"/>
      <c r="AB171" s="530"/>
      <c r="AC171" s="530"/>
      <c r="AD171" s="530"/>
      <c r="AE171" s="530"/>
      <c r="AF171" s="530"/>
      <c r="AG171" s="530"/>
      <c r="AH171" s="530"/>
      <c r="AI171" s="531"/>
      <c r="AJ171" s="529" t="s">
        <v>69</v>
      </c>
      <c r="AK171" s="530"/>
      <c r="AL171" s="530"/>
      <c r="AM171" s="530"/>
      <c r="AN171" s="530"/>
      <c r="AO171" s="530"/>
      <c r="AP171" s="530"/>
      <c r="AQ171" s="530"/>
      <c r="AR171" s="530"/>
      <c r="AS171" s="530"/>
      <c r="AT171" s="530"/>
      <c r="AU171" s="530"/>
      <c r="AV171" s="530"/>
      <c r="AW171" s="530"/>
      <c r="AX171" s="530"/>
      <c r="AY171" s="530"/>
      <c r="AZ171" s="530"/>
      <c r="BA171" s="530"/>
      <c r="BB171" s="531"/>
    </row>
    <row r="172" spans="1:54" ht="13.5" customHeight="1">
      <c r="A172" s="7"/>
      <c r="B172" s="561">
        <v>1</v>
      </c>
      <c r="C172" s="561"/>
      <c r="D172" s="553" t="s">
        <v>226</v>
      </c>
      <c r="E172" s="553"/>
      <c r="F172" s="553"/>
      <c r="G172" s="553"/>
      <c r="H172" s="553"/>
      <c r="I172" s="553"/>
      <c r="J172" s="553" t="s">
        <v>166</v>
      </c>
      <c r="K172" s="553"/>
      <c r="L172" s="553"/>
      <c r="M172" s="553"/>
      <c r="N172" s="553"/>
      <c r="O172" s="553"/>
      <c r="P172" s="553"/>
      <c r="Q172" s="553"/>
      <c r="R172" s="553"/>
      <c r="S172" s="553"/>
      <c r="T172" s="553"/>
      <c r="U172" s="553"/>
      <c r="V172" s="553"/>
      <c r="W172" s="553" t="s">
        <v>72</v>
      </c>
      <c r="X172" s="553"/>
      <c r="Y172" s="553"/>
      <c r="Z172" s="553"/>
      <c r="AA172" s="553"/>
      <c r="AB172" s="553"/>
      <c r="AC172" s="553"/>
      <c r="AD172" s="553"/>
      <c r="AE172" s="553"/>
      <c r="AF172" s="553"/>
      <c r="AG172" s="553"/>
      <c r="AH172" s="553"/>
      <c r="AI172" s="553"/>
      <c r="AJ172" s="631" t="s">
        <v>132</v>
      </c>
      <c r="AK172" s="631"/>
      <c r="AL172" s="631"/>
      <c r="AM172" s="631"/>
      <c r="AN172" s="631"/>
      <c r="AO172" s="631"/>
      <c r="AP172" s="631"/>
      <c r="AQ172" s="631"/>
      <c r="AR172" s="631"/>
      <c r="AS172" s="631"/>
      <c r="AT172" s="631"/>
      <c r="AU172" s="631"/>
      <c r="AV172" s="631"/>
      <c r="AW172" s="631"/>
      <c r="AX172" s="631"/>
      <c r="AY172" s="631"/>
      <c r="AZ172" s="631"/>
      <c r="BA172" s="631"/>
      <c r="BB172" s="631"/>
    </row>
    <row r="173" spans="1:54" ht="13.5" customHeight="1">
      <c r="A173" s="7"/>
      <c r="B173" s="561">
        <v>2</v>
      </c>
      <c r="C173" s="561"/>
      <c r="D173" s="553"/>
      <c r="E173" s="553"/>
      <c r="F173" s="553"/>
      <c r="G173" s="553"/>
      <c r="H173" s="553"/>
      <c r="I173" s="553"/>
      <c r="J173" s="553" t="s">
        <v>167</v>
      </c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53"/>
      <c r="AB173" s="553"/>
      <c r="AC173" s="553"/>
      <c r="AD173" s="553"/>
      <c r="AE173" s="553"/>
      <c r="AF173" s="553"/>
      <c r="AG173" s="553"/>
      <c r="AH173" s="553"/>
      <c r="AI173" s="553"/>
      <c r="AJ173" s="631"/>
      <c r="AK173" s="631"/>
      <c r="AL173" s="631"/>
      <c r="AM173" s="631"/>
      <c r="AN173" s="631"/>
      <c r="AO173" s="631"/>
      <c r="AP173" s="631"/>
      <c r="AQ173" s="631"/>
      <c r="AR173" s="631"/>
      <c r="AS173" s="631"/>
      <c r="AT173" s="631"/>
      <c r="AU173" s="631"/>
      <c r="AV173" s="631"/>
      <c r="AW173" s="631"/>
      <c r="AX173" s="631"/>
      <c r="AY173" s="631"/>
      <c r="AZ173" s="631"/>
      <c r="BA173" s="631"/>
      <c r="BB173" s="631"/>
    </row>
    <row r="174" spans="1:54" ht="13.5" customHeight="1">
      <c r="A174" s="7"/>
      <c r="B174" s="561"/>
      <c r="C174" s="561"/>
      <c r="D174" s="553"/>
      <c r="E174" s="553"/>
      <c r="F174" s="553"/>
      <c r="G174" s="553"/>
      <c r="H174" s="553"/>
      <c r="I174" s="553"/>
      <c r="J174" s="553"/>
      <c r="K174" s="553"/>
      <c r="L174" s="553"/>
      <c r="M174" s="553"/>
      <c r="N174" s="553"/>
      <c r="O174" s="553"/>
      <c r="P174" s="553"/>
      <c r="Q174" s="553"/>
      <c r="R174" s="553"/>
      <c r="S174" s="553"/>
      <c r="T174" s="553"/>
      <c r="U174" s="553"/>
      <c r="V174" s="553"/>
      <c r="W174" s="553"/>
      <c r="X174" s="553"/>
      <c r="Y174" s="553"/>
      <c r="Z174" s="553"/>
      <c r="AA174" s="553"/>
      <c r="AB174" s="553"/>
      <c r="AC174" s="553"/>
      <c r="AD174" s="553"/>
      <c r="AE174" s="553"/>
      <c r="AF174" s="553"/>
      <c r="AG174" s="553"/>
      <c r="AH174" s="553"/>
      <c r="AI174" s="553"/>
      <c r="AJ174" s="631"/>
      <c r="AK174" s="631"/>
      <c r="AL174" s="631"/>
      <c r="AM174" s="631"/>
      <c r="AN174" s="631"/>
      <c r="AO174" s="631"/>
      <c r="AP174" s="631"/>
      <c r="AQ174" s="631"/>
      <c r="AR174" s="631"/>
      <c r="AS174" s="631"/>
      <c r="AT174" s="631"/>
      <c r="AU174" s="631"/>
      <c r="AV174" s="631"/>
      <c r="AW174" s="631"/>
      <c r="AX174" s="631"/>
      <c r="AY174" s="631"/>
      <c r="AZ174" s="631"/>
      <c r="BA174" s="631"/>
      <c r="BB174" s="631"/>
    </row>
    <row r="175" spans="1:54" ht="13.5" customHeight="1">
      <c r="A175" s="7"/>
      <c r="B175" s="561"/>
      <c r="C175" s="561"/>
      <c r="D175" s="553"/>
      <c r="E175" s="553"/>
      <c r="F175" s="553"/>
      <c r="G175" s="553"/>
      <c r="H175" s="553"/>
      <c r="I175" s="553"/>
      <c r="J175" s="553"/>
      <c r="K175" s="553"/>
      <c r="L175" s="553"/>
      <c r="M175" s="553"/>
      <c r="N175" s="553"/>
      <c r="O175" s="553"/>
      <c r="P175" s="553"/>
      <c r="Q175" s="553"/>
      <c r="R175" s="553"/>
      <c r="S175" s="553"/>
      <c r="T175" s="553"/>
      <c r="U175" s="553"/>
      <c r="V175" s="553"/>
      <c r="W175" s="553"/>
      <c r="X175" s="553"/>
      <c r="Y175" s="553"/>
      <c r="Z175" s="553"/>
      <c r="AA175" s="553"/>
      <c r="AB175" s="553"/>
      <c r="AC175" s="553"/>
      <c r="AD175" s="553"/>
      <c r="AE175" s="553"/>
      <c r="AF175" s="553"/>
      <c r="AG175" s="553"/>
      <c r="AH175" s="553"/>
      <c r="AI175" s="553"/>
      <c r="AJ175" s="631"/>
      <c r="AK175" s="631"/>
      <c r="AL175" s="631"/>
      <c r="AM175" s="631"/>
      <c r="AN175" s="631"/>
      <c r="AO175" s="631"/>
      <c r="AP175" s="631"/>
      <c r="AQ175" s="631"/>
      <c r="AR175" s="631"/>
      <c r="AS175" s="631"/>
      <c r="AT175" s="631"/>
      <c r="AU175" s="631"/>
      <c r="AV175" s="631"/>
      <c r="AW175" s="631"/>
      <c r="AX175" s="631"/>
      <c r="AY175" s="631"/>
      <c r="AZ175" s="631"/>
      <c r="BA175" s="631"/>
      <c r="BB175" s="631"/>
    </row>
    <row r="176" spans="1:54" ht="13.5" customHeight="1">
      <c r="A176" s="7"/>
      <c r="B176" s="561"/>
      <c r="C176" s="561"/>
      <c r="D176" s="553"/>
      <c r="E176" s="553"/>
      <c r="F176" s="553"/>
      <c r="G176" s="553"/>
      <c r="H176" s="553"/>
      <c r="I176" s="553"/>
      <c r="J176" s="553"/>
      <c r="K176" s="553"/>
      <c r="L176" s="553"/>
      <c r="M176" s="553"/>
      <c r="N176" s="553"/>
      <c r="O176" s="553"/>
      <c r="P176" s="553"/>
      <c r="Q176" s="553"/>
      <c r="R176" s="553"/>
      <c r="S176" s="553"/>
      <c r="T176" s="553"/>
      <c r="U176" s="553"/>
      <c r="V176" s="553"/>
      <c r="W176" s="553"/>
      <c r="X176" s="553"/>
      <c r="Y176" s="553"/>
      <c r="Z176" s="553"/>
      <c r="AA176" s="553"/>
      <c r="AB176" s="553"/>
      <c r="AC176" s="553"/>
      <c r="AD176" s="553"/>
      <c r="AE176" s="553"/>
      <c r="AF176" s="553"/>
      <c r="AG176" s="553"/>
      <c r="AH176" s="553"/>
      <c r="AI176" s="553"/>
      <c r="AJ176" s="631"/>
      <c r="AK176" s="631"/>
      <c r="AL176" s="631"/>
      <c r="AM176" s="631"/>
      <c r="AN176" s="631"/>
      <c r="AO176" s="631"/>
      <c r="AP176" s="631"/>
      <c r="AQ176" s="631"/>
      <c r="AR176" s="631"/>
      <c r="AS176" s="631"/>
      <c r="AT176" s="631"/>
      <c r="AU176" s="631"/>
      <c r="AV176" s="631"/>
      <c r="AW176" s="631"/>
      <c r="AX176" s="631"/>
      <c r="AY176" s="631"/>
      <c r="AZ176" s="631"/>
      <c r="BA176" s="631"/>
      <c r="BB176" s="631"/>
    </row>
    <row r="177" spans="1:54" ht="13.5" customHeight="1">
      <c r="A177" s="7"/>
      <c r="B177" s="561"/>
      <c r="C177" s="561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53"/>
      <c r="P177" s="553"/>
      <c r="Q177" s="553"/>
      <c r="R177" s="553"/>
      <c r="S177" s="553"/>
      <c r="T177" s="553"/>
      <c r="U177" s="553"/>
      <c r="V177" s="553"/>
      <c r="W177" s="553"/>
      <c r="X177" s="553"/>
      <c r="Y177" s="553"/>
      <c r="Z177" s="553"/>
      <c r="AA177" s="553"/>
      <c r="AB177" s="553"/>
      <c r="AC177" s="553"/>
      <c r="AD177" s="553"/>
      <c r="AE177" s="553"/>
      <c r="AF177" s="553"/>
      <c r="AG177" s="553"/>
      <c r="AH177" s="553"/>
      <c r="AI177" s="553"/>
      <c r="AJ177" s="631"/>
      <c r="AK177" s="631"/>
      <c r="AL177" s="631"/>
      <c r="AM177" s="631"/>
      <c r="AN177" s="631"/>
      <c r="AO177" s="631"/>
      <c r="AP177" s="631"/>
      <c r="AQ177" s="631"/>
      <c r="AR177" s="631"/>
      <c r="AS177" s="631"/>
      <c r="AT177" s="631"/>
      <c r="AU177" s="631"/>
      <c r="AV177" s="631"/>
      <c r="AW177" s="631"/>
      <c r="AX177" s="631"/>
      <c r="AY177" s="631"/>
      <c r="AZ177" s="631"/>
      <c r="BA177" s="631"/>
      <c r="BB177" s="631"/>
    </row>
    <row r="178" spans="1:54" ht="13.5" customHeight="1">
      <c r="A178" s="7"/>
      <c r="B178" s="561">
        <v>3</v>
      </c>
      <c r="C178" s="561"/>
      <c r="D178" s="553" t="s">
        <v>303</v>
      </c>
      <c r="E178" s="553"/>
      <c r="F178" s="553"/>
      <c r="G178" s="553"/>
      <c r="H178" s="553"/>
      <c r="I178" s="553"/>
      <c r="J178" s="553" t="s">
        <v>168</v>
      </c>
      <c r="K178" s="553"/>
      <c r="L178" s="553"/>
      <c r="M178" s="553"/>
      <c r="N178" s="553"/>
      <c r="O178" s="553"/>
      <c r="P178" s="553"/>
      <c r="Q178" s="553"/>
      <c r="R178" s="553"/>
      <c r="S178" s="553"/>
      <c r="T178" s="553"/>
      <c r="U178" s="553"/>
      <c r="V178" s="553"/>
      <c r="W178" s="553"/>
      <c r="X178" s="553"/>
      <c r="Y178" s="553"/>
      <c r="Z178" s="553"/>
      <c r="AA178" s="553"/>
      <c r="AB178" s="553"/>
      <c r="AC178" s="553"/>
      <c r="AD178" s="553"/>
      <c r="AE178" s="553"/>
      <c r="AF178" s="553"/>
      <c r="AG178" s="553"/>
      <c r="AH178" s="553"/>
      <c r="AI178" s="553"/>
      <c r="AJ178" s="631"/>
      <c r="AK178" s="631"/>
      <c r="AL178" s="631"/>
      <c r="AM178" s="631"/>
      <c r="AN178" s="631"/>
      <c r="AO178" s="631"/>
      <c r="AP178" s="631"/>
      <c r="AQ178" s="631"/>
      <c r="AR178" s="631"/>
      <c r="AS178" s="631"/>
      <c r="AT178" s="631"/>
      <c r="AU178" s="631"/>
      <c r="AV178" s="631"/>
      <c r="AW178" s="631"/>
      <c r="AX178" s="631"/>
      <c r="AY178" s="631"/>
      <c r="AZ178" s="631"/>
      <c r="BA178" s="631"/>
      <c r="BB178" s="631"/>
    </row>
    <row r="179" spans="1:54" ht="13.5" customHeight="1">
      <c r="A179" s="7"/>
      <c r="B179" s="561"/>
      <c r="C179" s="561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53"/>
      <c r="AB179" s="553"/>
      <c r="AC179" s="553"/>
      <c r="AD179" s="553"/>
      <c r="AE179" s="553"/>
      <c r="AF179" s="553"/>
      <c r="AG179" s="553"/>
      <c r="AH179" s="553"/>
      <c r="AI179" s="553"/>
      <c r="AJ179" s="631"/>
      <c r="AK179" s="631"/>
      <c r="AL179" s="631"/>
      <c r="AM179" s="631"/>
      <c r="AN179" s="631"/>
      <c r="AO179" s="631"/>
      <c r="AP179" s="631"/>
      <c r="AQ179" s="631"/>
      <c r="AR179" s="631"/>
      <c r="AS179" s="631"/>
      <c r="AT179" s="631"/>
      <c r="AU179" s="631"/>
      <c r="AV179" s="631"/>
      <c r="AW179" s="631"/>
      <c r="AX179" s="631"/>
      <c r="AY179" s="631"/>
      <c r="AZ179" s="631"/>
      <c r="BA179" s="631"/>
      <c r="BB179" s="631"/>
    </row>
    <row r="180" spans="1:54" ht="13.5" customHeight="1">
      <c r="A180" s="7"/>
      <c r="B180" s="561"/>
      <c r="C180" s="561"/>
      <c r="D180" s="553"/>
      <c r="E180" s="553"/>
      <c r="F180" s="553"/>
      <c r="G180" s="553"/>
      <c r="H180" s="553"/>
      <c r="I180" s="553"/>
      <c r="J180" s="553"/>
      <c r="K180" s="553"/>
      <c r="L180" s="553"/>
      <c r="M180" s="553"/>
      <c r="N180" s="553"/>
      <c r="O180" s="553"/>
      <c r="P180" s="553"/>
      <c r="Q180" s="553"/>
      <c r="R180" s="553"/>
      <c r="S180" s="553"/>
      <c r="T180" s="553"/>
      <c r="U180" s="553"/>
      <c r="V180" s="553"/>
      <c r="W180" s="553"/>
      <c r="X180" s="553"/>
      <c r="Y180" s="553"/>
      <c r="Z180" s="553"/>
      <c r="AA180" s="553"/>
      <c r="AB180" s="553"/>
      <c r="AC180" s="553"/>
      <c r="AD180" s="553"/>
      <c r="AE180" s="553"/>
      <c r="AF180" s="553"/>
      <c r="AG180" s="553"/>
      <c r="AH180" s="553"/>
      <c r="AI180" s="553"/>
      <c r="AJ180" s="631"/>
      <c r="AK180" s="631"/>
      <c r="AL180" s="631"/>
      <c r="AM180" s="631"/>
      <c r="AN180" s="631"/>
      <c r="AO180" s="631"/>
      <c r="AP180" s="631"/>
      <c r="AQ180" s="631"/>
      <c r="AR180" s="631"/>
      <c r="AS180" s="631"/>
      <c r="AT180" s="631"/>
      <c r="AU180" s="631"/>
      <c r="AV180" s="631"/>
      <c r="AW180" s="631"/>
      <c r="AX180" s="631"/>
      <c r="AY180" s="631"/>
      <c r="AZ180" s="631"/>
      <c r="BA180" s="631"/>
      <c r="BB180" s="631"/>
    </row>
    <row r="181" spans="1:54" ht="13.5" customHeight="1">
      <c r="A181" s="7"/>
      <c r="B181" s="561"/>
      <c r="C181" s="561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53"/>
      <c r="P181" s="553"/>
      <c r="Q181" s="553"/>
      <c r="R181" s="553"/>
      <c r="S181" s="553"/>
      <c r="T181" s="553"/>
      <c r="U181" s="553"/>
      <c r="V181" s="553"/>
      <c r="W181" s="553"/>
      <c r="X181" s="553"/>
      <c r="Y181" s="553"/>
      <c r="Z181" s="553"/>
      <c r="AA181" s="553"/>
      <c r="AB181" s="553"/>
      <c r="AC181" s="553"/>
      <c r="AD181" s="553"/>
      <c r="AE181" s="553"/>
      <c r="AF181" s="553"/>
      <c r="AG181" s="553"/>
      <c r="AH181" s="553"/>
      <c r="AI181" s="553"/>
      <c r="AJ181" s="631"/>
      <c r="AK181" s="631"/>
      <c r="AL181" s="631"/>
      <c r="AM181" s="631"/>
      <c r="AN181" s="631"/>
      <c r="AO181" s="631"/>
      <c r="AP181" s="631"/>
      <c r="AQ181" s="631"/>
      <c r="AR181" s="631"/>
      <c r="AS181" s="631"/>
      <c r="AT181" s="631"/>
      <c r="AU181" s="631"/>
      <c r="AV181" s="631"/>
      <c r="AW181" s="631"/>
      <c r="AX181" s="631"/>
      <c r="AY181" s="631"/>
      <c r="AZ181" s="631"/>
      <c r="BA181" s="631"/>
      <c r="BB181" s="631"/>
    </row>
    <row r="182" spans="1:54" ht="13.5" customHeight="1">
      <c r="A182" s="7"/>
      <c r="B182" s="561"/>
      <c r="C182" s="561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53"/>
      <c r="P182" s="553"/>
      <c r="Q182" s="553"/>
      <c r="R182" s="553"/>
      <c r="S182" s="553"/>
      <c r="T182" s="553"/>
      <c r="U182" s="553"/>
      <c r="V182" s="553"/>
      <c r="W182" s="553"/>
      <c r="X182" s="553"/>
      <c r="Y182" s="553"/>
      <c r="Z182" s="553"/>
      <c r="AA182" s="553"/>
      <c r="AB182" s="553"/>
      <c r="AC182" s="553"/>
      <c r="AD182" s="553"/>
      <c r="AE182" s="553"/>
      <c r="AF182" s="553"/>
      <c r="AG182" s="553"/>
      <c r="AH182" s="553"/>
      <c r="AI182" s="553"/>
      <c r="AJ182" s="631"/>
      <c r="AK182" s="631"/>
      <c r="AL182" s="631"/>
      <c r="AM182" s="631"/>
      <c r="AN182" s="631"/>
      <c r="AO182" s="631"/>
      <c r="AP182" s="631"/>
      <c r="AQ182" s="631"/>
      <c r="AR182" s="631"/>
      <c r="AS182" s="631"/>
      <c r="AT182" s="631"/>
      <c r="AU182" s="631"/>
      <c r="AV182" s="631"/>
      <c r="AW182" s="631"/>
      <c r="AX182" s="631"/>
      <c r="AY182" s="631"/>
      <c r="AZ182" s="631"/>
      <c r="BA182" s="631"/>
      <c r="BB182" s="631"/>
    </row>
    <row r="183" spans="1:54" ht="13.5" customHeight="1">
      <c r="A183" s="7"/>
      <c r="B183" s="561"/>
      <c r="C183" s="561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53"/>
      <c r="AB183" s="553"/>
      <c r="AC183" s="553"/>
      <c r="AD183" s="553"/>
      <c r="AE183" s="553"/>
      <c r="AF183" s="553"/>
      <c r="AG183" s="553"/>
      <c r="AH183" s="553"/>
      <c r="AI183" s="553"/>
      <c r="AJ183" s="631"/>
      <c r="AK183" s="631"/>
      <c r="AL183" s="631"/>
      <c r="AM183" s="631"/>
      <c r="AN183" s="631"/>
      <c r="AO183" s="631"/>
      <c r="AP183" s="631"/>
      <c r="AQ183" s="631"/>
      <c r="AR183" s="631"/>
      <c r="AS183" s="631"/>
      <c r="AT183" s="631"/>
      <c r="AU183" s="631"/>
      <c r="AV183" s="631"/>
      <c r="AW183" s="631"/>
      <c r="AX183" s="631"/>
      <c r="AY183" s="631"/>
      <c r="AZ183" s="631"/>
      <c r="BA183" s="631"/>
      <c r="BB183" s="631"/>
    </row>
    <row r="184" spans="1:54" ht="13.5" customHeight="1">
      <c r="A184" s="7"/>
      <c r="B184" s="561"/>
      <c r="C184" s="561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53"/>
      <c r="AB184" s="553"/>
      <c r="AC184" s="553"/>
      <c r="AD184" s="553"/>
      <c r="AE184" s="553"/>
      <c r="AF184" s="553"/>
      <c r="AG184" s="553"/>
      <c r="AH184" s="553"/>
      <c r="AI184" s="553"/>
      <c r="AJ184" s="631"/>
      <c r="AK184" s="631"/>
      <c r="AL184" s="631"/>
      <c r="AM184" s="631"/>
      <c r="AN184" s="631"/>
      <c r="AO184" s="631"/>
      <c r="AP184" s="631"/>
      <c r="AQ184" s="631"/>
      <c r="AR184" s="631"/>
      <c r="AS184" s="631"/>
      <c r="AT184" s="631"/>
      <c r="AU184" s="631"/>
      <c r="AV184" s="631"/>
      <c r="AW184" s="631"/>
      <c r="AX184" s="631"/>
      <c r="AY184" s="631"/>
      <c r="AZ184" s="631"/>
      <c r="BA184" s="631"/>
      <c r="BB184" s="631"/>
    </row>
    <row r="185" spans="1:54" ht="13.5" customHeight="1">
      <c r="A185" s="7"/>
      <c r="B185" s="561"/>
      <c r="C185" s="561"/>
      <c r="D185" s="553"/>
      <c r="E185" s="553"/>
      <c r="F185" s="553"/>
      <c r="G185" s="553"/>
      <c r="H185" s="553"/>
      <c r="I185" s="553"/>
      <c r="J185" s="553"/>
      <c r="K185" s="553"/>
      <c r="L185" s="553"/>
      <c r="M185" s="553"/>
      <c r="N185" s="553"/>
      <c r="O185" s="553"/>
      <c r="P185" s="553"/>
      <c r="Q185" s="553"/>
      <c r="R185" s="553"/>
      <c r="S185" s="553"/>
      <c r="T185" s="553"/>
      <c r="U185" s="553"/>
      <c r="V185" s="553"/>
      <c r="W185" s="553"/>
      <c r="X185" s="553"/>
      <c r="Y185" s="553"/>
      <c r="Z185" s="553"/>
      <c r="AA185" s="553"/>
      <c r="AB185" s="553"/>
      <c r="AC185" s="553"/>
      <c r="AD185" s="553"/>
      <c r="AE185" s="553"/>
      <c r="AF185" s="553"/>
      <c r="AG185" s="553"/>
      <c r="AH185" s="553"/>
      <c r="AI185" s="553"/>
      <c r="AJ185" s="631"/>
      <c r="AK185" s="631"/>
      <c r="AL185" s="631"/>
      <c r="AM185" s="631"/>
      <c r="AN185" s="631"/>
      <c r="AO185" s="631"/>
      <c r="AP185" s="631"/>
      <c r="AQ185" s="631"/>
      <c r="AR185" s="631"/>
      <c r="AS185" s="631"/>
      <c r="AT185" s="631"/>
      <c r="AU185" s="631"/>
      <c r="AV185" s="631"/>
      <c r="AW185" s="631"/>
      <c r="AX185" s="631"/>
      <c r="AY185" s="631"/>
      <c r="AZ185" s="631"/>
      <c r="BA185" s="631"/>
      <c r="BB185" s="631"/>
    </row>
    <row r="186" spans="1:54" ht="13.5" customHeight="1">
      <c r="A186" s="7"/>
      <c r="B186" s="106"/>
      <c r="C186" s="106"/>
      <c r="D186" s="99"/>
      <c r="E186" s="99"/>
      <c r="F186" s="99"/>
      <c r="G186" s="99"/>
      <c r="H186" s="99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  <c r="AR186" s="99"/>
      <c r="AS186" s="99"/>
      <c r="AT186" s="99"/>
      <c r="AU186" s="99"/>
      <c r="AV186" s="99"/>
      <c r="AW186" s="99"/>
      <c r="AX186" s="100"/>
      <c r="AY186" s="103"/>
      <c r="AZ186" s="103"/>
      <c r="BA186" s="103"/>
      <c r="BB186" s="103"/>
    </row>
    <row r="187" spans="1:54" ht="16.5">
      <c r="A187" s="7"/>
      <c r="B187" s="94" t="s">
        <v>145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3"/>
      <c r="AZ187" s="103"/>
      <c r="BA187" s="103"/>
      <c r="BB187" s="103"/>
    </row>
    <row r="188" spans="1:54" ht="16.5">
      <c r="A188" s="7"/>
      <c r="B188" s="92" t="s">
        <v>15</v>
      </c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3"/>
      <c r="AZ188" s="103"/>
      <c r="BA188" s="103"/>
      <c r="BB188" s="103"/>
    </row>
    <row r="189" spans="1:54" ht="13.5" customHeight="1">
      <c r="A189" s="7"/>
      <c r="B189" s="493" t="s">
        <v>201</v>
      </c>
      <c r="C189" s="494"/>
      <c r="D189" s="493" t="s">
        <v>9</v>
      </c>
      <c r="E189" s="495"/>
      <c r="F189" s="495"/>
      <c r="G189" s="495"/>
      <c r="H189" s="495"/>
      <c r="I189" s="494"/>
      <c r="J189" s="493" t="s">
        <v>16</v>
      </c>
      <c r="K189" s="495"/>
      <c r="L189" s="495"/>
      <c r="M189" s="495"/>
      <c r="N189" s="495"/>
      <c r="O189" s="494"/>
      <c r="P189" s="493" t="s">
        <v>216</v>
      </c>
      <c r="Q189" s="495"/>
      <c r="R189" s="495"/>
      <c r="S189" s="495"/>
      <c r="T189" s="495"/>
      <c r="U189" s="494"/>
      <c r="V189" s="550" t="s">
        <v>18</v>
      </c>
      <c r="W189" s="552"/>
      <c r="X189" s="493" t="s">
        <v>19</v>
      </c>
      <c r="Y189" s="495"/>
      <c r="Z189" s="494"/>
      <c r="AA189" s="493" t="s">
        <v>21</v>
      </c>
      <c r="AB189" s="495"/>
      <c r="AC189" s="494"/>
      <c r="AD189" s="493" t="s">
        <v>283</v>
      </c>
      <c r="AE189" s="495"/>
      <c r="AF189" s="494"/>
      <c r="AG189" s="550" t="s">
        <v>22</v>
      </c>
      <c r="AH189" s="551"/>
      <c r="AI189" s="551"/>
      <c r="AJ189" s="551"/>
      <c r="AK189" s="551"/>
      <c r="AL189" s="551"/>
      <c r="AM189" s="551"/>
      <c r="AN189" s="551"/>
      <c r="AO189" s="551"/>
      <c r="AP189" s="552"/>
      <c r="AQ189" s="493" t="s">
        <v>12</v>
      </c>
      <c r="AR189" s="495"/>
      <c r="AS189" s="495"/>
      <c r="AT189" s="495"/>
      <c r="AU189" s="495"/>
      <c r="AV189" s="495"/>
      <c r="AW189" s="495"/>
      <c r="AX189" s="495"/>
      <c r="AY189" s="495"/>
      <c r="AZ189" s="495"/>
      <c r="BA189" s="495"/>
      <c r="BB189" s="494"/>
    </row>
    <row r="190" spans="1:54" ht="13.5" customHeight="1">
      <c r="A190" s="7"/>
      <c r="B190" s="569">
        <v>1</v>
      </c>
      <c r="C190" s="569"/>
      <c r="D190" s="565" t="s">
        <v>308</v>
      </c>
      <c r="E190" s="566"/>
      <c r="F190" s="566"/>
      <c r="G190" s="566"/>
      <c r="H190" s="566"/>
      <c r="I190" s="567"/>
      <c r="J190" s="562" t="s">
        <v>132</v>
      </c>
      <c r="K190" s="563"/>
      <c r="L190" s="563"/>
      <c r="M190" s="563"/>
      <c r="N190" s="563"/>
      <c r="O190" s="564"/>
      <c r="P190" s="566" t="s">
        <v>92</v>
      </c>
      <c r="Q190" s="566"/>
      <c r="R190" s="566"/>
      <c r="S190" s="566"/>
      <c r="T190" s="566"/>
      <c r="U190" s="567"/>
      <c r="V190" s="562"/>
      <c r="W190" s="564"/>
      <c r="X190" s="562"/>
      <c r="Y190" s="563"/>
      <c r="Z190" s="564"/>
      <c r="AA190" s="535" t="s">
        <v>132</v>
      </c>
      <c r="AB190" s="536"/>
      <c r="AC190" s="537"/>
      <c r="AD190" s="535" t="s">
        <v>132</v>
      </c>
      <c r="AE190" s="536"/>
      <c r="AF190" s="537"/>
      <c r="AG190" s="535" t="s">
        <v>144</v>
      </c>
      <c r="AH190" s="536"/>
      <c r="AI190" s="536"/>
      <c r="AJ190" s="536"/>
      <c r="AK190" s="536"/>
      <c r="AL190" s="536"/>
      <c r="AM190" s="536"/>
      <c r="AN190" s="536"/>
      <c r="AO190" s="536"/>
      <c r="AP190" s="537"/>
      <c r="AQ190" s="655"/>
      <c r="AR190" s="656"/>
      <c r="AS190" s="656"/>
      <c r="AT190" s="656"/>
      <c r="AU190" s="656"/>
      <c r="AV190" s="656"/>
      <c r="AW190" s="656"/>
      <c r="AX190" s="656"/>
      <c r="AY190" s="656"/>
      <c r="AZ190" s="656"/>
      <c r="BA190" s="656"/>
      <c r="BB190" s="657"/>
    </row>
    <row r="191" spans="1:54" ht="13.5" customHeight="1">
      <c r="A191" s="7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3"/>
      <c r="AZ191" s="103"/>
      <c r="BA191" s="103"/>
      <c r="BB191" s="103"/>
    </row>
    <row r="192" spans="1:54" ht="16.5">
      <c r="A192" s="7"/>
      <c r="B192" s="93" t="s">
        <v>64</v>
      </c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3"/>
      <c r="AZ192" s="103"/>
      <c r="BA192" s="103"/>
      <c r="BB192" s="103"/>
    </row>
    <row r="193" spans="1:54" ht="13.5" customHeight="1">
      <c r="A193" s="7"/>
      <c r="B193" s="480" t="s">
        <v>65</v>
      </c>
      <c r="C193" s="481"/>
      <c r="D193" s="496" t="s">
        <v>66</v>
      </c>
      <c r="E193" s="497"/>
      <c r="F193" s="497"/>
      <c r="G193" s="497"/>
      <c r="H193" s="497"/>
      <c r="I193" s="498"/>
      <c r="J193" s="529" t="s">
        <v>67</v>
      </c>
      <c r="K193" s="530"/>
      <c r="L193" s="530"/>
      <c r="M193" s="530"/>
      <c r="N193" s="530"/>
      <c r="O193" s="530"/>
      <c r="P193" s="530"/>
      <c r="Q193" s="530"/>
      <c r="R193" s="530"/>
      <c r="S193" s="530"/>
      <c r="T193" s="530"/>
      <c r="U193" s="530"/>
      <c r="V193" s="531"/>
      <c r="W193" s="529" t="s">
        <v>68</v>
      </c>
      <c r="X193" s="530"/>
      <c r="Y193" s="530"/>
      <c r="Z193" s="530"/>
      <c r="AA193" s="530"/>
      <c r="AB193" s="530"/>
      <c r="AC193" s="530"/>
      <c r="AD193" s="530"/>
      <c r="AE193" s="530"/>
      <c r="AF193" s="530"/>
      <c r="AG193" s="530"/>
      <c r="AH193" s="530"/>
      <c r="AI193" s="531"/>
      <c r="AJ193" s="529" t="s">
        <v>69</v>
      </c>
      <c r="AK193" s="530"/>
      <c r="AL193" s="530"/>
      <c r="AM193" s="530"/>
      <c r="AN193" s="530"/>
      <c r="AO193" s="530"/>
      <c r="AP193" s="530"/>
      <c r="AQ193" s="530"/>
      <c r="AR193" s="530"/>
      <c r="AS193" s="530"/>
      <c r="AT193" s="530"/>
      <c r="AU193" s="530"/>
      <c r="AV193" s="530"/>
      <c r="AW193" s="530"/>
      <c r="AX193" s="530"/>
      <c r="AY193" s="530"/>
      <c r="AZ193" s="530"/>
      <c r="BA193" s="530"/>
      <c r="BB193" s="531"/>
    </row>
    <row r="194" spans="1:54" ht="13.5" customHeight="1">
      <c r="A194" s="7"/>
      <c r="B194" s="561">
        <v>1</v>
      </c>
      <c r="C194" s="561"/>
      <c r="D194" s="553" t="s">
        <v>84</v>
      </c>
      <c r="E194" s="553"/>
      <c r="F194" s="553"/>
      <c r="G194" s="553"/>
      <c r="H194" s="553"/>
      <c r="I194" s="553"/>
      <c r="J194" s="553" t="s">
        <v>312</v>
      </c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 t="s">
        <v>72</v>
      </c>
      <c r="X194" s="553"/>
      <c r="Y194" s="553"/>
      <c r="Z194" s="553"/>
      <c r="AA194" s="553"/>
      <c r="AB194" s="553"/>
      <c r="AC194" s="553"/>
      <c r="AD194" s="553"/>
      <c r="AE194" s="553"/>
      <c r="AF194" s="553"/>
      <c r="AG194" s="553"/>
      <c r="AH194" s="553"/>
      <c r="AI194" s="553"/>
      <c r="AJ194" s="631" t="s">
        <v>132</v>
      </c>
      <c r="AK194" s="631"/>
      <c r="AL194" s="631"/>
      <c r="AM194" s="631"/>
      <c r="AN194" s="631"/>
      <c r="AO194" s="631"/>
      <c r="AP194" s="631"/>
      <c r="AQ194" s="631"/>
      <c r="AR194" s="631"/>
      <c r="AS194" s="631"/>
      <c r="AT194" s="631"/>
      <c r="AU194" s="631"/>
      <c r="AV194" s="631"/>
      <c r="AW194" s="631"/>
      <c r="AX194" s="631"/>
      <c r="AY194" s="631"/>
      <c r="AZ194" s="631"/>
      <c r="BA194" s="631"/>
      <c r="BB194" s="631"/>
    </row>
    <row r="195" spans="1:54" ht="13.5" customHeight="1">
      <c r="A195" s="7"/>
      <c r="B195" s="561">
        <v>2</v>
      </c>
      <c r="C195" s="561"/>
      <c r="D195" s="553"/>
      <c r="E195" s="553"/>
      <c r="F195" s="553"/>
      <c r="G195" s="553"/>
      <c r="H195" s="553"/>
      <c r="I195" s="553"/>
      <c r="J195" s="553" t="s">
        <v>169</v>
      </c>
      <c r="K195" s="553"/>
      <c r="L195" s="553"/>
      <c r="M195" s="553"/>
      <c r="N195" s="553"/>
      <c r="O195" s="553"/>
      <c r="P195" s="553"/>
      <c r="Q195" s="553"/>
      <c r="R195" s="553"/>
      <c r="S195" s="553"/>
      <c r="T195" s="553"/>
      <c r="U195" s="553"/>
      <c r="V195" s="553"/>
      <c r="W195" s="553"/>
      <c r="X195" s="553"/>
      <c r="Y195" s="553"/>
      <c r="Z195" s="553"/>
      <c r="AA195" s="553"/>
      <c r="AB195" s="553"/>
      <c r="AC195" s="553"/>
      <c r="AD195" s="553"/>
      <c r="AE195" s="553"/>
      <c r="AF195" s="553"/>
      <c r="AG195" s="553"/>
      <c r="AH195" s="553"/>
      <c r="AI195" s="553"/>
      <c r="AJ195" s="631"/>
      <c r="AK195" s="631"/>
      <c r="AL195" s="631"/>
      <c r="AM195" s="631"/>
      <c r="AN195" s="631"/>
      <c r="AO195" s="631"/>
      <c r="AP195" s="631"/>
      <c r="AQ195" s="631"/>
      <c r="AR195" s="631"/>
      <c r="AS195" s="631"/>
      <c r="AT195" s="631"/>
      <c r="AU195" s="631"/>
      <c r="AV195" s="631"/>
      <c r="AW195" s="631"/>
      <c r="AX195" s="631"/>
      <c r="AY195" s="631"/>
      <c r="AZ195" s="631"/>
      <c r="BA195" s="631"/>
      <c r="BB195" s="631"/>
    </row>
    <row r="196" spans="1:54" ht="13.5" customHeight="1">
      <c r="A196" s="7"/>
      <c r="B196" s="561"/>
      <c r="C196" s="561"/>
      <c r="D196" s="553"/>
      <c r="E196" s="553"/>
      <c r="F196" s="553"/>
      <c r="G196" s="553"/>
      <c r="H196" s="553"/>
      <c r="I196" s="553"/>
      <c r="J196" s="553"/>
      <c r="K196" s="553"/>
      <c r="L196" s="553"/>
      <c r="M196" s="553"/>
      <c r="N196" s="553"/>
      <c r="O196" s="553"/>
      <c r="P196" s="553"/>
      <c r="Q196" s="553"/>
      <c r="R196" s="553"/>
      <c r="S196" s="553"/>
      <c r="T196" s="553"/>
      <c r="U196" s="553"/>
      <c r="V196" s="553"/>
      <c r="W196" s="553"/>
      <c r="X196" s="553"/>
      <c r="Y196" s="553"/>
      <c r="Z196" s="553"/>
      <c r="AA196" s="553"/>
      <c r="AB196" s="553"/>
      <c r="AC196" s="553"/>
      <c r="AD196" s="553"/>
      <c r="AE196" s="553"/>
      <c r="AF196" s="553"/>
      <c r="AG196" s="553"/>
      <c r="AH196" s="553"/>
      <c r="AI196" s="553"/>
      <c r="AJ196" s="631"/>
      <c r="AK196" s="631"/>
      <c r="AL196" s="631"/>
      <c r="AM196" s="631"/>
      <c r="AN196" s="631"/>
      <c r="AO196" s="631"/>
      <c r="AP196" s="631"/>
      <c r="AQ196" s="631"/>
      <c r="AR196" s="631"/>
      <c r="AS196" s="631"/>
      <c r="AT196" s="631"/>
      <c r="AU196" s="631"/>
      <c r="AV196" s="631"/>
      <c r="AW196" s="631"/>
      <c r="AX196" s="631"/>
      <c r="AY196" s="631"/>
      <c r="AZ196" s="631"/>
      <c r="BA196" s="631"/>
      <c r="BB196" s="631"/>
    </row>
    <row r="197" spans="1:54" ht="13.5" customHeight="1">
      <c r="A197" s="7"/>
      <c r="B197" s="106"/>
      <c r="C197" s="106"/>
      <c r="D197" s="99"/>
      <c r="E197" s="99"/>
      <c r="F197" s="99"/>
      <c r="G197" s="99"/>
      <c r="H197" s="99"/>
      <c r="I197" s="101"/>
      <c r="AY197" s="103"/>
      <c r="AZ197" s="103"/>
      <c r="BA197" s="103"/>
      <c r="BB197" s="103"/>
    </row>
    <row r="198" spans="1:54" ht="16.5">
      <c r="A198" s="7"/>
      <c r="B198" s="94" t="s">
        <v>149</v>
      </c>
      <c r="C198" s="100"/>
      <c r="D198" s="100"/>
      <c r="E198" s="100"/>
      <c r="F198" s="100"/>
      <c r="G198" s="100"/>
      <c r="H198" s="100"/>
      <c r="I198" s="100"/>
      <c r="AY198" s="103"/>
      <c r="AZ198" s="103"/>
      <c r="BA198" s="103"/>
      <c r="BB198" s="103"/>
    </row>
    <row r="199" spans="1:54" ht="16.5">
      <c r="A199" s="7"/>
      <c r="B199" s="92" t="s">
        <v>15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3"/>
      <c r="AZ199" s="103"/>
      <c r="BA199" s="103"/>
      <c r="BB199" s="103"/>
    </row>
    <row r="200" spans="1:54" ht="13.5" customHeight="1">
      <c r="A200" s="7"/>
      <c r="B200" s="493" t="s">
        <v>201</v>
      </c>
      <c r="C200" s="494"/>
      <c r="D200" s="493" t="s">
        <v>9</v>
      </c>
      <c r="E200" s="495"/>
      <c r="F200" s="495"/>
      <c r="G200" s="495"/>
      <c r="H200" s="495"/>
      <c r="I200" s="494"/>
      <c r="J200" s="493" t="s">
        <v>16</v>
      </c>
      <c r="K200" s="495"/>
      <c r="L200" s="495"/>
      <c r="M200" s="495"/>
      <c r="N200" s="495"/>
      <c r="O200" s="494"/>
      <c r="P200" s="493" t="s">
        <v>216</v>
      </c>
      <c r="Q200" s="495"/>
      <c r="R200" s="495"/>
      <c r="S200" s="495"/>
      <c r="T200" s="495"/>
      <c r="U200" s="494"/>
      <c r="V200" s="550" t="s">
        <v>18</v>
      </c>
      <c r="W200" s="552"/>
      <c r="X200" s="493" t="s">
        <v>19</v>
      </c>
      <c r="Y200" s="495"/>
      <c r="Z200" s="494"/>
      <c r="AA200" s="493" t="s">
        <v>21</v>
      </c>
      <c r="AB200" s="495"/>
      <c r="AC200" s="494"/>
      <c r="AD200" s="493" t="s">
        <v>283</v>
      </c>
      <c r="AE200" s="495"/>
      <c r="AF200" s="494"/>
      <c r="AG200" s="550" t="s">
        <v>22</v>
      </c>
      <c r="AH200" s="551"/>
      <c r="AI200" s="551"/>
      <c r="AJ200" s="551"/>
      <c r="AK200" s="551"/>
      <c r="AL200" s="551"/>
      <c r="AM200" s="551"/>
      <c r="AN200" s="551"/>
      <c r="AO200" s="551"/>
      <c r="AP200" s="552"/>
      <c r="AQ200" s="493" t="s">
        <v>12</v>
      </c>
      <c r="AR200" s="495"/>
      <c r="AS200" s="495"/>
      <c r="AT200" s="495"/>
      <c r="AU200" s="495"/>
      <c r="AV200" s="495"/>
      <c r="AW200" s="495"/>
      <c r="AX200" s="495"/>
      <c r="AY200" s="495"/>
      <c r="AZ200" s="495"/>
      <c r="BA200" s="495"/>
      <c r="BB200" s="494"/>
    </row>
    <row r="201" spans="1:54" ht="13.5" customHeight="1">
      <c r="A201" s="7"/>
      <c r="B201" s="569">
        <v>1</v>
      </c>
      <c r="C201" s="569"/>
      <c r="D201" s="565" t="s">
        <v>94</v>
      </c>
      <c r="E201" s="566"/>
      <c r="F201" s="566"/>
      <c r="G201" s="566"/>
      <c r="H201" s="566"/>
      <c r="I201" s="567"/>
      <c r="J201" s="562" t="s">
        <v>132</v>
      </c>
      <c r="K201" s="563"/>
      <c r="L201" s="563"/>
      <c r="M201" s="563"/>
      <c r="N201" s="563"/>
      <c r="O201" s="564"/>
      <c r="P201" s="566" t="s">
        <v>92</v>
      </c>
      <c r="Q201" s="566"/>
      <c r="R201" s="566"/>
      <c r="S201" s="566"/>
      <c r="T201" s="566"/>
      <c r="U201" s="567"/>
      <c r="V201" s="562"/>
      <c r="W201" s="564"/>
      <c r="X201" s="562"/>
      <c r="Y201" s="563"/>
      <c r="Z201" s="564"/>
      <c r="AA201" s="535" t="s">
        <v>132</v>
      </c>
      <c r="AB201" s="536"/>
      <c r="AC201" s="537"/>
      <c r="AD201" s="535" t="s">
        <v>132</v>
      </c>
      <c r="AE201" s="536"/>
      <c r="AF201" s="537"/>
      <c r="AG201" s="535" t="s">
        <v>313</v>
      </c>
      <c r="AH201" s="536"/>
      <c r="AI201" s="536"/>
      <c r="AJ201" s="536"/>
      <c r="AK201" s="536"/>
      <c r="AL201" s="536"/>
      <c r="AM201" s="536"/>
      <c r="AN201" s="536"/>
      <c r="AO201" s="536"/>
      <c r="AP201" s="537"/>
      <c r="AQ201" s="655"/>
      <c r="AR201" s="656"/>
      <c r="AS201" s="656"/>
      <c r="AT201" s="656"/>
      <c r="AU201" s="656"/>
      <c r="AV201" s="656"/>
      <c r="AW201" s="656"/>
      <c r="AX201" s="656"/>
      <c r="AY201" s="656"/>
      <c r="AZ201" s="656"/>
      <c r="BA201" s="656"/>
      <c r="BB201" s="657"/>
    </row>
    <row r="202" spans="1:54" ht="13.5" customHeight="1">
      <c r="A202" s="7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Y202" s="103"/>
      <c r="AZ202" s="103"/>
      <c r="BA202" s="103"/>
      <c r="BB202" s="103"/>
    </row>
    <row r="203" spans="1:54" ht="16.5">
      <c r="A203" s="7"/>
      <c r="B203" s="93" t="s">
        <v>64</v>
      </c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3"/>
      <c r="AZ203" s="103"/>
      <c r="BA203" s="103"/>
      <c r="BB203" s="103"/>
    </row>
    <row r="204" spans="1:54" ht="13.5" customHeight="1">
      <c r="A204" s="7"/>
      <c r="B204" s="480" t="s">
        <v>65</v>
      </c>
      <c r="C204" s="481"/>
      <c r="D204" s="496" t="s">
        <v>66</v>
      </c>
      <c r="E204" s="497"/>
      <c r="F204" s="497"/>
      <c r="G204" s="497"/>
      <c r="H204" s="497"/>
      <c r="I204" s="498"/>
      <c r="J204" s="529" t="s">
        <v>67</v>
      </c>
      <c r="K204" s="530"/>
      <c r="L204" s="530"/>
      <c r="M204" s="530"/>
      <c r="N204" s="530"/>
      <c r="O204" s="530"/>
      <c r="P204" s="530"/>
      <c r="Q204" s="530"/>
      <c r="R204" s="530"/>
      <c r="S204" s="530"/>
      <c r="T204" s="530"/>
      <c r="U204" s="530"/>
      <c r="V204" s="531"/>
      <c r="W204" s="529" t="s">
        <v>68</v>
      </c>
      <c r="X204" s="530"/>
      <c r="Y204" s="530"/>
      <c r="Z204" s="530"/>
      <c r="AA204" s="530"/>
      <c r="AB204" s="530"/>
      <c r="AC204" s="530"/>
      <c r="AD204" s="530"/>
      <c r="AE204" s="530"/>
      <c r="AF204" s="530"/>
      <c r="AG204" s="530"/>
      <c r="AH204" s="530"/>
      <c r="AI204" s="531"/>
      <c r="AJ204" s="529" t="s">
        <v>69</v>
      </c>
      <c r="AK204" s="530"/>
      <c r="AL204" s="530"/>
      <c r="AM204" s="530"/>
      <c r="AN204" s="530"/>
      <c r="AO204" s="530"/>
      <c r="AP204" s="530"/>
      <c r="AQ204" s="530"/>
      <c r="AR204" s="530"/>
      <c r="AS204" s="530"/>
      <c r="AT204" s="530"/>
      <c r="AU204" s="530"/>
      <c r="AV204" s="530"/>
      <c r="AW204" s="530"/>
      <c r="AX204" s="530"/>
      <c r="AY204" s="530"/>
      <c r="AZ204" s="530"/>
      <c r="BA204" s="530"/>
      <c r="BB204" s="531"/>
    </row>
    <row r="205" spans="1:54" ht="13.5" customHeight="1">
      <c r="A205" s="7"/>
      <c r="B205" s="561">
        <v>1</v>
      </c>
      <c r="C205" s="561"/>
      <c r="D205" s="553" t="s">
        <v>75</v>
      </c>
      <c r="E205" s="553"/>
      <c r="F205" s="553"/>
      <c r="G205" s="553"/>
      <c r="H205" s="553"/>
      <c r="I205" s="553"/>
      <c r="J205" s="553" t="s">
        <v>170</v>
      </c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 t="s">
        <v>72</v>
      </c>
      <c r="X205" s="553"/>
      <c r="Y205" s="553"/>
      <c r="Z205" s="553"/>
      <c r="AA205" s="553"/>
      <c r="AB205" s="553"/>
      <c r="AC205" s="553"/>
      <c r="AD205" s="553"/>
      <c r="AE205" s="553"/>
      <c r="AF205" s="553"/>
      <c r="AG205" s="553"/>
      <c r="AH205" s="553"/>
      <c r="AI205" s="553"/>
      <c r="AJ205" s="631" t="s">
        <v>132</v>
      </c>
      <c r="AK205" s="631"/>
      <c r="AL205" s="631"/>
      <c r="AM205" s="631"/>
      <c r="AN205" s="631"/>
      <c r="AO205" s="631"/>
      <c r="AP205" s="631"/>
      <c r="AQ205" s="631"/>
      <c r="AR205" s="631"/>
      <c r="AS205" s="631"/>
      <c r="AT205" s="631"/>
      <c r="AU205" s="631"/>
      <c r="AV205" s="631"/>
      <c r="AW205" s="631"/>
      <c r="AX205" s="631"/>
      <c r="AY205" s="631"/>
      <c r="AZ205" s="631"/>
      <c r="BA205" s="631"/>
      <c r="BB205" s="631"/>
    </row>
    <row r="206" spans="1:54" ht="13.5" customHeight="1">
      <c r="A206" s="7"/>
      <c r="B206" s="561">
        <v>2</v>
      </c>
      <c r="C206" s="561"/>
      <c r="D206" s="553"/>
      <c r="E206" s="553"/>
      <c r="F206" s="553"/>
      <c r="G206" s="553"/>
      <c r="H206" s="553"/>
      <c r="I206" s="553"/>
      <c r="J206" s="553" t="s">
        <v>173</v>
      </c>
      <c r="K206" s="553"/>
      <c r="L206" s="553"/>
      <c r="M206" s="553"/>
      <c r="N206" s="553"/>
      <c r="O206" s="553"/>
      <c r="P206" s="553"/>
      <c r="Q206" s="553"/>
      <c r="R206" s="553"/>
      <c r="S206" s="553"/>
      <c r="T206" s="553"/>
      <c r="U206" s="553"/>
      <c r="V206" s="553"/>
      <c r="W206" s="553"/>
      <c r="X206" s="553"/>
      <c r="Y206" s="553"/>
      <c r="Z206" s="553"/>
      <c r="AA206" s="553"/>
      <c r="AB206" s="553"/>
      <c r="AC206" s="553"/>
      <c r="AD206" s="553"/>
      <c r="AE206" s="553"/>
      <c r="AF206" s="553"/>
      <c r="AG206" s="553"/>
      <c r="AH206" s="553"/>
      <c r="AI206" s="553"/>
      <c r="AJ206" s="631"/>
      <c r="AK206" s="631"/>
      <c r="AL206" s="631"/>
      <c r="AM206" s="631"/>
      <c r="AN206" s="631"/>
      <c r="AO206" s="631"/>
      <c r="AP206" s="631"/>
      <c r="AQ206" s="631"/>
      <c r="AR206" s="631"/>
      <c r="AS206" s="631"/>
      <c r="AT206" s="631"/>
      <c r="AU206" s="631"/>
      <c r="AV206" s="631"/>
      <c r="AW206" s="631"/>
      <c r="AX206" s="631"/>
      <c r="AY206" s="631"/>
      <c r="AZ206" s="631"/>
      <c r="BA206" s="631"/>
      <c r="BB206" s="631"/>
    </row>
    <row r="207" spans="1:54" ht="13.5" customHeight="1">
      <c r="A207" s="7"/>
      <c r="B207" s="670">
        <v>3</v>
      </c>
      <c r="C207" s="671"/>
      <c r="D207" s="553" t="s">
        <v>244</v>
      </c>
      <c r="E207" s="553"/>
      <c r="F207" s="553"/>
      <c r="G207" s="553"/>
      <c r="H207" s="553"/>
      <c r="I207" s="553"/>
      <c r="J207" s="553" t="s">
        <v>171</v>
      </c>
      <c r="K207" s="553"/>
      <c r="L207" s="553"/>
      <c r="M207" s="553"/>
      <c r="N207" s="553"/>
      <c r="O207" s="553"/>
      <c r="P207" s="553"/>
      <c r="Q207" s="553"/>
      <c r="R207" s="553"/>
      <c r="S207" s="553"/>
      <c r="T207" s="553"/>
      <c r="U207" s="553"/>
      <c r="V207" s="553"/>
      <c r="W207" s="553"/>
      <c r="X207" s="553"/>
      <c r="Y207" s="553"/>
      <c r="Z207" s="553"/>
      <c r="AA207" s="553"/>
      <c r="AB207" s="553"/>
      <c r="AC207" s="553"/>
      <c r="AD207" s="553"/>
      <c r="AE207" s="553"/>
      <c r="AF207" s="553"/>
      <c r="AG207" s="553"/>
      <c r="AH207" s="553"/>
      <c r="AI207" s="553"/>
      <c r="AJ207" s="631"/>
      <c r="AK207" s="631"/>
      <c r="AL207" s="631"/>
      <c r="AM207" s="631"/>
      <c r="AN207" s="631"/>
      <c r="AO207" s="631"/>
      <c r="AP207" s="631"/>
      <c r="AQ207" s="631"/>
      <c r="AR207" s="631"/>
      <c r="AS207" s="631"/>
      <c r="AT207" s="631"/>
      <c r="AU207" s="631"/>
      <c r="AV207" s="631"/>
      <c r="AW207" s="631"/>
      <c r="AX207" s="631"/>
      <c r="AY207" s="631"/>
      <c r="AZ207" s="631"/>
      <c r="BA207" s="631"/>
      <c r="BB207" s="631"/>
    </row>
    <row r="208" spans="1:54" ht="13.5" customHeight="1">
      <c r="A208" s="7"/>
      <c r="B208" s="672"/>
      <c r="C208" s="673"/>
      <c r="D208" s="553"/>
      <c r="E208" s="553"/>
      <c r="F208" s="553"/>
      <c r="G208" s="553"/>
      <c r="H208" s="553"/>
      <c r="I208" s="553"/>
      <c r="J208" s="553"/>
      <c r="K208" s="553"/>
      <c r="L208" s="553"/>
      <c r="M208" s="553"/>
      <c r="N208" s="553"/>
      <c r="O208" s="553"/>
      <c r="P208" s="553"/>
      <c r="Q208" s="553"/>
      <c r="R208" s="553"/>
      <c r="S208" s="553"/>
      <c r="T208" s="553"/>
      <c r="U208" s="553"/>
      <c r="V208" s="553"/>
      <c r="W208" s="553"/>
      <c r="X208" s="553"/>
      <c r="Y208" s="553"/>
      <c r="Z208" s="553"/>
      <c r="AA208" s="553"/>
      <c r="AB208" s="553"/>
      <c r="AC208" s="553"/>
      <c r="AD208" s="553"/>
      <c r="AE208" s="553"/>
      <c r="AF208" s="553"/>
      <c r="AG208" s="553"/>
      <c r="AH208" s="553"/>
      <c r="AI208" s="553"/>
      <c r="AJ208" s="631"/>
      <c r="AK208" s="631"/>
      <c r="AL208" s="631"/>
      <c r="AM208" s="631"/>
      <c r="AN208" s="631"/>
      <c r="AO208" s="631"/>
      <c r="AP208" s="631"/>
      <c r="AQ208" s="631"/>
      <c r="AR208" s="631"/>
      <c r="AS208" s="631"/>
      <c r="AT208" s="631"/>
      <c r="AU208" s="631"/>
      <c r="AV208" s="631"/>
      <c r="AW208" s="631"/>
      <c r="AX208" s="631"/>
      <c r="AY208" s="631"/>
      <c r="AZ208" s="631"/>
      <c r="BA208" s="631"/>
      <c r="BB208" s="631"/>
    </row>
    <row r="209" spans="1:104" ht="13.5" customHeight="1">
      <c r="A209" s="7"/>
      <c r="B209" s="561">
        <v>4</v>
      </c>
      <c r="C209" s="561"/>
      <c r="D209" s="553"/>
      <c r="E209" s="553"/>
      <c r="F209" s="553"/>
      <c r="G209" s="553"/>
      <c r="H209" s="553"/>
      <c r="I209" s="553"/>
      <c r="J209" s="553" t="s">
        <v>174</v>
      </c>
      <c r="K209" s="553"/>
      <c r="L209" s="553"/>
      <c r="M209" s="553"/>
      <c r="N209" s="553"/>
      <c r="O209" s="553"/>
      <c r="P209" s="553"/>
      <c r="Q209" s="553"/>
      <c r="R209" s="553"/>
      <c r="S209" s="553"/>
      <c r="T209" s="553"/>
      <c r="U209" s="553"/>
      <c r="V209" s="553"/>
      <c r="W209" s="553"/>
      <c r="X209" s="553"/>
      <c r="Y209" s="553"/>
      <c r="Z209" s="553"/>
      <c r="AA209" s="553"/>
      <c r="AB209" s="553"/>
      <c r="AC209" s="553"/>
      <c r="AD209" s="553"/>
      <c r="AE209" s="553"/>
      <c r="AF209" s="553"/>
      <c r="AG209" s="553"/>
      <c r="AH209" s="553"/>
      <c r="AI209" s="553"/>
      <c r="AJ209" s="631"/>
      <c r="AK209" s="631"/>
      <c r="AL209" s="631"/>
      <c r="AM209" s="631"/>
      <c r="AN209" s="631"/>
      <c r="AO209" s="631"/>
      <c r="AP209" s="631"/>
      <c r="AQ209" s="631"/>
      <c r="AR209" s="631"/>
      <c r="AS209" s="631"/>
      <c r="AT209" s="631"/>
      <c r="AU209" s="631"/>
      <c r="AV209" s="631"/>
      <c r="AW209" s="631"/>
      <c r="AX209" s="631"/>
      <c r="AY209" s="631"/>
      <c r="AZ209" s="631"/>
      <c r="BA209" s="631"/>
      <c r="BB209" s="631"/>
    </row>
    <row r="210" spans="1:104" ht="13.5" customHeight="1">
      <c r="A210" s="7"/>
      <c r="B210" s="561"/>
      <c r="C210" s="561"/>
      <c r="D210" s="553"/>
      <c r="E210" s="553"/>
      <c r="F210" s="553"/>
      <c r="G210" s="553"/>
      <c r="H210" s="553"/>
      <c r="I210" s="553"/>
      <c r="J210" s="553"/>
      <c r="K210" s="553"/>
      <c r="L210" s="553"/>
      <c r="M210" s="553"/>
      <c r="N210" s="553"/>
      <c r="O210" s="553"/>
      <c r="P210" s="553"/>
      <c r="Q210" s="553"/>
      <c r="R210" s="553"/>
      <c r="S210" s="553"/>
      <c r="T210" s="553"/>
      <c r="U210" s="553"/>
      <c r="V210" s="553"/>
      <c r="W210" s="553"/>
      <c r="X210" s="553"/>
      <c r="Y210" s="553"/>
      <c r="Z210" s="553"/>
      <c r="AA210" s="553"/>
      <c r="AB210" s="553"/>
      <c r="AC210" s="553"/>
      <c r="AD210" s="553"/>
      <c r="AE210" s="553"/>
      <c r="AF210" s="553"/>
      <c r="AG210" s="553"/>
      <c r="AH210" s="553"/>
      <c r="AI210" s="553"/>
      <c r="AJ210" s="631"/>
      <c r="AK210" s="631"/>
      <c r="AL210" s="631"/>
      <c r="AM210" s="631"/>
      <c r="AN210" s="631"/>
      <c r="AO210" s="631"/>
      <c r="AP210" s="631"/>
      <c r="AQ210" s="631"/>
      <c r="AR210" s="631"/>
      <c r="AS210" s="631"/>
      <c r="AT210" s="631"/>
      <c r="AU210" s="631"/>
      <c r="AV210" s="631"/>
      <c r="AW210" s="631"/>
      <c r="AX210" s="631"/>
      <c r="AY210" s="631"/>
      <c r="AZ210" s="631"/>
      <c r="BA210" s="631"/>
      <c r="BB210" s="631"/>
    </row>
    <row r="211" spans="1:104" ht="13.5" customHeight="1">
      <c r="A211" s="7"/>
      <c r="B211" s="561">
        <v>5</v>
      </c>
      <c r="C211" s="561"/>
      <c r="D211" s="553" t="s">
        <v>226</v>
      </c>
      <c r="E211" s="553"/>
      <c r="F211" s="553"/>
      <c r="G211" s="553"/>
      <c r="H211" s="553"/>
      <c r="I211" s="553"/>
      <c r="J211" s="553" t="s">
        <v>172</v>
      </c>
      <c r="K211" s="553"/>
      <c r="L211" s="553"/>
      <c r="M211" s="553"/>
      <c r="N211" s="553"/>
      <c r="O211" s="553"/>
      <c r="P211" s="553"/>
      <c r="Q211" s="553"/>
      <c r="R211" s="553"/>
      <c r="S211" s="553"/>
      <c r="T211" s="553"/>
      <c r="U211" s="553"/>
      <c r="V211" s="553"/>
      <c r="W211" s="553"/>
      <c r="X211" s="553"/>
      <c r="Y211" s="553"/>
      <c r="Z211" s="553"/>
      <c r="AA211" s="553"/>
      <c r="AB211" s="553"/>
      <c r="AC211" s="553"/>
      <c r="AD211" s="553"/>
      <c r="AE211" s="553"/>
      <c r="AF211" s="553"/>
      <c r="AG211" s="553"/>
      <c r="AH211" s="553"/>
      <c r="AI211" s="553"/>
      <c r="AJ211" s="631"/>
      <c r="AK211" s="631"/>
      <c r="AL211" s="631"/>
      <c r="AM211" s="631"/>
      <c r="AN211" s="631"/>
      <c r="AO211" s="631"/>
      <c r="AP211" s="631"/>
      <c r="AQ211" s="631"/>
      <c r="AR211" s="631"/>
      <c r="AS211" s="631"/>
      <c r="AT211" s="631"/>
      <c r="AU211" s="631"/>
      <c r="AV211" s="631"/>
      <c r="AW211" s="631"/>
      <c r="AX211" s="631"/>
      <c r="AY211" s="631"/>
      <c r="AZ211" s="631"/>
      <c r="BA211" s="631"/>
      <c r="BB211" s="631"/>
    </row>
    <row r="212" spans="1:104" ht="13.5" customHeight="1">
      <c r="A212" s="7"/>
      <c r="B212" s="561"/>
      <c r="C212" s="561"/>
      <c r="D212" s="553"/>
      <c r="E212" s="553"/>
      <c r="F212" s="553"/>
      <c r="G212" s="553"/>
      <c r="H212" s="553"/>
      <c r="I212" s="553"/>
      <c r="J212" s="553"/>
      <c r="K212" s="553"/>
      <c r="L212" s="553"/>
      <c r="M212" s="553"/>
      <c r="N212" s="553"/>
      <c r="O212" s="553"/>
      <c r="P212" s="553"/>
      <c r="Q212" s="553"/>
      <c r="R212" s="553"/>
      <c r="S212" s="553"/>
      <c r="T212" s="553"/>
      <c r="U212" s="553"/>
      <c r="V212" s="553"/>
      <c r="W212" s="553"/>
      <c r="X212" s="553"/>
      <c r="Y212" s="553"/>
      <c r="Z212" s="553"/>
      <c r="AA212" s="553"/>
      <c r="AB212" s="553"/>
      <c r="AC212" s="553"/>
      <c r="AD212" s="553"/>
      <c r="AE212" s="553"/>
      <c r="AF212" s="553"/>
      <c r="AG212" s="553"/>
      <c r="AH212" s="553"/>
      <c r="AI212" s="553"/>
      <c r="AJ212" s="631"/>
      <c r="AK212" s="631"/>
      <c r="AL212" s="631"/>
      <c r="AM212" s="631"/>
      <c r="AN212" s="631"/>
      <c r="AO212" s="631"/>
      <c r="AP212" s="631"/>
      <c r="AQ212" s="631"/>
      <c r="AR212" s="631"/>
      <c r="AS212" s="631"/>
      <c r="AT212" s="631"/>
      <c r="AU212" s="631"/>
      <c r="AV212" s="631"/>
      <c r="AW212" s="631"/>
      <c r="AX212" s="631"/>
      <c r="AY212" s="631"/>
      <c r="AZ212" s="631"/>
      <c r="BA212" s="631"/>
      <c r="BB212" s="631"/>
    </row>
    <row r="213" spans="1:104" ht="13.5" customHeight="1">
      <c r="A213" s="7"/>
      <c r="B213" s="561">
        <v>6</v>
      </c>
      <c r="C213" s="561"/>
      <c r="D213" s="553"/>
      <c r="E213" s="553"/>
      <c r="F213" s="553"/>
      <c r="G213" s="553"/>
      <c r="H213" s="553"/>
      <c r="I213" s="553"/>
      <c r="J213" s="553" t="s">
        <v>247</v>
      </c>
      <c r="K213" s="553"/>
      <c r="L213" s="553"/>
      <c r="M213" s="553"/>
      <c r="N213" s="553"/>
      <c r="O213" s="553"/>
      <c r="P213" s="553"/>
      <c r="Q213" s="553"/>
      <c r="R213" s="553"/>
      <c r="S213" s="553"/>
      <c r="T213" s="553"/>
      <c r="U213" s="553"/>
      <c r="V213" s="553"/>
      <c r="W213" s="553"/>
      <c r="X213" s="553"/>
      <c r="Y213" s="553"/>
      <c r="Z213" s="553"/>
      <c r="AA213" s="553"/>
      <c r="AB213" s="553"/>
      <c r="AC213" s="553"/>
      <c r="AD213" s="553"/>
      <c r="AE213" s="553"/>
      <c r="AF213" s="553"/>
      <c r="AG213" s="553"/>
      <c r="AH213" s="553"/>
      <c r="AI213" s="553"/>
      <c r="AJ213" s="631"/>
      <c r="AK213" s="631"/>
      <c r="AL213" s="631"/>
      <c r="AM213" s="631"/>
      <c r="AN213" s="631"/>
      <c r="AO213" s="631"/>
      <c r="AP213" s="631"/>
      <c r="AQ213" s="631"/>
      <c r="AR213" s="631"/>
      <c r="AS213" s="631"/>
      <c r="AT213" s="631"/>
      <c r="AU213" s="631"/>
      <c r="AV213" s="631"/>
      <c r="AW213" s="631"/>
      <c r="AX213" s="631"/>
      <c r="AY213" s="631"/>
      <c r="AZ213" s="631"/>
      <c r="BA213" s="631"/>
      <c r="BB213" s="631"/>
    </row>
    <row r="214" spans="1:104" ht="13.5" customHeight="1">
      <c r="A214" s="7"/>
      <c r="B214" s="561"/>
      <c r="C214" s="561"/>
      <c r="D214" s="553"/>
      <c r="E214" s="553"/>
      <c r="F214" s="553"/>
      <c r="G214" s="553"/>
      <c r="H214" s="553"/>
      <c r="I214" s="553"/>
      <c r="J214" s="553"/>
      <c r="K214" s="553"/>
      <c r="L214" s="553"/>
      <c r="M214" s="553"/>
      <c r="N214" s="553"/>
      <c r="O214" s="553"/>
      <c r="P214" s="553"/>
      <c r="Q214" s="553"/>
      <c r="R214" s="553"/>
      <c r="S214" s="553"/>
      <c r="T214" s="553"/>
      <c r="U214" s="553"/>
      <c r="V214" s="553"/>
      <c r="W214" s="553"/>
      <c r="X214" s="553"/>
      <c r="Y214" s="553"/>
      <c r="Z214" s="553"/>
      <c r="AA214" s="553"/>
      <c r="AB214" s="553"/>
      <c r="AC214" s="553"/>
      <c r="AD214" s="553"/>
      <c r="AE214" s="553"/>
      <c r="AF214" s="553"/>
      <c r="AG214" s="553"/>
      <c r="AH214" s="553"/>
      <c r="AI214" s="553"/>
      <c r="AJ214" s="631"/>
      <c r="AK214" s="631"/>
      <c r="AL214" s="631"/>
      <c r="AM214" s="631"/>
      <c r="AN214" s="631"/>
      <c r="AO214" s="631"/>
      <c r="AP214" s="631"/>
      <c r="AQ214" s="631"/>
      <c r="AR214" s="631"/>
      <c r="AS214" s="631"/>
      <c r="AT214" s="631"/>
      <c r="AU214" s="631"/>
      <c r="AV214" s="631"/>
      <c r="AW214" s="631"/>
      <c r="AX214" s="631"/>
      <c r="AY214" s="631"/>
      <c r="AZ214" s="631"/>
      <c r="BA214" s="631"/>
      <c r="BB214" s="631"/>
    </row>
    <row r="215" spans="1:104" ht="13.5" customHeight="1">
      <c r="A215" s="7"/>
      <c r="B215" s="106"/>
      <c r="C215" s="106"/>
      <c r="D215" s="99"/>
      <c r="E215" s="99"/>
      <c r="F215" s="99"/>
      <c r="G215" s="99"/>
      <c r="H215" s="99"/>
      <c r="I215" s="101"/>
      <c r="W215" s="99"/>
      <c r="X215" s="99"/>
      <c r="Y215" s="99"/>
      <c r="Z215" s="99"/>
      <c r="AY215" s="103"/>
      <c r="AZ215" s="103"/>
      <c r="BA215" s="103"/>
      <c r="BB215" s="103"/>
    </row>
    <row r="216" spans="1:104" ht="16.5">
      <c r="A216" s="7"/>
      <c r="B216" s="130" t="s">
        <v>372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7"/>
    </row>
    <row r="217" spans="1:104" ht="16.5">
      <c r="A217" s="7"/>
      <c r="B217" s="92" t="s">
        <v>15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7"/>
    </row>
    <row r="218" spans="1:104" ht="13.5" customHeight="1">
      <c r="A218" s="7"/>
      <c r="B218" s="493" t="s">
        <v>8</v>
      </c>
      <c r="C218" s="494"/>
      <c r="D218" s="493" t="s">
        <v>9</v>
      </c>
      <c r="E218" s="495"/>
      <c r="F218" s="495"/>
      <c r="G218" s="495"/>
      <c r="H218" s="495"/>
      <c r="I218" s="494"/>
      <c r="J218" s="493" t="s">
        <v>16</v>
      </c>
      <c r="K218" s="495"/>
      <c r="L218" s="495"/>
      <c r="M218" s="495"/>
      <c r="N218" s="495"/>
      <c r="O218" s="494"/>
      <c r="P218" s="493" t="s">
        <v>17</v>
      </c>
      <c r="Q218" s="495"/>
      <c r="R218" s="495"/>
      <c r="S218" s="495"/>
      <c r="T218" s="495"/>
      <c r="U218" s="494"/>
      <c r="V218" s="493" t="s">
        <v>18</v>
      </c>
      <c r="W218" s="494"/>
      <c r="X218" s="493" t="s">
        <v>19</v>
      </c>
      <c r="Y218" s="495"/>
      <c r="Z218" s="494"/>
      <c r="AA218" s="493" t="s">
        <v>21</v>
      </c>
      <c r="AB218" s="495"/>
      <c r="AC218" s="494"/>
      <c r="AD218" s="493" t="s">
        <v>283</v>
      </c>
      <c r="AE218" s="495"/>
      <c r="AF218" s="494"/>
      <c r="AG218" s="550" t="s">
        <v>22</v>
      </c>
      <c r="AH218" s="551"/>
      <c r="AI218" s="551"/>
      <c r="AJ218" s="551"/>
      <c r="AK218" s="551"/>
      <c r="AL218" s="551"/>
      <c r="AM218" s="551"/>
      <c r="AN218" s="551"/>
      <c r="AO218" s="551"/>
      <c r="AP218" s="552"/>
      <c r="AQ218" s="493" t="s">
        <v>12</v>
      </c>
      <c r="AR218" s="495"/>
      <c r="AS218" s="495"/>
      <c r="AT218" s="495"/>
      <c r="AU218" s="495"/>
      <c r="AV218" s="495"/>
      <c r="AW218" s="495"/>
      <c r="AX218" s="495"/>
      <c r="AY218" s="495"/>
      <c r="AZ218" s="495"/>
      <c r="BA218" s="495"/>
      <c r="BB218" s="494"/>
    </row>
    <row r="219" spans="1:104" ht="13.5" customHeight="1">
      <c r="A219" s="7"/>
      <c r="B219" s="569">
        <v>1</v>
      </c>
      <c r="C219" s="569"/>
      <c r="D219" s="621" t="s">
        <v>369</v>
      </c>
      <c r="E219" s="622"/>
      <c r="F219" s="622"/>
      <c r="G219" s="622"/>
      <c r="H219" s="622"/>
      <c r="I219" s="623"/>
      <c r="J219" s="520" t="s">
        <v>73</v>
      </c>
      <c r="K219" s="521"/>
      <c r="L219" s="521"/>
      <c r="M219" s="521"/>
      <c r="N219" s="521"/>
      <c r="O219" s="522"/>
      <c r="P219" s="588" t="s">
        <v>92</v>
      </c>
      <c r="Q219" s="589"/>
      <c r="R219" s="589"/>
      <c r="S219" s="589"/>
      <c r="T219" s="589"/>
      <c r="U219" s="590"/>
      <c r="V219" s="520" t="s">
        <v>73</v>
      </c>
      <c r="W219" s="522"/>
      <c r="X219" s="520" t="s">
        <v>73</v>
      </c>
      <c r="Y219" s="521"/>
      <c r="Z219" s="522"/>
      <c r="AA219" s="523" t="s">
        <v>73</v>
      </c>
      <c r="AB219" s="524"/>
      <c r="AC219" s="525"/>
      <c r="AD219" s="523" t="s">
        <v>73</v>
      </c>
      <c r="AE219" s="524"/>
      <c r="AF219" s="525"/>
      <c r="AG219" s="535"/>
      <c r="AH219" s="536"/>
      <c r="AI219" s="536"/>
      <c r="AJ219" s="536"/>
      <c r="AK219" s="536"/>
      <c r="AL219" s="536"/>
      <c r="AM219" s="536"/>
      <c r="AN219" s="536"/>
      <c r="AO219" s="536"/>
      <c r="AP219" s="537"/>
      <c r="AQ219" s="526"/>
      <c r="AR219" s="527"/>
      <c r="AS219" s="527"/>
      <c r="AT219" s="527"/>
      <c r="AU219" s="527"/>
      <c r="AV219" s="527"/>
      <c r="AW219" s="527"/>
      <c r="AX219" s="527"/>
      <c r="AY219" s="527"/>
      <c r="AZ219" s="527"/>
      <c r="BA219" s="527"/>
      <c r="BB219" s="528"/>
    </row>
    <row r="220" spans="1:104" ht="13.5" customHeight="1">
      <c r="A220" s="7"/>
    </row>
    <row r="221" spans="1:104" ht="16.5">
      <c r="A221" s="7"/>
      <c r="B221" s="93" t="s">
        <v>64</v>
      </c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7"/>
    </row>
    <row r="222" spans="1:104" ht="13.5" customHeight="1">
      <c r="A222" s="7"/>
      <c r="B222" s="480" t="s">
        <v>65</v>
      </c>
      <c r="C222" s="481"/>
      <c r="D222" s="496" t="s">
        <v>66</v>
      </c>
      <c r="E222" s="497"/>
      <c r="F222" s="497"/>
      <c r="G222" s="497"/>
      <c r="H222" s="497"/>
      <c r="I222" s="498"/>
      <c r="J222" s="529" t="s">
        <v>67</v>
      </c>
      <c r="K222" s="530"/>
      <c r="L222" s="530"/>
      <c r="M222" s="530"/>
      <c r="N222" s="530"/>
      <c r="O222" s="530"/>
      <c r="P222" s="530"/>
      <c r="Q222" s="530"/>
      <c r="R222" s="530"/>
      <c r="S222" s="530"/>
      <c r="T222" s="530"/>
      <c r="U222" s="530"/>
      <c r="V222" s="531"/>
      <c r="W222" s="529" t="s">
        <v>68</v>
      </c>
      <c r="X222" s="530"/>
      <c r="Y222" s="530"/>
      <c r="Z222" s="530"/>
      <c r="AA222" s="530"/>
      <c r="AB222" s="530"/>
      <c r="AC222" s="530"/>
      <c r="AD222" s="530"/>
      <c r="AE222" s="530"/>
      <c r="AF222" s="530"/>
      <c r="AG222" s="530"/>
      <c r="AH222" s="530"/>
      <c r="AI222" s="531"/>
      <c r="AJ222" s="529" t="s">
        <v>69</v>
      </c>
      <c r="AK222" s="530"/>
      <c r="AL222" s="530"/>
      <c r="AM222" s="530"/>
      <c r="AN222" s="530"/>
      <c r="AO222" s="530"/>
      <c r="AP222" s="530"/>
      <c r="AQ222" s="530"/>
      <c r="AR222" s="530"/>
      <c r="AS222" s="530"/>
      <c r="AT222" s="530"/>
      <c r="AU222" s="530"/>
      <c r="AV222" s="530"/>
      <c r="AW222" s="530"/>
      <c r="AX222" s="530"/>
      <c r="AY222" s="530"/>
      <c r="AZ222" s="530"/>
      <c r="BA222" s="530"/>
      <c r="BB222" s="531"/>
    </row>
    <row r="223" spans="1:104" ht="13.5" customHeight="1">
      <c r="A223" s="7"/>
      <c r="B223" s="561">
        <v>1</v>
      </c>
      <c r="C223" s="586"/>
      <c r="D223" s="627"/>
      <c r="E223" s="627"/>
      <c r="F223" s="627"/>
      <c r="G223" s="627"/>
      <c r="H223" s="627"/>
      <c r="I223" s="627"/>
      <c r="J223" s="628"/>
      <c r="K223" s="629"/>
      <c r="L223" s="629"/>
      <c r="M223" s="629"/>
      <c r="N223" s="629"/>
      <c r="O223" s="629"/>
      <c r="P223" s="629"/>
      <c r="Q223" s="629"/>
      <c r="R223" s="629"/>
      <c r="S223" s="629"/>
      <c r="T223" s="629"/>
      <c r="U223" s="629"/>
      <c r="V223" s="630"/>
      <c r="W223" s="632" t="s">
        <v>373</v>
      </c>
      <c r="X223" s="632"/>
      <c r="Y223" s="632"/>
      <c r="Z223" s="632"/>
      <c r="AA223" s="632"/>
      <c r="AB223" s="632"/>
      <c r="AC223" s="632"/>
      <c r="AD223" s="632"/>
      <c r="AE223" s="632"/>
      <c r="AF223" s="632"/>
      <c r="AG223" s="632"/>
      <c r="AH223" s="632"/>
      <c r="AI223" s="632"/>
      <c r="AJ223" s="631" t="s">
        <v>73</v>
      </c>
      <c r="AK223" s="631"/>
      <c r="AL223" s="631"/>
      <c r="AM223" s="631"/>
      <c r="AN223" s="631"/>
      <c r="AO223" s="631"/>
      <c r="AP223" s="631"/>
      <c r="AQ223" s="631"/>
      <c r="AR223" s="631"/>
      <c r="AS223" s="631"/>
      <c r="AT223" s="631"/>
      <c r="AU223" s="631"/>
      <c r="AV223" s="631"/>
      <c r="AW223" s="631"/>
      <c r="AX223" s="631"/>
      <c r="AY223" s="631"/>
      <c r="AZ223" s="631"/>
      <c r="BA223" s="631"/>
      <c r="BB223" s="631"/>
    </row>
    <row r="224" spans="1:104" ht="13.5" customHeight="1">
      <c r="A224" s="7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7"/>
      <c r="BG224" s="128"/>
      <c r="BH224" s="128"/>
      <c r="BI224" s="128"/>
      <c r="BJ224" s="128"/>
      <c r="BK224" s="128"/>
      <c r="BL224" s="127"/>
      <c r="BM224" s="127"/>
      <c r="BN224" s="127"/>
      <c r="BO224" s="127"/>
      <c r="BP224" s="127"/>
      <c r="BQ224" s="127"/>
      <c r="BR224" s="127"/>
      <c r="BS224" s="127"/>
      <c r="BT224" s="127"/>
      <c r="BU224" s="127"/>
      <c r="BV224" s="127"/>
      <c r="BW224" s="127"/>
      <c r="BX224" s="127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  <c r="CJ224" s="128"/>
      <c r="CK224" s="128"/>
      <c r="CL224" s="128"/>
      <c r="CM224" s="128"/>
      <c r="CN224" s="128"/>
      <c r="CO224" s="128"/>
      <c r="CP224" s="128"/>
      <c r="CQ224" s="128"/>
      <c r="CR224" s="128"/>
      <c r="CS224" s="128"/>
      <c r="CT224" s="128"/>
      <c r="CU224" s="128"/>
      <c r="CV224" s="128"/>
      <c r="CW224" s="128"/>
      <c r="CX224" s="128"/>
      <c r="CY224" s="128"/>
      <c r="CZ224" s="128"/>
    </row>
    <row r="225" spans="1:54" ht="16.5">
      <c r="A225" s="7"/>
      <c r="B225" s="94" t="s">
        <v>146</v>
      </c>
      <c r="C225" s="100"/>
      <c r="D225" s="100"/>
      <c r="E225" s="100"/>
      <c r="F225" s="100"/>
      <c r="G225" s="100"/>
      <c r="H225" s="100"/>
      <c r="I225" s="100"/>
      <c r="W225" s="107"/>
      <c r="X225" s="107"/>
      <c r="Y225" s="107"/>
      <c r="Z225" s="107"/>
      <c r="AY225" s="103"/>
      <c r="AZ225" s="103"/>
      <c r="BA225" s="103"/>
      <c r="BB225" s="103"/>
    </row>
    <row r="226" spans="1:54" ht="16.5">
      <c r="A226" s="7"/>
      <c r="B226" s="92" t="s">
        <v>15</v>
      </c>
      <c r="C226" s="100"/>
      <c r="D226" s="100"/>
      <c r="E226" s="100"/>
      <c r="F226" s="100"/>
      <c r="G226" s="100"/>
      <c r="H226" s="100"/>
      <c r="I226" s="100"/>
      <c r="W226" s="100"/>
      <c r="X226" s="100"/>
      <c r="Y226" s="100"/>
      <c r="Z226" s="100"/>
      <c r="AY226" s="103"/>
      <c r="AZ226" s="103"/>
      <c r="BA226" s="103"/>
      <c r="BB226" s="103"/>
    </row>
    <row r="227" spans="1:54" ht="13.5" customHeight="1">
      <c r="A227" s="7"/>
      <c r="B227" s="493" t="s">
        <v>201</v>
      </c>
      <c r="C227" s="494"/>
      <c r="D227" s="493" t="s">
        <v>9</v>
      </c>
      <c r="E227" s="495"/>
      <c r="F227" s="495"/>
      <c r="G227" s="495"/>
      <c r="H227" s="495"/>
      <c r="I227" s="494"/>
      <c r="J227" s="493" t="s">
        <v>16</v>
      </c>
      <c r="K227" s="495"/>
      <c r="L227" s="495"/>
      <c r="M227" s="495"/>
      <c r="N227" s="495"/>
      <c r="O227" s="494"/>
      <c r="P227" s="493" t="s">
        <v>216</v>
      </c>
      <c r="Q227" s="495"/>
      <c r="R227" s="495"/>
      <c r="S227" s="495"/>
      <c r="T227" s="495"/>
      <c r="U227" s="494"/>
      <c r="V227" s="550" t="s">
        <v>18</v>
      </c>
      <c r="W227" s="552"/>
      <c r="X227" s="493" t="s">
        <v>19</v>
      </c>
      <c r="Y227" s="495"/>
      <c r="Z227" s="494"/>
      <c r="AA227" s="493" t="s">
        <v>21</v>
      </c>
      <c r="AB227" s="495"/>
      <c r="AC227" s="494"/>
      <c r="AD227" s="493" t="s">
        <v>283</v>
      </c>
      <c r="AE227" s="495"/>
      <c r="AF227" s="494"/>
      <c r="AG227" s="550" t="s">
        <v>22</v>
      </c>
      <c r="AH227" s="551"/>
      <c r="AI227" s="551"/>
      <c r="AJ227" s="551"/>
      <c r="AK227" s="551"/>
      <c r="AL227" s="551"/>
      <c r="AM227" s="551"/>
      <c r="AN227" s="551"/>
      <c r="AO227" s="551"/>
      <c r="AP227" s="552"/>
      <c r="AQ227" s="493" t="s">
        <v>12</v>
      </c>
      <c r="AR227" s="495"/>
      <c r="AS227" s="495"/>
      <c r="AT227" s="495"/>
      <c r="AU227" s="495"/>
      <c r="AV227" s="495"/>
      <c r="AW227" s="495"/>
      <c r="AX227" s="495"/>
      <c r="AY227" s="495"/>
      <c r="AZ227" s="495"/>
      <c r="BA227" s="495"/>
      <c r="BB227" s="494"/>
    </row>
    <row r="228" spans="1:54" ht="13.5" customHeight="1">
      <c r="A228" s="7"/>
      <c r="B228" s="569">
        <v>1</v>
      </c>
      <c r="C228" s="569"/>
      <c r="D228" s="565" t="s">
        <v>94</v>
      </c>
      <c r="E228" s="566"/>
      <c r="F228" s="566"/>
      <c r="G228" s="566"/>
      <c r="H228" s="566"/>
      <c r="I228" s="567"/>
      <c r="J228" s="562" t="s">
        <v>132</v>
      </c>
      <c r="K228" s="563"/>
      <c r="L228" s="563"/>
      <c r="M228" s="563"/>
      <c r="N228" s="563"/>
      <c r="O228" s="564"/>
      <c r="P228" s="566" t="s">
        <v>92</v>
      </c>
      <c r="Q228" s="566"/>
      <c r="R228" s="566"/>
      <c r="S228" s="566"/>
      <c r="T228" s="566"/>
      <c r="U228" s="567"/>
      <c r="V228" s="562"/>
      <c r="W228" s="564"/>
      <c r="X228" s="562"/>
      <c r="Y228" s="563"/>
      <c r="Z228" s="564"/>
      <c r="AA228" s="535" t="s">
        <v>132</v>
      </c>
      <c r="AB228" s="536"/>
      <c r="AC228" s="537"/>
      <c r="AD228" s="535" t="s">
        <v>132</v>
      </c>
      <c r="AE228" s="536"/>
      <c r="AF228" s="537"/>
      <c r="AG228" s="535" t="s">
        <v>346</v>
      </c>
      <c r="AH228" s="536"/>
      <c r="AI228" s="536"/>
      <c r="AJ228" s="536"/>
      <c r="AK228" s="536"/>
      <c r="AL228" s="536"/>
      <c r="AM228" s="536"/>
      <c r="AN228" s="536"/>
      <c r="AO228" s="536"/>
      <c r="AP228" s="537"/>
      <c r="AQ228" s="655"/>
      <c r="AR228" s="656"/>
      <c r="AS228" s="656"/>
      <c r="AT228" s="656"/>
      <c r="AU228" s="656"/>
      <c r="AV228" s="656"/>
      <c r="AW228" s="656"/>
      <c r="AX228" s="656"/>
      <c r="AY228" s="656"/>
      <c r="AZ228" s="656"/>
      <c r="BA228" s="656"/>
      <c r="BB228" s="657"/>
    </row>
    <row r="229" spans="1:54" ht="13.5" customHeight="1">
      <c r="A229" s="7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3"/>
      <c r="AZ229" s="103"/>
      <c r="BA229" s="103"/>
      <c r="BB229" s="103"/>
    </row>
    <row r="230" spans="1:54" ht="16.5">
      <c r="A230" s="7"/>
      <c r="B230" s="93" t="s">
        <v>64</v>
      </c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BA230" s="103"/>
      <c r="BB230" s="103"/>
    </row>
    <row r="231" spans="1:54" ht="13.5" customHeight="1">
      <c r="A231" s="7"/>
      <c r="B231" s="480" t="s">
        <v>65</v>
      </c>
      <c r="C231" s="481"/>
      <c r="D231" s="496" t="s">
        <v>66</v>
      </c>
      <c r="E231" s="497"/>
      <c r="F231" s="497"/>
      <c r="G231" s="497"/>
      <c r="H231" s="497"/>
      <c r="I231" s="498"/>
      <c r="J231" s="529" t="s">
        <v>67</v>
      </c>
      <c r="K231" s="530"/>
      <c r="L231" s="530"/>
      <c r="M231" s="530"/>
      <c r="N231" s="530"/>
      <c r="O231" s="530"/>
      <c r="P231" s="530"/>
      <c r="Q231" s="530"/>
      <c r="R231" s="530"/>
      <c r="S231" s="530"/>
      <c r="T231" s="530"/>
      <c r="U231" s="530"/>
      <c r="V231" s="531"/>
      <c r="W231" s="529" t="s">
        <v>68</v>
      </c>
      <c r="X231" s="530"/>
      <c r="Y231" s="530"/>
      <c r="Z231" s="530"/>
      <c r="AA231" s="530"/>
      <c r="AB231" s="530"/>
      <c r="AC231" s="530"/>
      <c r="AD231" s="530"/>
      <c r="AE231" s="530"/>
      <c r="AF231" s="530"/>
      <c r="AG231" s="530"/>
      <c r="AH231" s="530"/>
      <c r="AI231" s="531"/>
      <c r="AJ231" s="529" t="s">
        <v>69</v>
      </c>
      <c r="AK231" s="530"/>
      <c r="AL231" s="530"/>
      <c r="AM231" s="530"/>
      <c r="AN231" s="530"/>
      <c r="AO231" s="530"/>
      <c r="AP231" s="530"/>
      <c r="AQ231" s="530"/>
      <c r="AR231" s="530"/>
      <c r="AS231" s="530"/>
      <c r="AT231" s="530"/>
      <c r="AU231" s="530"/>
      <c r="AV231" s="530"/>
      <c r="AW231" s="530"/>
      <c r="AX231" s="530"/>
      <c r="AY231" s="530"/>
      <c r="AZ231" s="530"/>
      <c r="BA231" s="530"/>
      <c r="BB231" s="531"/>
    </row>
    <row r="232" spans="1:54" ht="13.5" customHeight="1">
      <c r="A232" s="7"/>
      <c r="B232" s="561">
        <v>1</v>
      </c>
      <c r="C232" s="561"/>
      <c r="D232" s="631" t="s">
        <v>252</v>
      </c>
      <c r="E232" s="631"/>
      <c r="F232" s="631"/>
      <c r="G232" s="631"/>
      <c r="H232" s="631"/>
      <c r="I232" s="631"/>
      <c r="J232" s="553" t="s">
        <v>176</v>
      </c>
      <c r="K232" s="553"/>
      <c r="L232" s="553"/>
      <c r="M232" s="553"/>
      <c r="N232" s="553"/>
      <c r="O232" s="553"/>
      <c r="P232" s="553"/>
      <c r="Q232" s="553"/>
      <c r="R232" s="553"/>
      <c r="S232" s="553"/>
      <c r="T232" s="553"/>
      <c r="U232" s="553"/>
      <c r="V232" s="553"/>
      <c r="W232" s="553" t="s">
        <v>72</v>
      </c>
      <c r="X232" s="553"/>
      <c r="Y232" s="553"/>
      <c r="Z232" s="553"/>
      <c r="AA232" s="553"/>
      <c r="AB232" s="553"/>
      <c r="AC232" s="553"/>
      <c r="AD232" s="553"/>
      <c r="AE232" s="553"/>
      <c r="AF232" s="553"/>
      <c r="AG232" s="553"/>
      <c r="AH232" s="553"/>
      <c r="AI232" s="553"/>
      <c r="AJ232" s="631" t="s">
        <v>132</v>
      </c>
      <c r="AK232" s="631"/>
      <c r="AL232" s="631"/>
      <c r="AM232" s="631"/>
      <c r="AN232" s="631"/>
      <c r="AO232" s="631"/>
      <c r="AP232" s="631"/>
      <c r="AQ232" s="631"/>
      <c r="AR232" s="631"/>
      <c r="AS232" s="631"/>
      <c r="AT232" s="631"/>
      <c r="AU232" s="631"/>
      <c r="AV232" s="631"/>
      <c r="AW232" s="631"/>
      <c r="AX232" s="631"/>
      <c r="AY232" s="631"/>
      <c r="AZ232" s="631"/>
      <c r="BA232" s="631"/>
      <c r="BB232" s="631"/>
    </row>
    <row r="233" spans="1:54" ht="13.5" customHeight="1">
      <c r="A233" s="7"/>
      <c r="B233" s="561">
        <v>2</v>
      </c>
      <c r="C233" s="561"/>
      <c r="D233" s="631"/>
      <c r="E233" s="631"/>
      <c r="F233" s="631"/>
      <c r="G233" s="631"/>
      <c r="H233" s="631"/>
      <c r="I233" s="631"/>
      <c r="J233" s="553" t="s">
        <v>175</v>
      </c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553"/>
      <c r="AB233" s="553"/>
      <c r="AC233" s="553"/>
      <c r="AD233" s="553"/>
      <c r="AE233" s="553"/>
      <c r="AF233" s="553"/>
      <c r="AG233" s="553"/>
      <c r="AH233" s="553"/>
      <c r="AI233" s="553"/>
      <c r="AJ233" s="631"/>
      <c r="AK233" s="631"/>
      <c r="AL233" s="631"/>
      <c r="AM233" s="631"/>
      <c r="AN233" s="631"/>
      <c r="AO233" s="631"/>
      <c r="AP233" s="631"/>
      <c r="AQ233" s="631"/>
      <c r="AR233" s="631"/>
      <c r="AS233" s="631"/>
      <c r="AT233" s="631"/>
      <c r="AU233" s="631"/>
      <c r="AV233" s="631"/>
      <c r="AW233" s="631"/>
      <c r="AX233" s="631"/>
      <c r="AY233" s="631"/>
      <c r="AZ233" s="631"/>
      <c r="BA233" s="631"/>
      <c r="BB233" s="631"/>
    </row>
    <row r="234" spans="1:54" ht="13.5" customHeight="1">
      <c r="A234" s="7"/>
      <c r="B234" s="561"/>
      <c r="C234" s="561"/>
      <c r="D234" s="631"/>
      <c r="E234" s="631"/>
      <c r="F234" s="631"/>
      <c r="G234" s="631"/>
      <c r="H234" s="631"/>
      <c r="I234" s="631"/>
      <c r="J234" s="553"/>
      <c r="K234" s="553"/>
      <c r="L234" s="553"/>
      <c r="M234" s="553"/>
      <c r="N234" s="553"/>
      <c r="O234" s="553"/>
      <c r="P234" s="553"/>
      <c r="Q234" s="553"/>
      <c r="R234" s="553"/>
      <c r="S234" s="553"/>
      <c r="T234" s="553"/>
      <c r="U234" s="553"/>
      <c r="V234" s="553"/>
      <c r="W234" s="553"/>
      <c r="X234" s="553"/>
      <c r="Y234" s="553"/>
      <c r="Z234" s="553"/>
      <c r="AA234" s="553"/>
      <c r="AB234" s="553"/>
      <c r="AC234" s="553"/>
      <c r="AD234" s="553"/>
      <c r="AE234" s="553"/>
      <c r="AF234" s="553"/>
      <c r="AG234" s="553"/>
      <c r="AH234" s="553"/>
      <c r="AI234" s="553"/>
      <c r="AJ234" s="631"/>
      <c r="AK234" s="631"/>
      <c r="AL234" s="631"/>
      <c r="AM234" s="631"/>
      <c r="AN234" s="631"/>
      <c r="AO234" s="631"/>
      <c r="AP234" s="631"/>
      <c r="AQ234" s="631"/>
      <c r="AR234" s="631"/>
      <c r="AS234" s="631"/>
      <c r="AT234" s="631"/>
      <c r="AU234" s="631"/>
      <c r="AV234" s="631"/>
      <c r="AW234" s="631"/>
      <c r="AX234" s="631"/>
      <c r="AY234" s="631"/>
      <c r="AZ234" s="631"/>
      <c r="BA234" s="631"/>
      <c r="BB234" s="631"/>
    </row>
    <row r="235" spans="1:54" ht="13.5" customHeight="1">
      <c r="A235" s="7"/>
      <c r="B235" s="561"/>
      <c r="C235" s="561"/>
      <c r="D235" s="631"/>
      <c r="E235" s="631"/>
      <c r="F235" s="631"/>
      <c r="G235" s="631"/>
      <c r="H235" s="631"/>
      <c r="I235" s="631"/>
      <c r="J235" s="553"/>
      <c r="K235" s="553"/>
      <c r="L235" s="553"/>
      <c r="M235" s="553"/>
      <c r="N235" s="553"/>
      <c r="O235" s="553"/>
      <c r="P235" s="553"/>
      <c r="Q235" s="553"/>
      <c r="R235" s="553"/>
      <c r="S235" s="553"/>
      <c r="T235" s="553"/>
      <c r="U235" s="553"/>
      <c r="V235" s="553"/>
      <c r="W235" s="553"/>
      <c r="X235" s="553"/>
      <c r="Y235" s="553"/>
      <c r="Z235" s="553"/>
      <c r="AA235" s="553"/>
      <c r="AB235" s="553"/>
      <c r="AC235" s="553"/>
      <c r="AD235" s="553"/>
      <c r="AE235" s="553"/>
      <c r="AF235" s="553"/>
      <c r="AG235" s="553"/>
      <c r="AH235" s="553"/>
      <c r="AI235" s="553"/>
      <c r="AJ235" s="631"/>
      <c r="AK235" s="631"/>
      <c r="AL235" s="631"/>
      <c r="AM235" s="631"/>
      <c r="AN235" s="631"/>
      <c r="AO235" s="631"/>
      <c r="AP235" s="631"/>
      <c r="AQ235" s="631"/>
      <c r="AR235" s="631"/>
      <c r="AS235" s="631"/>
      <c r="AT235" s="631"/>
      <c r="AU235" s="631"/>
      <c r="AV235" s="631"/>
      <c r="AW235" s="631"/>
      <c r="AX235" s="631"/>
      <c r="AY235" s="631"/>
      <c r="AZ235" s="631"/>
      <c r="BA235" s="631"/>
      <c r="BB235" s="631"/>
    </row>
    <row r="236" spans="1:54" s="15" customFormat="1" ht="13.5" customHeight="1">
      <c r="A236" s="37"/>
      <c r="B236" s="106"/>
      <c r="C236" s="106"/>
      <c r="D236" s="99"/>
      <c r="E236" s="99"/>
      <c r="F236" s="99"/>
      <c r="G236" s="99"/>
      <c r="H236" s="99"/>
      <c r="I236" s="101"/>
      <c r="J236" s="101"/>
      <c r="K236" s="101"/>
      <c r="L236" s="101"/>
      <c r="M236" s="101"/>
      <c r="AY236" s="108"/>
      <c r="AZ236" s="108"/>
      <c r="BA236" s="108"/>
      <c r="BB236" s="108"/>
    </row>
    <row r="237" spans="1:54" ht="16.5">
      <c r="A237" s="7"/>
      <c r="B237" s="94" t="s">
        <v>147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AY237" s="103"/>
      <c r="AZ237" s="103"/>
      <c r="BA237" s="103"/>
      <c r="BB237" s="103"/>
    </row>
    <row r="238" spans="1:54" ht="16.5">
      <c r="A238" s="7"/>
      <c r="B238" s="92" t="s">
        <v>15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AY238" s="103"/>
      <c r="AZ238" s="103"/>
      <c r="BA238" s="103"/>
      <c r="BB238" s="103"/>
    </row>
    <row r="239" spans="1:54" ht="13.5" customHeight="1">
      <c r="A239" s="7"/>
      <c r="B239" s="493" t="s">
        <v>201</v>
      </c>
      <c r="C239" s="494"/>
      <c r="D239" s="493" t="s">
        <v>9</v>
      </c>
      <c r="E239" s="495"/>
      <c r="F239" s="495"/>
      <c r="G239" s="495"/>
      <c r="H239" s="495"/>
      <c r="I239" s="494"/>
      <c r="J239" s="493" t="s">
        <v>16</v>
      </c>
      <c r="K239" s="495"/>
      <c r="L239" s="495"/>
      <c r="M239" s="495"/>
      <c r="N239" s="495"/>
      <c r="O239" s="494"/>
      <c r="P239" s="493" t="s">
        <v>216</v>
      </c>
      <c r="Q239" s="495"/>
      <c r="R239" s="495"/>
      <c r="S239" s="495"/>
      <c r="T239" s="495"/>
      <c r="U239" s="494"/>
      <c r="V239" s="550" t="s">
        <v>18</v>
      </c>
      <c r="W239" s="552"/>
      <c r="X239" s="493" t="s">
        <v>19</v>
      </c>
      <c r="Y239" s="495"/>
      <c r="Z239" s="494"/>
      <c r="AA239" s="493" t="s">
        <v>21</v>
      </c>
      <c r="AB239" s="495"/>
      <c r="AC239" s="494"/>
      <c r="AD239" s="493" t="s">
        <v>283</v>
      </c>
      <c r="AE239" s="495"/>
      <c r="AF239" s="494"/>
      <c r="AG239" s="550" t="s">
        <v>22</v>
      </c>
      <c r="AH239" s="551"/>
      <c r="AI239" s="551"/>
      <c r="AJ239" s="551"/>
      <c r="AK239" s="551"/>
      <c r="AL239" s="551"/>
      <c r="AM239" s="551"/>
      <c r="AN239" s="551"/>
      <c r="AO239" s="551"/>
      <c r="AP239" s="552"/>
      <c r="AQ239" s="493" t="s">
        <v>12</v>
      </c>
      <c r="AR239" s="495"/>
      <c r="AS239" s="495"/>
      <c r="AT239" s="495"/>
      <c r="AU239" s="495"/>
      <c r="AV239" s="495"/>
      <c r="AW239" s="495"/>
      <c r="AX239" s="495"/>
      <c r="AY239" s="495"/>
      <c r="AZ239" s="495"/>
      <c r="BA239" s="495"/>
      <c r="BB239" s="494"/>
    </row>
    <row r="240" spans="1:54" ht="13.5" customHeight="1">
      <c r="A240" s="7"/>
      <c r="B240" s="569">
        <v>1</v>
      </c>
      <c r="C240" s="569"/>
      <c r="D240" s="565" t="s">
        <v>308</v>
      </c>
      <c r="E240" s="566"/>
      <c r="F240" s="566"/>
      <c r="G240" s="566"/>
      <c r="H240" s="566"/>
      <c r="I240" s="567"/>
      <c r="J240" s="562" t="s">
        <v>132</v>
      </c>
      <c r="K240" s="563"/>
      <c r="L240" s="563"/>
      <c r="M240" s="563"/>
      <c r="N240" s="563"/>
      <c r="O240" s="564"/>
      <c r="P240" s="566" t="s">
        <v>92</v>
      </c>
      <c r="Q240" s="566"/>
      <c r="R240" s="566"/>
      <c r="S240" s="566"/>
      <c r="T240" s="566"/>
      <c r="U240" s="567"/>
      <c r="V240" s="562"/>
      <c r="W240" s="564"/>
      <c r="X240" s="562"/>
      <c r="Y240" s="563"/>
      <c r="Z240" s="564"/>
      <c r="AA240" s="535" t="s">
        <v>132</v>
      </c>
      <c r="AB240" s="536"/>
      <c r="AC240" s="537"/>
      <c r="AD240" s="535" t="s">
        <v>132</v>
      </c>
      <c r="AE240" s="536"/>
      <c r="AF240" s="537"/>
      <c r="AG240" s="535" t="s">
        <v>314</v>
      </c>
      <c r="AH240" s="536"/>
      <c r="AI240" s="536"/>
      <c r="AJ240" s="536"/>
      <c r="AK240" s="536"/>
      <c r="AL240" s="536"/>
      <c r="AM240" s="536"/>
      <c r="AN240" s="536"/>
      <c r="AO240" s="536"/>
      <c r="AP240" s="537"/>
      <c r="AQ240" s="655"/>
      <c r="AR240" s="656"/>
      <c r="AS240" s="656"/>
      <c r="AT240" s="656"/>
      <c r="AU240" s="656"/>
      <c r="AV240" s="656"/>
      <c r="AW240" s="656"/>
      <c r="AX240" s="656"/>
      <c r="AY240" s="656"/>
      <c r="AZ240" s="656"/>
      <c r="BA240" s="656"/>
      <c r="BB240" s="657"/>
    </row>
    <row r="241" spans="1:54" ht="13.5" customHeight="1">
      <c r="A241" s="7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Z241" s="103"/>
      <c r="BA241" s="103"/>
      <c r="BB241" s="103"/>
    </row>
    <row r="242" spans="1:54" ht="16.5">
      <c r="A242" s="7"/>
      <c r="B242" s="93" t="s">
        <v>64</v>
      </c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3"/>
      <c r="AZ242" s="103"/>
      <c r="BA242" s="103"/>
      <c r="BB242" s="103"/>
    </row>
    <row r="243" spans="1:54" ht="13.5" customHeight="1">
      <c r="A243" s="7"/>
      <c r="B243" s="480" t="s">
        <v>65</v>
      </c>
      <c r="C243" s="481"/>
      <c r="D243" s="496" t="s">
        <v>66</v>
      </c>
      <c r="E243" s="497"/>
      <c r="F243" s="497"/>
      <c r="G243" s="497"/>
      <c r="H243" s="497"/>
      <c r="I243" s="498"/>
      <c r="J243" s="529" t="s">
        <v>67</v>
      </c>
      <c r="K243" s="530"/>
      <c r="L243" s="530"/>
      <c r="M243" s="530"/>
      <c r="N243" s="530"/>
      <c r="O243" s="530"/>
      <c r="P243" s="530"/>
      <c r="Q243" s="530"/>
      <c r="R243" s="530"/>
      <c r="S243" s="530"/>
      <c r="T243" s="530"/>
      <c r="U243" s="530"/>
      <c r="V243" s="531"/>
      <c r="W243" s="529" t="s">
        <v>68</v>
      </c>
      <c r="X243" s="530"/>
      <c r="Y243" s="530"/>
      <c r="Z243" s="530"/>
      <c r="AA243" s="530"/>
      <c r="AB243" s="530"/>
      <c r="AC243" s="530"/>
      <c r="AD243" s="530"/>
      <c r="AE243" s="530"/>
      <c r="AF243" s="530"/>
      <c r="AG243" s="530"/>
      <c r="AH243" s="530"/>
      <c r="AI243" s="531"/>
      <c r="AJ243" s="529" t="s">
        <v>69</v>
      </c>
      <c r="AK243" s="530"/>
      <c r="AL243" s="530"/>
      <c r="AM243" s="530"/>
      <c r="AN243" s="530"/>
      <c r="AO243" s="530"/>
      <c r="AP243" s="530"/>
      <c r="AQ243" s="530"/>
      <c r="AR243" s="530"/>
      <c r="AS243" s="530"/>
      <c r="AT243" s="530"/>
      <c r="AU243" s="530"/>
      <c r="AV243" s="530"/>
      <c r="AW243" s="530"/>
      <c r="AX243" s="530"/>
      <c r="AY243" s="530"/>
      <c r="AZ243" s="530"/>
      <c r="BA243" s="530"/>
      <c r="BB243" s="531"/>
    </row>
    <row r="244" spans="1:54" ht="13.5" customHeight="1">
      <c r="A244" s="7"/>
      <c r="B244" s="561">
        <v>1</v>
      </c>
      <c r="C244" s="561"/>
      <c r="D244" s="553" t="s">
        <v>177</v>
      </c>
      <c r="E244" s="553"/>
      <c r="F244" s="553"/>
      <c r="G244" s="553"/>
      <c r="H244" s="553"/>
      <c r="I244" s="553"/>
      <c r="J244" s="553" t="s">
        <v>178</v>
      </c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 t="s">
        <v>72</v>
      </c>
      <c r="X244" s="553"/>
      <c r="Y244" s="553"/>
      <c r="Z244" s="553"/>
      <c r="AA244" s="553"/>
      <c r="AB244" s="553"/>
      <c r="AC244" s="553"/>
      <c r="AD244" s="553"/>
      <c r="AE244" s="553"/>
      <c r="AF244" s="553"/>
      <c r="AG244" s="553"/>
      <c r="AH244" s="553"/>
      <c r="AI244" s="553"/>
      <c r="AJ244" s="631" t="s">
        <v>132</v>
      </c>
      <c r="AK244" s="631"/>
      <c r="AL244" s="631"/>
      <c r="AM244" s="631"/>
      <c r="AN244" s="631"/>
      <c r="AO244" s="631"/>
      <c r="AP244" s="631"/>
      <c r="AQ244" s="631"/>
      <c r="AR244" s="631"/>
      <c r="AS244" s="631"/>
      <c r="AT244" s="631"/>
      <c r="AU244" s="631"/>
      <c r="AV244" s="631"/>
      <c r="AW244" s="631"/>
      <c r="AX244" s="631"/>
      <c r="AY244" s="631"/>
      <c r="AZ244" s="631"/>
      <c r="BA244" s="631"/>
      <c r="BB244" s="631"/>
    </row>
    <row r="245" spans="1:54" ht="13.5" customHeight="1">
      <c r="A245" s="7"/>
      <c r="B245" s="561">
        <v>2</v>
      </c>
      <c r="C245" s="561"/>
      <c r="D245" s="553" t="s">
        <v>79</v>
      </c>
      <c r="E245" s="553"/>
      <c r="F245" s="553"/>
      <c r="G245" s="553"/>
      <c r="H245" s="553"/>
      <c r="I245" s="553"/>
      <c r="J245" s="553" t="s">
        <v>176</v>
      </c>
      <c r="K245" s="553"/>
      <c r="L245" s="553"/>
      <c r="M245" s="553"/>
      <c r="N245" s="553"/>
      <c r="O245" s="553"/>
      <c r="P245" s="553"/>
      <c r="Q245" s="553"/>
      <c r="R245" s="553"/>
      <c r="S245" s="553"/>
      <c r="T245" s="553"/>
      <c r="U245" s="553"/>
      <c r="V245" s="553"/>
      <c r="W245" s="553"/>
      <c r="X245" s="553"/>
      <c r="Y245" s="553"/>
      <c r="Z245" s="553"/>
      <c r="AA245" s="553"/>
      <c r="AB245" s="553"/>
      <c r="AC245" s="553"/>
      <c r="AD245" s="553"/>
      <c r="AE245" s="553"/>
      <c r="AF245" s="553"/>
      <c r="AG245" s="553"/>
      <c r="AH245" s="553"/>
      <c r="AI245" s="553"/>
      <c r="AJ245" s="631"/>
      <c r="AK245" s="631"/>
      <c r="AL245" s="631"/>
      <c r="AM245" s="631"/>
      <c r="AN245" s="631"/>
      <c r="AO245" s="631"/>
      <c r="AP245" s="631"/>
      <c r="AQ245" s="631"/>
      <c r="AR245" s="631"/>
      <c r="AS245" s="631"/>
      <c r="AT245" s="631"/>
      <c r="AU245" s="631"/>
      <c r="AV245" s="631"/>
      <c r="AW245" s="631"/>
      <c r="AX245" s="631"/>
      <c r="AY245" s="631"/>
      <c r="AZ245" s="631"/>
      <c r="BA245" s="631"/>
      <c r="BB245" s="631"/>
    </row>
    <row r="246" spans="1:54" ht="13.5" customHeight="1">
      <c r="A246" s="7"/>
      <c r="B246" s="561">
        <v>3</v>
      </c>
      <c r="C246" s="561"/>
      <c r="D246" s="553"/>
      <c r="E246" s="553"/>
      <c r="F246" s="553"/>
      <c r="G246" s="553"/>
      <c r="H246" s="553"/>
      <c r="I246" s="553"/>
      <c r="J246" s="553" t="s">
        <v>179</v>
      </c>
      <c r="K246" s="553"/>
      <c r="L246" s="553"/>
      <c r="M246" s="553"/>
      <c r="N246" s="553"/>
      <c r="O246" s="553"/>
      <c r="P246" s="553"/>
      <c r="Q246" s="553"/>
      <c r="R246" s="553"/>
      <c r="S246" s="553"/>
      <c r="T246" s="553"/>
      <c r="U246" s="553"/>
      <c r="V246" s="553"/>
      <c r="W246" s="553"/>
      <c r="X246" s="553"/>
      <c r="Y246" s="553"/>
      <c r="Z246" s="553"/>
      <c r="AA246" s="553"/>
      <c r="AB246" s="553"/>
      <c r="AC246" s="553"/>
      <c r="AD246" s="553"/>
      <c r="AE246" s="553"/>
      <c r="AF246" s="553"/>
      <c r="AG246" s="553"/>
      <c r="AH246" s="553"/>
      <c r="AI246" s="553"/>
      <c r="AJ246" s="631"/>
      <c r="AK246" s="631"/>
      <c r="AL246" s="631"/>
      <c r="AM246" s="631"/>
      <c r="AN246" s="631"/>
      <c r="AO246" s="631"/>
      <c r="AP246" s="631"/>
      <c r="AQ246" s="631"/>
      <c r="AR246" s="631"/>
      <c r="AS246" s="631"/>
      <c r="AT246" s="631"/>
      <c r="AU246" s="631"/>
      <c r="AV246" s="631"/>
      <c r="AW246" s="631"/>
      <c r="AX246" s="631"/>
      <c r="AY246" s="631"/>
      <c r="AZ246" s="631"/>
      <c r="BA246" s="631"/>
      <c r="BB246" s="631"/>
    </row>
    <row r="247" spans="1:54" ht="13.5" customHeight="1">
      <c r="A247" s="7"/>
      <c r="B247" s="561"/>
      <c r="C247" s="561"/>
      <c r="D247" s="553"/>
      <c r="E247" s="553"/>
      <c r="F247" s="553"/>
      <c r="G247" s="553"/>
      <c r="H247" s="553"/>
      <c r="I247" s="553"/>
      <c r="J247" s="553"/>
      <c r="K247" s="553"/>
      <c r="L247" s="553"/>
      <c r="M247" s="553"/>
      <c r="N247" s="553"/>
      <c r="O247" s="553"/>
      <c r="P247" s="553"/>
      <c r="Q247" s="553"/>
      <c r="R247" s="553"/>
      <c r="S247" s="553"/>
      <c r="T247" s="553"/>
      <c r="U247" s="553"/>
      <c r="V247" s="553"/>
      <c r="W247" s="553"/>
      <c r="X247" s="553"/>
      <c r="Y247" s="553"/>
      <c r="Z247" s="553"/>
      <c r="AA247" s="553"/>
      <c r="AB247" s="553"/>
      <c r="AC247" s="553"/>
      <c r="AD247" s="553"/>
      <c r="AE247" s="553"/>
      <c r="AF247" s="553"/>
      <c r="AG247" s="553"/>
      <c r="AH247" s="553"/>
      <c r="AI247" s="553"/>
      <c r="AJ247" s="631"/>
      <c r="AK247" s="631"/>
      <c r="AL247" s="631"/>
      <c r="AM247" s="631"/>
      <c r="AN247" s="631"/>
      <c r="AO247" s="631"/>
      <c r="AP247" s="631"/>
      <c r="AQ247" s="631"/>
      <c r="AR247" s="631"/>
      <c r="AS247" s="631"/>
      <c r="AT247" s="631"/>
      <c r="AU247" s="631"/>
      <c r="AV247" s="631"/>
      <c r="AW247" s="631"/>
      <c r="AX247" s="631"/>
      <c r="AY247" s="631"/>
      <c r="AZ247" s="631"/>
      <c r="BA247" s="631"/>
      <c r="BB247" s="631"/>
    </row>
    <row r="248" spans="1:54" ht="13.5" customHeight="1">
      <c r="A248" s="7"/>
      <c r="B248" s="561"/>
      <c r="C248" s="561"/>
      <c r="D248" s="553"/>
      <c r="E248" s="553"/>
      <c r="F248" s="553"/>
      <c r="G248" s="553"/>
      <c r="H248" s="553"/>
      <c r="I248" s="553"/>
      <c r="J248" s="553"/>
      <c r="K248" s="553"/>
      <c r="L248" s="553"/>
      <c r="M248" s="553"/>
      <c r="N248" s="553"/>
      <c r="O248" s="553"/>
      <c r="P248" s="553"/>
      <c r="Q248" s="553"/>
      <c r="R248" s="553"/>
      <c r="S248" s="553"/>
      <c r="T248" s="553"/>
      <c r="U248" s="553"/>
      <c r="V248" s="553"/>
      <c r="W248" s="553"/>
      <c r="X248" s="553"/>
      <c r="Y248" s="553"/>
      <c r="Z248" s="553"/>
      <c r="AA248" s="553"/>
      <c r="AB248" s="553"/>
      <c r="AC248" s="553"/>
      <c r="AD248" s="553"/>
      <c r="AE248" s="553"/>
      <c r="AF248" s="553"/>
      <c r="AG248" s="553"/>
      <c r="AH248" s="553"/>
      <c r="AI248" s="553"/>
      <c r="AJ248" s="631"/>
      <c r="AK248" s="631"/>
      <c r="AL248" s="631"/>
      <c r="AM248" s="631"/>
      <c r="AN248" s="631"/>
      <c r="AO248" s="631"/>
      <c r="AP248" s="631"/>
      <c r="AQ248" s="631"/>
      <c r="AR248" s="631"/>
      <c r="AS248" s="631"/>
      <c r="AT248" s="631"/>
      <c r="AU248" s="631"/>
      <c r="AV248" s="631"/>
      <c r="AW248" s="631"/>
      <c r="AX248" s="631"/>
      <c r="AY248" s="631"/>
      <c r="AZ248" s="631"/>
      <c r="BA248" s="631"/>
      <c r="BB248" s="631"/>
    </row>
    <row r="249" spans="1:54" s="15" customFormat="1" ht="13.5" customHeight="1">
      <c r="A249" s="37"/>
      <c r="B249" s="106"/>
      <c r="C249" s="106"/>
      <c r="D249" s="99"/>
      <c r="E249" s="99"/>
      <c r="F249" s="99"/>
      <c r="G249" s="99"/>
      <c r="H249" s="99"/>
      <c r="I249" s="101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107"/>
      <c r="AY249" s="108"/>
      <c r="AZ249" s="108"/>
      <c r="BA249" s="108"/>
      <c r="BB249" s="108"/>
    </row>
    <row r="250" spans="1:54" ht="16.5">
      <c r="A250" s="7"/>
      <c r="B250" s="92" t="s">
        <v>23</v>
      </c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Z250" s="103"/>
      <c r="BA250" s="103"/>
      <c r="BB250" s="103"/>
    </row>
    <row r="251" spans="1:54" ht="16.5">
      <c r="A251" s="7"/>
      <c r="B251" s="94" t="s">
        <v>121</v>
      </c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3"/>
      <c r="AZ251" s="103"/>
      <c r="BA251" s="103"/>
      <c r="BB251" s="103"/>
    </row>
    <row r="252" spans="1:54" ht="16.5" customHeight="1">
      <c r="A252" s="7"/>
      <c r="B252" s="560" t="s">
        <v>201</v>
      </c>
      <c r="C252" s="560"/>
      <c r="D252" s="568" t="s">
        <v>294</v>
      </c>
      <c r="E252" s="560"/>
      <c r="F252" s="560"/>
      <c r="G252" s="560"/>
      <c r="H252" s="560"/>
      <c r="I252" s="560"/>
      <c r="J252" s="560"/>
      <c r="K252" s="560"/>
      <c r="L252" s="560" t="s">
        <v>25</v>
      </c>
      <c r="M252" s="560"/>
      <c r="N252" s="560"/>
      <c r="O252" s="560"/>
      <c r="P252" s="560"/>
      <c r="Q252" s="560"/>
      <c r="R252" s="560"/>
      <c r="S252" s="560"/>
      <c r="T252" s="560" t="s">
        <v>26</v>
      </c>
      <c r="U252" s="560"/>
      <c r="V252" s="560"/>
      <c r="W252" s="560"/>
      <c r="X252" s="560"/>
      <c r="Y252" s="560"/>
      <c r="Z252" s="560"/>
      <c r="AA252" s="560"/>
      <c r="AB252" s="560" t="s">
        <v>27</v>
      </c>
      <c r="AC252" s="560"/>
      <c r="AD252" s="560"/>
      <c r="AE252" s="560"/>
      <c r="AF252" s="560"/>
      <c r="AG252" s="560"/>
      <c r="AH252" s="560"/>
      <c r="AI252" s="560"/>
      <c r="AJ252" s="560" t="s">
        <v>28</v>
      </c>
      <c r="AK252" s="560"/>
      <c r="AL252" s="560"/>
      <c r="AM252" s="560"/>
      <c r="AN252" s="560"/>
      <c r="AO252" s="560"/>
      <c r="AP252" s="560"/>
      <c r="AQ252" s="550" t="s">
        <v>12</v>
      </c>
      <c r="AR252" s="551"/>
      <c r="AS252" s="551"/>
      <c r="AT252" s="551"/>
      <c r="AU252" s="551"/>
      <c r="AV252" s="551"/>
      <c r="AW252" s="551"/>
      <c r="AX252" s="551"/>
      <c r="AY252" s="551"/>
      <c r="AZ252" s="551"/>
      <c r="BA252" s="551"/>
      <c r="BB252" s="552"/>
    </row>
    <row r="253" spans="1:54" ht="13.5" customHeight="1">
      <c r="A253" s="7"/>
      <c r="B253" s="591">
        <v>1</v>
      </c>
      <c r="C253" s="592"/>
      <c r="D253" s="596" t="s">
        <v>278</v>
      </c>
      <c r="E253" s="597"/>
      <c r="F253" s="597"/>
      <c r="G253" s="597"/>
      <c r="H253" s="597"/>
      <c r="I253" s="597"/>
      <c r="J253" s="597"/>
      <c r="K253" s="598"/>
      <c r="L253" s="664"/>
      <c r="M253" s="665"/>
      <c r="N253" s="665"/>
      <c r="O253" s="665"/>
      <c r="P253" s="665"/>
      <c r="Q253" s="665"/>
      <c r="R253" s="665"/>
      <c r="S253" s="666"/>
      <c r="T253" s="658" t="s">
        <v>181</v>
      </c>
      <c r="U253" s="659"/>
      <c r="V253" s="659"/>
      <c r="W253" s="659"/>
      <c r="X253" s="659"/>
      <c r="Y253" s="659"/>
      <c r="Z253" s="659"/>
      <c r="AA253" s="660"/>
      <c r="AB253" s="664"/>
      <c r="AC253" s="665"/>
      <c r="AD253" s="665"/>
      <c r="AE253" s="665"/>
      <c r="AF253" s="665"/>
      <c r="AG253" s="665"/>
      <c r="AH253" s="665"/>
      <c r="AI253" s="666"/>
      <c r="AJ253" s="664"/>
      <c r="AK253" s="665"/>
      <c r="AL253" s="665"/>
      <c r="AM253" s="665"/>
      <c r="AN253" s="665"/>
      <c r="AO253" s="665"/>
      <c r="AP253" s="666"/>
      <c r="AQ253" s="649"/>
      <c r="AR253" s="650"/>
      <c r="AS253" s="650"/>
      <c r="AT253" s="650"/>
      <c r="AU253" s="650"/>
      <c r="AV253" s="650"/>
      <c r="AW253" s="650"/>
      <c r="AX253" s="650"/>
      <c r="AY253" s="650"/>
      <c r="AZ253" s="650"/>
      <c r="BA253" s="650"/>
      <c r="BB253" s="651"/>
    </row>
    <row r="254" spans="1:54" ht="13.5" customHeight="1">
      <c r="A254" s="7"/>
      <c r="B254" s="584"/>
      <c r="C254" s="585"/>
      <c r="D254" s="579"/>
      <c r="E254" s="580"/>
      <c r="F254" s="580"/>
      <c r="G254" s="580"/>
      <c r="H254" s="580"/>
      <c r="I254" s="580"/>
      <c r="J254" s="580"/>
      <c r="K254" s="581"/>
      <c r="L254" s="667"/>
      <c r="M254" s="668"/>
      <c r="N254" s="668"/>
      <c r="O254" s="668"/>
      <c r="P254" s="668"/>
      <c r="Q254" s="668"/>
      <c r="R254" s="668"/>
      <c r="S254" s="669"/>
      <c r="T254" s="661"/>
      <c r="U254" s="662"/>
      <c r="V254" s="662"/>
      <c r="W254" s="662"/>
      <c r="X254" s="662"/>
      <c r="Y254" s="662"/>
      <c r="Z254" s="662"/>
      <c r="AA254" s="663"/>
      <c r="AB254" s="667"/>
      <c r="AC254" s="668"/>
      <c r="AD254" s="668"/>
      <c r="AE254" s="668"/>
      <c r="AF254" s="668"/>
      <c r="AG254" s="668"/>
      <c r="AH254" s="668"/>
      <c r="AI254" s="669"/>
      <c r="AJ254" s="667"/>
      <c r="AK254" s="668"/>
      <c r="AL254" s="668"/>
      <c r="AM254" s="668"/>
      <c r="AN254" s="668"/>
      <c r="AO254" s="668"/>
      <c r="AP254" s="669"/>
      <c r="AQ254" s="652"/>
      <c r="AR254" s="653"/>
      <c r="AS254" s="653"/>
      <c r="AT254" s="653"/>
      <c r="AU254" s="653"/>
      <c r="AV254" s="653"/>
      <c r="AW254" s="653"/>
      <c r="AX254" s="653"/>
      <c r="AY254" s="653"/>
      <c r="AZ254" s="653"/>
      <c r="BA254" s="653"/>
      <c r="BB254" s="654"/>
    </row>
    <row r="255" spans="1:54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</sheetData>
  <mergeCells count="600">
    <mergeCell ref="B83:C83"/>
    <mergeCell ref="B81:C81"/>
    <mergeCell ref="D81:M81"/>
    <mergeCell ref="N81:U81"/>
    <mergeCell ref="V81:AC81"/>
    <mergeCell ref="AD81:BB81"/>
    <mergeCell ref="B82:C82"/>
    <mergeCell ref="D82:M82"/>
    <mergeCell ref="N82:U82"/>
    <mergeCell ref="V82:AC82"/>
    <mergeCell ref="AD82:BB82"/>
    <mergeCell ref="B79:C79"/>
    <mergeCell ref="D79:M79"/>
    <mergeCell ref="N79:U79"/>
    <mergeCell ref="V79:AC79"/>
    <mergeCell ref="AD79:BB79"/>
    <mergeCell ref="B80:C80"/>
    <mergeCell ref="D80:M80"/>
    <mergeCell ref="N80:U80"/>
    <mergeCell ref="V80:AC80"/>
    <mergeCell ref="AD80:BB80"/>
    <mergeCell ref="B222:C222"/>
    <mergeCell ref="D222:I222"/>
    <mergeCell ref="J222:V222"/>
    <mergeCell ref="W222:AI222"/>
    <mergeCell ref="AJ222:BB222"/>
    <mergeCell ref="B223:C223"/>
    <mergeCell ref="D223:I223"/>
    <mergeCell ref="J223:V223"/>
    <mergeCell ref="W223:AI223"/>
    <mergeCell ref="AJ223:BB223"/>
    <mergeCell ref="AQ218:BB218"/>
    <mergeCell ref="B219:C219"/>
    <mergeCell ref="D219:I219"/>
    <mergeCell ref="J219:O219"/>
    <mergeCell ref="P219:U219"/>
    <mergeCell ref="V219:W219"/>
    <mergeCell ref="X219:Z219"/>
    <mergeCell ref="AA219:AC219"/>
    <mergeCell ref="AD219:AF219"/>
    <mergeCell ref="AG219:AP219"/>
    <mergeCell ref="AQ219:BB219"/>
    <mergeCell ref="B218:C218"/>
    <mergeCell ref="D218:I218"/>
    <mergeCell ref="J218:O218"/>
    <mergeCell ref="P218:U218"/>
    <mergeCell ref="V218:W218"/>
    <mergeCell ref="X218:Z218"/>
    <mergeCell ref="AA218:AC218"/>
    <mergeCell ref="AD218:AF218"/>
    <mergeCell ref="AG218:AP218"/>
    <mergeCell ref="X168:Z168"/>
    <mergeCell ref="AD167:AF167"/>
    <mergeCell ref="AG167:AP167"/>
    <mergeCell ref="D189:I189"/>
    <mergeCell ref="J189:O189"/>
    <mergeCell ref="P189:U189"/>
    <mergeCell ref="V189:W189"/>
    <mergeCell ref="X189:Z189"/>
    <mergeCell ref="AA189:AC189"/>
    <mergeCell ref="AD189:AF189"/>
    <mergeCell ref="AG189:AP189"/>
    <mergeCell ref="AA168:AC168"/>
    <mergeCell ref="AD168:AF168"/>
    <mergeCell ref="AG168:AP168"/>
    <mergeCell ref="AJ172:BB185"/>
    <mergeCell ref="D204:I204"/>
    <mergeCell ref="J204:V204"/>
    <mergeCell ref="W204:AI204"/>
    <mergeCell ref="AJ204:BB204"/>
    <mergeCell ref="D231:I231"/>
    <mergeCell ref="J231:V231"/>
    <mergeCell ref="AG190:AP190"/>
    <mergeCell ref="AQ190:BB190"/>
    <mergeCell ref="D201:I201"/>
    <mergeCell ref="J201:O201"/>
    <mergeCell ref="P201:U201"/>
    <mergeCell ref="V201:W201"/>
    <mergeCell ref="X201:Z201"/>
    <mergeCell ref="AA201:AC201"/>
    <mergeCell ref="AD201:AF201"/>
    <mergeCell ref="AG201:AP201"/>
    <mergeCell ref="AQ201:BB201"/>
    <mergeCell ref="X227:Z227"/>
    <mergeCell ref="AA227:AC227"/>
    <mergeCell ref="AD227:AF227"/>
    <mergeCell ref="D200:I200"/>
    <mergeCell ref="J200:O200"/>
    <mergeCell ref="P200:U200"/>
    <mergeCell ref="V200:W200"/>
    <mergeCell ref="X200:Z200"/>
    <mergeCell ref="AA200:AC200"/>
    <mergeCell ref="AD200:AF200"/>
    <mergeCell ref="AG200:AP200"/>
    <mergeCell ref="AQ120:BB121"/>
    <mergeCell ref="D120:I120"/>
    <mergeCell ref="D121:I121"/>
    <mergeCell ref="J120:O120"/>
    <mergeCell ref="J121:O121"/>
    <mergeCell ref="P120:U120"/>
    <mergeCell ref="P121:U121"/>
    <mergeCell ref="V120:W120"/>
    <mergeCell ref="V121:W121"/>
    <mergeCell ref="X120:Z120"/>
    <mergeCell ref="X121:Z121"/>
    <mergeCell ref="AA120:AC120"/>
    <mergeCell ref="AA121:AC121"/>
    <mergeCell ref="AD120:AF120"/>
    <mergeCell ref="AD121:AF121"/>
    <mergeCell ref="AG120:AP120"/>
    <mergeCell ref="AQ200:BB200"/>
    <mergeCell ref="AD190:AF190"/>
    <mergeCell ref="J178:V185"/>
    <mergeCell ref="AU168:BB168"/>
    <mergeCell ref="D194:I196"/>
    <mergeCell ref="AJ194:BB196"/>
    <mergeCell ref="J194:V194"/>
    <mergeCell ref="D146:I146"/>
    <mergeCell ref="J146:O146"/>
    <mergeCell ref="P146:U146"/>
    <mergeCell ref="V146:W146"/>
    <mergeCell ref="X146:Z146"/>
    <mergeCell ref="AA146:AC146"/>
    <mergeCell ref="W149:AI149"/>
    <mergeCell ref="AJ149:BB149"/>
    <mergeCell ref="D171:I171"/>
    <mergeCell ref="J171:V171"/>
    <mergeCell ref="W171:AI171"/>
    <mergeCell ref="AJ171:BB171"/>
    <mergeCell ref="D193:I193"/>
    <mergeCell ref="J193:V193"/>
    <mergeCell ref="W193:AI193"/>
    <mergeCell ref="AJ193:BB193"/>
    <mergeCell ref="AQ167:BB167"/>
    <mergeCell ref="AQ189:BB189"/>
    <mergeCell ref="J168:O168"/>
    <mergeCell ref="P168:U168"/>
    <mergeCell ref="V168:W168"/>
    <mergeCell ref="AQ145:BB145"/>
    <mergeCell ref="AD146:AF146"/>
    <mergeCell ref="AG146:AP146"/>
    <mergeCell ref="AQ146:BB146"/>
    <mergeCell ref="X135:Z135"/>
    <mergeCell ref="AA135:AC135"/>
    <mergeCell ref="AD135:AF135"/>
    <mergeCell ref="AG135:AP135"/>
    <mergeCell ref="AQ135:BB135"/>
    <mergeCell ref="X145:Z145"/>
    <mergeCell ref="AA145:AC145"/>
    <mergeCell ref="AD145:AF145"/>
    <mergeCell ref="AG145:AP145"/>
    <mergeCell ref="AJ140:BB141"/>
    <mergeCell ref="D136:I136"/>
    <mergeCell ref="J136:O136"/>
    <mergeCell ref="P136:U136"/>
    <mergeCell ref="V136:W136"/>
    <mergeCell ref="X136:Z136"/>
    <mergeCell ref="AA136:AC136"/>
    <mergeCell ref="AD136:AF136"/>
    <mergeCell ref="AG136:AP136"/>
    <mergeCell ref="AQ136:BB136"/>
    <mergeCell ref="D139:I139"/>
    <mergeCell ref="J139:V139"/>
    <mergeCell ref="W139:AI139"/>
    <mergeCell ref="AJ139:BB139"/>
    <mergeCell ref="X125:Z125"/>
    <mergeCell ref="AA125:AC125"/>
    <mergeCell ref="AD125:AF125"/>
    <mergeCell ref="AG125:AP125"/>
    <mergeCell ref="AQ125:BB125"/>
    <mergeCell ref="D130:I130"/>
    <mergeCell ref="J130:O130"/>
    <mergeCell ref="P130:U130"/>
    <mergeCell ref="V130:W130"/>
    <mergeCell ref="X130:Z130"/>
    <mergeCell ref="AA130:AC130"/>
    <mergeCell ref="AD130:AF130"/>
    <mergeCell ref="AG130:AP130"/>
    <mergeCell ref="AQ130:BB130"/>
    <mergeCell ref="D126:I126"/>
    <mergeCell ref="J126:O126"/>
    <mergeCell ref="P126:U126"/>
    <mergeCell ref="V126:W126"/>
    <mergeCell ref="X126:Z126"/>
    <mergeCell ref="AA126:AC126"/>
    <mergeCell ref="AD126:AF126"/>
    <mergeCell ref="AG126:AP126"/>
    <mergeCell ref="AQ126:BB126"/>
    <mergeCell ref="D109:I109"/>
    <mergeCell ref="J109:V109"/>
    <mergeCell ref="W109:AI109"/>
    <mergeCell ref="AJ109:BB109"/>
    <mergeCell ref="D110:I110"/>
    <mergeCell ref="AQ106:BB106"/>
    <mergeCell ref="D106:I106"/>
    <mergeCell ref="J106:O106"/>
    <mergeCell ref="P106:U106"/>
    <mergeCell ref="V106:W106"/>
    <mergeCell ref="X106:Z106"/>
    <mergeCell ref="AA106:AC106"/>
    <mergeCell ref="AD106:AF106"/>
    <mergeCell ref="AG106:AP106"/>
    <mergeCell ref="AJ110:BB115"/>
    <mergeCell ref="AG121:AP121"/>
    <mergeCell ref="D95:I95"/>
    <mergeCell ref="J95:V95"/>
    <mergeCell ref="W95:AI95"/>
    <mergeCell ref="AJ95:BB95"/>
    <mergeCell ref="AJ96:BB101"/>
    <mergeCell ref="D96:I96"/>
    <mergeCell ref="D97:I101"/>
    <mergeCell ref="D105:I105"/>
    <mergeCell ref="J105:O105"/>
    <mergeCell ref="P105:U105"/>
    <mergeCell ref="V105:W105"/>
    <mergeCell ref="X105:Z105"/>
    <mergeCell ref="AA105:AC105"/>
    <mergeCell ref="AD105:AF105"/>
    <mergeCell ref="AG105:AP105"/>
    <mergeCell ref="AQ105:BB105"/>
    <mergeCell ref="AD91:AF91"/>
    <mergeCell ref="AG91:AP91"/>
    <mergeCell ref="AQ91:BB91"/>
    <mergeCell ref="AQ92:BB92"/>
    <mergeCell ref="D92:I92"/>
    <mergeCell ref="J92:O92"/>
    <mergeCell ref="P92:U92"/>
    <mergeCell ref="V92:W92"/>
    <mergeCell ref="X92:Z92"/>
    <mergeCell ref="AA92:AC92"/>
    <mergeCell ref="AD92:AF92"/>
    <mergeCell ref="AG92:AP92"/>
    <mergeCell ref="B109:C109"/>
    <mergeCell ref="B110:C110"/>
    <mergeCell ref="J110:V110"/>
    <mergeCell ref="B106:C106"/>
    <mergeCell ref="B105:C105"/>
    <mergeCell ref="AY1:BC1"/>
    <mergeCell ref="A2:I3"/>
    <mergeCell ref="J2:Q3"/>
    <mergeCell ref="R2:AI3"/>
    <mergeCell ref="AY2:BC3"/>
    <mergeCell ref="B65:C65"/>
    <mergeCell ref="D65:M65"/>
    <mergeCell ref="N65:U65"/>
    <mergeCell ref="V65:AC65"/>
    <mergeCell ref="B58:C58"/>
    <mergeCell ref="D58:M58"/>
    <mergeCell ref="N58:U58"/>
    <mergeCell ref="V58:AC58"/>
    <mergeCell ref="AD70:BB70"/>
    <mergeCell ref="AD71:BB71"/>
    <mergeCell ref="AD72:BB72"/>
    <mergeCell ref="AD73:BB73"/>
    <mergeCell ref="AD74:BB74"/>
    <mergeCell ref="AD75:BB75"/>
    <mergeCell ref="B78:C78"/>
    <mergeCell ref="D78:M78"/>
    <mergeCell ref="N78:U78"/>
    <mergeCell ref="V78:AC78"/>
    <mergeCell ref="D83:M83"/>
    <mergeCell ref="N83:U83"/>
    <mergeCell ref="V83:AC83"/>
    <mergeCell ref="B92:C92"/>
    <mergeCell ref="B91:C91"/>
    <mergeCell ref="D85:M85"/>
    <mergeCell ref="N85:U85"/>
    <mergeCell ref="V85:AC85"/>
    <mergeCell ref="D91:I91"/>
    <mergeCell ref="J91:O91"/>
    <mergeCell ref="P91:U91"/>
    <mergeCell ref="V91:W91"/>
    <mergeCell ref="X91:Z91"/>
    <mergeCell ref="AA91:AC91"/>
    <mergeCell ref="B86:C86"/>
    <mergeCell ref="D86:M86"/>
    <mergeCell ref="N86:U86"/>
    <mergeCell ref="V86:AC86"/>
    <mergeCell ref="B87:C87"/>
    <mergeCell ref="D87:M87"/>
    <mergeCell ref="N55:U55"/>
    <mergeCell ref="V55:AC55"/>
    <mergeCell ref="B62:C62"/>
    <mergeCell ref="D62:M62"/>
    <mergeCell ref="N62:U62"/>
    <mergeCell ref="B57:C57"/>
    <mergeCell ref="D57:M57"/>
    <mergeCell ref="N57:U57"/>
    <mergeCell ref="V57:AC57"/>
    <mergeCell ref="B59:C59"/>
    <mergeCell ref="D59:M59"/>
    <mergeCell ref="N59:U59"/>
    <mergeCell ref="V59:AC59"/>
    <mergeCell ref="V62:AC62"/>
    <mergeCell ref="B60:C60"/>
    <mergeCell ref="D60:M60"/>
    <mergeCell ref="N60:U60"/>
    <mergeCell ref="V60:AC60"/>
    <mergeCell ref="B61:C61"/>
    <mergeCell ref="D61:M61"/>
    <mergeCell ref="N61:U61"/>
    <mergeCell ref="V61:AC61"/>
    <mergeCell ref="V64:AC64"/>
    <mergeCell ref="N64:U64"/>
    <mergeCell ref="D64:M64"/>
    <mergeCell ref="B64:C64"/>
    <mergeCell ref="B63:C63"/>
    <mergeCell ref="D63:M63"/>
    <mergeCell ref="N63:U63"/>
    <mergeCell ref="V63:AC63"/>
    <mergeCell ref="AT1:AX1"/>
    <mergeCell ref="AJ2:AN3"/>
    <mergeCell ref="AO2:AS3"/>
    <mergeCell ref="AT2:AX3"/>
    <mergeCell ref="AJ1:AN1"/>
    <mergeCell ref="AO1:AS1"/>
    <mergeCell ref="A1:I1"/>
    <mergeCell ref="J1:Q1"/>
    <mergeCell ref="R1:AI1"/>
    <mergeCell ref="B56:C56"/>
    <mergeCell ref="D56:M56"/>
    <mergeCell ref="N56:U56"/>
    <mergeCell ref="V56:AC56"/>
    <mergeCell ref="B54:C55"/>
    <mergeCell ref="D54:M55"/>
    <mergeCell ref="N54:AC54"/>
    <mergeCell ref="B69:C69"/>
    <mergeCell ref="D69:M69"/>
    <mergeCell ref="N69:U69"/>
    <mergeCell ref="V69:AC69"/>
    <mergeCell ref="B67:C67"/>
    <mergeCell ref="D67:M67"/>
    <mergeCell ref="N67:U67"/>
    <mergeCell ref="V67:AC67"/>
    <mergeCell ref="B68:C68"/>
    <mergeCell ref="D68:M68"/>
    <mergeCell ref="N68:U68"/>
    <mergeCell ref="V68:AC68"/>
    <mergeCell ref="AQ131:BB131"/>
    <mergeCell ref="B121:C121"/>
    <mergeCell ref="W110:AI115"/>
    <mergeCell ref="B126:C126"/>
    <mergeCell ref="B125:C125"/>
    <mergeCell ref="D125:I125"/>
    <mergeCell ref="J125:O125"/>
    <mergeCell ref="P125:U125"/>
    <mergeCell ref="V125:W125"/>
    <mergeCell ref="B130:C130"/>
    <mergeCell ref="B120:C120"/>
    <mergeCell ref="B119:C119"/>
    <mergeCell ref="B111:C115"/>
    <mergeCell ref="J111:V115"/>
    <mergeCell ref="D111:I115"/>
    <mergeCell ref="D119:I119"/>
    <mergeCell ref="J119:O119"/>
    <mergeCell ref="P119:U119"/>
    <mergeCell ref="V119:W119"/>
    <mergeCell ref="X119:Z119"/>
    <mergeCell ref="AA119:AC119"/>
    <mergeCell ref="AD119:AF119"/>
    <mergeCell ref="AG119:AP119"/>
    <mergeCell ref="AQ119:BB119"/>
    <mergeCell ref="B73:C73"/>
    <mergeCell ref="D73:M73"/>
    <mergeCell ref="N73:U73"/>
    <mergeCell ref="V73:AC73"/>
    <mergeCell ref="B74:C74"/>
    <mergeCell ref="D74:M74"/>
    <mergeCell ref="N74:U74"/>
    <mergeCell ref="B141:C141"/>
    <mergeCell ref="J141:V141"/>
    <mergeCell ref="W140:AI141"/>
    <mergeCell ref="B139:C139"/>
    <mergeCell ref="B140:C140"/>
    <mergeCell ref="J140:V140"/>
    <mergeCell ref="D131:I131"/>
    <mergeCell ref="J131:O131"/>
    <mergeCell ref="P131:U131"/>
    <mergeCell ref="V131:W131"/>
    <mergeCell ref="X131:Z131"/>
    <mergeCell ref="AA131:AC131"/>
    <mergeCell ref="AD131:AF131"/>
    <mergeCell ref="AG131:AP131"/>
    <mergeCell ref="B96:C96"/>
    <mergeCell ref="J96:V96"/>
    <mergeCell ref="B97:C97"/>
    <mergeCell ref="B70:C70"/>
    <mergeCell ref="D70:M70"/>
    <mergeCell ref="N70:U70"/>
    <mergeCell ref="V70:AC70"/>
    <mergeCell ref="B71:C71"/>
    <mergeCell ref="D71:M71"/>
    <mergeCell ref="N71:U71"/>
    <mergeCell ref="V71:AC71"/>
    <mergeCell ref="B72:C72"/>
    <mergeCell ref="D72:M72"/>
    <mergeCell ref="N72:U72"/>
    <mergeCell ref="V72:AC72"/>
    <mergeCell ref="V74:AC74"/>
    <mergeCell ref="B75:C75"/>
    <mergeCell ref="D75:M75"/>
    <mergeCell ref="N75:U75"/>
    <mergeCell ref="V75:AC75"/>
    <mergeCell ref="B131:C131"/>
    <mergeCell ref="B76:C76"/>
    <mergeCell ref="D76:M76"/>
    <mergeCell ref="N76:U76"/>
    <mergeCell ref="V76:AC76"/>
    <mergeCell ref="B77:C77"/>
    <mergeCell ref="D77:M77"/>
    <mergeCell ref="N77:U77"/>
    <mergeCell ref="V77:AC77"/>
    <mergeCell ref="B84:C84"/>
    <mergeCell ref="D84:M84"/>
    <mergeCell ref="N84:U84"/>
    <mergeCell ref="V84:AC84"/>
    <mergeCell ref="B85:C85"/>
    <mergeCell ref="J97:V97"/>
    <mergeCell ref="B98:C101"/>
    <mergeCell ref="J98:V101"/>
    <mergeCell ref="W96:AI101"/>
    <mergeCell ref="B95:C95"/>
    <mergeCell ref="B135:C135"/>
    <mergeCell ref="B149:C149"/>
    <mergeCell ref="B150:C150"/>
    <mergeCell ref="J150:V150"/>
    <mergeCell ref="B146:C146"/>
    <mergeCell ref="B145:C145"/>
    <mergeCell ref="B151:C155"/>
    <mergeCell ref="J151:V155"/>
    <mergeCell ref="B156:C163"/>
    <mergeCell ref="J156:V163"/>
    <mergeCell ref="D140:I140"/>
    <mergeCell ref="D141:I141"/>
    <mergeCell ref="B136:C136"/>
    <mergeCell ref="D149:I149"/>
    <mergeCell ref="J149:V149"/>
    <mergeCell ref="D145:I145"/>
    <mergeCell ref="J145:O145"/>
    <mergeCell ref="P145:U145"/>
    <mergeCell ref="V145:W145"/>
    <mergeCell ref="D135:I135"/>
    <mergeCell ref="J135:O135"/>
    <mergeCell ref="P135:U135"/>
    <mergeCell ref="V135:W135"/>
    <mergeCell ref="W150:AI163"/>
    <mergeCell ref="B200:C200"/>
    <mergeCell ref="B167:C167"/>
    <mergeCell ref="D167:I167"/>
    <mergeCell ref="J167:O167"/>
    <mergeCell ref="P167:U167"/>
    <mergeCell ref="V167:W167"/>
    <mergeCell ref="X167:Z167"/>
    <mergeCell ref="AA167:AC167"/>
    <mergeCell ref="B189:C189"/>
    <mergeCell ref="B190:C190"/>
    <mergeCell ref="D190:I190"/>
    <mergeCell ref="J190:O190"/>
    <mergeCell ref="P190:U190"/>
    <mergeCell ref="V190:W190"/>
    <mergeCell ref="X190:Z190"/>
    <mergeCell ref="AA190:AC190"/>
    <mergeCell ref="B171:C171"/>
    <mergeCell ref="B172:C172"/>
    <mergeCell ref="J172:V172"/>
    <mergeCell ref="W172:AI185"/>
    <mergeCell ref="B173:C177"/>
    <mergeCell ref="J173:V177"/>
    <mergeCell ref="B178:C185"/>
    <mergeCell ref="D168:I168"/>
    <mergeCell ref="N87:U87"/>
    <mergeCell ref="V87:AC87"/>
    <mergeCell ref="B240:C240"/>
    <mergeCell ref="B239:C239"/>
    <mergeCell ref="D240:I240"/>
    <mergeCell ref="J240:O240"/>
    <mergeCell ref="P240:U240"/>
    <mergeCell ref="V240:W240"/>
    <mergeCell ref="X240:Z240"/>
    <mergeCell ref="AA240:AC240"/>
    <mergeCell ref="B168:C168"/>
    <mergeCell ref="B195:C196"/>
    <mergeCell ref="J195:V196"/>
    <mergeCell ref="W194:AI196"/>
    <mergeCell ref="B193:C193"/>
    <mergeCell ref="B204:C204"/>
    <mergeCell ref="B194:C194"/>
    <mergeCell ref="B201:C201"/>
    <mergeCell ref="B228:C228"/>
    <mergeCell ref="B227:C227"/>
    <mergeCell ref="D227:I227"/>
    <mergeCell ref="J227:O227"/>
    <mergeCell ref="P227:U227"/>
    <mergeCell ref="B233:C235"/>
    <mergeCell ref="J233:V235"/>
    <mergeCell ref="W232:AI235"/>
    <mergeCell ref="P228:U228"/>
    <mergeCell ref="V228:W228"/>
    <mergeCell ref="X228:Z228"/>
    <mergeCell ref="AA228:AC228"/>
    <mergeCell ref="AD228:AF228"/>
    <mergeCell ref="AG228:AP228"/>
    <mergeCell ref="W231:AI231"/>
    <mergeCell ref="B213:C214"/>
    <mergeCell ref="J213:V214"/>
    <mergeCell ref="W205:AI214"/>
    <mergeCell ref="J207:V208"/>
    <mergeCell ref="B207:C208"/>
    <mergeCell ref="B209:C210"/>
    <mergeCell ref="J209:V210"/>
    <mergeCell ref="B211:C212"/>
    <mergeCell ref="J211:V212"/>
    <mergeCell ref="B206:C206"/>
    <mergeCell ref="J206:V206"/>
    <mergeCell ref="B205:C205"/>
    <mergeCell ref="J205:V205"/>
    <mergeCell ref="D207:I210"/>
    <mergeCell ref="D205:I206"/>
    <mergeCell ref="D211:I214"/>
    <mergeCell ref="B253:C254"/>
    <mergeCell ref="B252:C252"/>
    <mergeCell ref="D252:K252"/>
    <mergeCell ref="L252:S252"/>
    <mergeCell ref="T252:AA252"/>
    <mergeCell ref="AB252:AI252"/>
    <mergeCell ref="AJ252:AP252"/>
    <mergeCell ref="B231:C231"/>
    <mergeCell ref="B232:C232"/>
    <mergeCell ref="J232:V232"/>
    <mergeCell ref="AJ231:BB231"/>
    <mergeCell ref="B245:C245"/>
    <mergeCell ref="J245:V245"/>
    <mergeCell ref="B246:C248"/>
    <mergeCell ref="J246:V248"/>
    <mergeCell ref="W244:AI248"/>
    <mergeCell ref="B243:C243"/>
    <mergeCell ref="B244:C244"/>
    <mergeCell ref="J244:V244"/>
    <mergeCell ref="AD240:AF240"/>
    <mergeCell ref="D239:I239"/>
    <mergeCell ref="J239:O239"/>
    <mergeCell ref="P239:U239"/>
    <mergeCell ref="V239:W239"/>
    <mergeCell ref="AQ227:BB227"/>
    <mergeCell ref="D243:I243"/>
    <mergeCell ref="J243:V243"/>
    <mergeCell ref="W243:AI243"/>
    <mergeCell ref="AJ243:BB243"/>
    <mergeCell ref="AQ252:BB252"/>
    <mergeCell ref="AQ253:BB254"/>
    <mergeCell ref="AG240:AP240"/>
    <mergeCell ref="AQ240:BB240"/>
    <mergeCell ref="T253:AA254"/>
    <mergeCell ref="D253:K254"/>
    <mergeCell ref="L253:S254"/>
    <mergeCell ref="AB253:AI254"/>
    <mergeCell ref="AJ253:AP254"/>
    <mergeCell ref="AQ228:BB228"/>
    <mergeCell ref="X239:Z239"/>
    <mergeCell ref="AA239:AC239"/>
    <mergeCell ref="AD239:AF239"/>
    <mergeCell ref="AG239:AP239"/>
    <mergeCell ref="AQ239:BB239"/>
    <mergeCell ref="V227:W227"/>
    <mergeCell ref="AG227:AP227"/>
    <mergeCell ref="D228:I228"/>
    <mergeCell ref="J228:O228"/>
    <mergeCell ref="AJ205:BB214"/>
    <mergeCell ref="D232:I235"/>
    <mergeCell ref="AJ232:BB235"/>
    <mergeCell ref="D244:I244"/>
    <mergeCell ref="D245:I248"/>
    <mergeCell ref="AJ244:BB248"/>
    <mergeCell ref="AD56:BB56"/>
    <mergeCell ref="AD57:BB57"/>
    <mergeCell ref="AD58:BB58"/>
    <mergeCell ref="AD59:BB59"/>
    <mergeCell ref="AD60:BB60"/>
    <mergeCell ref="AD61:BB61"/>
    <mergeCell ref="AD62:BB62"/>
    <mergeCell ref="AD63:BB63"/>
    <mergeCell ref="AD65:BB65"/>
    <mergeCell ref="AD67:BB67"/>
    <mergeCell ref="AD68:BB68"/>
    <mergeCell ref="AD69:BB69"/>
    <mergeCell ref="D150:I155"/>
    <mergeCell ref="D156:I163"/>
    <mergeCell ref="AJ150:BB163"/>
    <mergeCell ref="D172:I177"/>
    <mergeCell ref="D178:I185"/>
    <mergeCell ref="AD76:BB76"/>
    <mergeCell ref="AD77:BB77"/>
    <mergeCell ref="AD78:BB78"/>
    <mergeCell ref="AD83:BB83"/>
    <mergeCell ref="AD84:BB84"/>
    <mergeCell ref="AD85:BB85"/>
    <mergeCell ref="AD86:BB86"/>
    <mergeCell ref="AD87:BB87"/>
    <mergeCell ref="AD54:BB55"/>
    <mergeCell ref="AD64:BB64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scale="83" orientation="landscape" r:id="rId1"/>
  <headerFooter>
    <oddFooter>&amp;C&amp;P/&amp;N</oddFooter>
  </headerFooter>
  <rowBreaks count="6" manualBreakCount="6">
    <brk id="52" max="54" man="1"/>
    <brk id="93" max="54" man="1"/>
    <brk id="127" max="54" man="1"/>
    <brk id="164" max="54" man="1"/>
    <brk id="197" max="54" man="1"/>
    <brk id="241" max="5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/>
  <dimension ref="A1:AX74"/>
  <sheetViews>
    <sheetView showGridLines="0" view="pageBreakPreview" zoomScaleNormal="60" zoomScaleSheetLayoutView="100" workbookViewId="0">
      <selection sqref="A1:J1"/>
    </sheetView>
  </sheetViews>
  <sheetFormatPr defaultColWidth="2.625" defaultRowHeight="13.5" customHeight="1"/>
  <cols>
    <col min="1" max="16384" width="2.625" style="1"/>
  </cols>
  <sheetData>
    <row r="1" spans="1:50" ht="16.5">
      <c r="A1" s="358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 t="s">
        <v>1</v>
      </c>
      <c r="L1" s="343"/>
      <c r="M1" s="343"/>
      <c r="N1" s="343"/>
      <c r="O1" s="343"/>
      <c r="P1" s="343"/>
      <c r="Q1" s="343"/>
      <c r="R1" s="343"/>
      <c r="S1" s="343"/>
      <c r="T1" s="343"/>
      <c r="U1" s="343" t="s">
        <v>31</v>
      </c>
      <c r="V1" s="343"/>
      <c r="W1" s="343"/>
      <c r="X1" s="343"/>
      <c r="Y1" s="343"/>
      <c r="Z1" s="343"/>
      <c r="AA1" s="343"/>
      <c r="AB1" s="343"/>
      <c r="AC1" s="343"/>
      <c r="AD1" s="343"/>
      <c r="AE1" s="343" t="s">
        <v>2</v>
      </c>
      <c r="AF1" s="343"/>
      <c r="AG1" s="343"/>
      <c r="AH1" s="343"/>
      <c r="AI1" s="343"/>
      <c r="AJ1" s="343" t="s">
        <v>3</v>
      </c>
      <c r="AK1" s="343"/>
      <c r="AL1" s="343"/>
      <c r="AM1" s="343"/>
      <c r="AN1" s="343"/>
      <c r="AO1" s="343" t="s">
        <v>4</v>
      </c>
      <c r="AP1" s="343"/>
      <c r="AQ1" s="343"/>
      <c r="AR1" s="343"/>
      <c r="AS1" s="343"/>
      <c r="AT1" s="343" t="s">
        <v>5</v>
      </c>
      <c r="AU1" s="343"/>
      <c r="AV1" s="343"/>
      <c r="AW1" s="343"/>
      <c r="AX1" s="344"/>
    </row>
    <row r="2" spans="1:50" ht="13.5" customHeight="1">
      <c r="A2" s="345" t="str">
        <f>表紙!O10</f>
        <v>13期12月対応</v>
      </c>
      <c r="B2" s="317"/>
      <c r="C2" s="317"/>
      <c r="D2" s="317"/>
      <c r="E2" s="317"/>
      <c r="F2" s="317"/>
      <c r="G2" s="317"/>
      <c r="H2" s="317"/>
      <c r="I2" s="317"/>
      <c r="J2" s="317"/>
      <c r="K2" s="317" t="s">
        <v>30</v>
      </c>
      <c r="L2" s="317"/>
      <c r="M2" s="317"/>
      <c r="N2" s="317"/>
      <c r="O2" s="317"/>
      <c r="P2" s="317"/>
      <c r="Q2" s="317"/>
      <c r="R2" s="317"/>
      <c r="S2" s="317"/>
      <c r="T2" s="317"/>
      <c r="U2" s="317" t="str">
        <f ca="1">RIGHT(CELL("filename",V2),LEN(CELL("filename",V2))-FIND("]",CELL("filename",V2)))</f>
        <v xml:space="preserve">ユーザー詳細_講師(管理者権限) </v>
      </c>
      <c r="V2" s="317"/>
      <c r="W2" s="317"/>
      <c r="X2" s="317"/>
      <c r="Y2" s="317"/>
      <c r="Z2" s="317"/>
      <c r="AA2" s="317"/>
      <c r="AB2" s="317"/>
      <c r="AC2" s="317"/>
      <c r="AD2" s="317"/>
      <c r="AE2" s="317" t="s">
        <v>32</v>
      </c>
      <c r="AF2" s="317"/>
      <c r="AG2" s="317"/>
      <c r="AH2" s="317"/>
      <c r="AI2" s="317"/>
      <c r="AJ2" s="354">
        <v>43019</v>
      </c>
      <c r="AK2" s="354"/>
      <c r="AL2" s="354"/>
      <c r="AM2" s="354"/>
      <c r="AN2" s="354"/>
      <c r="AO2" s="317"/>
      <c r="AP2" s="317"/>
      <c r="AQ2" s="317"/>
      <c r="AR2" s="317"/>
      <c r="AS2" s="317"/>
      <c r="AT2" s="354"/>
      <c r="AU2" s="354"/>
      <c r="AV2" s="354"/>
      <c r="AW2" s="354"/>
      <c r="AX2" s="408"/>
    </row>
    <row r="3" spans="1:50" ht="13.5" customHeight="1" thickBot="1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55"/>
      <c r="AK3" s="355"/>
      <c r="AL3" s="355"/>
      <c r="AM3" s="355"/>
      <c r="AN3" s="355"/>
      <c r="AO3" s="347"/>
      <c r="AP3" s="347"/>
      <c r="AQ3" s="347"/>
      <c r="AR3" s="347"/>
      <c r="AS3" s="347"/>
      <c r="AT3" s="355"/>
      <c r="AU3" s="355"/>
      <c r="AV3" s="355"/>
      <c r="AW3" s="355"/>
      <c r="AX3" s="409"/>
    </row>
    <row r="4" spans="1:50" ht="13.5" customHeight="1" thickBot="1"/>
    <row r="5" spans="1:50" ht="13.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</row>
    <row r="6" spans="1:50" ht="13.5" customHeight="1">
      <c r="A6" s="5"/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3.5" customHeight="1">
      <c r="A7" s="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ht="13.5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8"/>
    </row>
    <row r="9" spans="1:50" ht="13.5" customHeight="1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8"/>
    </row>
    <row r="10" spans="1:50" ht="13.5" customHeight="1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8"/>
    </row>
    <row r="11" spans="1:50" ht="13.5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8"/>
    </row>
    <row r="12" spans="1:50" ht="13.5" customHeight="1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8"/>
    </row>
    <row r="13" spans="1:50" ht="13.5" customHeight="1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8"/>
    </row>
    <row r="14" spans="1:50" ht="13.5" customHeight="1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ht="13.5" customHeight="1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13.5" customHeight="1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3.5" customHeight="1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13.5" customHeight="1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ht="18.75">
      <c r="A19" s="5"/>
      <c r="B19" s="6" t="s">
        <v>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8"/>
    </row>
    <row r="20" spans="1:50" ht="16.5">
      <c r="A20" s="5"/>
      <c r="B20" s="342" t="s">
        <v>8</v>
      </c>
      <c r="C20" s="342"/>
      <c r="D20" s="319" t="s">
        <v>9</v>
      </c>
      <c r="E20" s="319"/>
      <c r="F20" s="319"/>
      <c r="G20" s="319"/>
      <c r="H20" s="319"/>
      <c r="I20" s="319"/>
      <c r="J20" s="319"/>
      <c r="K20" s="319"/>
      <c r="L20" s="319"/>
      <c r="M20" s="319"/>
      <c r="N20" s="319" t="s">
        <v>10</v>
      </c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19"/>
      <c r="AD20" s="319" t="s">
        <v>11</v>
      </c>
      <c r="AE20" s="319"/>
      <c r="AF20" s="319"/>
      <c r="AG20" s="319" t="s">
        <v>12</v>
      </c>
      <c r="AH20" s="319"/>
      <c r="AI20" s="319"/>
      <c r="AJ20" s="319"/>
      <c r="AK20" s="319"/>
      <c r="AL20" s="319"/>
      <c r="AM20" s="319"/>
      <c r="AN20" s="319"/>
      <c r="AO20" s="319"/>
      <c r="AP20" s="319"/>
      <c r="AQ20" s="319"/>
      <c r="AR20" s="319"/>
      <c r="AS20" s="319"/>
      <c r="AT20" s="319"/>
      <c r="AU20" s="319"/>
      <c r="AV20" s="319"/>
      <c r="AW20" s="319"/>
      <c r="AX20" s="8"/>
    </row>
    <row r="21" spans="1:50" ht="16.5">
      <c r="A21" s="5"/>
      <c r="B21" s="342"/>
      <c r="C21" s="342"/>
      <c r="D21" s="319"/>
      <c r="E21" s="319"/>
      <c r="F21" s="319"/>
      <c r="G21" s="319"/>
      <c r="H21" s="319"/>
      <c r="I21" s="319"/>
      <c r="J21" s="319"/>
      <c r="K21" s="319"/>
      <c r="L21" s="319"/>
      <c r="M21" s="319"/>
      <c r="N21" s="319" t="s">
        <v>13</v>
      </c>
      <c r="O21" s="319"/>
      <c r="P21" s="319"/>
      <c r="Q21" s="319"/>
      <c r="R21" s="319"/>
      <c r="S21" s="319"/>
      <c r="T21" s="319"/>
      <c r="U21" s="319"/>
      <c r="V21" s="319" t="s">
        <v>14</v>
      </c>
      <c r="W21" s="319"/>
      <c r="X21" s="319"/>
      <c r="Y21" s="319"/>
      <c r="Z21" s="319"/>
      <c r="AA21" s="319"/>
      <c r="AB21" s="319"/>
      <c r="AC21" s="319"/>
      <c r="AD21" s="319"/>
      <c r="AE21" s="319"/>
      <c r="AF21" s="319"/>
      <c r="AG21" s="319"/>
      <c r="AH21" s="319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8"/>
    </row>
    <row r="22" spans="1:50" ht="13.5" customHeight="1">
      <c r="A22" s="5"/>
      <c r="B22" s="317">
        <v>1</v>
      </c>
      <c r="C22" s="317"/>
      <c r="D22" s="318" t="s">
        <v>34</v>
      </c>
      <c r="E22" s="318"/>
      <c r="F22" s="318"/>
      <c r="G22" s="318"/>
      <c r="H22" s="318"/>
      <c r="I22" s="318"/>
      <c r="J22" s="318"/>
      <c r="K22" s="318"/>
      <c r="L22" s="318"/>
      <c r="M22" s="318"/>
      <c r="N22" s="331"/>
      <c r="O22" s="331"/>
      <c r="P22" s="331"/>
      <c r="Q22" s="331"/>
      <c r="R22" s="331"/>
      <c r="S22" s="331"/>
      <c r="T22" s="331"/>
      <c r="U22" s="331"/>
      <c r="V22" s="331" t="s">
        <v>188</v>
      </c>
      <c r="W22" s="331"/>
      <c r="X22" s="331"/>
      <c r="Y22" s="331"/>
      <c r="Z22" s="331"/>
      <c r="AA22" s="331"/>
      <c r="AB22" s="331"/>
      <c r="AC22" s="331"/>
      <c r="AD22" s="341"/>
      <c r="AE22" s="341"/>
      <c r="AF22" s="341"/>
      <c r="AG22" s="318"/>
      <c r="AH22" s="318"/>
      <c r="AI22" s="318"/>
      <c r="AJ22" s="318"/>
      <c r="AK22" s="318"/>
      <c r="AL22" s="318"/>
      <c r="AM22" s="318"/>
      <c r="AN22" s="318"/>
      <c r="AO22" s="318"/>
      <c r="AP22" s="318"/>
      <c r="AQ22" s="318"/>
      <c r="AR22" s="318"/>
      <c r="AS22" s="318"/>
      <c r="AT22" s="318"/>
      <c r="AU22" s="318"/>
      <c r="AV22" s="318"/>
      <c r="AW22" s="318"/>
      <c r="AX22" s="8"/>
    </row>
    <row r="23" spans="1:50" ht="13.5" customHeight="1">
      <c r="A23" s="5"/>
      <c r="B23" s="317">
        <v>2</v>
      </c>
      <c r="C23" s="317"/>
      <c r="D23" s="318" t="s">
        <v>43</v>
      </c>
      <c r="E23" s="318"/>
      <c r="F23" s="318"/>
      <c r="G23" s="318"/>
      <c r="H23" s="318"/>
      <c r="I23" s="318"/>
      <c r="J23" s="318"/>
      <c r="K23" s="318"/>
      <c r="L23" s="318"/>
      <c r="M23" s="318"/>
      <c r="N23" s="331"/>
      <c r="O23" s="331"/>
      <c r="P23" s="331"/>
      <c r="Q23" s="331"/>
      <c r="R23" s="331"/>
      <c r="S23" s="331"/>
      <c r="T23" s="331"/>
      <c r="U23" s="331"/>
      <c r="V23" s="331" t="s">
        <v>183</v>
      </c>
      <c r="W23" s="331"/>
      <c r="X23" s="331"/>
      <c r="Y23" s="331"/>
      <c r="Z23" s="331"/>
      <c r="AA23" s="331"/>
      <c r="AB23" s="331"/>
      <c r="AC23" s="331"/>
      <c r="AD23" s="341"/>
      <c r="AE23" s="341"/>
      <c r="AF23" s="341"/>
      <c r="AG23" s="318"/>
      <c r="AH23" s="318"/>
      <c r="AI23" s="318"/>
      <c r="AJ23" s="318"/>
      <c r="AK23" s="318"/>
      <c r="AL23" s="318"/>
      <c r="AM23" s="318"/>
      <c r="AN23" s="318"/>
      <c r="AO23" s="318"/>
      <c r="AP23" s="318"/>
      <c r="AQ23" s="318"/>
      <c r="AR23" s="318"/>
      <c r="AS23" s="318"/>
      <c r="AT23" s="318"/>
      <c r="AU23" s="318"/>
      <c r="AV23" s="318"/>
      <c r="AW23" s="318"/>
      <c r="AX23" s="8"/>
    </row>
    <row r="24" spans="1:50" ht="13.5" customHeight="1">
      <c r="A24" s="5"/>
      <c r="B24" s="317">
        <v>3</v>
      </c>
      <c r="C24" s="317"/>
      <c r="D24" s="318" t="s">
        <v>12</v>
      </c>
      <c r="E24" s="318"/>
      <c r="F24" s="318"/>
      <c r="G24" s="318"/>
      <c r="H24" s="318"/>
      <c r="I24" s="318"/>
      <c r="J24" s="318"/>
      <c r="K24" s="318"/>
      <c r="L24" s="318"/>
      <c r="M24" s="318"/>
      <c r="N24" s="331"/>
      <c r="O24" s="331"/>
      <c r="P24" s="331"/>
      <c r="Q24" s="331"/>
      <c r="R24" s="331"/>
      <c r="S24" s="331"/>
      <c r="T24" s="331"/>
      <c r="U24" s="331"/>
      <c r="V24" s="331" t="s">
        <v>182</v>
      </c>
      <c r="W24" s="331"/>
      <c r="X24" s="331"/>
      <c r="Y24" s="331"/>
      <c r="Z24" s="331"/>
      <c r="AA24" s="331"/>
      <c r="AB24" s="331"/>
      <c r="AC24" s="331"/>
      <c r="AD24" s="341"/>
      <c r="AE24" s="341"/>
      <c r="AF24" s="341"/>
      <c r="AG24" s="318"/>
      <c r="AH24" s="318"/>
      <c r="AI24" s="318"/>
      <c r="AJ24" s="318"/>
      <c r="AK24" s="318"/>
      <c r="AL24" s="318"/>
      <c r="AM24" s="318"/>
      <c r="AN24" s="318"/>
      <c r="AO24" s="318"/>
      <c r="AP24" s="318"/>
      <c r="AQ24" s="318"/>
      <c r="AR24" s="318"/>
      <c r="AS24" s="318"/>
      <c r="AT24" s="318"/>
      <c r="AU24" s="318"/>
      <c r="AV24" s="318"/>
      <c r="AW24" s="318"/>
      <c r="AX24" s="8"/>
    </row>
    <row r="25" spans="1:50" ht="13.5" customHeight="1">
      <c r="A25" s="5"/>
      <c r="B25" s="317">
        <v>4</v>
      </c>
      <c r="C25" s="317"/>
      <c r="D25" s="318" t="s">
        <v>47</v>
      </c>
      <c r="E25" s="318"/>
      <c r="F25" s="318"/>
      <c r="G25" s="318"/>
      <c r="H25" s="318"/>
      <c r="I25" s="318"/>
      <c r="J25" s="318"/>
      <c r="K25" s="318"/>
      <c r="L25" s="318"/>
      <c r="M25" s="318"/>
      <c r="N25" s="331"/>
      <c r="O25" s="331"/>
      <c r="P25" s="331"/>
      <c r="Q25" s="331"/>
      <c r="R25" s="331"/>
      <c r="S25" s="331"/>
      <c r="T25" s="331"/>
      <c r="U25" s="331"/>
      <c r="V25" s="331" t="s">
        <v>189</v>
      </c>
      <c r="W25" s="331"/>
      <c r="X25" s="331"/>
      <c r="Y25" s="331"/>
      <c r="Z25" s="331"/>
      <c r="AA25" s="331"/>
      <c r="AB25" s="331"/>
      <c r="AC25" s="331"/>
      <c r="AD25" s="341"/>
      <c r="AE25" s="341"/>
      <c r="AF25" s="341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318"/>
      <c r="AU25" s="318"/>
      <c r="AV25" s="318"/>
      <c r="AW25" s="318"/>
      <c r="AX25" s="8"/>
    </row>
    <row r="26" spans="1:50" ht="13.5" customHeight="1">
      <c r="A26" s="5"/>
      <c r="B26" s="317">
        <v>5</v>
      </c>
      <c r="C26" s="317"/>
      <c r="D26" s="318" t="s">
        <v>78</v>
      </c>
      <c r="E26" s="318"/>
      <c r="F26" s="318"/>
      <c r="G26" s="318"/>
      <c r="H26" s="318"/>
      <c r="I26" s="318"/>
      <c r="J26" s="318"/>
      <c r="K26" s="318"/>
      <c r="L26" s="318"/>
      <c r="M26" s="318"/>
      <c r="N26" s="331"/>
      <c r="O26" s="331"/>
      <c r="P26" s="331"/>
      <c r="Q26" s="331"/>
      <c r="R26" s="331"/>
      <c r="S26" s="331"/>
      <c r="T26" s="331"/>
      <c r="U26" s="331"/>
      <c r="V26" s="331" t="s">
        <v>190</v>
      </c>
      <c r="W26" s="331"/>
      <c r="X26" s="331"/>
      <c r="Y26" s="331"/>
      <c r="Z26" s="331"/>
      <c r="AA26" s="331"/>
      <c r="AB26" s="331"/>
      <c r="AC26" s="331"/>
      <c r="AD26" s="341"/>
      <c r="AE26" s="341"/>
      <c r="AF26" s="341"/>
      <c r="AG26" s="318" t="s">
        <v>39</v>
      </c>
      <c r="AH26" s="318"/>
      <c r="AI26" s="318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AT26" s="318"/>
      <c r="AU26" s="318"/>
      <c r="AV26" s="318"/>
      <c r="AW26" s="318"/>
      <c r="AX26" s="8"/>
    </row>
    <row r="27" spans="1:50" ht="13.5" customHeight="1">
      <c r="A27" s="5"/>
      <c r="B27" s="317">
        <v>6</v>
      </c>
      <c r="C27" s="317"/>
      <c r="D27" s="318" t="s">
        <v>191</v>
      </c>
      <c r="E27" s="318"/>
      <c r="F27" s="318"/>
      <c r="G27" s="318"/>
      <c r="H27" s="318"/>
      <c r="I27" s="318"/>
      <c r="J27" s="318"/>
      <c r="K27" s="318"/>
      <c r="L27" s="318"/>
      <c r="M27" s="318"/>
      <c r="N27" s="331"/>
      <c r="O27" s="331"/>
      <c r="P27" s="331"/>
      <c r="Q27" s="331"/>
      <c r="R27" s="331"/>
      <c r="S27" s="331"/>
      <c r="T27" s="331"/>
      <c r="U27" s="331"/>
      <c r="V27" s="331" t="s">
        <v>128</v>
      </c>
      <c r="W27" s="331"/>
      <c r="X27" s="331"/>
      <c r="Y27" s="331"/>
      <c r="Z27" s="331"/>
      <c r="AA27" s="331"/>
      <c r="AB27" s="331"/>
      <c r="AC27" s="331"/>
      <c r="AD27" s="341"/>
      <c r="AE27" s="341"/>
      <c r="AF27" s="341"/>
      <c r="AG27" s="318" t="s">
        <v>39</v>
      </c>
      <c r="AH27" s="318"/>
      <c r="AI27" s="318"/>
      <c r="AJ27" s="318"/>
      <c r="AK27" s="318"/>
      <c r="AL27" s="318"/>
      <c r="AM27" s="318"/>
      <c r="AN27" s="318"/>
      <c r="AO27" s="318"/>
      <c r="AP27" s="318"/>
      <c r="AQ27" s="318"/>
      <c r="AR27" s="318"/>
      <c r="AS27" s="318"/>
      <c r="AT27" s="318"/>
      <c r="AU27" s="318"/>
      <c r="AV27" s="318"/>
      <c r="AW27" s="318"/>
      <c r="AX27" s="8"/>
    </row>
    <row r="28" spans="1:50" ht="13.5" customHeight="1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3.5" customHeight="1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13.5" customHeight="1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3.5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13.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3.5" customHeight="1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3.5" customHeight="1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8"/>
    </row>
    <row r="35" spans="1:50" ht="13.5" customHeight="1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8"/>
    </row>
    <row r="36" spans="1:50" ht="13.5" customHeight="1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8"/>
    </row>
    <row r="37" spans="1:50" ht="13.5" customHeight="1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8"/>
    </row>
    <row r="38" spans="1:50" ht="13.5" customHeight="1">
      <c r="A38" s="5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8"/>
    </row>
    <row r="39" spans="1:50" ht="13.5" customHeight="1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8"/>
    </row>
    <row r="40" spans="1:50" ht="13.5" customHeight="1" thickBot="1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3"/>
    </row>
    <row r="41" spans="1:50" ht="13.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4"/>
    </row>
    <row r="42" spans="1:50" ht="22.5">
      <c r="A42" s="5"/>
      <c r="B42" s="39" t="s">
        <v>123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8"/>
    </row>
    <row r="43" spans="1:50" ht="18.75">
      <c r="A43" s="5"/>
      <c r="B43" s="6" t="s">
        <v>15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8"/>
    </row>
    <row r="44" spans="1:50" ht="13.5" customHeight="1">
      <c r="A44" s="5"/>
      <c r="B44" s="319" t="s">
        <v>8</v>
      </c>
      <c r="C44" s="319"/>
      <c r="D44" s="319" t="s">
        <v>9</v>
      </c>
      <c r="E44" s="319"/>
      <c r="F44" s="319"/>
      <c r="G44" s="319"/>
      <c r="H44" s="319"/>
      <c r="I44" s="319"/>
      <c r="J44" s="319"/>
      <c r="K44" s="319"/>
      <c r="L44" s="319"/>
      <c r="M44" s="319"/>
      <c r="N44" s="319" t="s">
        <v>16</v>
      </c>
      <c r="O44" s="319"/>
      <c r="P44" s="319"/>
      <c r="Q44" s="319"/>
      <c r="R44" s="319"/>
      <c r="S44" s="319"/>
      <c r="T44" s="319"/>
      <c r="U44" s="319" t="s">
        <v>17</v>
      </c>
      <c r="V44" s="319"/>
      <c r="W44" s="319"/>
      <c r="X44" s="319"/>
      <c r="Y44" s="319"/>
      <c r="Z44" s="319"/>
      <c r="AA44" s="319"/>
      <c r="AB44" s="319" t="s">
        <v>18</v>
      </c>
      <c r="AC44" s="319"/>
      <c r="AD44" s="319" t="s">
        <v>19</v>
      </c>
      <c r="AE44" s="319"/>
      <c r="AF44" s="319" t="s">
        <v>20</v>
      </c>
      <c r="AG44" s="319"/>
      <c r="AH44" s="319" t="s">
        <v>21</v>
      </c>
      <c r="AI44" s="319"/>
      <c r="AJ44" s="319" t="s">
        <v>22</v>
      </c>
      <c r="AK44" s="319"/>
      <c r="AL44" s="319"/>
      <c r="AM44" s="319"/>
      <c r="AN44" s="319"/>
      <c r="AO44" s="319"/>
      <c r="AP44" s="319" t="s">
        <v>12</v>
      </c>
      <c r="AQ44" s="319"/>
      <c r="AR44" s="319"/>
      <c r="AS44" s="319"/>
      <c r="AT44" s="319"/>
      <c r="AU44" s="319"/>
      <c r="AV44" s="319"/>
      <c r="AW44" s="319"/>
      <c r="AX44" s="8"/>
    </row>
    <row r="45" spans="1:50" ht="13.5" customHeight="1">
      <c r="A45" s="5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8"/>
    </row>
    <row r="46" spans="1:50" ht="13.5" customHeight="1">
      <c r="A46" s="5"/>
      <c r="B46" s="317">
        <v>1</v>
      </c>
      <c r="C46" s="317"/>
      <c r="D46" s="318" t="s">
        <v>136</v>
      </c>
      <c r="E46" s="318"/>
      <c r="F46" s="318"/>
      <c r="G46" s="318"/>
      <c r="H46" s="318"/>
      <c r="I46" s="318"/>
      <c r="J46" s="318"/>
      <c r="K46" s="318"/>
      <c r="L46" s="318"/>
      <c r="M46" s="318"/>
      <c r="N46" s="395" t="s">
        <v>73</v>
      </c>
      <c r="O46" s="699"/>
      <c r="P46" s="699"/>
      <c r="Q46" s="699"/>
      <c r="R46" s="699"/>
      <c r="S46" s="699"/>
      <c r="T46" s="700"/>
      <c r="U46" s="318" t="s">
        <v>129</v>
      </c>
      <c r="V46" s="318"/>
      <c r="W46" s="318"/>
      <c r="X46" s="318"/>
      <c r="Y46" s="318"/>
      <c r="Z46" s="318"/>
      <c r="AA46" s="318"/>
      <c r="AB46" s="341" t="s">
        <v>73</v>
      </c>
      <c r="AC46" s="341"/>
      <c r="AD46" s="341" t="s">
        <v>73</v>
      </c>
      <c r="AE46" s="341"/>
      <c r="AF46" s="341" t="s">
        <v>73</v>
      </c>
      <c r="AG46" s="341"/>
      <c r="AH46" s="341" t="s">
        <v>73</v>
      </c>
      <c r="AI46" s="341"/>
      <c r="AJ46" s="398" t="s">
        <v>135</v>
      </c>
      <c r="AK46" s="398"/>
      <c r="AL46" s="398"/>
      <c r="AM46" s="398"/>
      <c r="AN46" s="398"/>
      <c r="AO46" s="398"/>
      <c r="AP46" s="399"/>
      <c r="AQ46" s="399"/>
      <c r="AR46" s="399"/>
      <c r="AS46" s="399"/>
      <c r="AT46" s="399"/>
      <c r="AU46" s="399"/>
      <c r="AV46" s="399"/>
      <c r="AW46" s="399"/>
      <c r="AX46" s="8"/>
    </row>
    <row r="47" spans="1:50" ht="13.5" customHeight="1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8"/>
    </row>
    <row r="48" spans="1:50" ht="18.75">
      <c r="A48" s="5"/>
      <c r="B48" s="32" t="s">
        <v>64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8"/>
    </row>
    <row r="49" spans="1:50" ht="13.5" customHeight="1">
      <c r="A49" s="5"/>
      <c r="B49" s="433" t="s">
        <v>65</v>
      </c>
      <c r="C49" s="433"/>
      <c r="D49" s="434" t="s">
        <v>66</v>
      </c>
      <c r="E49" s="434"/>
      <c r="F49" s="434"/>
      <c r="G49" s="434"/>
      <c r="H49" s="434"/>
      <c r="I49" s="433" t="s">
        <v>67</v>
      </c>
      <c r="J49" s="433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 t="s">
        <v>68</v>
      </c>
      <c r="W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3"/>
      <c r="AI49" s="433" t="s">
        <v>69</v>
      </c>
      <c r="AJ49" s="433"/>
      <c r="AK49" s="433"/>
      <c r="AL49" s="433"/>
      <c r="AM49" s="433"/>
      <c r="AN49" s="433"/>
      <c r="AO49" s="433"/>
      <c r="AP49" s="433"/>
      <c r="AQ49" s="433"/>
      <c r="AR49" s="433"/>
      <c r="AS49" s="433"/>
      <c r="AT49" s="433"/>
      <c r="AU49" s="433"/>
      <c r="AV49" s="433"/>
      <c r="AW49" s="433"/>
      <c r="AX49" s="8"/>
    </row>
    <row r="50" spans="1:50" ht="13.5" customHeight="1">
      <c r="A50" s="5"/>
      <c r="B50" s="433"/>
      <c r="C50" s="433"/>
      <c r="D50" s="434"/>
      <c r="E50" s="434"/>
      <c r="F50" s="434"/>
      <c r="G50" s="434"/>
      <c r="H50" s="434"/>
      <c r="I50" s="433"/>
      <c r="J50" s="433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  <c r="AG50" s="433"/>
      <c r="AH50" s="433"/>
      <c r="AI50" s="433"/>
      <c r="AJ50" s="433"/>
      <c r="AK50" s="433"/>
      <c r="AL50" s="433"/>
      <c r="AM50" s="433"/>
      <c r="AN50" s="433"/>
      <c r="AO50" s="433"/>
      <c r="AP50" s="433"/>
      <c r="AQ50" s="433"/>
      <c r="AR50" s="433"/>
      <c r="AS50" s="433"/>
      <c r="AT50" s="433"/>
      <c r="AU50" s="433"/>
      <c r="AV50" s="433"/>
      <c r="AW50" s="433"/>
      <c r="AX50" s="8"/>
    </row>
    <row r="51" spans="1:50" ht="13.5" customHeight="1">
      <c r="A51" s="5"/>
      <c r="B51" s="320">
        <v>1</v>
      </c>
      <c r="C51" s="320"/>
      <c r="D51" s="701" t="s">
        <v>130</v>
      </c>
      <c r="E51" s="702"/>
      <c r="F51" s="702"/>
      <c r="G51" s="702"/>
      <c r="H51" s="703"/>
      <c r="I51" s="321" t="s">
        <v>157</v>
      </c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704" t="s">
        <v>72</v>
      </c>
      <c r="W51" s="705"/>
      <c r="X51" s="705"/>
      <c r="Y51" s="705"/>
      <c r="Z51" s="705"/>
      <c r="AA51" s="705"/>
      <c r="AB51" s="705"/>
      <c r="AC51" s="705"/>
      <c r="AD51" s="705"/>
      <c r="AE51" s="705"/>
      <c r="AF51" s="705"/>
      <c r="AG51" s="705"/>
      <c r="AH51" s="706"/>
      <c r="AI51" s="707" t="s">
        <v>73</v>
      </c>
      <c r="AJ51" s="708"/>
      <c r="AK51" s="708"/>
      <c r="AL51" s="708"/>
      <c r="AM51" s="708"/>
      <c r="AN51" s="708"/>
      <c r="AO51" s="708"/>
      <c r="AP51" s="708"/>
      <c r="AQ51" s="708"/>
      <c r="AR51" s="708"/>
      <c r="AS51" s="708"/>
      <c r="AT51" s="708"/>
      <c r="AU51" s="708"/>
      <c r="AV51" s="708"/>
      <c r="AW51" s="709"/>
      <c r="AX51" s="8"/>
    </row>
    <row r="52" spans="1:50" ht="13.5" customHeight="1">
      <c r="A52" s="5"/>
      <c r="B52" s="320">
        <v>2</v>
      </c>
      <c r="C52" s="320"/>
      <c r="D52" s="701" t="s">
        <v>78</v>
      </c>
      <c r="E52" s="702"/>
      <c r="F52" s="702"/>
      <c r="G52" s="702"/>
      <c r="H52" s="703"/>
      <c r="I52" s="321" t="s">
        <v>166</v>
      </c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418"/>
      <c r="W52" s="419"/>
      <c r="X52" s="419"/>
      <c r="Y52" s="419"/>
      <c r="Z52" s="419"/>
      <c r="AA52" s="419"/>
      <c r="AB52" s="419"/>
      <c r="AC52" s="419"/>
      <c r="AD52" s="419"/>
      <c r="AE52" s="419"/>
      <c r="AF52" s="419"/>
      <c r="AG52" s="419"/>
      <c r="AH52" s="420"/>
      <c r="AI52" s="427"/>
      <c r="AJ52" s="428"/>
      <c r="AK52" s="428"/>
      <c r="AL52" s="428"/>
      <c r="AM52" s="428"/>
      <c r="AN52" s="428"/>
      <c r="AO52" s="428"/>
      <c r="AP52" s="428"/>
      <c r="AQ52" s="428"/>
      <c r="AR52" s="428"/>
      <c r="AS52" s="428"/>
      <c r="AT52" s="428"/>
      <c r="AU52" s="428"/>
      <c r="AV52" s="428"/>
      <c r="AW52" s="429"/>
      <c r="AX52" s="8"/>
    </row>
    <row r="53" spans="1:50" ht="13.5" customHeight="1">
      <c r="A53" s="5"/>
      <c r="B53" s="320">
        <v>3</v>
      </c>
      <c r="C53" s="320"/>
      <c r="D53" s="373"/>
      <c r="E53" s="374"/>
      <c r="F53" s="374"/>
      <c r="G53" s="374"/>
      <c r="H53" s="375"/>
      <c r="I53" s="321" t="s">
        <v>192</v>
      </c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418"/>
      <c r="W53" s="419"/>
      <c r="X53" s="419"/>
      <c r="Y53" s="419"/>
      <c r="Z53" s="419"/>
      <c r="AA53" s="419"/>
      <c r="AB53" s="419"/>
      <c r="AC53" s="419"/>
      <c r="AD53" s="419"/>
      <c r="AE53" s="419"/>
      <c r="AF53" s="419"/>
      <c r="AG53" s="419"/>
      <c r="AH53" s="420"/>
      <c r="AI53" s="427"/>
      <c r="AJ53" s="428"/>
      <c r="AK53" s="428"/>
      <c r="AL53" s="428"/>
      <c r="AM53" s="428"/>
      <c r="AN53" s="428"/>
      <c r="AO53" s="428"/>
      <c r="AP53" s="428"/>
      <c r="AQ53" s="428"/>
      <c r="AR53" s="428"/>
      <c r="AS53" s="428"/>
      <c r="AT53" s="428"/>
      <c r="AU53" s="428"/>
      <c r="AV53" s="428"/>
      <c r="AW53" s="429"/>
      <c r="AX53" s="8"/>
    </row>
    <row r="54" spans="1:50" ht="13.5" customHeight="1">
      <c r="A54" s="5"/>
      <c r="B54" s="320"/>
      <c r="C54" s="320"/>
      <c r="D54" s="373"/>
      <c r="E54" s="374"/>
      <c r="F54" s="374"/>
      <c r="G54" s="374"/>
      <c r="H54" s="375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418"/>
      <c r="W54" s="419"/>
      <c r="X54" s="419"/>
      <c r="Y54" s="419"/>
      <c r="Z54" s="419"/>
      <c r="AA54" s="419"/>
      <c r="AB54" s="419"/>
      <c r="AC54" s="419"/>
      <c r="AD54" s="419"/>
      <c r="AE54" s="419"/>
      <c r="AF54" s="419"/>
      <c r="AG54" s="419"/>
      <c r="AH54" s="420"/>
      <c r="AI54" s="427"/>
      <c r="AJ54" s="428"/>
      <c r="AK54" s="428"/>
      <c r="AL54" s="428"/>
      <c r="AM54" s="428"/>
      <c r="AN54" s="428"/>
      <c r="AO54" s="428"/>
      <c r="AP54" s="428"/>
      <c r="AQ54" s="428"/>
      <c r="AR54" s="428"/>
      <c r="AS54" s="428"/>
      <c r="AT54" s="428"/>
      <c r="AU54" s="428"/>
      <c r="AV54" s="428"/>
      <c r="AW54" s="429"/>
      <c r="AX54" s="8"/>
    </row>
    <row r="55" spans="1:50" ht="13.5" customHeight="1">
      <c r="A55" s="5"/>
      <c r="B55" s="320"/>
      <c r="C55" s="320"/>
      <c r="D55" s="373"/>
      <c r="E55" s="374"/>
      <c r="F55" s="374"/>
      <c r="G55" s="374"/>
      <c r="H55" s="375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418"/>
      <c r="W55" s="419"/>
      <c r="X55" s="419"/>
      <c r="Y55" s="419"/>
      <c r="Z55" s="419"/>
      <c r="AA55" s="419"/>
      <c r="AB55" s="419"/>
      <c r="AC55" s="419"/>
      <c r="AD55" s="419"/>
      <c r="AE55" s="419"/>
      <c r="AF55" s="419"/>
      <c r="AG55" s="419"/>
      <c r="AH55" s="420"/>
      <c r="AI55" s="427"/>
      <c r="AJ55" s="428"/>
      <c r="AK55" s="428"/>
      <c r="AL55" s="428"/>
      <c r="AM55" s="428"/>
      <c r="AN55" s="428"/>
      <c r="AO55" s="428"/>
      <c r="AP55" s="428"/>
      <c r="AQ55" s="428"/>
      <c r="AR55" s="428"/>
      <c r="AS55" s="428"/>
      <c r="AT55" s="428"/>
      <c r="AU55" s="428"/>
      <c r="AV55" s="428"/>
      <c r="AW55" s="429"/>
      <c r="AX55" s="8"/>
    </row>
    <row r="56" spans="1:50" ht="13.5" customHeight="1">
      <c r="A56" s="5"/>
      <c r="B56" s="320"/>
      <c r="C56" s="320"/>
      <c r="D56" s="326"/>
      <c r="E56" s="327"/>
      <c r="F56" s="327"/>
      <c r="G56" s="327"/>
      <c r="H56" s="328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421"/>
      <c r="W56" s="422"/>
      <c r="X56" s="422"/>
      <c r="Y56" s="422"/>
      <c r="Z56" s="422"/>
      <c r="AA56" s="422"/>
      <c r="AB56" s="422"/>
      <c r="AC56" s="422"/>
      <c r="AD56" s="422"/>
      <c r="AE56" s="422"/>
      <c r="AF56" s="422"/>
      <c r="AG56" s="422"/>
      <c r="AH56" s="423"/>
      <c r="AI56" s="430"/>
      <c r="AJ56" s="431"/>
      <c r="AK56" s="431"/>
      <c r="AL56" s="431"/>
      <c r="AM56" s="431"/>
      <c r="AN56" s="431"/>
      <c r="AO56" s="431"/>
      <c r="AP56" s="431"/>
      <c r="AQ56" s="431"/>
      <c r="AR56" s="431"/>
      <c r="AS56" s="431"/>
      <c r="AT56" s="431"/>
      <c r="AU56" s="431"/>
      <c r="AV56" s="431"/>
      <c r="AW56" s="432"/>
      <c r="AX56" s="8"/>
    </row>
    <row r="57" spans="1:50" ht="13.5" customHeight="1">
      <c r="A57" s="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8"/>
    </row>
    <row r="58" spans="1:50" ht="13.5" customHeight="1">
      <c r="A58" s="5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8"/>
    </row>
    <row r="59" spans="1:50" ht="22.5">
      <c r="A59" s="5"/>
      <c r="B59" s="39" t="s">
        <v>186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8"/>
    </row>
    <row r="60" spans="1:50" ht="18.75">
      <c r="A60" s="5"/>
      <c r="B60" s="6" t="s">
        <v>15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8"/>
    </row>
    <row r="61" spans="1:50" ht="13.5" customHeight="1">
      <c r="A61" s="5"/>
      <c r="B61" s="319" t="s">
        <v>8</v>
      </c>
      <c r="C61" s="319"/>
      <c r="D61" s="319" t="s">
        <v>9</v>
      </c>
      <c r="E61" s="319"/>
      <c r="F61" s="319"/>
      <c r="G61" s="319"/>
      <c r="H61" s="319"/>
      <c r="I61" s="319"/>
      <c r="J61" s="319"/>
      <c r="K61" s="319"/>
      <c r="L61" s="319"/>
      <c r="M61" s="319"/>
      <c r="N61" s="319" t="s">
        <v>16</v>
      </c>
      <c r="O61" s="319"/>
      <c r="P61" s="319"/>
      <c r="Q61" s="319"/>
      <c r="R61" s="319"/>
      <c r="S61" s="319"/>
      <c r="T61" s="319"/>
      <c r="U61" s="319" t="s">
        <v>17</v>
      </c>
      <c r="V61" s="319"/>
      <c r="W61" s="319"/>
      <c r="X61" s="319"/>
      <c r="Y61" s="319"/>
      <c r="Z61" s="319"/>
      <c r="AA61" s="319"/>
      <c r="AB61" s="319" t="s">
        <v>18</v>
      </c>
      <c r="AC61" s="319"/>
      <c r="AD61" s="319" t="s">
        <v>19</v>
      </c>
      <c r="AE61" s="319"/>
      <c r="AF61" s="319" t="s">
        <v>20</v>
      </c>
      <c r="AG61" s="319"/>
      <c r="AH61" s="319" t="s">
        <v>21</v>
      </c>
      <c r="AI61" s="319"/>
      <c r="AJ61" s="319" t="s">
        <v>22</v>
      </c>
      <c r="AK61" s="319"/>
      <c r="AL61" s="319"/>
      <c r="AM61" s="319"/>
      <c r="AN61" s="319"/>
      <c r="AO61" s="319"/>
      <c r="AP61" s="319" t="s">
        <v>12</v>
      </c>
      <c r="AQ61" s="319"/>
      <c r="AR61" s="319"/>
      <c r="AS61" s="319"/>
      <c r="AT61" s="319"/>
      <c r="AU61" s="319"/>
      <c r="AV61" s="319"/>
      <c r="AW61" s="319"/>
      <c r="AX61" s="8"/>
    </row>
    <row r="62" spans="1:50" ht="13.5" customHeight="1">
      <c r="A62" s="5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  <c r="AN62" s="319"/>
      <c r="AO62" s="319"/>
      <c r="AP62" s="319"/>
      <c r="AQ62" s="319"/>
      <c r="AR62" s="319"/>
      <c r="AS62" s="319"/>
      <c r="AT62" s="319"/>
      <c r="AU62" s="319"/>
      <c r="AV62" s="319"/>
      <c r="AW62" s="319"/>
      <c r="AX62" s="8"/>
    </row>
    <row r="63" spans="1:50" ht="13.5" customHeight="1">
      <c r="A63" s="5"/>
      <c r="B63" s="317">
        <v>1</v>
      </c>
      <c r="C63" s="317"/>
      <c r="D63" s="318" t="s">
        <v>187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95" t="s">
        <v>73</v>
      </c>
      <c r="O63" s="699"/>
      <c r="P63" s="699"/>
      <c r="Q63" s="699"/>
      <c r="R63" s="699"/>
      <c r="S63" s="699"/>
      <c r="T63" s="700"/>
      <c r="U63" s="318" t="s">
        <v>194</v>
      </c>
      <c r="V63" s="318"/>
      <c r="W63" s="318"/>
      <c r="X63" s="318"/>
      <c r="Y63" s="318"/>
      <c r="Z63" s="318"/>
      <c r="AA63" s="318"/>
      <c r="AB63" s="341" t="s">
        <v>73</v>
      </c>
      <c r="AC63" s="341"/>
      <c r="AD63" s="341" t="s">
        <v>73</v>
      </c>
      <c r="AE63" s="341"/>
      <c r="AF63" s="341" t="s">
        <v>73</v>
      </c>
      <c r="AG63" s="341"/>
      <c r="AH63" s="341" t="s">
        <v>73</v>
      </c>
      <c r="AI63" s="341"/>
      <c r="AJ63" s="398" t="s">
        <v>137</v>
      </c>
      <c r="AK63" s="398"/>
      <c r="AL63" s="398"/>
      <c r="AM63" s="398"/>
      <c r="AN63" s="398"/>
      <c r="AO63" s="398"/>
      <c r="AP63" s="399"/>
      <c r="AQ63" s="399"/>
      <c r="AR63" s="399"/>
      <c r="AS63" s="399"/>
      <c r="AT63" s="399"/>
      <c r="AU63" s="399"/>
      <c r="AV63" s="399"/>
      <c r="AW63" s="399"/>
      <c r="AX63" s="8"/>
    </row>
    <row r="64" spans="1:50" ht="13.5" customHeight="1">
      <c r="A64" s="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8"/>
    </row>
    <row r="65" spans="1:50" ht="18.75">
      <c r="A65" s="5"/>
      <c r="B65" s="32" t="s">
        <v>64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8"/>
    </row>
    <row r="66" spans="1:50" ht="13.5" customHeight="1">
      <c r="A66" s="5"/>
      <c r="B66" s="433" t="s">
        <v>65</v>
      </c>
      <c r="C66" s="433"/>
      <c r="D66" s="434" t="s">
        <v>66</v>
      </c>
      <c r="E66" s="434"/>
      <c r="F66" s="434"/>
      <c r="G66" s="434"/>
      <c r="H66" s="434"/>
      <c r="I66" s="433" t="s">
        <v>67</v>
      </c>
      <c r="J66" s="433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 t="s">
        <v>68</v>
      </c>
      <c r="W66" s="433"/>
      <c r="X66" s="433"/>
      <c r="Y66" s="433"/>
      <c r="Z66" s="433"/>
      <c r="AA66" s="433"/>
      <c r="AB66" s="433"/>
      <c r="AC66" s="433"/>
      <c r="AD66" s="433"/>
      <c r="AE66" s="433"/>
      <c r="AF66" s="433"/>
      <c r="AG66" s="433"/>
      <c r="AH66" s="433"/>
      <c r="AI66" s="433" t="s">
        <v>69</v>
      </c>
      <c r="AJ66" s="433"/>
      <c r="AK66" s="433"/>
      <c r="AL66" s="433"/>
      <c r="AM66" s="433"/>
      <c r="AN66" s="433"/>
      <c r="AO66" s="433"/>
      <c r="AP66" s="433"/>
      <c r="AQ66" s="433"/>
      <c r="AR66" s="433"/>
      <c r="AS66" s="433"/>
      <c r="AT66" s="433"/>
      <c r="AU66" s="433"/>
      <c r="AV66" s="433"/>
      <c r="AW66" s="433"/>
      <c r="AX66" s="8"/>
    </row>
    <row r="67" spans="1:50" ht="13.5" customHeight="1">
      <c r="A67" s="5"/>
      <c r="B67" s="433"/>
      <c r="C67" s="433"/>
      <c r="D67" s="434"/>
      <c r="E67" s="434"/>
      <c r="F67" s="434"/>
      <c r="G67" s="434"/>
      <c r="H67" s="434"/>
      <c r="I67" s="433"/>
      <c r="J67" s="433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  <c r="AB67" s="433"/>
      <c r="AC67" s="433"/>
      <c r="AD67" s="433"/>
      <c r="AE67" s="433"/>
      <c r="AF67" s="433"/>
      <c r="AG67" s="433"/>
      <c r="AH67" s="433"/>
      <c r="AI67" s="433"/>
      <c r="AJ67" s="433"/>
      <c r="AK67" s="433"/>
      <c r="AL67" s="433"/>
      <c r="AM67" s="433"/>
      <c r="AN67" s="433"/>
      <c r="AO67" s="433"/>
      <c r="AP67" s="433"/>
      <c r="AQ67" s="433"/>
      <c r="AR67" s="433"/>
      <c r="AS67" s="433"/>
      <c r="AT67" s="433"/>
      <c r="AU67" s="433"/>
      <c r="AV67" s="433"/>
      <c r="AW67" s="433"/>
      <c r="AX67" s="8"/>
    </row>
    <row r="68" spans="1:50" ht="13.5" customHeight="1">
      <c r="A68" s="5"/>
      <c r="B68" s="320">
        <v>1</v>
      </c>
      <c r="C68" s="320"/>
      <c r="D68" s="701" t="s">
        <v>127</v>
      </c>
      <c r="E68" s="702"/>
      <c r="F68" s="702"/>
      <c r="G68" s="702"/>
      <c r="H68" s="703"/>
      <c r="I68" s="321" t="s">
        <v>159</v>
      </c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704" t="s">
        <v>72</v>
      </c>
      <c r="W68" s="705"/>
      <c r="X68" s="705"/>
      <c r="Y68" s="705"/>
      <c r="Z68" s="705"/>
      <c r="AA68" s="705"/>
      <c r="AB68" s="705"/>
      <c r="AC68" s="705"/>
      <c r="AD68" s="705"/>
      <c r="AE68" s="705"/>
      <c r="AF68" s="705"/>
      <c r="AG68" s="705"/>
      <c r="AH68" s="706"/>
      <c r="AI68" s="707" t="s">
        <v>73</v>
      </c>
      <c r="AJ68" s="708"/>
      <c r="AK68" s="708"/>
      <c r="AL68" s="708"/>
      <c r="AM68" s="708"/>
      <c r="AN68" s="708"/>
      <c r="AO68" s="708"/>
      <c r="AP68" s="708"/>
      <c r="AQ68" s="708"/>
      <c r="AR68" s="708"/>
      <c r="AS68" s="708"/>
      <c r="AT68" s="708"/>
      <c r="AU68" s="708"/>
      <c r="AV68" s="708"/>
      <c r="AW68" s="709"/>
      <c r="AX68" s="8"/>
    </row>
    <row r="69" spans="1:50" ht="13.5" customHeight="1">
      <c r="A69" s="5"/>
      <c r="B69" s="320">
        <v>2</v>
      </c>
      <c r="C69" s="320"/>
      <c r="D69" s="701" t="s">
        <v>161</v>
      </c>
      <c r="E69" s="702"/>
      <c r="F69" s="702"/>
      <c r="G69" s="702"/>
      <c r="H69" s="703"/>
      <c r="I69" s="321" t="s">
        <v>193</v>
      </c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418"/>
      <c r="W69" s="419"/>
      <c r="X69" s="419"/>
      <c r="Y69" s="419"/>
      <c r="Z69" s="419"/>
      <c r="AA69" s="419"/>
      <c r="AB69" s="419"/>
      <c r="AC69" s="419"/>
      <c r="AD69" s="419"/>
      <c r="AE69" s="419"/>
      <c r="AF69" s="419"/>
      <c r="AG69" s="419"/>
      <c r="AH69" s="420"/>
      <c r="AI69" s="427"/>
      <c r="AJ69" s="428"/>
      <c r="AK69" s="428"/>
      <c r="AL69" s="428"/>
      <c r="AM69" s="428"/>
      <c r="AN69" s="428"/>
      <c r="AO69" s="428"/>
      <c r="AP69" s="428"/>
      <c r="AQ69" s="428"/>
      <c r="AR69" s="428"/>
      <c r="AS69" s="428"/>
      <c r="AT69" s="428"/>
      <c r="AU69" s="428"/>
      <c r="AV69" s="428"/>
      <c r="AW69" s="429"/>
      <c r="AX69" s="8"/>
    </row>
    <row r="70" spans="1:50" ht="13.5" customHeight="1">
      <c r="A70" s="5"/>
      <c r="B70" s="320"/>
      <c r="C70" s="320"/>
      <c r="D70" s="373"/>
      <c r="E70" s="374"/>
      <c r="F70" s="374"/>
      <c r="G70" s="374"/>
      <c r="H70" s="375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418"/>
      <c r="W70" s="419"/>
      <c r="X70" s="419"/>
      <c r="Y70" s="419"/>
      <c r="Z70" s="419"/>
      <c r="AA70" s="419"/>
      <c r="AB70" s="419"/>
      <c r="AC70" s="419"/>
      <c r="AD70" s="419"/>
      <c r="AE70" s="419"/>
      <c r="AF70" s="419"/>
      <c r="AG70" s="419"/>
      <c r="AH70" s="420"/>
      <c r="AI70" s="427"/>
      <c r="AJ70" s="428"/>
      <c r="AK70" s="428"/>
      <c r="AL70" s="428"/>
      <c r="AM70" s="428"/>
      <c r="AN70" s="428"/>
      <c r="AO70" s="428"/>
      <c r="AP70" s="428"/>
      <c r="AQ70" s="428"/>
      <c r="AR70" s="428"/>
      <c r="AS70" s="428"/>
      <c r="AT70" s="428"/>
      <c r="AU70" s="428"/>
      <c r="AV70" s="428"/>
      <c r="AW70" s="429"/>
      <c r="AX70" s="8"/>
    </row>
    <row r="71" spans="1:50" ht="13.5" customHeight="1">
      <c r="A71" s="5"/>
      <c r="B71" s="320"/>
      <c r="C71" s="320"/>
      <c r="D71" s="373"/>
      <c r="E71" s="374"/>
      <c r="F71" s="374"/>
      <c r="G71" s="374"/>
      <c r="H71" s="375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418"/>
      <c r="W71" s="419"/>
      <c r="X71" s="419"/>
      <c r="Y71" s="419"/>
      <c r="Z71" s="419"/>
      <c r="AA71" s="419"/>
      <c r="AB71" s="419"/>
      <c r="AC71" s="419"/>
      <c r="AD71" s="419"/>
      <c r="AE71" s="419"/>
      <c r="AF71" s="419"/>
      <c r="AG71" s="419"/>
      <c r="AH71" s="420"/>
      <c r="AI71" s="427"/>
      <c r="AJ71" s="428"/>
      <c r="AK71" s="428"/>
      <c r="AL71" s="428"/>
      <c r="AM71" s="428"/>
      <c r="AN71" s="428"/>
      <c r="AO71" s="428"/>
      <c r="AP71" s="428"/>
      <c r="AQ71" s="428"/>
      <c r="AR71" s="428"/>
      <c r="AS71" s="428"/>
      <c r="AT71" s="428"/>
      <c r="AU71" s="428"/>
      <c r="AV71" s="428"/>
      <c r="AW71" s="429"/>
      <c r="AX71" s="8"/>
    </row>
    <row r="72" spans="1:50" ht="13.5" customHeight="1">
      <c r="A72" s="5"/>
      <c r="B72" s="320"/>
      <c r="C72" s="320"/>
      <c r="D72" s="373"/>
      <c r="E72" s="374"/>
      <c r="F72" s="374"/>
      <c r="G72" s="374"/>
      <c r="H72" s="375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418"/>
      <c r="W72" s="419"/>
      <c r="X72" s="419"/>
      <c r="Y72" s="419"/>
      <c r="Z72" s="419"/>
      <c r="AA72" s="419"/>
      <c r="AB72" s="419"/>
      <c r="AC72" s="419"/>
      <c r="AD72" s="419"/>
      <c r="AE72" s="419"/>
      <c r="AF72" s="419"/>
      <c r="AG72" s="419"/>
      <c r="AH72" s="420"/>
      <c r="AI72" s="427"/>
      <c r="AJ72" s="428"/>
      <c r="AK72" s="428"/>
      <c r="AL72" s="428"/>
      <c r="AM72" s="428"/>
      <c r="AN72" s="428"/>
      <c r="AO72" s="428"/>
      <c r="AP72" s="428"/>
      <c r="AQ72" s="428"/>
      <c r="AR72" s="428"/>
      <c r="AS72" s="428"/>
      <c r="AT72" s="428"/>
      <c r="AU72" s="428"/>
      <c r="AV72" s="428"/>
      <c r="AW72" s="429"/>
      <c r="AX72" s="8"/>
    </row>
    <row r="73" spans="1:50" ht="13.5" customHeight="1">
      <c r="A73" s="5"/>
      <c r="B73" s="320"/>
      <c r="C73" s="320"/>
      <c r="D73" s="326"/>
      <c r="E73" s="327"/>
      <c r="F73" s="327"/>
      <c r="G73" s="327"/>
      <c r="H73" s="328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421"/>
      <c r="W73" s="422"/>
      <c r="X73" s="422"/>
      <c r="Y73" s="422"/>
      <c r="Z73" s="422"/>
      <c r="AA73" s="422"/>
      <c r="AB73" s="422"/>
      <c r="AC73" s="422"/>
      <c r="AD73" s="422"/>
      <c r="AE73" s="422"/>
      <c r="AF73" s="422"/>
      <c r="AG73" s="422"/>
      <c r="AH73" s="423"/>
      <c r="AI73" s="430"/>
      <c r="AJ73" s="431"/>
      <c r="AK73" s="431"/>
      <c r="AL73" s="431"/>
      <c r="AM73" s="431"/>
      <c r="AN73" s="431"/>
      <c r="AO73" s="431"/>
      <c r="AP73" s="431"/>
      <c r="AQ73" s="431"/>
      <c r="AR73" s="431"/>
      <c r="AS73" s="431"/>
      <c r="AT73" s="431"/>
      <c r="AU73" s="431"/>
      <c r="AV73" s="431"/>
      <c r="AW73" s="432"/>
      <c r="AX73" s="8"/>
    </row>
    <row r="74" spans="1:50" ht="13.5" customHeight="1" thickBot="1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3"/>
    </row>
  </sheetData>
  <mergeCells count="125">
    <mergeCell ref="B27:C27"/>
    <mergeCell ref="D27:M27"/>
    <mergeCell ref="N27:U27"/>
    <mergeCell ref="V27:AC27"/>
    <mergeCell ref="AD27:AF27"/>
    <mergeCell ref="AG27:AW27"/>
    <mergeCell ref="AD46:AE46"/>
    <mergeCell ref="AF46:AG46"/>
    <mergeCell ref="AH46:AI46"/>
    <mergeCell ref="AJ46:AO46"/>
    <mergeCell ref="AP46:AW46"/>
    <mergeCell ref="AD44:AE45"/>
    <mergeCell ref="AF44:AG45"/>
    <mergeCell ref="AH44:AI45"/>
    <mergeCell ref="AJ44:AO45"/>
    <mergeCell ref="AP44:AW45"/>
    <mergeCell ref="B46:C46"/>
    <mergeCell ref="D46:M46"/>
    <mergeCell ref="N46:T46"/>
    <mergeCell ref="U46:AA46"/>
    <mergeCell ref="AB46:AC46"/>
    <mergeCell ref="B44:C45"/>
    <mergeCell ref="D44:M45"/>
    <mergeCell ref="N44:T45"/>
    <mergeCell ref="AG25:AW25"/>
    <mergeCell ref="B26:C26"/>
    <mergeCell ref="D26:M26"/>
    <mergeCell ref="N26:U26"/>
    <mergeCell ref="V26:AC26"/>
    <mergeCell ref="AD26:AF26"/>
    <mergeCell ref="AG26:AW26"/>
    <mergeCell ref="B53:C56"/>
    <mergeCell ref="I53:U56"/>
    <mergeCell ref="B25:C25"/>
    <mergeCell ref="D25:M25"/>
    <mergeCell ref="N25:U25"/>
    <mergeCell ref="V25:AC25"/>
    <mergeCell ref="AD25:AF25"/>
    <mergeCell ref="B51:C51"/>
    <mergeCell ref="D51:H51"/>
    <mergeCell ref="I51:U51"/>
    <mergeCell ref="B52:C52"/>
    <mergeCell ref="I52:U52"/>
    <mergeCell ref="B49:C50"/>
    <mergeCell ref="D49:H50"/>
    <mergeCell ref="I49:U50"/>
    <mergeCell ref="V49:AH50"/>
    <mergeCell ref="AI49:AW50"/>
    <mergeCell ref="U44:AA45"/>
    <mergeCell ref="AB44:AC45"/>
    <mergeCell ref="B68:C68"/>
    <mergeCell ref="D68:H68"/>
    <mergeCell ref="I68:U68"/>
    <mergeCell ref="D52:H56"/>
    <mergeCell ref="V51:AH56"/>
    <mergeCell ref="AF61:AG62"/>
    <mergeCell ref="AH61:AI62"/>
    <mergeCell ref="AI51:AW56"/>
    <mergeCell ref="V68:AH73"/>
    <mergeCell ref="AI68:AW73"/>
    <mergeCell ref="B69:C73"/>
    <mergeCell ref="D69:H73"/>
    <mergeCell ref="I69:U73"/>
    <mergeCell ref="B66:C67"/>
    <mergeCell ref="D66:H67"/>
    <mergeCell ref="I66:U67"/>
    <mergeCell ref="V66:AH67"/>
    <mergeCell ref="AI66:AW67"/>
    <mergeCell ref="AF63:AG63"/>
    <mergeCell ref="AH63:AI63"/>
    <mergeCell ref="AJ63:AO63"/>
    <mergeCell ref="AP63:AW63"/>
    <mergeCell ref="AJ61:AO62"/>
    <mergeCell ref="AP61:AW62"/>
    <mergeCell ref="B63:C63"/>
    <mergeCell ref="D63:M63"/>
    <mergeCell ref="N63:T63"/>
    <mergeCell ref="U63:AA63"/>
    <mergeCell ref="AB63:AC63"/>
    <mergeCell ref="AD63:AE63"/>
    <mergeCell ref="B61:C62"/>
    <mergeCell ref="D61:M62"/>
    <mergeCell ref="N61:T62"/>
    <mergeCell ref="U61:AA62"/>
    <mergeCell ref="AB61:AC62"/>
    <mergeCell ref="AD61:AE62"/>
    <mergeCell ref="B24:C24"/>
    <mergeCell ref="D24:M24"/>
    <mergeCell ref="N24:U24"/>
    <mergeCell ref="V24:AC24"/>
    <mergeCell ref="AD24:AF24"/>
    <mergeCell ref="AG24:AW24"/>
    <mergeCell ref="B23:C23"/>
    <mergeCell ref="D23:M23"/>
    <mergeCell ref="N23:U23"/>
    <mergeCell ref="V23:AC23"/>
    <mergeCell ref="AD23:AF23"/>
    <mergeCell ref="AG23:AW23"/>
    <mergeCell ref="B22:C22"/>
    <mergeCell ref="D22:M22"/>
    <mergeCell ref="N22:U22"/>
    <mergeCell ref="V22:AC22"/>
    <mergeCell ref="AD22:AF22"/>
    <mergeCell ref="AG22:AW22"/>
    <mergeCell ref="B20:C21"/>
    <mergeCell ref="D20:M21"/>
    <mergeCell ref="N20:AC20"/>
    <mergeCell ref="AD20:AF21"/>
    <mergeCell ref="AG20:AW21"/>
    <mergeCell ref="N21:U21"/>
    <mergeCell ref="V21:AC21"/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orientation="landscape" r:id="rId1"/>
  <headerFooter>
    <oddFooter>&amp;C&amp;P/&amp;N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AX74"/>
  <sheetViews>
    <sheetView showGridLines="0" view="pageBreakPreview" zoomScaleNormal="60" zoomScaleSheetLayoutView="100" workbookViewId="0">
      <selection sqref="A1:J1"/>
    </sheetView>
  </sheetViews>
  <sheetFormatPr defaultColWidth="2.625" defaultRowHeight="13.5" customHeight="1"/>
  <cols>
    <col min="1" max="16384" width="2.625" style="1"/>
  </cols>
  <sheetData>
    <row r="1" spans="1:50" ht="16.5">
      <c r="A1" s="358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 t="s">
        <v>1</v>
      </c>
      <c r="L1" s="343"/>
      <c r="M1" s="343"/>
      <c r="N1" s="343"/>
      <c r="O1" s="343"/>
      <c r="P1" s="343"/>
      <c r="Q1" s="343"/>
      <c r="R1" s="343"/>
      <c r="S1" s="343"/>
      <c r="T1" s="343"/>
      <c r="U1" s="343" t="s">
        <v>31</v>
      </c>
      <c r="V1" s="343"/>
      <c r="W1" s="343"/>
      <c r="X1" s="343"/>
      <c r="Y1" s="343"/>
      <c r="Z1" s="343"/>
      <c r="AA1" s="343"/>
      <c r="AB1" s="343"/>
      <c r="AC1" s="343"/>
      <c r="AD1" s="343"/>
      <c r="AE1" s="343" t="s">
        <v>2</v>
      </c>
      <c r="AF1" s="343"/>
      <c r="AG1" s="343"/>
      <c r="AH1" s="343"/>
      <c r="AI1" s="343"/>
      <c r="AJ1" s="343" t="s">
        <v>3</v>
      </c>
      <c r="AK1" s="343"/>
      <c r="AL1" s="343"/>
      <c r="AM1" s="343"/>
      <c r="AN1" s="343"/>
      <c r="AO1" s="343" t="s">
        <v>4</v>
      </c>
      <c r="AP1" s="343"/>
      <c r="AQ1" s="343"/>
      <c r="AR1" s="343"/>
      <c r="AS1" s="343"/>
      <c r="AT1" s="343" t="s">
        <v>5</v>
      </c>
      <c r="AU1" s="343"/>
      <c r="AV1" s="343"/>
      <c r="AW1" s="343"/>
      <c r="AX1" s="344"/>
    </row>
    <row r="2" spans="1:50" ht="13.5" customHeight="1">
      <c r="A2" s="345" t="str">
        <f>表紙!O10</f>
        <v>13期12月対応</v>
      </c>
      <c r="B2" s="317"/>
      <c r="C2" s="317"/>
      <c r="D2" s="317"/>
      <c r="E2" s="317"/>
      <c r="F2" s="317"/>
      <c r="G2" s="317"/>
      <c r="H2" s="317"/>
      <c r="I2" s="317"/>
      <c r="J2" s="317"/>
      <c r="K2" s="317" t="s">
        <v>30</v>
      </c>
      <c r="L2" s="317"/>
      <c r="M2" s="317"/>
      <c r="N2" s="317"/>
      <c r="O2" s="317"/>
      <c r="P2" s="317"/>
      <c r="Q2" s="317"/>
      <c r="R2" s="317"/>
      <c r="S2" s="317"/>
      <c r="T2" s="317"/>
      <c r="U2" s="317" t="str">
        <f ca="1">RIGHT(CELL("filename",V2),LEN(CELL("filename",V2))-FIND("]",CELL("filename",V2)))</f>
        <v>ユーザー詳細_企業担当者(管理者権限)</v>
      </c>
      <c r="V2" s="317"/>
      <c r="W2" s="317"/>
      <c r="X2" s="317"/>
      <c r="Y2" s="317"/>
      <c r="Z2" s="317"/>
      <c r="AA2" s="317"/>
      <c r="AB2" s="317"/>
      <c r="AC2" s="317"/>
      <c r="AD2" s="317"/>
      <c r="AE2" s="317" t="s">
        <v>32</v>
      </c>
      <c r="AF2" s="317"/>
      <c r="AG2" s="317"/>
      <c r="AH2" s="317"/>
      <c r="AI2" s="317"/>
      <c r="AJ2" s="354">
        <v>43019</v>
      </c>
      <c r="AK2" s="354"/>
      <c r="AL2" s="354"/>
      <c r="AM2" s="354"/>
      <c r="AN2" s="354"/>
      <c r="AO2" s="317"/>
      <c r="AP2" s="317"/>
      <c r="AQ2" s="317"/>
      <c r="AR2" s="317"/>
      <c r="AS2" s="317"/>
      <c r="AT2" s="354"/>
      <c r="AU2" s="354"/>
      <c r="AV2" s="354"/>
      <c r="AW2" s="354"/>
      <c r="AX2" s="408"/>
    </row>
    <row r="3" spans="1:50" ht="13.5" customHeight="1" thickBot="1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55"/>
      <c r="AK3" s="355"/>
      <c r="AL3" s="355"/>
      <c r="AM3" s="355"/>
      <c r="AN3" s="355"/>
      <c r="AO3" s="347"/>
      <c r="AP3" s="347"/>
      <c r="AQ3" s="347"/>
      <c r="AR3" s="347"/>
      <c r="AS3" s="347"/>
      <c r="AT3" s="355"/>
      <c r="AU3" s="355"/>
      <c r="AV3" s="355"/>
      <c r="AW3" s="355"/>
      <c r="AX3" s="409"/>
    </row>
    <row r="4" spans="1:50" ht="13.5" customHeight="1" thickBot="1"/>
    <row r="5" spans="1:50" ht="13.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</row>
    <row r="6" spans="1:50" ht="13.5" customHeight="1">
      <c r="A6" s="5"/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3.5" customHeight="1">
      <c r="A7" s="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ht="13.5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8"/>
    </row>
    <row r="9" spans="1:50" ht="13.5" customHeight="1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8"/>
    </row>
    <row r="10" spans="1:50" ht="13.5" customHeight="1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8"/>
    </row>
    <row r="11" spans="1:50" ht="13.5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8"/>
    </row>
    <row r="12" spans="1:50" ht="13.5" customHeight="1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8"/>
    </row>
    <row r="13" spans="1:50" ht="13.5" customHeight="1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8"/>
    </row>
    <row r="14" spans="1:50" ht="13.5" customHeight="1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ht="13.5" customHeight="1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13.5" customHeight="1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3.5" customHeight="1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13.5" customHeight="1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ht="13.5" customHeight="1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8"/>
    </row>
    <row r="20" spans="1:50" ht="13.5" customHeight="1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</row>
    <row r="21" spans="1:50" ht="13.5" customHeight="1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</row>
    <row r="22" spans="1:50" ht="13.5" customHeight="1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3.5" customHeight="1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3.5" customHeight="1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3.5" customHeight="1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13.5" customHeight="1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3.5" customHeight="1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13.5" customHeight="1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3.5" customHeight="1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13.5" customHeight="1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3.5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18.75">
      <c r="A32" s="5"/>
      <c r="B32" s="6" t="s">
        <v>7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6.5">
      <c r="A33" s="5"/>
      <c r="B33" s="342" t="s">
        <v>8</v>
      </c>
      <c r="C33" s="342"/>
      <c r="D33" s="319" t="s">
        <v>9</v>
      </c>
      <c r="E33" s="319"/>
      <c r="F33" s="319"/>
      <c r="G33" s="319"/>
      <c r="H33" s="319"/>
      <c r="I33" s="319"/>
      <c r="J33" s="319"/>
      <c r="K33" s="319"/>
      <c r="L33" s="319"/>
      <c r="M33" s="319"/>
      <c r="N33" s="319" t="s">
        <v>10</v>
      </c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 t="s">
        <v>11</v>
      </c>
      <c r="AE33" s="319"/>
      <c r="AF33" s="319"/>
      <c r="AG33" s="319" t="s">
        <v>12</v>
      </c>
      <c r="AH33" s="319"/>
      <c r="AI33" s="319"/>
      <c r="AJ33" s="319"/>
      <c r="AK33" s="319"/>
      <c r="AL33" s="319"/>
      <c r="AM33" s="319"/>
      <c r="AN33" s="319"/>
      <c r="AO33" s="319"/>
      <c r="AP33" s="319"/>
      <c r="AQ33" s="319"/>
      <c r="AR33" s="319"/>
      <c r="AS33" s="319"/>
      <c r="AT33" s="319"/>
      <c r="AU33" s="319"/>
      <c r="AV33" s="319"/>
      <c r="AW33" s="319"/>
      <c r="AX33" s="8"/>
    </row>
    <row r="34" spans="1:50" ht="16.5">
      <c r="A34" s="5"/>
      <c r="B34" s="342"/>
      <c r="C34" s="342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 t="s">
        <v>13</v>
      </c>
      <c r="O34" s="319"/>
      <c r="P34" s="319"/>
      <c r="Q34" s="319"/>
      <c r="R34" s="319"/>
      <c r="S34" s="319"/>
      <c r="T34" s="319"/>
      <c r="U34" s="319"/>
      <c r="V34" s="319" t="s">
        <v>14</v>
      </c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319"/>
      <c r="AI34" s="319"/>
      <c r="AJ34" s="319"/>
      <c r="AK34" s="319"/>
      <c r="AL34" s="319"/>
      <c r="AM34" s="319"/>
      <c r="AN34" s="319"/>
      <c r="AO34" s="319"/>
      <c r="AP34" s="319"/>
      <c r="AQ34" s="319"/>
      <c r="AR34" s="319"/>
      <c r="AS34" s="319"/>
      <c r="AT34" s="319"/>
      <c r="AU34" s="319"/>
      <c r="AV34" s="319"/>
      <c r="AW34" s="319"/>
      <c r="AX34" s="8"/>
    </row>
    <row r="35" spans="1:50" ht="13.5" customHeight="1">
      <c r="A35" s="5"/>
      <c r="B35" s="317">
        <v>1</v>
      </c>
      <c r="C35" s="317"/>
      <c r="D35" s="318" t="s">
        <v>34</v>
      </c>
      <c r="E35" s="318"/>
      <c r="F35" s="318"/>
      <c r="G35" s="318"/>
      <c r="H35" s="318"/>
      <c r="I35" s="318"/>
      <c r="J35" s="318"/>
      <c r="K35" s="318"/>
      <c r="L35" s="318"/>
      <c r="M35" s="318"/>
      <c r="N35" s="331"/>
      <c r="O35" s="331"/>
      <c r="P35" s="331"/>
      <c r="Q35" s="331"/>
      <c r="R35" s="331"/>
      <c r="S35" s="331"/>
      <c r="T35" s="331"/>
      <c r="U35" s="331"/>
      <c r="V35" s="331" t="s">
        <v>188</v>
      </c>
      <c r="W35" s="331"/>
      <c r="X35" s="331"/>
      <c r="Y35" s="331"/>
      <c r="Z35" s="331"/>
      <c r="AA35" s="331"/>
      <c r="AB35" s="331"/>
      <c r="AC35" s="331"/>
      <c r="AD35" s="341"/>
      <c r="AE35" s="341"/>
      <c r="AF35" s="341"/>
      <c r="AG35" s="318"/>
      <c r="AH35" s="318"/>
      <c r="AI35" s="318"/>
      <c r="AJ35" s="318"/>
      <c r="AK35" s="318"/>
      <c r="AL35" s="318"/>
      <c r="AM35" s="318"/>
      <c r="AN35" s="318"/>
      <c r="AO35" s="318"/>
      <c r="AP35" s="318"/>
      <c r="AQ35" s="318"/>
      <c r="AR35" s="318"/>
      <c r="AS35" s="318"/>
      <c r="AT35" s="318"/>
      <c r="AU35" s="318"/>
      <c r="AV35" s="318"/>
      <c r="AW35" s="318"/>
      <c r="AX35" s="8"/>
    </row>
    <row r="36" spans="1:50" ht="13.5" customHeight="1">
      <c r="A36" s="5"/>
      <c r="B36" s="317">
        <v>2</v>
      </c>
      <c r="C36" s="317"/>
      <c r="D36" s="318" t="s">
        <v>200</v>
      </c>
      <c r="E36" s="318"/>
      <c r="F36" s="318"/>
      <c r="G36" s="318"/>
      <c r="H36" s="318"/>
      <c r="I36" s="318"/>
      <c r="J36" s="318"/>
      <c r="K36" s="318"/>
      <c r="L36" s="318"/>
      <c r="M36" s="318"/>
      <c r="N36" s="331"/>
      <c r="O36" s="331"/>
      <c r="P36" s="331"/>
      <c r="Q36" s="331"/>
      <c r="R36" s="331"/>
      <c r="S36" s="331"/>
      <c r="T36" s="331"/>
      <c r="U36" s="331"/>
      <c r="V36" s="331" t="s">
        <v>197</v>
      </c>
      <c r="W36" s="331"/>
      <c r="X36" s="331"/>
      <c r="Y36" s="331"/>
      <c r="Z36" s="331"/>
      <c r="AA36" s="331"/>
      <c r="AB36" s="331"/>
      <c r="AC36" s="331"/>
      <c r="AD36" s="341"/>
      <c r="AE36" s="341"/>
      <c r="AF36" s="341"/>
      <c r="AG36" s="318"/>
      <c r="AH36" s="318"/>
      <c r="AI36" s="318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318"/>
      <c r="AU36" s="318"/>
      <c r="AV36" s="318"/>
      <c r="AW36" s="318"/>
      <c r="AX36" s="8"/>
    </row>
    <row r="37" spans="1:50" ht="13.5" customHeight="1">
      <c r="A37" s="5"/>
      <c r="B37" s="317">
        <v>3</v>
      </c>
      <c r="C37" s="317"/>
      <c r="D37" s="318" t="s">
        <v>199</v>
      </c>
      <c r="E37" s="318"/>
      <c r="F37" s="318"/>
      <c r="G37" s="318"/>
      <c r="H37" s="318"/>
      <c r="I37" s="318"/>
      <c r="J37" s="318"/>
      <c r="K37" s="318"/>
      <c r="L37" s="318"/>
      <c r="M37" s="318"/>
      <c r="N37" s="331"/>
      <c r="O37" s="331"/>
      <c r="P37" s="331"/>
      <c r="Q37" s="331"/>
      <c r="R37" s="331"/>
      <c r="S37" s="331"/>
      <c r="T37" s="331"/>
      <c r="U37" s="331"/>
      <c r="V37" s="331" t="s">
        <v>198</v>
      </c>
      <c r="W37" s="331"/>
      <c r="X37" s="331"/>
      <c r="Y37" s="331"/>
      <c r="Z37" s="331"/>
      <c r="AA37" s="331"/>
      <c r="AB37" s="331"/>
      <c r="AC37" s="331"/>
      <c r="AD37" s="341"/>
      <c r="AE37" s="341"/>
      <c r="AF37" s="341"/>
      <c r="AG37" s="318"/>
      <c r="AH37" s="318"/>
      <c r="AI37" s="318"/>
      <c r="AJ37" s="318"/>
      <c r="AK37" s="318"/>
      <c r="AL37" s="318"/>
      <c r="AM37" s="318"/>
      <c r="AN37" s="318"/>
      <c r="AO37" s="318"/>
      <c r="AP37" s="318"/>
      <c r="AQ37" s="318"/>
      <c r="AR37" s="318"/>
      <c r="AS37" s="318"/>
      <c r="AT37" s="318"/>
      <c r="AU37" s="318"/>
      <c r="AV37" s="318"/>
      <c r="AW37" s="318"/>
      <c r="AX37" s="8"/>
    </row>
    <row r="38" spans="1:50" ht="13.5" customHeight="1">
      <c r="A38" s="5"/>
      <c r="B38" s="317">
        <v>4</v>
      </c>
      <c r="C38" s="317"/>
      <c r="D38" s="318" t="s">
        <v>78</v>
      </c>
      <c r="E38" s="318"/>
      <c r="F38" s="318"/>
      <c r="G38" s="318"/>
      <c r="H38" s="318"/>
      <c r="I38" s="318"/>
      <c r="J38" s="318"/>
      <c r="K38" s="318"/>
      <c r="L38" s="318"/>
      <c r="M38" s="318"/>
      <c r="N38" s="331"/>
      <c r="O38" s="331"/>
      <c r="P38" s="331"/>
      <c r="Q38" s="331"/>
      <c r="R38" s="331"/>
      <c r="S38" s="331"/>
      <c r="T38" s="331"/>
      <c r="U38" s="331"/>
      <c r="V38" s="331" t="s">
        <v>195</v>
      </c>
      <c r="W38" s="331"/>
      <c r="X38" s="331"/>
      <c r="Y38" s="331"/>
      <c r="Z38" s="331"/>
      <c r="AA38" s="331"/>
      <c r="AB38" s="331"/>
      <c r="AC38" s="331"/>
      <c r="AD38" s="341"/>
      <c r="AE38" s="341"/>
      <c r="AF38" s="341"/>
      <c r="AG38" s="318" t="s">
        <v>39</v>
      </c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8"/>
    </row>
    <row r="39" spans="1:50" ht="13.5" customHeight="1">
      <c r="A39" s="5"/>
      <c r="B39" s="317">
        <v>5</v>
      </c>
      <c r="C39" s="317"/>
      <c r="D39" s="318" t="s">
        <v>191</v>
      </c>
      <c r="E39" s="318"/>
      <c r="F39" s="318"/>
      <c r="G39" s="318"/>
      <c r="H39" s="318"/>
      <c r="I39" s="318"/>
      <c r="J39" s="318"/>
      <c r="K39" s="318"/>
      <c r="L39" s="318"/>
      <c r="M39" s="318"/>
      <c r="N39" s="331"/>
      <c r="O39" s="331"/>
      <c r="P39" s="331"/>
      <c r="Q39" s="331"/>
      <c r="R39" s="331"/>
      <c r="S39" s="331"/>
      <c r="T39" s="331"/>
      <c r="U39" s="331"/>
      <c r="V39" s="331" t="s">
        <v>196</v>
      </c>
      <c r="W39" s="331"/>
      <c r="X39" s="331"/>
      <c r="Y39" s="331"/>
      <c r="Z39" s="331"/>
      <c r="AA39" s="331"/>
      <c r="AB39" s="331"/>
      <c r="AC39" s="331"/>
      <c r="AD39" s="341"/>
      <c r="AE39" s="341"/>
      <c r="AF39" s="341"/>
      <c r="AG39" s="318" t="s">
        <v>39</v>
      </c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8"/>
    </row>
    <row r="40" spans="1:50" ht="13.5" customHeight="1" thickBot="1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3"/>
    </row>
    <row r="41" spans="1:50" ht="13.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4"/>
    </row>
    <row r="42" spans="1:50" ht="22.5">
      <c r="A42" s="5"/>
      <c r="B42" s="39" t="s">
        <v>123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8"/>
    </row>
    <row r="43" spans="1:50" ht="18.75">
      <c r="A43" s="5"/>
      <c r="B43" s="6" t="s">
        <v>15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8"/>
    </row>
    <row r="44" spans="1:50" ht="13.5" customHeight="1">
      <c r="A44" s="5"/>
      <c r="B44" s="319" t="s">
        <v>8</v>
      </c>
      <c r="C44" s="319"/>
      <c r="D44" s="319" t="s">
        <v>9</v>
      </c>
      <c r="E44" s="319"/>
      <c r="F44" s="319"/>
      <c r="G44" s="319"/>
      <c r="H44" s="319"/>
      <c r="I44" s="319"/>
      <c r="J44" s="319"/>
      <c r="K44" s="319"/>
      <c r="L44" s="319"/>
      <c r="M44" s="319"/>
      <c r="N44" s="319" t="s">
        <v>16</v>
      </c>
      <c r="O44" s="319"/>
      <c r="P44" s="319"/>
      <c r="Q44" s="319"/>
      <c r="R44" s="319"/>
      <c r="S44" s="319"/>
      <c r="T44" s="319"/>
      <c r="U44" s="319" t="s">
        <v>17</v>
      </c>
      <c r="V44" s="319"/>
      <c r="W44" s="319"/>
      <c r="X44" s="319"/>
      <c r="Y44" s="319"/>
      <c r="Z44" s="319"/>
      <c r="AA44" s="319"/>
      <c r="AB44" s="319" t="s">
        <v>18</v>
      </c>
      <c r="AC44" s="319"/>
      <c r="AD44" s="319" t="s">
        <v>19</v>
      </c>
      <c r="AE44" s="319"/>
      <c r="AF44" s="319" t="s">
        <v>20</v>
      </c>
      <c r="AG44" s="319"/>
      <c r="AH44" s="319" t="s">
        <v>21</v>
      </c>
      <c r="AI44" s="319"/>
      <c r="AJ44" s="319" t="s">
        <v>22</v>
      </c>
      <c r="AK44" s="319"/>
      <c r="AL44" s="319"/>
      <c r="AM44" s="319"/>
      <c r="AN44" s="319"/>
      <c r="AO44" s="319"/>
      <c r="AP44" s="319" t="s">
        <v>12</v>
      </c>
      <c r="AQ44" s="319"/>
      <c r="AR44" s="319"/>
      <c r="AS44" s="319"/>
      <c r="AT44" s="319"/>
      <c r="AU44" s="319"/>
      <c r="AV44" s="319"/>
      <c r="AW44" s="319"/>
      <c r="AX44" s="8"/>
    </row>
    <row r="45" spans="1:50" ht="13.5" customHeight="1">
      <c r="A45" s="5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8"/>
    </row>
    <row r="46" spans="1:50" ht="13.5" customHeight="1">
      <c r="A46" s="5"/>
      <c r="B46" s="317">
        <v>1</v>
      </c>
      <c r="C46" s="317"/>
      <c r="D46" s="318" t="s">
        <v>136</v>
      </c>
      <c r="E46" s="318"/>
      <c r="F46" s="318"/>
      <c r="G46" s="318"/>
      <c r="H46" s="318"/>
      <c r="I46" s="318"/>
      <c r="J46" s="318"/>
      <c r="K46" s="318"/>
      <c r="L46" s="318"/>
      <c r="M46" s="318"/>
      <c r="N46" s="395" t="s">
        <v>73</v>
      </c>
      <c r="O46" s="699"/>
      <c r="P46" s="699"/>
      <c r="Q46" s="699"/>
      <c r="R46" s="699"/>
      <c r="S46" s="699"/>
      <c r="T46" s="700"/>
      <c r="U46" s="318" t="s">
        <v>129</v>
      </c>
      <c r="V46" s="318"/>
      <c r="W46" s="318"/>
      <c r="X46" s="318"/>
      <c r="Y46" s="318"/>
      <c r="Z46" s="318"/>
      <c r="AA46" s="318"/>
      <c r="AB46" s="341" t="s">
        <v>73</v>
      </c>
      <c r="AC46" s="341"/>
      <c r="AD46" s="341" t="s">
        <v>73</v>
      </c>
      <c r="AE46" s="341"/>
      <c r="AF46" s="341" t="s">
        <v>73</v>
      </c>
      <c r="AG46" s="341"/>
      <c r="AH46" s="341" t="s">
        <v>73</v>
      </c>
      <c r="AI46" s="341"/>
      <c r="AJ46" s="398" t="s">
        <v>135</v>
      </c>
      <c r="AK46" s="398"/>
      <c r="AL46" s="398"/>
      <c r="AM46" s="398"/>
      <c r="AN46" s="398"/>
      <c r="AO46" s="398"/>
      <c r="AP46" s="399"/>
      <c r="AQ46" s="399"/>
      <c r="AR46" s="399"/>
      <c r="AS46" s="399"/>
      <c r="AT46" s="399"/>
      <c r="AU46" s="399"/>
      <c r="AV46" s="399"/>
      <c r="AW46" s="399"/>
      <c r="AX46" s="8"/>
    </row>
    <row r="47" spans="1:50" ht="13.5" customHeight="1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8"/>
    </row>
    <row r="48" spans="1:50" ht="18.75">
      <c r="A48" s="5"/>
      <c r="B48" s="32" t="s">
        <v>64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8"/>
    </row>
    <row r="49" spans="1:50" ht="13.5" customHeight="1">
      <c r="A49" s="5"/>
      <c r="B49" s="433" t="s">
        <v>65</v>
      </c>
      <c r="C49" s="433"/>
      <c r="D49" s="434" t="s">
        <v>66</v>
      </c>
      <c r="E49" s="434"/>
      <c r="F49" s="434"/>
      <c r="G49" s="434"/>
      <c r="H49" s="434"/>
      <c r="I49" s="433" t="s">
        <v>67</v>
      </c>
      <c r="J49" s="433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 t="s">
        <v>68</v>
      </c>
      <c r="W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3"/>
      <c r="AI49" s="433" t="s">
        <v>69</v>
      </c>
      <c r="AJ49" s="433"/>
      <c r="AK49" s="433"/>
      <c r="AL49" s="433"/>
      <c r="AM49" s="433"/>
      <c r="AN49" s="433"/>
      <c r="AO49" s="433"/>
      <c r="AP49" s="433"/>
      <c r="AQ49" s="433"/>
      <c r="AR49" s="433"/>
      <c r="AS49" s="433"/>
      <c r="AT49" s="433"/>
      <c r="AU49" s="433"/>
      <c r="AV49" s="433"/>
      <c r="AW49" s="433"/>
      <c r="AX49" s="8"/>
    </row>
    <row r="50" spans="1:50" ht="13.5" customHeight="1">
      <c r="A50" s="5"/>
      <c r="B50" s="433"/>
      <c r="C50" s="433"/>
      <c r="D50" s="434"/>
      <c r="E50" s="434"/>
      <c r="F50" s="434"/>
      <c r="G50" s="434"/>
      <c r="H50" s="434"/>
      <c r="I50" s="433"/>
      <c r="J50" s="433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  <c r="AG50" s="433"/>
      <c r="AH50" s="433"/>
      <c r="AI50" s="433"/>
      <c r="AJ50" s="433"/>
      <c r="AK50" s="433"/>
      <c r="AL50" s="433"/>
      <c r="AM50" s="433"/>
      <c r="AN50" s="433"/>
      <c r="AO50" s="433"/>
      <c r="AP50" s="433"/>
      <c r="AQ50" s="433"/>
      <c r="AR50" s="433"/>
      <c r="AS50" s="433"/>
      <c r="AT50" s="433"/>
      <c r="AU50" s="433"/>
      <c r="AV50" s="433"/>
      <c r="AW50" s="433"/>
      <c r="AX50" s="8"/>
    </row>
    <row r="51" spans="1:50" ht="13.5" customHeight="1">
      <c r="A51" s="5"/>
      <c r="B51" s="320">
        <v>1</v>
      </c>
      <c r="C51" s="320"/>
      <c r="D51" s="701" t="s">
        <v>130</v>
      </c>
      <c r="E51" s="702"/>
      <c r="F51" s="702"/>
      <c r="G51" s="702"/>
      <c r="H51" s="703"/>
      <c r="I51" s="321" t="s">
        <v>157</v>
      </c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704" t="s">
        <v>72</v>
      </c>
      <c r="W51" s="705"/>
      <c r="X51" s="705"/>
      <c r="Y51" s="705"/>
      <c r="Z51" s="705"/>
      <c r="AA51" s="705"/>
      <c r="AB51" s="705"/>
      <c r="AC51" s="705"/>
      <c r="AD51" s="705"/>
      <c r="AE51" s="705"/>
      <c r="AF51" s="705"/>
      <c r="AG51" s="705"/>
      <c r="AH51" s="706"/>
      <c r="AI51" s="707" t="s">
        <v>73</v>
      </c>
      <c r="AJ51" s="708"/>
      <c r="AK51" s="708"/>
      <c r="AL51" s="708"/>
      <c r="AM51" s="708"/>
      <c r="AN51" s="708"/>
      <c r="AO51" s="708"/>
      <c r="AP51" s="708"/>
      <c r="AQ51" s="708"/>
      <c r="AR51" s="708"/>
      <c r="AS51" s="708"/>
      <c r="AT51" s="708"/>
      <c r="AU51" s="708"/>
      <c r="AV51" s="708"/>
      <c r="AW51" s="709"/>
      <c r="AX51" s="8"/>
    </row>
    <row r="52" spans="1:50" ht="13.5" customHeight="1">
      <c r="A52" s="5"/>
      <c r="B52" s="320">
        <v>2</v>
      </c>
      <c r="C52" s="320"/>
      <c r="D52" s="701" t="s">
        <v>78</v>
      </c>
      <c r="E52" s="702"/>
      <c r="F52" s="702"/>
      <c r="G52" s="702"/>
      <c r="H52" s="703"/>
      <c r="I52" s="321" t="s">
        <v>166</v>
      </c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418"/>
      <c r="W52" s="419"/>
      <c r="X52" s="419"/>
      <c r="Y52" s="419"/>
      <c r="Z52" s="419"/>
      <c r="AA52" s="419"/>
      <c r="AB52" s="419"/>
      <c r="AC52" s="419"/>
      <c r="AD52" s="419"/>
      <c r="AE52" s="419"/>
      <c r="AF52" s="419"/>
      <c r="AG52" s="419"/>
      <c r="AH52" s="420"/>
      <c r="AI52" s="427"/>
      <c r="AJ52" s="428"/>
      <c r="AK52" s="428"/>
      <c r="AL52" s="428"/>
      <c r="AM52" s="428"/>
      <c r="AN52" s="428"/>
      <c r="AO52" s="428"/>
      <c r="AP52" s="428"/>
      <c r="AQ52" s="428"/>
      <c r="AR52" s="428"/>
      <c r="AS52" s="428"/>
      <c r="AT52" s="428"/>
      <c r="AU52" s="428"/>
      <c r="AV52" s="428"/>
      <c r="AW52" s="429"/>
      <c r="AX52" s="8"/>
    </row>
    <row r="53" spans="1:50" ht="13.5" customHeight="1">
      <c r="A53" s="5"/>
      <c r="B53" s="320">
        <v>3</v>
      </c>
      <c r="C53" s="320"/>
      <c r="D53" s="373"/>
      <c r="E53" s="374"/>
      <c r="F53" s="374"/>
      <c r="G53" s="374"/>
      <c r="H53" s="375"/>
      <c r="I53" s="321" t="s">
        <v>192</v>
      </c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418"/>
      <c r="W53" s="419"/>
      <c r="X53" s="419"/>
      <c r="Y53" s="419"/>
      <c r="Z53" s="419"/>
      <c r="AA53" s="419"/>
      <c r="AB53" s="419"/>
      <c r="AC53" s="419"/>
      <c r="AD53" s="419"/>
      <c r="AE53" s="419"/>
      <c r="AF53" s="419"/>
      <c r="AG53" s="419"/>
      <c r="AH53" s="420"/>
      <c r="AI53" s="427"/>
      <c r="AJ53" s="428"/>
      <c r="AK53" s="428"/>
      <c r="AL53" s="428"/>
      <c r="AM53" s="428"/>
      <c r="AN53" s="428"/>
      <c r="AO53" s="428"/>
      <c r="AP53" s="428"/>
      <c r="AQ53" s="428"/>
      <c r="AR53" s="428"/>
      <c r="AS53" s="428"/>
      <c r="AT53" s="428"/>
      <c r="AU53" s="428"/>
      <c r="AV53" s="428"/>
      <c r="AW53" s="429"/>
      <c r="AX53" s="8"/>
    </row>
    <row r="54" spans="1:50" ht="13.5" customHeight="1">
      <c r="A54" s="5"/>
      <c r="B54" s="320"/>
      <c r="C54" s="320"/>
      <c r="D54" s="373"/>
      <c r="E54" s="374"/>
      <c r="F54" s="374"/>
      <c r="G54" s="374"/>
      <c r="H54" s="375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418"/>
      <c r="W54" s="419"/>
      <c r="X54" s="419"/>
      <c r="Y54" s="419"/>
      <c r="Z54" s="419"/>
      <c r="AA54" s="419"/>
      <c r="AB54" s="419"/>
      <c r="AC54" s="419"/>
      <c r="AD54" s="419"/>
      <c r="AE54" s="419"/>
      <c r="AF54" s="419"/>
      <c r="AG54" s="419"/>
      <c r="AH54" s="420"/>
      <c r="AI54" s="427"/>
      <c r="AJ54" s="428"/>
      <c r="AK54" s="428"/>
      <c r="AL54" s="428"/>
      <c r="AM54" s="428"/>
      <c r="AN54" s="428"/>
      <c r="AO54" s="428"/>
      <c r="AP54" s="428"/>
      <c r="AQ54" s="428"/>
      <c r="AR54" s="428"/>
      <c r="AS54" s="428"/>
      <c r="AT54" s="428"/>
      <c r="AU54" s="428"/>
      <c r="AV54" s="428"/>
      <c r="AW54" s="429"/>
      <c r="AX54" s="8"/>
    </row>
    <row r="55" spans="1:50" ht="13.5" customHeight="1">
      <c r="A55" s="5"/>
      <c r="B55" s="320"/>
      <c r="C55" s="320"/>
      <c r="D55" s="373"/>
      <c r="E55" s="374"/>
      <c r="F55" s="374"/>
      <c r="G55" s="374"/>
      <c r="H55" s="375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418"/>
      <c r="W55" s="419"/>
      <c r="X55" s="419"/>
      <c r="Y55" s="419"/>
      <c r="Z55" s="419"/>
      <c r="AA55" s="419"/>
      <c r="AB55" s="419"/>
      <c r="AC55" s="419"/>
      <c r="AD55" s="419"/>
      <c r="AE55" s="419"/>
      <c r="AF55" s="419"/>
      <c r="AG55" s="419"/>
      <c r="AH55" s="420"/>
      <c r="AI55" s="427"/>
      <c r="AJ55" s="428"/>
      <c r="AK55" s="428"/>
      <c r="AL55" s="428"/>
      <c r="AM55" s="428"/>
      <c r="AN55" s="428"/>
      <c r="AO55" s="428"/>
      <c r="AP55" s="428"/>
      <c r="AQ55" s="428"/>
      <c r="AR55" s="428"/>
      <c r="AS55" s="428"/>
      <c r="AT55" s="428"/>
      <c r="AU55" s="428"/>
      <c r="AV55" s="428"/>
      <c r="AW55" s="429"/>
      <c r="AX55" s="8"/>
    </row>
    <row r="56" spans="1:50" ht="13.5" customHeight="1">
      <c r="A56" s="5"/>
      <c r="B56" s="320"/>
      <c r="C56" s="320"/>
      <c r="D56" s="326"/>
      <c r="E56" s="327"/>
      <c r="F56" s="327"/>
      <c r="G56" s="327"/>
      <c r="H56" s="328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421"/>
      <c r="W56" s="422"/>
      <c r="X56" s="422"/>
      <c r="Y56" s="422"/>
      <c r="Z56" s="422"/>
      <c r="AA56" s="422"/>
      <c r="AB56" s="422"/>
      <c r="AC56" s="422"/>
      <c r="AD56" s="422"/>
      <c r="AE56" s="422"/>
      <c r="AF56" s="422"/>
      <c r="AG56" s="422"/>
      <c r="AH56" s="423"/>
      <c r="AI56" s="430"/>
      <c r="AJ56" s="431"/>
      <c r="AK56" s="431"/>
      <c r="AL56" s="431"/>
      <c r="AM56" s="431"/>
      <c r="AN56" s="431"/>
      <c r="AO56" s="431"/>
      <c r="AP56" s="431"/>
      <c r="AQ56" s="431"/>
      <c r="AR56" s="431"/>
      <c r="AS56" s="431"/>
      <c r="AT56" s="431"/>
      <c r="AU56" s="431"/>
      <c r="AV56" s="431"/>
      <c r="AW56" s="432"/>
      <c r="AX56" s="8"/>
    </row>
    <row r="57" spans="1:50" ht="13.5" customHeight="1">
      <c r="A57" s="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8"/>
    </row>
    <row r="58" spans="1:50" ht="13.5" customHeight="1">
      <c r="A58" s="5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8"/>
    </row>
    <row r="59" spans="1:50" ht="22.5">
      <c r="A59" s="5"/>
      <c r="B59" s="39" t="s">
        <v>186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8"/>
    </row>
    <row r="60" spans="1:50" ht="18.75">
      <c r="A60" s="5"/>
      <c r="B60" s="6" t="s">
        <v>15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8"/>
    </row>
    <row r="61" spans="1:50" ht="13.5" customHeight="1">
      <c r="A61" s="5"/>
      <c r="B61" s="319" t="s">
        <v>8</v>
      </c>
      <c r="C61" s="319"/>
      <c r="D61" s="319" t="s">
        <v>9</v>
      </c>
      <c r="E61" s="319"/>
      <c r="F61" s="319"/>
      <c r="G61" s="319"/>
      <c r="H61" s="319"/>
      <c r="I61" s="319"/>
      <c r="J61" s="319"/>
      <c r="K61" s="319"/>
      <c r="L61" s="319"/>
      <c r="M61" s="319"/>
      <c r="N61" s="319" t="s">
        <v>16</v>
      </c>
      <c r="O61" s="319"/>
      <c r="P61" s="319"/>
      <c r="Q61" s="319"/>
      <c r="R61" s="319"/>
      <c r="S61" s="319"/>
      <c r="T61" s="319"/>
      <c r="U61" s="319" t="s">
        <v>17</v>
      </c>
      <c r="V61" s="319"/>
      <c r="W61" s="319"/>
      <c r="X61" s="319"/>
      <c r="Y61" s="319"/>
      <c r="Z61" s="319"/>
      <c r="AA61" s="319"/>
      <c r="AB61" s="319" t="s">
        <v>18</v>
      </c>
      <c r="AC61" s="319"/>
      <c r="AD61" s="319" t="s">
        <v>19</v>
      </c>
      <c r="AE61" s="319"/>
      <c r="AF61" s="319" t="s">
        <v>20</v>
      </c>
      <c r="AG61" s="319"/>
      <c r="AH61" s="319" t="s">
        <v>21</v>
      </c>
      <c r="AI61" s="319"/>
      <c r="AJ61" s="319" t="s">
        <v>22</v>
      </c>
      <c r="AK61" s="319"/>
      <c r="AL61" s="319"/>
      <c r="AM61" s="319"/>
      <c r="AN61" s="319"/>
      <c r="AO61" s="319"/>
      <c r="AP61" s="319" t="s">
        <v>12</v>
      </c>
      <c r="AQ61" s="319"/>
      <c r="AR61" s="319"/>
      <c r="AS61" s="319"/>
      <c r="AT61" s="319"/>
      <c r="AU61" s="319"/>
      <c r="AV61" s="319"/>
      <c r="AW61" s="319"/>
      <c r="AX61" s="8"/>
    </row>
    <row r="62" spans="1:50" ht="13.5" customHeight="1">
      <c r="A62" s="5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  <c r="AN62" s="319"/>
      <c r="AO62" s="319"/>
      <c r="AP62" s="319"/>
      <c r="AQ62" s="319"/>
      <c r="AR62" s="319"/>
      <c r="AS62" s="319"/>
      <c r="AT62" s="319"/>
      <c r="AU62" s="319"/>
      <c r="AV62" s="319"/>
      <c r="AW62" s="319"/>
      <c r="AX62" s="8"/>
    </row>
    <row r="63" spans="1:50" ht="13.5" customHeight="1">
      <c r="A63" s="5"/>
      <c r="B63" s="317">
        <v>1</v>
      </c>
      <c r="C63" s="317"/>
      <c r="D63" s="318" t="s">
        <v>187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95" t="s">
        <v>73</v>
      </c>
      <c r="O63" s="699"/>
      <c r="P63" s="699"/>
      <c r="Q63" s="699"/>
      <c r="R63" s="699"/>
      <c r="S63" s="699"/>
      <c r="T63" s="700"/>
      <c r="U63" s="318" t="s">
        <v>194</v>
      </c>
      <c r="V63" s="318"/>
      <c r="W63" s="318"/>
      <c r="X63" s="318"/>
      <c r="Y63" s="318"/>
      <c r="Z63" s="318"/>
      <c r="AA63" s="318"/>
      <c r="AB63" s="341" t="s">
        <v>73</v>
      </c>
      <c r="AC63" s="341"/>
      <c r="AD63" s="341" t="s">
        <v>73</v>
      </c>
      <c r="AE63" s="341"/>
      <c r="AF63" s="341" t="s">
        <v>73</v>
      </c>
      <c r="AG63" s="341"/>
      <c r="AH63" s="341" t="s">
        <v>73</v>
      </c>
      <c r="AI63" s="341"/>
      <c r="AJ63" s="398" t="s">
        <v>137</v>
      </c>
      <c r="AK63" s="398"/>
      <c r="AL63" s="398"/>
      <c r="AM63" s="398"/>
      <c r="AN63" s="398"/>
      <c r="AO63" s="398"/>
      <c r="AP63" s="399"/>
      <c r="AQ63" s="399"/>
      <c r="AR63" s="399"/>
      <c r="AS63" s="399"/>
      <c r="AT63" s="399"/>
      <c r="AU63" s="399"/>
      <c r="AV63" s="399"/>
      <c r="AW63" s="399"/>
      <c r="AX63" s="8"/>
    </row>
    <row r="64" spans="1:50" ht="13.5" customHeight="1">
      <c r="A64" s="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8"/>
    </row>
    <row r="65" spans="1:50" ht="18.75">
      <c r="A65" s="5"/>
      <c r="B65" s="32" t="s">
        <v>64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8"/>
    </row>
    <row r="66" spans="1:50" ht="13.5" customHeight="1">
      <c r="A66" s="5"/>
      <c r="B66" s="433" t="s">
        <v>65</v>
      </c>
      <c r="C66" s="433"/>
      <c r="D66" s="434" t="s">
        <v>66</v>
      </c>
      <c r="E66" s="434"/>
      <c r="F66" s="434"/>
      <c r="G66" s="434"/>
      <c r="H66" s="434"/>
      <c r="I66" s="433" t="s">
        <v>67</v>
      </c>
      <c r="J66" s="433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 t="s">
        <v>68</v>
      </c>
      <c r="W66" s="433"/>
      <c r="X66" s="433"/>
      <c r="Y66" s="433"/>
      <c r="Z66" s="433"/>
      <c r="AA66" s="433"/>
      <c r="AB66" s="433"/>
      <c r="AC66" s="433"/>
      <c r="AD66" s="433"/>
      <c r="AE66" s="433"/>
      <c r="AF66" s="433"/>
      <c r="AG66" s="433"/>
      <c r="AH66" s="433"/>
      <c r="AI66" s="433" t="s">
        <v>69</v>
      </c>
      <c r="AJ66" s="433"/>
      <c r="AK66" s="433"/>
      <c r="AL66" s="433"/>
      <c r="AM66" s="433"/>
      <c r="AN66" s="433"/>
      <c r="AO66" s="433"/>
      <c r="AP66" s="433"/>
      <c r="AQ66" s="433"/>
      <c r="AR66" s="433"/>
      <c r="AS66" s="433"/>
      <c r="AT66" s="433"/>
      <c r="AU66" s="433"/>
      <c r="AV66" s="433"/>
      <c r="AW66" s="433"/>
      <c r="AX66" s="8"/>
    </row>
    <row r="67" spans="1:50" ht="13.5" customHeight="1">
      <c r="A67" s="5"/>
      <c r="B67" s="433"/>
      <c r="C67" s="433"/>
      <c r="D67" s="434"/>
      <c r="E67" s="434"/>
      <c r="F67" s="434"/>
      <c r="G67" s="434"/>
      <c r="H67" s="434"/>
      <c r="I67" s="433"/>
      <c r="J67" s="433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  <c r="AB67" s="433"/>
      <c r="AC67" s="433"/>
      <c r="AD67" s="433"/>
      <c r="AE67" s="433"/>
      <c r="AF67" s="433"/>
      <c r="AG67" s="433"/>
      <c r="AH67" s="433"/>
      <c r="AI67" s="433"/>
      <c r="AJ67" s="433"/>
      <c r="AK67" s="433"/>
      <c r="AL67" s="433"/>
      <c r="AM67" s="433"/>
      <c r="AN67" s="433"/>
      <c r="AO67" s="433"/>
      <c r="AP67" s="433"/>
      <c r="AQ67" s="433"/>
      <c r="AR67" s="433"/>
      <c r="AS67" s="433"/>
      <c r="AT67" s="433"/>
      <c r="AU67" s="433"/>
      <c r="AV67" s="433"/>
      <c r="AW67" s="433"/>
      <c r="AX67" s="8"/>
    </row>
    <row r="68" spans="1:50" ht="13.5" customHeight="1">
      <c r="A68" s="5"/>
      <c r="B68" s="320">
        <v>1</v>
      </c>
      <c r="C68" s="320"/>
      <c r="D68" s="701" t="s">
        <v>127</v>
      </c>
      <c r="E68" s="702"/>
      <c r="F68" s="702"/>
      <c r="G68" s="702"/>
      <c r="H68" s="703"/>
      <c r="I68" s="321" t="s">
        <v>159</v>
      </c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704" t="s">
        <v>72</v>
      </c>
      <c r="W68" s="705"/>
      <c r="X68" s="705"/>
      <c r="Y68" s="705"/>
      <c r="Z68" s="705"/>
      <c r="AA68" s="705"/>
      <c r="AB68" s="705"/>
      <c r="AC68" s="705"/>
      <c r="AD68" s="705"/>
      <c r="AE68" s="705"/>
      <c r="AF68" s="705"/>
      <c r="AG68" s="705"/>
      <c r="AH68" s="706"/>
      <c r="AI68" s="707" t="s">
        <v>73</v>
      </c>
      <c r="AJ68" s="708"/>
      <c r="AK68" s="708"/>
      <c r="AL68" s="708"/>
      <c r="AM68" s="708"/>
      <c r="AN68" s="708"/>
      <c r="AO68" s="708"/>
      <c r="AP68" s="708"/>
      <c r="AQ68" s="708"/>
      <c r="AR68" s="708"/>
      <c r="AS68" s="708"/>
      <c r="AT68" s="708"/>
      <c r="AU68" s="708"/>
      <c r="AV68" s="708"/>
      <c r="AW68" s="709"/>
      <c r="AX68" s="8"/>
    </row>
    <row r="69" spans="1:50" ht="13.5" customHeight="1">
      <c r="A69" s="5"/>
      <c r="B69" s="320">
        <v>2</v>
      </c>
      <c r="C69" s="320"/>
      <c r="D69" s="701" t="s">
        <v>161</v>
      </c>
      <c r="E69" s="702"/>
      <c r="F69" s="702"/>
      <c r="G69" s="702"/>
      <c r="H69" s="703"/>
      <c r="I69" s="321" t="s">
        <v>193</v>
      </c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418"/>
      <c r="W69" s="419"/>
      <c r="X69" s="419"/>
      <c r="Y69" s="419"/>
      <c r="Z69" s="419"/>
      <c r="AA69" s="419"/>
      <c r="AB69" s="419"/>
      <c r="AC69" s="419"/>
      <c r="AD69" s="419"/>
      <c r="AE69" s="419"/>
      <c r="AF69" s="419"/>
      <c r="AG69" s="419"/>
      <c r="AH69" s="420"/>
      <c r="AI69" s="427"/>
      <c r="AJ69" s="428"/>
      <c r="AK69" s="428"/>
      <c r="AL69" s="428"/>
      <c r="AM69" s="428"/>
      <c r="AN69" s="428"/>
      <c r="AO69" s="428"/>
      <c r="AP69" s="428"/>
      <c r="AQ69" s="428"/>
      <c r="AR69" s="428"/>
      <c r="AS69" s="428"/>
      <c r="AT69" s="428"/>
      <c r="AU69" s="428"/>
      <c r="AV69" s="428"/>
      <c r="AW69" s="429"/>
      <c r="AX69" s="8"/>
    </row>
    <row r="70" spans="1:50" ht="13.5" customHeight="1">
      <c r="A70" s="5"/>
      <c r="B70" s="320"/>
      <c r="C70" s="320"/>
      <c r="D70" s="373"/>
      <c r="E70" s="374"/>
      <c r="F70" s="374"/>
      <c r="G70" s="374"/>
      <c r="H70" s="375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418"/>
      <c r="W70" s="419"/>
      <c r="X70" s="419"/>
      <c r="Y70" s="419"/>
      <c r="Z70" s="419"/>
      <c r="AA70" s="419"/>
      <c r="AB70" s="419"/>
      <c r="AC70" s="419"/>
      <c r="AD70" s="419"/>
      <c r="AE70" s="419"/>
      <c r="AF70" s="419"/>
      <c r="AG70" s="419"/>
      <c r="AH70" s="420"/>
      <c r="AI70" s="427"/>
      <c r="AJ70" s="428"/>
      <c r="AK70" s="428"/>
      <c r="AL70" s="428"/>
      <c r="AM70" s="428"/>
      <c r="AN70" s="428"/>
      <c r="AO70" s="428"/>
      <c r="AP70" s="428"/>
      <c r="AQ70" s="428"/>
      <c r="AR70" s="428"/>
      <c r="AS70" s="428"/>
      <c r="AT70" s="428"/>
      <c r="AU70" s="428"/>
      <c r="AV70" s="428"/>
      <c r="AW70" s="429"/>
      <c r="AX70" s="8"/>
    </row>
    <row r="71" spans="1:50" ht="13.5" customHeight="1">
      <c r="A71" s="5"/>
      <c r="B71" s="320"/>
      <c r="C71" s="320"/>
      <c r="D71" s="373"/>
      <c r="E71" s="374"/>
      <c r="F71" s="374"/>
      <c r="G71" s="374"/>
      <c r="H71" s="375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418"/>
      <c r="W71" s="419"/>
      <c r="X71" s="419"/>
      <c r="Y71" s="419"/>
      <c r="Z71" s="419"/>
      <c r="AA71" s="419"/>
      <c r="AB71" s="419"/>
      <c r="AC71" s="419"/>
      <c r="AD71" s="419"/>
      <c r="AE71" s="419"/>
      <c r="AF71" s="419"/>
      <c r="AG71" s="419"/>
      <c r="AH71" s="420"/>
      <c r="AI71" s="427"/>
      <c r="AJ71" s="428"/>
      <c r="AK71" s="428"/>
      <c r="AL71" s="428"/>
      <c r="AM71" s="428"/>
      <c r="AN71" s="428"/>
      <c r="AO71" s="428"/>
      <c r="AP71" s="428"/>
      <c r="AQ71" s="428"/>
      <c r="AR71" s="428"/>
      <c r="AS71" s="428"/>
      <c r="AT71" s="428"/>
      <c r="AU71" s="428"/>
      <c r="AV71" s="428"/>
      <c r="AW71" s="429"/>
      <c r="AX71" s="8"/>
    </row>
    <row r="72" spans="1:50" ht="13.5" customHeight="1">
      <c r="A72" s="5"/>
      <c r="B72" s="320"/>
      <c r="C72" s="320"/>
      <c r="D72" s="373"/>
      <c r="E72" s="374"/>
      <c r="F72" s="374"/>
      <c r="G72" s="374"/>
      <c r="H72" s="375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418"/>
      <c r="W72" s="419"/>
      <c r="X72" s="419"/>
      <c r="Y72" s="419"/>
      <c r="Z72" s="419"/>
      <c r="AA72" s="419"/>
      <c r="AB72" s="419"/>
      <c r="AC72" s="419"/>
      <c r="AD72" s="419"/>
      <c r="AE72" s="419"/>
      <c r="AF72" s="419"/>
      <c r="AG72" s="419"/>
      <c r="AH72" s="420"/>
      <c r="AI72" s="427"/>
      <c r="AJ72" s="428"/>
      <c r="AK72" s="428"/>
      <c r="AL72" s="428"/>
      <c r="AM72" s="428"/>
      <c r="AN72" s="428"/>
      <c r="AO72" s="428"/>
      <c r="AP72" s="428"/>
      <c r="AQ72" s="428"/>
      <c r="AR72" s="428"/>
      <c r="AS72" s="428"/>
      <c r="AT72" s="428"/>
      <c r="AU72" s="428"/>
      <c r="AV72" s="428"/>
      <c r="AW72" s="429"/>
      <c r="AX72" s="8"/>
    </row>
    <row r="73" spans="1:50" ht="13.5" customHeight="1">
      <c r="A73" s="5"/>
      <c r="B73" s="320"/>
      <c r="C73" s="320"/>
      <c r="D73" s="326"/>
      <c r="E73" s="327"/>
      <c r="F73" s="327"/>
      <c r="G73" s="327"/>
      <c r="H73" s="328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421"/>
      <c r="W73" s="422"/>
      <c r="X73" s="422"/>
      <c r="Y73" s="422"/>
      <c r="Z73" s="422"/>
      <c r="AA73" s="422"/>
      <c r="AB73" s="422"/>
      <c r="AC73" s="422"/>
      <c r="AD73" s="422"/>
      <c r="AE73" s="422"/>
      <c r="AF73" s="422"/>
      <c r="AG73" s="422"/>
      <c r="AH73" s="423"/>
      <c r="AI73" s="430"/>
      <c r="AJ73" s="431"/>
      <c r="AK73" s="431"/>
      <c r="AL73" s="431"/>
      <c r="AM73" s="431"/>
      <c r="AN73" s="431"/>
      <c r="AO73" s="431"/>
      <c r="AP73" s="431"/>
      <c r="AQ73" s="431"/>
      <c r="AR73" s="431"/>
      <c r="AS73" s="431"/>
      <c r="AT73" s="431"/>
      <c r="AU73" s="431"/>
      <c r="AV73" s="431"/>
      <c r="AW73" s="432"/>
      <c r="AX73" s="8"/>
    </row>
    <row r="74" spans="1:50" ht="13.5" customHeight="1" thickBot="1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3"/>
    </row>
  </sheetData>
  <mergeCells count="119">
    <mergeCell ref="B38:C38"/>
    <mergeCell ref="D38:M38"/>
    <mergeCell ref="N38:U38"/>
    <mergeCell ref="V38:AC38"/>
    <mergeCell ref="AD38:AF38"/>
    <mergeCell ref="AG38:AW38"/>
    <mergeCell ref="AG39:AW39"/>
    <mergeCell ref="B36:C36"/>
    <mergeCell ref="D36:M36"/>
    <mergeCell ref="N36:U36"/>
    <mergeCell ref="V36:AC36"/>
    <mergeCell ref="AD36:AF36"/>
    <mergeCell ref="AG36:AW36"/>
    <mergeCell ref="B37:C37"/>
    <mergeCell ref="D37:M37"/>
    <mergeCell ref="N37:U37"/>
    <mergeCell ref="V37:AC37"/>
    <mergeCell ref="AD37:AF37"/>
    <mergeCell ref="AG37:AW37"/>
    <mergeCell ref="B39:C39"/>
    <mergeCell ref="D39:M39"/>
    <mergeCell ref="N39:U39"/>
    <mergeCell ref="V39:AC39"/>
    <mergeCell ref="AD39:AF39"/>
    <mergeCell ref="B68:C68"/>
    <mergeCell ref="D68:H68"/>
    <mergeCell ref="I68:U68"/>
    <mergeCell ref="V68:AH73"/>
    <mergeCell ref="AI68:AW73"/>
    <mergeCell ref="B69:C73"/>
    <mergeCell ref="D69:H73"/>
    <mergeCell ref="I69:U73"/>
    <mergeCell ref="B66:C67"/>
    <mergeCell ref="D66:H67"/>
    <mergeCell ref="I66:U67"/>
    <mergeCell ref="V66:AH67"/>
    <mergeCell ref="AI66:AW67"/>
    <mergeCell ref="AD63:AE63"/>
    <mergeCell ref="AF63:AG63"/>
    <mergeCell ref="AH63:AI63"/>
    <mergeCell ref="AJ63:AO63"/>
    <mergeCell ref="AP63:AW63"/>
    <mergeCell ref="B63:C63"/>
    <mergeCell ref="D63:M63"/>
    <mergeCell ref="N63:T63"/>
    <mergeCell ref="U63:AA63"/>
    <mergeCell ref="AB63:AC63"/>
    <mergeCell ref="AD61:AE62"/>
    <mergeCell ref="AF61:AG62"/>
    <mergeCell ref="AH61:AI62"/>
    <mergeCell ref="AJ61:AO62"/>
    <mergeCell ref="AP61:AW62"/>
    <mergeCell ref="B61:C62"/>
    <mergeCell ref="D61:M62"/>
    <mergeCell ref="N61:T62"/>
    <mergeCell ref="U61:AA62"/>
    <mergeCell ref="AB61:AC62"/>
    <mergeCell ref="B51:C51"/>
    <mergeCell ref="D51:H51"/>
    <mergeCell ref="I51:U51"/>
    <mergeCell ref="V51:AH56"/>
    <mergeCell ref="AI51:AW56"/>
    <mergeCell ref="B52:C52"/>
    <mergeCell ref="D52:H56"/>
    <mergeCell ref="I52:U52"/>
    <mergeCell ref="B53:C56"/>
    <mergeCell ref="I53:U56"/>
    <mergeCell ref="B49:C50"/>
    <mergeCell ref="D49:H50"/>
    <mergeCell ref="I49:U50"/>
    <mergeCell ref="V49:AH50"/>
    <mergeCell ref="AI49:AW50"/>
    <mergeCell ref="AD46:AE46"/>
    <mergeCell ref="AF46:AG46"/>
    <mergeCell ref="AH46:AI46"/>
    <mergeCell ref="AJ46:AO46"/>
    <mergeCell ref="AP46:AW46"/>
    <mergeCell ref="B46:C46"/>
    <mergeCell ref="D46:M46"/>
    <mergeCell ref="N46:T46"/>
    <mergeCell ref="U46:AA46"/>
    <mergeCell ref="AB46:AC46"/>
    <mergeCell ref="AD44:AE45"/>
    <mergeCell ref="AF44:AG45"/>
    <mergeCell ref="AH44:AI45"/>
    <mergeCell ref="AJ44:AO45"/>
    <mergeCell ref="AP44:AW45"/>
    <mergeCell ref="B44:C45"/>
    <mergeCell ref="D44:M45"/>
    <mergeCell ref="N44:T45"/>
    <mergeCell ref="U44:AA45"/>
    <mergeCell ref="AB44:AC45"/>
    <mergeCell ref="B33:C34"/>
    <mergeCell ref="D33:M34"/>
    <mergeCell ref="N33:AC33"/>
    <mergeCell ref="AD33:AF34"/>
    <mergeCell ref="AG33:AW34"/>
    <mergeCell ref="N34:U34"/>
    <mergeCell ref="V34:AC34"/>
    <mergeCell ref="B35:C35"/>
    <mergeCell ref="D35:M35"/>
    <mergeCell ref="N35:U35"/>
    <mergeCell ref="V35:AC35"/>
    <mergeCell ref="AD35:AF35"/>
    <mergeCell ref="AG35:AW35"/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orientation="landscape" r:id="rId1"/>
  <headerFooter>
    <oddFooter>&amp;C&amp;P/&amp;N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41"/>
  <sheetViews>
    <sheetView showGridLines="0" view="pageBreakPreview" zoomScaleNormal="60" zoomScaleSheetLayoutView="100" workbookViewId="0">
      <selection sqref="A1:J1"/>
    </sheetView>
  </sheetViews>
  <sheetFormatPr defaultColWidth="2.625" defaultRowHeight="13.5" customHeight="1"/>
  <cols>
    <col min="1" max="16384" width="2.625" style="1"/>
  </cols>
  <sheetData>
    <row r="1" spans="1:50" ht="16.5">
      <c r="A1" s="358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 t="s">
        <v>1</v>
      </c>
      <c r="L1" s="343"/>
      <c r="M1" s="343"/>
      <c r="N1" s="343"/>
      <c r="O1" s="343"/>
      <c r="P1" s="343"/>
      <c r="Q1" s="343"/>
      <c r="R1" s="343"/>
      <c r="S1" s="343"/>
      <c r="T1" s="343"/>
      <c r="U1" s="343" t="s">
        <v>31</v>
      </c>
      <c r="V1" s="343"/>
      <c r="W1" s="343"/>
      <c r="X1" s="343"/>
      <c r="Y1" s="343"/>
      <c r="Z1" s="343"/>
      <c r="AA1" s="343"/>
      <c r="AB1" s="343"/>
      <c r="AC1" s="343"/>
      <c r="AD1" s="343"/>
      <c r="AE1" s="343" t="s">
        <v>2</v>
      </c>
      <c r="AF1" s="343"/>
      <c r="AG1" s="343"/>
      <c r="AH1" s="343"/>
      <c r="AI1" s="343"/>
      <c r="AJ1" s="343" t="s">
        <v>3</v>
      </c>
      <c r="AK1" s="343"/>
      <c r="AL1" s="343"/>
      <c r="AM1" s="343"/>
      <c r="AN1" s="343"/>
      <c r="AO1" s="343" t="s">
        <v>4</v>
      </c>
      <c r="AP1" s="343"/>
      <c r="AQ1" s="343"/>
      <c r="AR1" s="343"/>
      <c r="AS1" s="343"/>
      <c r="AT1" s="343" t="s">
        <v>5</v>
      </c>
      <c r="AU1" s="343"/>
      <c r="AV1" s="343"/>
      <c r="AW1" s="343"/>
      <c r="AX1" s="344"/>
    </row>
    <row r="2" spans="1:50" ht="13.5" customHeight="1">
      <c r="A2" s="345" t="str">
        <f>表紙!O10</f>
        <v>13期12月対応</v>
      </c>
      <c r="B2" s="317"/>
      <c r="C2" s="317"/>
      <c r="D2" s="317"/>
      <c r="E2" s="317"/>
      <c r="F2" s="317"/>
      <c r="G2" s="317"/>
      <c r="H2" s="317"/>
      <c r="I2" s="317"/>
      <c r="J2" s="317"/>
      <c r="K2" s="317" t="s">
        <v>30</v>
      </c>
      <c r="L2" s="317"/>
      <c r="M2" s="317"/>
      <c r="N2" s="317"/>
      <c r="O2" s="317"/>
      <c r="P2" s="317"/>
      <c r="Q2" s="317"/>
      <c r="R2" s="317"/>
      <c r="S2" s="317"/>
      <c r="T2" s="317"/>
      <c r="U2" s="317" t="str">
        <f ca="1">RIGHT(CELL("filename",V2),LEN(CELL("filename",V2))-FIND("]",CELL("filename",V2)))</f>
        <v>ユーザー詳細_企業担当者(企業担当者権限・育成担当者権限)</v>
      </c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54"/>
      <c r="AK2" s="354"/>
      <c r="AL2" s="354"/>
      <c r="AM2" s="354"/>
      <c r="AN2" s="354"/>
      <c r="AO2" s="317"/>
      <c r="AP2" s="317"/>
      <c r="AQ2" s="317"/>
      <c r="AR2" s="317"/>
      <c r="AS2" s="317"/>
      <c r="AT2" s="354"/>
      <c r="AU2" s="354"/>
      <c r="AV2" s="354"/>
      <c r="AW2" s="354"/>
      <c r="AX2" s="408"/>
    </row>
    <row r="3" spans="1:50" ht="13.5" customHeight="1" thickBot="1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55"/>
      <c r="AK3" s="355"/>
      <c r="AL3" s="355"/>
      <c r="AM3" s="355"/>
      <c r="AN3" s="355"/>
      <c r="AO3" s="347"/>
      <c r="AP3" s="347"/>
      <c r="AQ3" s="347"/>
      <c r="AR3" s="347"/>
      <c r="AS3" s="347"/>
      <c r="AT3" s="355"/>
      <c r="AU3" s="355"/>
      <c r="AV3" s="355"/>
      <c r="AW3" s="355"/>
      <c r="AX3" s="409"/>
    </row>
    <row r="4" spans="1:50" ht="13.5" customHeight="1" thickBot="1"/>
    <row r="5" spans="1:50" ht="13.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</row>
    <row r="6" spans="1:50" ht="13.5" customHeight="1">
      <c r="A6" s="5"/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3.5" customHeight="1">
      <c r="A7" s="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ht="13.5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8"/>
    </row>
    <row r="9" spans="1:50" ht="13.5" customHeight="1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8"/>
    </row>
    <row r="10" spans="1:50" ht="13.5" customHeight="1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8"/>
    </row>
    <row r="11" spans="1:50" ht="13.5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8"/>
    </row>
    <row r="12" spans="1:50" ht="13.5" customHeight="1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8"/>
    </row>
    <row r="13" spans="1:50" ht="13.5" customHeight="1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8"/>
    </row>
    <row r="14" spans="1:50" ht="13.5" customHeight="1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ht="13.5" customHeight="1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13.5" customHeight="1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3.5" customHeight="1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13.5" customHeight="1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ht="13.5" customHeight="1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8"/>
    </row>
    <row r="20" spans="1:50" ht="13.5" customHeight="1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</row>
    <row r="21" spans="1:50" ht="13.5" customHeight="1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</row>
    <row r="22" spans="1:50" ht="13.5" customHeight="1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3.5" customHeight="1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3.5" customHeight="1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3.5" customHeight="1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13.5" customHeight="1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3.5" customHeight="1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13.5" customHeight="1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3.5" customHeight="1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13.5" customHeight="1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3.5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13.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3.5" customHeight="1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3.5" customHeight="1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8"/>
    </row>
    <row r="35" spans="1:50" ht="13.5" customHeight="1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8"/>
    </row>
    <row r="36" spans="1:50" ht="13.5" customHeight="1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8"/>
    </row>
    <row r="37" spans="1:50" ht="13.5" customHeight="1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8"/>
    </row>
    <row r="38" spans="1:50" ht="13.5" customHeight="1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8"/>
    </row>
    <row r="39" spans="1:50" ht="13.5" customHeight="1">
      <c r="A39" s="5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8"/>
    </row>
    <row r="40" spans="1:50" ht="13.5" customHeight="1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8"/>
    </row>
    <row r="41" spans="1:50" ht="13.5" customHeight="1" thickBot="1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3"/>
    </row>
  </sheetData>
  <mergeCells count="14"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orientation="landscape" r:id="rId1"/>
  <headerFooter>
    <oddFooter>&amp;C&amp;P/&amp;N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AX74"/>
  <sheetViews>
    <sheetView showGridLines="0" view="pageBreakPreview" zoomScaleNormal="60" zoomScaleSheetLayoutView="100" workbookViewId="0">
      <selection sqref="A1:J1"/>
    </sheetView>
  </sheetViews>
  <sheetFormatPr defaultColWidth="2.625" defaultRowHeight="13.5" customHeight="1"/>
  <cols>
    <col min="1" max="16384" width="2.625" style="1"/>
  </cols>
  <sheetData>
    <row r="1" spans="1:50" ht="16.5">
      <c r="A1" s="358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 t="s">
        <v>1</v>
      </c>
      <c r="L1" s="343"/>
      <c r="M1" s="343"/>
      <c r="N1" s="343"/>
      <c r="O1" s="343"/>
      <c r="P1" s="343"/>
      <c r="Q1" s="343"/>
      <c r="R1" s="343"/>
      <c r="S1" s="343"/>
      <c r="T1" s="343"/>
      <c r="U1" s="343" t="s">
        <v>31</v>
      </c>
      <c r="V1" s="343"/>
      <c r="W1" s="343"/>
      <c r="X1" s="343"/>
      <c r="Y1" s="343"/>
      <c r="Z1" s="343"/>
      <c r="AA1" s="343"/>
      <c r="AB1" s="343"/>
      <c r="AC1" s="343"/>
      <c r="AD1" s="343"/>
      <c r="AE1" s="343" t="s">
        <v>2</v>
      </c>
      <c r="AF1" s="343"/>
      <c r="AG1" s="343"/>
      <c r="AH1" s="343"/>
      <c r="AI1" s="343"/>
      <c r="AJ1" s="343" t="s">
        <v>3</v>
      </c>
      <c r="AK1" s="343"/>
      <c r="AL1" s="343"/>
      <c r="AM1" s="343"/>
      <c r="AN1" s="343"/>
      <c r="AO1" s="343" t="s">
        <v>4</v>
      </c>
      <c r="AP1" s="343"/>
      <c r="AQ1" s="343"/>
      <c r="AR1" s="343"/>
      <c r="AS1" s="343"/>
      <c r="AT1" s="343" t="s">
        <v>5</v>
      </c>
      <c r="AU1" s="343"/>
      <c r="AV1" s="343"/>
      <c r="AW1" s="343"/>
      <c r="AX1" s="344"/>
    </row>
    <row r="2" spans="1:50" ht="13.5" customHeight="1">
      <c r="A2" s="345" t="str">
        <f>表紙!O10</f>
        <v>13期12月対応</v>
      </c>
      <c r="B2" s="317"/>
      <c r="C2" s="317"/>
      <c r="D2" s="317"/>
      <c r="E2" s="317"/>
      <c r="F2" s="317"/>
      <c r="G2" s="317"/>
      <c r="H2" s="317"/>
      <c r="I2" s="317"/>
      <c r="J2" s="317"/>
      <c r="K2" s="317" t="s">
        <v>30</v>
      </c>
      <c r="L2" s="317"/>
      <c r="M2" s="317"/>
      <c r="N2" s="317"/>
      <c r="O2" s="317"/>
      <c r="P2" s="317"/>
      <c r="Q2" s="317"/>
      <c r="R2" s="317"/>
      <c r="S2" s="317"/>
      <c r="T2" s="317"/>
      <c r="U2" s="317" t="str">
        <f ca="1">RIGHT(CELL("filename",V2),LEN(CELL("filename",V2))-FIND("]",CELL("filename",V2)))</f>
        <v>ユーザー詳細_管理者(管理者権限)</v>
      </c>
      <c r="V2" s="317"/>
      <c r="W2" s="317"/>
      <c r="X2" s="317"/>
      <c r="Y2" s="317"/>
      <c r="Z2" s="317"/>
      <c r="AA2" s="317"/>
      <c r="AB2" s="317"/>
      <c r="AC2" s="317"/>
      <c r="AD2" s="317"/>
      <c r="AE2" s="317" t="s">
        <v>32</v>
      </c>
      <c r="AF2" s="317"/>
      <c r="AG2" s="317"/>
      <c r="AH2" s="317"/>
      <c r="AI2" s="317"/>
      <c r="AJ2" s="354">
        <v>43019</v>
      </c>
      <c r="AK2" s="354"/>
      <c r="AL2" s="354"/>
      <c r="AM2" s="354"/>
      <c r="AN2" s="354"/>
      <c r="AO2" s="317"/>
      <c r="AP2" s="317"/>
      <c r="AQ2" s="317"/>
      <c r="AR2" s="317"/>
      <c r="AS2" s="317"/>
      <c r="AT2" s="354"/>
      <c r="AU2" s="354"/>
      <c r="AV2" s="354"/>
      <c r="AW2" s="354"/>
      <c r="AX2" s="408"/>
    </row>
    <row r="3" spans="1:50" ht="13.5" customHeight="1" thickBot="1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55"/>
      <c r="AK3" s="355"/>
      <c r="AL3" s="355"/>
      <c r="AM3" s="355"/>
      <c r="AN3" s="355"/>
      <c r="AO3" s="347"/>
      <c r="AP3" s="347"/>
      <c r="AQ3" s="347"/>
      <c r="AR3" s="347"/>
      <c r="AS3" s="347"/>
      <c r="AT3" s="355"/>
      <c r="AU3" s="355"/>
      <c r="AV3" s="355"/>
      <c r="AW3" s="355"/>
      <c r="AX3" s="409"/>
    </row>
    <row r="4" spans="1:50" ht="13.5" customHeight="1" thickBot="1"/>
    <row r="5" spans="1:50" ht="13.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</row>
    <row r="6" spans="1:50" ht="13.5" customHeight="1">
      <c r="A6" s="5"/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3.5" customHeight="1">
      <c r="A7" s="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ht="13.5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8"/>
    </row>
    <row r="9" spans="1:50" ht="13.5" customHeight="1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8"/>
    </row>
    <row r="10" spans="1:50" ht="13.5" customHeight="1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8"/>
    </row>
    <row r="11" spans="1:50" ht="13.5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8"/>
    </row>
    <row r="12" spans="1:50" ht="13.5" customHeight="1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8"/>
    </row>
    <row r="13" spans="1:50" ht="13.5" customHeight="1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8"/>
    </row>
    <row r="14" spans="1:50" ht="13.5" customHeight="1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ht="13.5" customHeight="1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13.5" customHeight="1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3.5" customHeight="1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13.5" customHeight="1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ht="13.5" customHeight="1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8"/>
    </row>
    <row r="20" spans="1:50" ht="13.5" customHeight="1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</row>
    <row r="21" spans="1:50" ht="13.5" customHeight="1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</row>
    <row r="22" spans="1:50" ht="13.5" customHeight="1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3.5" customHeight="1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3.5" customHeight="1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3.5" customHeight="1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13.5" customHeight="1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3.5" customHeight="1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13.5" customHeight="1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3.5" customHeight="1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13.5" customHeight="1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3.5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13.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3.5" customHeight="1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8.75">
      <c r="A34" s="5"/>
      <c r="B34" s="6" t="s">
        <v>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8"/>
    </row>
    <row r="35" spans="1:50" ht="16.5">
      <c r="A35" s="5"/>
      <c r="B35" s="342" t="s">
        <v>8</v>
      </c>
      <c r="C35" s="342"/>
      <c r="D35" s="319" t="s">
        <v>9</v>
      </c>
      <c r="E35" s="319"/>
      <c r="F35" s="319"/>
      <c r="G35" s="319"/>
      <c r="H35" s="319"/>
      <c r="I35" s="319"/>
      <c r="J35" s="319"/>
      <c r="K35" s="319"/>
      <c r="L35" s="319"/>
      <c r="M35" s="319"/>
      <c r="N35" s="319" t="s">
        <v>10</v>
      </c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  <c r="AA35" s="319"/>
      <c r="AB35" s="319"/>
      <c r="AC35" s="319"/>
      <c r="AD35" s="319" t="s">
        <v>11</v>
      </c>
      <c r="AE35" s="319"/>
      <c r="AF35" s="319"/>
      <c r="AG35" s="319" t="s">
        <v>12</v>
      </c>
      <c r="AH35" s="319"/>
      <c r="AI35" s="319"/>
      <c r="AJ35" s="319"/>
      <c r="AK35" s="319"/>
      <c r="AL35" s="319"/>
      <c r="AM35" s="319"/>
      <c r="AN35" s="319"/>
      <c r="AO35" s="319"/>
      <c r="AP35" s="319"/>
      <c r="AQ35" s="319"/>
      <c r="AR35" s="319"/>
      <c r="AS35" s="319"/>
      <c r="AT35" s="319"/>
      <c r="AU35" s="319"/>
      <c r="AV35" s="319"/>
      <c r="AW35" s="319"/>
      <c r="AX35" s="8"/>
    </row>
    <row r="36" spans="1:50" ht="16.5">
      <c r="A36" s="5"/>
      <c r="B36" s="342"/>
      <c r="C36" s="342"/>
      <c r="D36" s="319"/>
      <c r="E36" s="319"/>
      <c r="F36" s="319"/>
      <c r="G36" s="319"/>
      <c r="H36" s="319"/>
      <c r="I36" s="319"/>
      <c r="J36" s="319"/>
      <c r="K36" s="319"/>
      <c r="L36" s="319"/>
      <c r="M36" s="319"/>
      <c r="N36" s="319" t="s">
        <v>13</v>
      </c>
      <c r="O36" s="319"/>
      <c r="P36" s="319"/>
      <c r="Q36" s="319"/>
      <c r="R36" s="319"/>
      <c r="S36" s="319"/>
      <c r="T36" s="319"/>
      <c r="U36" s="319"/>
      <c r="V36" s="319" t="s">
        <v>14</v>
      </c>
      <c r="W36" s="319"/>
      <c r="X36" s="319"/>
      <c r="Y36" s="319"/>
      <c r="Z36" s="319"/>
      <c r="AA36" s="319"/>
      <c r="AB36" s="319"/>
      <c r="AC36" s="319"/>
      <c r="AD36" s="319"/>
      <c r="AE36" s="319"/>
      <c r="AF36" s="319"/>
      <c r="AG36" s="319"/>
      <c r="AH36" s="319"/>
      <c r="AI36" s="319"/>
      <c r="AJ36" s="319"/>
      <c r="AK36" s="319"/>
      <c r="AL36" s="319"/>
      <c r="AM36" s="319"/>
      <c r="AN36" s="319"/>
      <c r="AO36" s="319"/>
      <c r="AP36" s="319"/>
      <c r="AQ36" s="319"/>
      <c r="AR36" s="319"/>
      <c r="AS36" s="319"/>
      <c r="AT36" s="319"/>
      <c r="AU36" s="319"/>
      <c r="AV36" s="319"/>
      <c r="AW36" s="319"/>
      <c r="AX36" s="8"/>
    </row>
    <row r="37" spans="1:50" ht="13.5" customHeight="1">
      <c r="A37" s="5"/>
      <c r="B37" s="317">
        <v>1</v>
      </c>
      <c r="C37" s="317"/>
      <c r="D37" s="318" t="s">
        <v>34</v>
      </c>
      <c r="E37" s="318"/>
      <c r="F37" s="318"/>
      <c r="G37" s="318"/>
      <c r="H37" s="318"/>
      <c r="I37" s="318"/>
      <c r="J37" s="318"/>
      <c r="K37" s="318"/>
      <c r="L37" s="318"/>
      <c r="M37" s="318"/>
      <c r="N37" s="331"/>
      <c r="O37" s="331"/>
      <c r="P37" s="331"/>
      <c r="Q37" s="331"/>
      <c r="R37" s="331"/>
      <c r="S37" s="331"/>
      <c r="T37" s="331"/>
      <c r="U37" s="331"/>
      <c r="V37" s="331" t="s">
        <v>188</v>
      </c>
      <c r="W37" s="331"/>
      <c r="X37" s="331"/>
      <c r="Y37" s="331"/>
      <c r="Z37" s="331"/>
      <c r="AA37" s="331"/>
      <c r="AB37" s="331"/>
      <c r="AC37" s="331"/>
      <c r="AD37" s="341"/>
      <c r="AE37" s="341"/>
      <c r="AF37" s="341"/>
      <c r="AG37" s="318"/>
      <c r="AH37" s="318"/>
      <c r="AI37" s="318"/>
      <c r="AJ37" s="318"/>
      <c r="AK37" s="318"/>
      <c r="AL37" s="318"/>
      <c r="AM37" s="318"/>
      <c r="AN37" s="318"/>
      <c r="AO37" s="318"/>
      <c r="AP37" s="318"/>
      <c r="AQ37" s="318"/>
      <c r="AR37" s="318"/>
      <c r="AS37" s="318"/>
      <c r="AT37" s="318"/>
      <c r="AU37" s="318"/>
      <c r="AV37" s="318"/>
      <c r="AW37" s="318"/>
      <c r="AX37" s="8"/>
    </row>
    <row r="38" spans="1:50" ht="13.5" customHeight="1">
      <c r="A38" s="5"/>
      <c r="B38" s="317">
        <v>2</v>
      </c>
      <c r="C38" s="317"/>
      <c r="D38" s="318" t="s">
        <v>78</v>
      </c>
      <c r="E38" s="318"/>
      <c r="F38" s="318"/>
      <c r="G38" s="318"/>
      <c r="H38" s="318"/>
      <c r="I38" s="318"/>
      <c r="J38" s="318"/>
      <c r="K38" s="318"/>
      <c r="L38" s="318"/>
      <c r="M38" s="318"/>
      <c r="N38" s="331"/>
      <c r="O38" s="331"/>
      <c r="P38" s="331"/>
      <c r="Q38" s="331"/>
      <c r="R38" s="331"/>
      <c r="S38" s="331"/>
      <c r="T38" s="331"/>
      <c r="U38" s="331"/>
      <c r="V38" s="331" t="s">
        <v>195</v>
      </c>
      <c r="W38" s="331"/>
      <c r="X38" s="331"/>
      <c r="Y38" s="331"/>
      <c r="Z38" s="331"/>
      <c r="AA38" s="331"/>
      <c r="AB38" s="331"/>
      <c r="AC38" s="331"/>
      <c r="AD38" s="341"/>
      <c r="AE38" s="341"/>
      <c r="AF38" s="341"/>
      <c r="AG38" s="318" t="s">
        <v>39</v>
      </c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8"/>
    </row>
    <row r="39" spans="1:50" ht="13.5" customHeight="1">
      <c r="A39" s="5"/>
      <c r="B39" s="317">
        <v>3</v>
      </c>
      <c r="C39" s="317"/>
      <c r="D39" s="318" t="s">
        <v>191</v>
      </c>
      <c r="E39" s="318"/>
      <c r="F39" s="318"/>
      <c r="G39" s="318"/>
      <c r="H39" s="318"/>
      <c r="I39" s="318"/>
      <c r="J39" s="318"/>
      <c r="K39" s="318"/>
      <c r="L39" s="318"/>
      <c r="M39" s="318"/>
      <c r="N39" s="331"/>
      <c r="O39" s="331"/>
      <c r="P39" s="331"/>
      <c r="Q39" s="331"/>
      <c r="R39" s="331"/>
      <c r="S39" s="331"/>
      <c r="T39" s="331"/>
      <c r="U39" s="331"/>
      <c r="V39" s="331" t="s">
        <v>196</v>
      </c>
      <c r="W39" s="331"/>
      <c r="X39" s="331"/>
      <c r="Y39" s="331"/>
      <c r="Z39" s="331"/>
      <c r="AA39" s="331"/>
      <c r="AB39" s="331"/>
      <c r="AC39" s="331"/>
      <c r="AD39" s="341"/>
      <c r="AE39" s="341"/>
      <c r="AF39" s="341"/>
      <c r="AG39" s="318" t="s">
        <v>39</v>
      </c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8"/>
    </row>
    <row r="40" spans="1:50" ht="13.5" customHeight="1" thickBot="1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3"/>
    </row>
    <row r="41" spans="1:50" ht="13.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4"/>
    </row>
    <row r="42" spans="1:50" ht="22.5">
      <c r="A42" s="5"/>
      <c r="B42" s="39" t="s">
        <v>123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8"/>
    </row>
    <row r="43" spans="1:50" ht="18.75">
      <c r="A43" s="5"/>
      <c r="B43" s="6" t="s">
        <v>15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8"/>
    </row>
    <row r="44" spans="1:50" ht="13.5" customHeight="1">
      <c r="A44" s="5"/>
      <c r="B44" s="319" t="s">
        <v>8</v>
      </c>
      <c r="C44" s="319"/>
      <c r="D44" s="319" t="s">
        <v>9</v>
      </c>
      <c r="E44" s="319"/>
      <c r="F44" s="319"/>
      <c r="G44" s="319"/>
      <c r="H44" s="319"/>
      <c r="I44" s="319"/>
      <c r="J44" s="319"/>
      <c r="K44" s="319"/>
      <c r="L44" s="319"/>
      <c r="M44" s="319"/>
      <c r="N44" s="319" t="s">
        <v>16</v>
      </c>
      <c r="O44" s="319"/>
      <c r="P44" s="319"/>
      <c r="Q44" s="319"/>
      <c r="R44" s="319"/>
      <c r="S44" s="319"/>
      <c r="T44" s="319"/>
      <c r="U44" s="319" t="s">
        <v>17</v>
      </c>
      <c r="V44" s="319"/>
      <c r="W44" s="319"/>
      <c r="X44" s="319"/>
      <c r="Y44" s="319"/>
      <c r="Z44" s="319"/>
      <c r="AA44" s="319"/>
      <c r="AB44" s="319" t="s">
        <v>18</v>
      </c>
      <c r="AC44" s="319"/>
      <c r="AD44" s="319" t="s">
        <v>19</v>
      </c>
      <c r="AE44" s="319"/>
      <c r="AF44" s="319" t="s">
        <v>20</v>
      </c>
      <c r="AG44" s="319"/>
      <c r="AH44" s="319" t="s">
        <v>21</v>
      </c>
      <c r="AI44" s="319"/>
      <c r="AJ44" s="319" t="s">
        <v>22</v>
      </c>
      <c r="AK44" s="319"/>
      <c r="AL44" s="319"/>
      <c r="AM44" s="319"/>
      <c r="AN44" s="319"/>
      <c r="AO44" s="319"/>
      <c r="AP44" s="319" t="s">
        <v>12</v>
      </c>
      <c r="AQ44" s="319"/>
      <c r="AR44" s="319"/>
      <c r="AS44" s="319"/>
      <c r="AT44" s="319"/>
      <c r="AU44" s="319"/>
      <c r="AV44" s="319"/>
      <c r="AW44" s="319"/>
      <c r="AX44" s="8"/>
    </row>
    <row r="45" spans="1:50" ht="13.5" customHeight="1">
      <c r="A45" s="5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8"/>
    </row>
    <row r="46" spans="1:50" ht="13.5" customHeight="1">
      <c r="A46" s="5"/>
      <c r="B46" s="317">
        <v>1</v>
      </c>
      <c r="C46" s="317"/>
      <c r="D46" s="318" t="s">
        <v>136</v>
      </c>
      <c r="E46" s="318"/>
      <c r="F46" s="318"/>
      <c r="G46" s="318"/>
      <c r="H46" s="318"/>
      <c r="I46" s="318"/>
      <c r="J46" s="318"/>
      <c r="K46" s="318"/>
      <c r="L46" s="318"/>
      <c r="M46" s="318"/>
      <c r="N46" s="395" t="s">
        <v>73</v>
      </c>
      <c r="O46" s="699"/>
      <c r="P46" s="699"/>
      <c r="Q46" s="699"/>
      <c r="R46" s="699"/>
      <c r="S46" s="699"/>
      <c r="T46" s="700"/>
      <c r="U46" s="318" t="s">
        <v>129</v>
      </c>
      <c r="V46" s="318"/>
      <c r="W46" s="318"/>
      <c r="X46" s="318"/>
      <c r="Y46" s="318"/>
      <c r="Z46" s="318"/>
      <c r="AA46" s="318"/>
      <c r="AB46" s="341" t="s">
        <v>73</v>
      </c>
      <c r="AC46" s="341"/>
      <c r="AD46" s="341" t="s">
        <v>73</v>
      </c>
      <c r="AE46" s="341"/>
      <c r="AF46" s="341" t="s">
        <v>73</v>
      </c>
      <c r="AG46" s="341"/>
      <c r="AH46" s="341" t="s">
        <v>73</v>
      </c>
      <c r="AI46" s="341"/>
      <c r="AJ46" s="398" t="s">
        <v>135</v>
      </c>
      <c r="AK46" s="398"/>
      <c r="AL46" s="398"/>
      <c r="AM46" s="398"/>
      <c r="AN46" s="398"/>
      <c r="AO46" s="398"/>
      <c r="AP46" s="399"/>
      <c r="AQ46" s="399"/>
      <c r="AR46" s="399"/>
      <c r="AS46" s="399"/>
      <c r="AT46" s="399"/>
      <c r="AU46" s="399"/>
      <c r="AV46" s="399"/>
      <c r="AW46" s="399"/>
      <c r="AX46" s="8"/>
    </row>
    <row r="47" spans="1:50" ht="13.5" customHeight="1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8"/>
    </row>
    <row r="48" spans="1:50" ht="18.75">
      <c r="A48" s="5"/>
      <c r="B48" s="32" t="s">
        <v>64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8"/>
    </row>
    <row r="49" spans="1:50" ht="13.5" customHeight="1">
      <c r="A49" s="5"/>
      <c r="B49" s="433" t="s">
        <v>65</v>
      </c>
      <c r="C49" s="433"/>
      <c r="D49" s="434" t="s">
        <v>66</v>
      </c>
      <c r="E49" s="434"/>
      <c r="F49" s="434"/>
      <c r="G49" s="434"/>
      <c r="H49" s="434"/>
      <c r="I49" s="433" t="s">
        <v>67</v>
      </c>
      <c r="J49" s="433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 t="s">
        <v>68</v>
      </c>
      <c r="W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3"/>
      <c r="AI49" s="433" t="s">
        <v>69</v>
      </c>
      <c r="AJ49" s="433"/>
      <c r="AK49" s="433"/>
      <c r="AL49" s="433"/>
      <c r="AM49" s="433"/>
      <c r="AN49" s="433"/>
      <c r="AO49" s="433"/>
      <c r="AP49" s="433"/>
      <c r="AQ49" s="433"/>
      <c r="AR49" s="433"/>
      <c r="AS49" s="433"/>
      <c r="AT49" s="433"/>
      <c r="AU49" s="433"/>
      <c r="AV49" s="433"/>
      <c r="AW49" s="433"/>
      <c r="AX49" s="8"/>
    </row>
    <row r="50" spans="1:50" ht="13.5" customHeight="1">
      <c r="A50" s="5"/>
      <c r="B50" s="433"/>
      <c r="C50" s="433"/>
      <c r="D50" s="434"/>
      <c r="E50" s="434"/>
      <c r="F50" s="434"/>
      <c r="G50" s="434"/>
      <c r="H50" s="434"/>
      <c r="I50" s="433"/>
      <c r="J50" s="433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  <c r="AG50" s="433"/>
      <c r="AH50" s="433"/>
      <c r="AI50" s="433"/>
      <c r="AJ50" s="433"/>
      <c r="AK50" s="433"/>
      <c r="AL50" s="433"/>
      <c r="AM50" s="433"/>
      <c r="AN50" s="433"/>
      <c r="AO50" s="433"/>
      <c r="AP50" s="433"/>
      <c r="AQ50" s="433"/>
      <c r="AR50" s="433"/>
      <c r="AS50" s="433"/>
      <c r="AT50" s="433"/>
      <c r="AU50" s="433"/>
      <c r="AV50" s="433"/>
      <c r="AW50" s="433"/>
      <c r="AX50" s="8"/>
    </row>
    <row r="51" spans="1:50" ht="13.5" customHeight="1">
      <c r="A51" s="5"/>
      <c r="B51" s="320">
        <v>1</v>
      </c>
      <c r="C51" s="320"/>
      <c r="D51" s="701" t="s">
        <v>130</v>
      </c>
      <c r="E51" s="702"/>
      <c r="F51" s="702"/>
      <c r="G51" s="702"/>
      <c r="H51" s="703"/>
      <c r="I51" s="321" t="s">
        <v>157</v>
      </c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704" t="s">
        <v>72</v>
      </c>
      <c r="W51" s="705"/>
      <c r="X51" s="705"/>
      <c r="Y51" s="705"/>
      <c r="Z51" s="705"/>
      <c r="AA51" s="705"/>
      <c r="AB51" s="705"/>
      <c r="AC51" s="705"/>
      <c r="AD51" s="705"/>
      <c r="AE51" s="705"/>
      <c r="AF51" s="705"/>
      <c r="AG51" s="705"/>
      <c r="AH51" s="706"/>
      <c r="AI51" s="707" t="s">
        <v>73</v>
      </c>
      <c r="AJ51" s="708"/>
      <c r="AK51" s="708"/>
      <c r="AL51" s="708"/>
      <c r="AM51" s="708"/>
      <c r="AN51" s="708"/>
      <c r="AO51" s="708"/>
      <c r="AP51" s="708"/>
      <c r="AQ51" s="708"/>
      <c r="AR51" s="708"/>
      <c r="AS51" s="708"/>
      <c r="AT51" s="708"/>
      <c r="AU51" s="708"/>
      <c r="AV51" s="708"/>
      <c r="AW51" s="709"/>
      <c r="AX51" s="8"/>
    </row>
    <row r="52" spans="1:50" ht="13.5" customHeight="1">
      <c r="A52" s="5"/>
      <c r="B52" s="320">
        <v>2</v>
      </c>
      <c r="C52" s="320"/>
      <c r="D52" s="701" t="s">
        <v>78</v>
      </c>
      <c r="E52" s="702"/>
      <c r="F52" s="702"/>
      <c r="G52" s="702"/>
      <c r="H52" s="703"/>
      <c r="I52" s="321" t="s">
        <v>166</v>
      </c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418"/>
      <c r="W52" s="419"/>
      <c r="X52" s="419"/>
      <c r="Y52" s="419"/>
      <c r="Z52" s="419"/>
      <c r="AA52" s="419"/>
      <c r="AB52" s="419"/>
      <c r="AC52" s="419"/>
      <c r="AD52" s="419"/>
      <c r="AE52" s="419"/>
      <c r="AF52" s="419"/>
      <c r="AG52" s="419"/>
      <c r="AH52" s="420"/>
      <c r="AI52" s="427"/>
      <c r="AJ52" s="428"/>
      <c r="AK52" s="428"/>
      <c r="AL52" s="428"/>
      <c r="AM52" s="428"/>
      <c r="AN52" s="428"/>
      <c r="AO52" s="428"/>
      <c r="AP52" s="428"/>
      <c r="AQ52" s="428"/>
      <c r="AR52" s="428"/>
      <c r="AS52" s="428"/>
      <c r="AT52" s="428"/>
      <c r="AU52" s="428"/>
      <c r="AV52" s="428"/>
      <c r="AW52" s="429"/>
      <c r="AX52" s="8"/>
    </row>
    <row r="53" spans="1:50" ht="13.5" customHeight="1">
      <c r="A53" s="5"/>
      <c r="B53" s="320">
        <v>3</v>
      </c>
      <c r="C53" s="320"/>
      <c r="D53" s="373"/>
      <c r="E53" s="374"/>
      <c r="F53" s="374"/>
      <c r="G53" s="374"/>
      <c r="H53" s="375"/>
      <c r="I53" s="321" t="s">
        <v>192</v>
      </c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418"/>
      <c r="W53" s="419"/>
      <c r="X53" s="419"/>
      <c r="Y53" s="419"/>
      <c r="Z53" s="419"/>
      <c r="AA53" s="419"/>
      <c r="AB53" s="419"/>
      <c r="AC53" s="419"/>
      <c r="AD53" s="419"/>
      <c r="AE53" s="419"/>
      <c r="AF53" s="419"/>
      <c r="AG53" s="419"/>
      <c r="AH53" s="420"/>
      <c r="AI53" s="427"/>
      <c r="AJ53" s="428"/>
      <c r="AK53" s="428"/>
      <c r="AL53" s="428"/>
      <c r="AM53" s="428"/>
      <c r="AN53" s="428"/>
      <c r="AO53" s="428"/>
      <c r="AP53" s="428"/>
      <c r="AQ53" s="428"/>
      <c r="AR53" s="428"/>
      <c r="AS53" s="428"/>
      <c r="AT53" s="428"/>
      <c r="AU53" s="428"/>
      <c r="AV53" s="428"/>
      <c r="AW53" s="429"/>
      <c r="AX53" s="8"/>
    </row>
    <row r="54" spans="1:50" ht="13.5" customHeight="1">
      <c r="A54" s="5"/>
      <c r="B54" s="320"/>
      <c r="C54" s="320"/>
      <c r="D54" s="373"/>
      <c r="E54" s="374"/>
      <c r="F54" s="374"/>
      <c r="G54" s="374"/>
      <c r="H54" s="375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418"/>
      <c r="W54" s="419"/>
      <c r="X54" s="419"/>
      <c r="Y54" s="419"/>
      <c r="Z54" s="419"/>
      <c r="AA54" s="419"/>
      <c r="AB54" s="419"/>
      <c r="AC54" s="419"/>
      <c r="AD54" s="419"/>
      <c r="AE54" s="419"/>
      <c r="AF54" s="419"/>
      <c r="AG54" s="419"/>
      <c r="AH54" s="420"/>
      <c r="AI54" s="427"/>
      <c r="AJ54" s="428"/>
      <c r="AK54" s="428"/>
      <c r="AL54" s="428"/>
      <c r="AM54" s="428"/>
      <c r="AN54" s="428"/>
      <c r="AO54" s="428"/>
      <c r="AP54" s="428"/>
      <c r="AQ54" s="428"/>
      <c r="AR54" s="428"/>
      <c r="AS54" s="428"/>
      <c r="AT54" s="428"/>
      <c r="AU54" s="428"/>
      <c r="AV54" s="428"/>
      <c r="AW54" s="429"/>
      <c r="AX54" s="8"/>
    </row>
    <row r="55" spans="1:50" ht="13.5" customHeight="1">
      <c r="A55" s="5"/>
      <c r="B55" s="320"/>
      <c r="C55" s="320"/>
      <c r="D55" s="373"/>
      <c r="E55" s="374"/>
      <c r="F55" s="374"/>
      <c r="G55" s="374"/>
      <c r="H55" s="375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418"/>
      <c r="W55" s="419"/>
      <c r="X55" s="419"/>
      <c r="Y55" s="419"/>
      <c r="Z55" s="419"/>
      <c r="AA55" s="419"/>
      <c r="AB55" s="419"/>
      <c r="AC55" s="419"/>
      <c r="AD55" s="419"/>
      <c r="AE55" s="419"/>
      <c r="AF55" s="419"/>
      <c r="AG55" s="419"/>
      <c r="AH55" s="420"/>
      <c r="AI55" s="427"/>
      <c r="AJ55" s="428"/>
      <c r="AK55" s="428"/>
      <c r="AL55" s="428"/>
      <c r="AM55" s="428"/>
      <c r="AN55" s="428"/>
      <c r="AO55" s="428"/>
      <c r="AP55" s="428"/>
      <c r="AQ55" s="428"/>
      <c r="AR55" s="428"/>
      <c r="AS55" s="428"/>
      <c r="AT55" s="428"/>
      <c r="AU55" s="428"/>
      <c r="AV55" s="428"/>
      <c r="AW55" s="429"/>
      <c r="AX55" s="8"/>
    </row>
    <row r="56" spans="1:50" ht="13.5" customHeight="1">
      <c r="A56" s="5"/>
      <c r="B56" s="320"/>
      <c r="C56" s="320"/>
      <c r="D56" s="326"/>
      <c r="E56" s="327"/>
      <c r="F56" s="327"/>
      <c r="G56" s="327"/>
      <c r="H56" s="328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421"/>
      <c r="W56" s="422"/>
      <c r="X56" s="422"/>
      <c r="Y56" s="422"/>
      <c r="Z56" s="422"/>
      <c r="AA56" s="422"/>
      <c r="AB56" s="422"/>
      <c r="AC56" s="422"/>
      <c r="AD56" s="422"/>
      <c r="AE56" s="422"/>
      <c r="AF56" s="422"/>
      <c r="AG56" s="422"/>
      <c r="AH56" s="423"/>
      <c r="AI56" s="430"/>
      <c r="AJ56" s="431"/>
      <c r="AK56" s="431"/>
      <c r="AL56" s="431"/>
      <c r="AM56" s="431"/>
      <c r="AN56" s="431"/>
      <c r="AO56" s="431"/>
      <c r="AP56" s="431"/>
      <c r="AQ56" s="431"/>
      <c r="AR56" s="431"/>
      <c r="AS56" s="431"/>
      <c r="AT56" s="431"/>
      <c r="AU56" s="431"/>
      <c r="AV56" s="431"/>
      <c r="AW56" s="432"/>
      <c r="AX56" s="8"/>
    </row>
    <row r="57" spans="1:50" ht="13.5" customHeight="1">
      <c r="A57" s="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8"/>
    </row>
    <row r="58" spans="1:50" ht="13.5" customHeight="1">
      <c r="A58" s="5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8"/>
    </row>
    <row r="59" spans="1:50" ht="22.5">
      <c r="A59" s="5"/>
      <c r="B59" s="39" t="s">
        <v>186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8"/>
    </row>
    <row r="60" spans="1:50" ht="18.75">
      <c r="A60" s="5"/>
      <c r="B60" s="6" t="s">
        <v>15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8"/>
    </row>
    <row r="61" spans="1:50" ht="13.5" customHeight="1">
      <c r="A61" s="5"/>
      <c r="B61" s="319" t="s">
        <v>8</v>
      </c>
      <c r="C61" s="319"/>
      <c r="D61" s="319" t="s">
        <v>9</v>
      </c>
      <c r="E61" s="319"/>
      <c r="F61" s="319"/>
      <c r="G61" s="319"/>
      <c r="H61" s="319"/>
      <c r="I61" s="319"/>
      <c r="J61" s="319"/>
      <c r="K61" s="319"/>
      <c r="L61" s="319"/>
      <c r="M61" s="319"/>
      <c r="N61" s="319" t="s">
        <v>16</v>
      </c>
      <c r="O61" s="319"/>
      <c r="P61" s="319"/>
      <c r="Q61" s="319"/>
      <c r="R61" s="319"/>
      <c r="S61" s="319"/>
      <c r="T61" s="319"/>
      <c r="U61" s="319" t="s">
        <v>17</v>
      </c>
      <c r="V61" s="319"/>
      <c r="W61" s="319"/>
      <c r="X61" s="319"/>
      <c r="Y61" s="319"/>
      <c r="Z61" s="319"/>
      <c r="AA61" s="319"/>
      <c r="AB61" s="319" t="s">
        <v>18</v>
      </c>
      <c r="AC61" s="319"/>
      <c r="AD61" s="319" t="s">
        <v>19</v>
      </c>
      <c r="AE61" s="319"/>
      <c r="AF61" s="319" t="s">
        <v>20</v>
      </c>
      <c r="AG61" s="319"/>
      <c r="AH61" s="319" t="s">
        <v>21</v>
      </c>
      <c r="AI61" s="319"/>
      <c r="AJ61" s="319" t="s">
        <v>22</v>
      </c>
      <c r="AK61" s="319"/>
      <c r="AL61" s="319"/>
      <c r="AM61" s="319"/>
      <c r="AN61" s="319"/>
      <c r="AO61" s="319"/>
      <c r="AP61" s="319" t="s">
        <v>12</v>
      </c>
      <c r="AQ61" s="319"/>
      <c r="AR61" s="319"/>
      <c r="AS61" s="319"/>
      <c r="AT61" s="319"/>
      <c r="AU61" s="319"/>
      <c r="AV61" s="319"/>
      <c r="AW61" s="319"/>
      <c r="AX61" s="8"/>
    </row>
    <row r="62" spans="1:50" ht="13.5" customHeight="1">
      <c r="A62" s="5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  <c r="AN62" s="319"/>
      <c r="AO62" s="319"/>
      <c r="AP62" s="319"/>
      <c r="AQ62" s="319"/>
      <c r="AR62" s="319"/>
      <c r="AS62" s="319"/>
      <c r="AT62" s="319"/>
      <c r="AU62" s="319"/>
      <c r="AV62" s="319"/>
      <c r="AW62" s="319"/>
      <c r="AX62" s="8"/>
    </row>
    <row r="63" spans="1:50" ht="13.5" customHeight="1">
      <c r="A63" s="5"/>
      <c r="B63" s="317">
        <v>1</v>
      </c>
      <c r="C63" s="317"/>
      <c r="D63" s="318" t="s">
        <v>187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95" t="s">
        <v>73</v>
      </c>
      <c r="O63" s="699"/>
      <c r="P63" s="699"/>
      <c r="Q63" s="699"/>
      <c r="R63" s="699"/>
      <c r="S63" s="699"/>
      <c r="T63" s="700"/>
      <c r="U63" s="318" t="s">
        <v>194</v>
      </c>
      <c r="V63" s="318"/>
      <c r="W63" s="318"/>
      <c r="X63" s="318"/>
      <c r="Y63" s="318"/>
      <c r="Z63" s="318"/>
      <c r="AA63" s="318"/>
      <c r="AB63" s="341" t="s">
        <v>73</v>
      </c>
      <c r="AC63" s="341"/>
      <c r="AD63" s="341" t="s">
        <v>73</v>
      </c>
      <c r="AE63" s="341"/>
      <c r="AF63" s="341" t="s">
        <v>73</v>
      </c>
      <c r="AG63" s="341"/>
      <c r="AH63" s="341" t="s">
        <v>73</v>
      </c>
      <c r="AI63" s="341"/>
      <c r="AJ63" s="398" t="s">
        <v>137</v>
      </c>
      <c r="AK63" s="398"/>
      <c r="AL63" s="398"/>
      <c r="AM63" s="398"/>
      <c r="AN63" s="398"/>
      <c r="AO63" s="398"/>
      <c r="AP63" s="399"/>
      <c r="AQ63" s="399"/>
      <c r="AR63" s="399"/>
      <c r="AS63" s="399"/>
      <c r="AT63" s="399"/>
      <c r="AU63" s="399"/>
      <c r="AV63" s="399"/>
      <c r="AW63" s="399"/>
      <c r="AX63" s="8"/>
    </row>
    <row r="64" spans="1:50" ht="13.5" customHeight="1">
      <c r="A64" s="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8"/>
    </row>
    <row r="65" spans="1:50" ht="18.75">
      <c r="A65" s="5"/>
      <c r="B65" s="32" t="s">
        <v>64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8"/>
    </row>
    <row r="66" spans="1:50" ht="13.5" customHeight="1">
      <c r="A66" s="5"/>
      <c r="B66" s="433" t="s">
        <v>65</v>
      </c>
      <c r="C66" s="433"/>
      <c r="D66" s="434" t="s">
        <v>66</v>
      </c>
      <c r="E66" s="434"/>
      <c r="F66" s="434"/>
      <c r="G66" s="434"/>
      <c r="H66" s="434"/>
      <c r="I66" s="433" t="s">
        <v>67</v>
      </c>
      <c r="J66" s="433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 t="s">
        <v>68</v>
      </c>
      <c r="W66" s="433"/>
      <c r="X66" s="433"/>
      <c r="Y66" s="433"/>
      <c r="Z66" s="433"/>
      <c r="AA66" s="433"/>
      <c r="AB66" s="433"/>
      <c r="AC66" s="433"/>
      <c r="AD66" s="433"/>
      <c r="AE66" s="433"/>
      <c r="AF66" s="433"/>
      <c r="AG66" s="433"/>
      <c r="AH66" s="433"/>
      <c r="AI66" s="433" t="s">
        <v>69</v>
      </c>
      <c r="AJ66" s="433"/>
      <c r="AK66" s="433"/>
      <c r="AL66" s="433"/>
      <c r="AM66" s="433"/>
      <c r="AN66" s="433"/>
      <c r="AO66" s="433"/>
      <c r="AP66" s="433"/>
      <c r="AQ66" s="433"/>
      <c r="AR66" s="433"/>
      <c r="AS66" s="433"/>
      <c r="AT66" s="433"/>
      <c r="AU66" s="433"/>
      <c r="AV66" s="433"/>
      <c r="AW66" s="433"/>
      <c r="AX66" s="8"/>
    </row>
    <row r="67" spans="1:50" ht="13.5" customHeight="1">
      <c r="A67" s="5"/>
      <c r="B67" s="433"/>
      <c r="C67" s="433"/>
      <c r="D67" s="434"/>
      <c r="E67" s="434"/>
      <c r="F67" s="434"/>
      <c r="G67" s="434"/>
      <c r="H67" s="434"/>
      <c r="I67" s="433"/>
      <c r="J67" s="433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  <c r="AB67" s="433"/>
      <c r="AC67" s="433"/>
      <c r="AD67" s="433"/>
      <c r="AE67" s="433"/>
      <c r="AF67" s="433"/>
      <c r="AG67" s="433"/>
      <c r="AH67" s="433"/>
      <c r="AI67" s="433"/>
      <c r="AJ67" s="433"/>
      <c r="AK67" s="433"/>
      <c r="AL67" s="433"/>
      <c r="AM67" s="433"/>
      <c r="AN67" s="433"/>
      <c r="AO67" s="433"/>
      <c r="AP67" s="433"/>
      <c r="AQ67" s="433"/>
      <c r="AR67" s="433"/>
      <c r="AS67" s="433"/>
      <c r="AT67" s="433"/>
      <c r="AU67" s="433"/>
      <c r="AV67" s="433"/>
      <c r="AW67" s="433"/>
      <c r="AX67" s="8"/>
    </row>
    <row r="68" spans="1:50" ht="13.5" customHeight="1">
      <c r="A68" s="5"/>
      <c r="B68" s="320">
        <v>1</v>
      </c>
      <c r="C68" s="320"/>
      <c r="D68" s="701" t="s">
        <v>127</v>
      </c>
      <c r="E68" s="702"/>
      <c r="F68" s="702"/>
      <c r="G68" s="702"/>
      <c r="H68" s="703"/>
      <c r="I68" s="321" t="s">
        <v>159</v>
      </c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704" t="s">
        <v>72</v>
      </c>
      <c r="W68" s="705"/>
      <c r="X68" s="705"/>
      <c r="Y68" s="705"/>
      <c r="Z68" s="705"/>
      <c r="AA68" s="705"/>
      <c r="AB68" s="705"/>
      <c r="AC68" s="705"/>
      <c r="AD68" s="705"/>
      <c r="AE68" s="705"/>
      <c r="AF68" s="705"/>
      <c r="AG68" s="705"/>
      <c r="AH68" s="706"/>
      <c r="AI68" s="707" t="s">
        <v>73</v>
      </c>
      <c r="AJ68" s="708"/>
      <c r="AK68" s="708"/>
      <c r="AL68" s="708"/>
      <c r="AM68" s="708"/>
      <c r="AN68" s="708"/>
      <c r="AO68" s="708"/>
      <c r="AP68" s="708"/>
      <c r="AQ68" s="708"/>
      <c r="AR68" s="708"/>
      <c r="AS68" s="708"/>
      <c r="AT68" s="708"/>
      <c r="AU68" s="708"/>
      <c r="AV68" s="708"/>
      <c r="AW68" s="709"/>
      <c r="AX68" s="8"/>
    </row>
    <row r="69" spans="1:50" ht="13.5" customHeight="1">
      <c r="A69" s="5"/>
      <c r="B69" s="320">
        <v>2</v>
      </c>
      <c r="C69" s="320"/>
      <c r="D69" s="701" t="s">
        <v>161</v>
      </c>
      <c r="E69" s="702"/>
      <c r="F69" s="702"/>
      <c r="G69" s="702"/>
      <c r="H69" s="703"/>
      <c r="I69" s="321" t="s">
        <v>193</v>
      </c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418"/>
      <c r="W69" s="419"/>
      <c r="X69" s="419"/>
      <c r="Y69" s="419"/>
      <c r="Z69" s="419"/>
      <c r="AA69" s="419"/>
      <c r="AB69" s="419"/>
      <c r="AC69" s="419"/>
      <c r="AD69" s="419"/>
      <c r="AE69" s="419"/>
      <c r="AF69" s="419"/>
      <c r="AG69" s="419"/>
      <c r="AH69" s="420"/>
      <c r="AI69" s="427"/>
      <c r="AJ69" s="428"/>
      <c r="AK69" s="428"/>
      <c r="AL69" s="428"/>
      <c r="AM69" s="428"/>
      <c r="AN69" s="428"/>
      <c r="AO69" s="428"/>
      <c r="AP69" s="428"/>
      <c r="AQ69" s="428"/>
      <c r="AR69" s="428"/>
      <c r="AS69" s="428"/>
      <c r="AT69" s="428"/>
      <c r="AU69" s="428"/>
      <c r="AV69" s="428"/>
      <c r="AW69" s="429"/>
      <c r="AX69" s="8"/>
    </row>
    <row r="70" spans="1:50" ht="13.5" customHeight="1">
      <c r="A70" s="5"/>
      <c r="B70" s="320"/>
      <c r="C70" s="320"/>
      <c r="D70" s="373"/>
      <c r="E70" s="374"/>
      <c r="F70" s="374"/>
      <c r="G70" s="374"/>
      <c r="H70" s="375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418"/>
      <c r="W70" s="419"/>
      <c r="X70" s="419"/>
      <c r="Y70" s="419"/>
      <c r="Z70" s="419"/>
      <c r="AA70" s="419"/>
      <c r="AB70" s="419"/>
      <c r="AC70" s="419"/>
      <c r="AD70" s="419"/>
      <c r="AE70" s="419"/>
      <c r="AF70" s="419"/>
      <c r="AG70" s="419"/>
      <c r="AH70" s="420"/>
      <c r="AI70" s="427"/>
      <c r="AJ70" s="428"/>
      <c r="AK70" s="428"/>
      <c r="AL70" s="428"/>
      <c r="AM70" s="428"/>
      <c r="AN70" s="428"/>
      <c r="AO70" s="428"/>
      <c r="AP70" s="428"/>
      <c r="AQ70" s="428"/>
      <c r="AR70" s="428"/>
      <c r="AS70" s="428"/>
      <c r="AT70" s="428"/>
      <c r="AU70" s="428"/>
      <c r="AV70" s="428"/>
      <c r="AW70" s="429"/>
      <c r="AX70" s="8"/>
    </row>
    <row r="71" spans="1:50" ht="13.5" customHeight="1">
      <c r="A71" s="5"/>
      <c r="B71" s="320"/>
      <c r="C71" s="320"/>
      <c r="D71" s="373"/>
      <c r="E71" s="374"/>
      <c r="F71" s="374"/>
      <c r="G71" s="374"/>
      <c r="H71" s="375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418"/>
      <c r="W71" s="419"/>
      <c r="X71" s="419"/>
      <c r="Y71" s="419"/>
      <c r="Z71" s="419"/>
      <c r="AA71" s="419"/>
      <c r="AB71" s="419"/>
      <c r="AC71" s="419"/>
      <c r="AD71" s="419"/>
      <c r="AE71" s="419"/>
      <c r="AF71" s="419"/>
      <c r="AG71" s="419"/>
      <c r="AH71" s="420"/>
      <c r="AI71" s="427"/>
      <c r="AJ71" s="428"/>
      <c r="AK71" s="428"/>
      <c r="AL71" s="428"/>
      <c r="AM71" s="428"/>
      <c r="AN71" s="428"/>
      <c r="AO71" s="428"/>
      <c r="AP71" s="428"/>
      <c r="AQ71" s="428"/>
      <c r="AR71" s="428"/>
      <c r="AS71" s="428"/>
      <c r="AT71" s="428"/>
      <c r="AU71" s="428"/>
      <c r="AV71" s="428"/>
      <c r="AW71" s="429"/>
      <c r="AX71" s="8"/>
    </row>
    <row r="72" spans="1:50" ht="13.5" customHeight="1">
      <c r="A72" s="5"/>
      <c r="B72" s="320"/>
      <c r="C72" s="320"/>
      <c r="D72" s="373"/>
      <c r="E72" s="374"/>
      <c r="F72" s="374"/>
      <c r="G72" s="374"/>
      <c r="H72" s="375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418"/>
      <c r="W72" s="419"/>
      <c r="X72" s="419"/>
      <c r="Y72" s="419"/>
      <c r="Z72" s="419"/>
      <c r="AA72" s="419"/>
      <c r="AB72" s="419"/>
      <c r="AC72" s="419"/>
      <c r="AD72" s="419"/>
      <c r="AE72" s="419"/>
      <c r="AF72" s="419"/>
      <c r="AG72" s="419"/>
      <c r="AH72" s="420"/>
      <c r="AI72" s="427"/>
      <c r="AJ72" s="428"/>
      <c r="AK72" s="428"/>
      <c r="AL72" s="428"/>
      <c r="AM72" s="428"/>
      <c r="AN72" s="428"/>
      <c r="AO72" s="428"/>
      <c r="AP72" s="428"/>
      <c r="AQ72" s="428"/>
      <c r="AR72" s="428"/>
      <c r="AS72" s="428"/>
      <c r="AT72" s="428"/>
      <c r="AU72" s="428"/>
      <c r="AV72" s="428"/>
      <c r="AW72" s="429"/>
      <c r="AX72" s="8"/>
    </row>
    <row r="73" spans="1:50" ht="13.5" customHeight="1">
      <c r="A73" s="5"/>
      <c r="B73" s="320"/>
      <c r="C73" s="320"/>
      <c r="D73" s="326"/>
      <c r="E73" s="327"/>
      <c r="F73" s="327"/>
      <c r="G73" s="327"/>
      <c r="H73" s="328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421"/>
      <c r="W73" s="422"/>
      <c r="X73" s="422"/>
      <c r="Y73" s="422"/>
      <c r="Z73" s="422"/>
      <c r="AA73" s="422"/>
      <c r="AB73" s="422"/>
      <c r="AC73" s="422"/>
      <c r="AD73" s="422"/>
      <c r="AE73" s="422"/>
      <c r="AF73" s="422"/>
      <c r="AG73" s="422"/>
      <c r="AH73" s="423"/>
      <c r="AI73" s="430"/>
      <c r="AJ73" s="431"/>
      <c r="AK73" s="431"/>
      <c r="AL73" s="431"/>
      <c r="AM73" s="431"/>
      <c r="AN73" s="431"/>
      <c r="AO73" s="431"/>
      <c r="AP73" s="431"/>
      <c r="AQ73" s="431"/>
      <c r="AR73" s="431"/>
      <c r="AS73" s="431"/>
      <c r="AT73" s="431"/>
      <c r="AU73" s="431"/>
      <c r="AV73" s="431"/>
      <c r="AW73" s="432"/>
      <c r="AX73" s="8"/>
    </row>
    <row r="74" spans="1:50" ht="13.5" customHeight="1" thickBot="1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3"/>
    </row>
  </sheetData>
  <mergeCells count="107">
    <mergeCell ref="B68:C68"/>
    <mergeCell ref="D68:H68"/>
    <mergeCell ref="I68:U68"/>
    <mergeCell ref="V68:AH73"/>
    <mergeCell ref="AI68:AW73"/>
    <mergeCell ref="B69:C73"/>
    <mergeCell ref="D69:H73"/>
    <mergeCell ref="I69:U73"/>
    <mergeCell ref="AF63:AG63"/>
    <mergeCell ref="AH63:AI63"/>
    <mergeCell ref="AJ63:AO63"/>
    <mergeCell ref="AP63:AW63"/>
    <mergeCell ref="B66:C67"/>
    <mergeCell ref="D66:H67"/>
    <mergeCell ref="I66:U67"/>
    <mergeCell ref="V66:AH67"/>
    <mergeCell ref="AI66:AW67"/>
    <mergeCell ref="AF61:AG62"/>
    <mergeCell ref="AH61:AI62"/>
    <mergeCell ref="AJ61:AO62"/>
    <mergeCell ref="AP61:AW62"/>
    <mergeCell ref="B63:C63"/>
    <mergeCell ref="D63:M63"/>
    <mergeCell ref="N63:T63"/>
    <mergeCell ref="U63:AA63"/>
    <mergeCell ref="AB63:AC63"/>
    <mergeCell ref="AD63:AE63"/>
    <mergeCell ref="B61:C62"/>
    <mergeCell ref="D61:M62"/>
    <mergeCell ref="N61:T62"/>
    <mergeCell ref="U61:AA62"/>
    <mergeCell ref="AB61:AC62"/>
    <mergeCell ref="AD61:AE62"/>
    <mergeCell ref="B49:C50"/>
    <mergeCell ref="D49:H50"/>
    <mergeCell ref="I49:U50"/>
    <mergeCell ref="V49:AH50"/>
    <mergeCell ref="AI49:AW50"/>
    <mergeCell ref="B51:C51"/>
    <mergeCell ref="D51:H51"/>
    <mergeCell ref="I51:U51"/>
    <mergeCell ref="V51:AH56"/>
    <mergeCell ref="AI51:AW56"/>
    <mergeCell ref="B52:C52"/>
    <mergeCell ref="D52:H56"/>
    <mergeCell ref="I52:U52"/>
    <mergeCell ref="B53:C56"/>
    <mergeCell ref="I53:U56"/>
    <mergeCell ref="AF44:AG45"/>
    <mergeCell ref="AH44:AI45"/>
    <mergeCell ref="AJ44:AO45"/>
    <mergeCell ref="AP44:AW45"/>
    <mergeCell ref="B46:C46"/>
    <mergeCell ref="D46:M46"/>
    <mergeCell ref="N46:T46"/>
    <mergeCell ref="U46:AA46"/>
    <mergeCell ref="AB46:AC46"/>
    <mergeCell ref="AD46:AE46"/>
    <mergeCell ref="B44:C45"/>
    <mergeCell ref="D44:M45"/>
    <mergeCell ref="N44:T45"/>
    <mergeCell ref="U44:AA45"/>
    <mergeCell ref="AB44:AC45"/>
    <mergeCell ref="AD44:AE45"/>
    <mergeCell ref="AF46:AG46"/>
    <mergeCell ref="AH46:AI46"/>
    <mergeCell ref="AJ46:AO46"/>
    <mergeCell ref="AP46:AW46"/>
    <mergeCell ref="B39:C39"/>
    <mergeCell ref="D39:M39"/>
    <mergeCell ref="N39:U39"/>
    <mergeCell ref="V39:AC39"/>
    <mergeCell ref="AD39:AF39"/>
    <mergeCell ref="AG39:AW39"/>
    <mergeCell ref="B38:C38"/>
    <mergeCell ref="D38:M38"/>
    <mergeCell ref="N38:U38"/>
    <mergeCell ref="V38:AC38"/>
    <mergeCell ref="AD38:AF38"/>
    <mergeCell ref="AG38:AW38"/>
    <mergeCell ref="B37:C37"/>
    <mergeCell ref="D37:M37"/>
    <mergeCell ref="N37:U37"/>
    <mergeCell ref="V37:AC37"/>
    <mergeCell ref="AD37:AF37"/>
    <mergeCell ref="AG37:AW37"/>
    <mergeCell ref="B35:C36"/>
    <mergeCell ref="D35:M36"/>
    <mergeCell ref="N35:AC35"/>
    <mergeCell ref="AD35:AF36"/>
    <mergeCell ref="AG35:AW36"/>
    <mergeCell ref="N36:U36"/>
    <mergeCell ref="V36:AC36"/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orientation="landscape" r:id="rId1"/>
  <headerFooter>
    <oddFooter>&amp;C&amp;P/&amp;N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8"/>
  <dimension ref="A1:AX74"/>
  <sheetViews>
    <sheetView showGridLines="0" view="pageBreakPreview" zoomScaleNormal="60" zoomScaleSheetLayoutView="100" workbookViewId="0">
      <selection sqref="A1:J1"/>
    </sheetView>
  </sheetViews>
  <sheetFormatPr defaultColWidth="2.625" defaultRowHeight="13.5" customHeight="1"/>
  <cols>
    <col min="1" max="16384" width="2.625" style="1"/>
  </cols>
  <sheetData>
    <row r="1" spans="1:50" ht="16.5">
      <c r="A1" s="358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 t="s">
        <v>1</v>
      </c>
      <c r="L1" s="343"/>
      <c r="M1" s="343"/>
      <c r="N1" s="343"/>
      <c r="O1" s="343"/>
      <c r="P1" s="343"/>
      <c r="Q1" s="343"/>
      <c r="R1" s="343"/>
      <c r="S1" s="343"/>
      <c r="T1" s="343"/>
      <c r="U1" s="343" t="s">
        <v>31</v>
      </c>
      <c r="V1" s="343"/>
      <c r="W1" s="343"/>
      <c r="X1" s="343"/>
      <c r="Y1" s="343"/>
      <c r="Z1" s="343"/>
      <c r="AA1" s="343"/>
      <c r="AB1" s="343"/>
      <c r="AC1" s="343"/>
      <c r="AD1" s="343"/>
      <c r="AE1" s="343" t="s">
        <v>2</v>
      </c>
      <c r="AF1" s="343"/>
      <c r="AG1" s="343"/>
      <c r="AH1" s="343"/>
      <c r="AI1" s="343"/>
      <c r="AJ1" s="343" t="s">
        <v>3</v>
      </c>
      <c r="AK1" s="343"/>
      <c r="AL1" s="343"/>
      <c r="AM1" s="343"/>
      <c r="AN1" s="343"/>
      <c r="AO1" s="343" t="s">
        <v>4</v>
      </c>
      <c r="AP1" s="343"/>
      <c r="AQ1" s="343"/>
      <c r="AR1" s="343"/>
      <c r="AS1" s="343"/>
      <c r="AT1" s="343" t="s">
        <v>5</v>
      </c>
      <c r="AU1" s="343"/>
      <c r="AV1" s="343"/>
      <c r="AW1" s="343"/>
      <c r="AX1" s="344"/>
    </row>
    <row r="2" spans="1:50" ht="13.5" customHeight="1">
      <c r="A2" s="345" t="str">
        <f>表紙!O10</f>
        <v>13期12月対応</v>
      </c>
      <c r="B2" s="317"/>
      <c r="C2" s="317"/>
      <c r="D2" s="317"/>
      <c r="E2" s="317"/>
      <c r="F2" s="317"/>
      <c r="G2" s="317"/>
      <c r="H2" s="317"/>
      <c r="I2" s="317"/>
      <c r="J2" s="317"/>
      <c r="K2" s="317" t="s">
        <v>30</v>
      </c>
      <c r="L2" s="317"/>
      <c r="M2" s="317"/>
      <c r="N2" s="317"/>
      <c r="O2" s="317"/>
      <c r="P2" s="317"/>
      <c r="Q2" s="317"/>
      <c r="R2" s="317"/>
      <c r="S2" s="317"/>
      <c r="T2" s="317"/>
      <c r="U2" s="317" t="str">
        <f ca="1">RIGHT(CELL("filename",V2),LEN(CELL("filename",V2))-FIND("]",CELL("filename",V2)))</f>
        <v>ユーザー詳細_育成担当者(管理者権限)</v>
      </c>
      <c r="V2" s="317"/>
      <c r="W2" s="317"/>
      <c r="X2" s="317"/>
      <c r="Y2" s="317"/>
      <c r="Z2" s="317"/>
      <c r="AA2" s="317"/>
      <c r="AB2" s="317"/>
      <c r="AC2" s="317"/>
      <c r="AD2" s="317"/>
      <c r="AE2" s="317" t="s">
        <v>32</v>
      </c>
      <c r="AF2" s="317"/>
      <c r="AG2" s="317"/>
      <c r="AH2" s="317"/>
      <c r="AI2" s="317"/>
      <c r="AJ2" s="354">
        <v>43019</v>
      </c>
      <c r="AK2" s="354"/>
      <c r="AL2" s="354"/>
      <c r="AM2" s="354"/>
      <c r="AN2" s="354"/>
      <c r="AO2" s="317"/>
      <c r="AP2" s="317"/>
      <c r="AQ2" s="317"/>
      <c r="AR2" s="317"/>
      <c r="AS2" s="317"/>
      <c r="AT2" s="354"/>
      <c r="AU2" s="354"/>
      <c r="AV2" s="354"/>
      <c r="AW2" s="354"/>
      <c r="AX2" s="408"/>
    </row>
    <row r="3" spans="1:50" ht="13.5" customHeight="1" thickBot="1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55"/>
      <c r="AK3" s="355"/>
      <c r="AL3" s="355"/>
      <c r="AM3" s="355"/>
      <c r="AN3" s="355"/>
      <c r="AO3" s="347"/>
      <c r="AP3" s="347"/>
      <c r="AQ3" s="347"/>
      <c r="AR3" s="347"/>
      <c r="AS3" s="347"/>
      <c r="AT3" s="355"/>
      <c r="AU3" s="355"/>
      <c r="AV3" s="355"/>
      <c r="AW3" s="355"/>
      <c r="AX3" s="409"/>
    </row>
    <row r="4" spans="1:50" ht="13.5" customHeight="1" thickBot="1"/>
    <row r="5" spans="1:50" ht="13.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</row>
    <row r="6" spans="1:50" ht="13.5" customHeight="1">
      <c r="A6" s="5"/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3.5" customHeight="1">
      <c r="A7" s="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ht="13.5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8"/>
    </row>
    <row r="9" spans="1:50" ht="13.5" customHeight="1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8"/>
    </row>
    <row r="10" spans="1:50" ht="13.5" customHeight="1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8"/>
    </row>
    <row r="11" spans="1:50" ht="13.5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8"/>
    </row>
    <row r="12" spans="1:50" ht="13.5" customHeight="1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8"/>
    </row>
    <row r="13" spans="1:50" ht="13.5" customHeight="1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8"/>
    </row>
    <row r="14" spans="1:50" ht="13.5" customHeight="1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ht="13.5" customHeight="1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13.5" customHeight="1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3.5" customHeight="1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13.5" customHeight="1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ht="13.5" customHeight="1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8"/>
    </row>
    <row r="20" spans="1:50" ht="13.5" customHeight="1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</row>
    <row r="21" spans="1:50" ht="13.5" customHeight="1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</row>
    <row r="22" spans="1:50" ht="13.5" customHeight="1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3.5" customHeight="1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3.5" customHeight="1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3.5" customHeight="1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13.5" customHeight="1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3.5" customHeight="1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13.5" customHeight="1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3.5" customHeight="1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13.5" customHeight="1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3.5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13.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8.75">
      <c r="A33" s="5"/>
      <c r="B33" s="6" t="s">
        <v>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6.5">
      <c r="A34" s="5"/>
      <c r="B34" s="342" t="s">
        <v>8</v>
      </c>
      <c r="C34" s="342"/>
      <c r="D34" s="319" t="s">
        <v>9</v>
      </c>
      <c r="E34" s="319"/>
      <c r="F34" s="319"/>
      <c r="G34" s="319"/>
      <c r="H34" s="319"/>
      <c r="I34" s="319"/>
      <c r="J34" s="319"/>
      <c r="K34" s="319"/>
      <c r="L34" s="319"/>
      <c r="M34" s="319"/>
      <c r="N34" s="319" t="s">
        <v>10</v>
      </c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  <c r="AD34" s="319" t="s">
        <v>11</v>
      </c>
      <c r="AE34" s="319"/>
      <c r="AF34" s="319"/>
      <c r="AG34" s="319" t="s">
        <v>12</v>
      </c>
      <c r="AH34" s="319"/>
      <c r="AI34" s="319"/>
      <c r="AJ34" s="319"/>
      <c r="AK34" s="319"/>
      <c r="AL34" s="319"/>
      <c r="AM34" s="319"/>
      <c r="AN34" s="319"/>
      <c r="AO34" s="319"/>
      <c r="AP34" s="319"/>
      <c r="AQ34" s="319"/>
      <c r="AR34" s="319"/>
      <c r="AS34" s="319"/>
      <c r="AT34" s="319"/>
      <c r="AU34" s="319"/>
      <c r="AV34" s="319"/>
      <c r="AW34" s="319"/>
      <c r="AX34" s="8"/>
    </row>
    <row r="35" spans="1:50" ht="16.5">
      <c r="A35" s="5"/>
      <c r="B35" s="342"/>
      <c r="C35" s="342"/>
      <c r="D35" s="319"/>
      <c r="E35" s="319"/>
      <c r="F35" s="319"/>
      <c r="G35" s="319"/>
      <c r="H35" s="319"/>
      <c r="I35" s="319"/>
      <c r="J35" s="319"/>
      <c r="K35" s="319"/>
      <c r="L35" s="319"/>
      <c r="M35" s="319"/>
      <c r="N35" s="319" t="s">
        <v>13</v>
      </c>
      <c r="O35" s="319"/>
      <c r="P35" s="319"/>
      <c r="Q35" s="319"/>
      <c r="R35" s="319"/>
      <c r="S35" s="319"/>
      <c r="T35" s="319"/>
      <c r="U35" s="319"/>
      <c r="V35" s="319" t="s">
        <v>14</v>
      </c>
      <c r="W35" s="319"/>
      <c r="X35" s="319"/>
      <c r="Y35" s="319"/>
      <c r="Z35" s="319"/>
      <c r="AA35" s="319"/>
      <c r="AB35" s="319"/>
      <c r="AC35" s="319"/>
      <c r="AD35" s="319"/>
      <c r="AE35" s="319"/>
      <c r="AF35" s="319"/>
      <c r="AG35" s="319"/>
      <c r="AH35" s="319"/>
      <c r="AI35" s="319"/>
      <c r="AJ35" s="319"/>
      <c r="AK35" s="319"/>
      <c r="AL35" s="319"/>
      <c r="AM35" s="319"/>
      <c r="AN35" s="319"/>
      <c r="AO35" s="319"/>
      <c r="AP35" s="319"/>
      <c r="AQ35" s="319"/>
      <c r="AR35" s="319"/>
      <c r="AS35" s="319"/>
      <c r="AT35" s="319"/>
      <c r="AU35" s="319"/>
      <c r="AV35" s="319"/>
      <c r="AW35" s="319"/>
      <c r="AX35" s="8"/>
    </row>
    <row r="36" spans="1:50" ht="13.5" customHeight="1">
      <c r="A36" s="5"/>
      <c r="B36" s="317">
        <v>1</v>
      </c>
      <c r="C36" s="317"/>
      <c r="D36" s="318" t="s">
        <v>34</v>
      </c>
      <c r="E36" s="318"/>
      <c r="F36" s="318"/>
      <c r="G36" s="318"/>
      <c r="H36" s="318"/>
      <c r="I36" s="318"/>
      <c r="J36" s="318"/>
      <c r="K36" s="318"/>
      <c r="L36" s="318"/>
      <c r="M36" s="318"/>
      <c r="N36" s="331"/>
      <c r="O36" s="331"/>
      <c r="P36" s="331"/>
      <c r="Q36" s="331"/>
      <c r="R36" s="331"/>
      <c r="S36" s="331"/>
      <c r="T36" s="331"/>
      <c r="U36" s="331"/>
      <c r="V36" s="331" t="s">
        <v>188</v>
      </c>
      <c r="W36" s="331"/>
      <c r="X36" s="331"/>
      <c r="Y36" s="331"/>
      <c r="Z36" s="331"/>
      <c r="AA36" s="331"/>
      <c r="AB36" s="331"/>
      <c r="AC36" s="331"/>
      <c r="AD36" s="341"/>
      <c r="AE36" s="341"/>
      <c r="AF36" s="341"/>
      <c r="AG36" s="318"/>
      <c r="AH36" s="318"/>
      <c r="AI36" s="318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318"/>
      <c r="AU36" s="318"/>
      <c r="AV36" s="318"/>
      <c r="AW36" s="318"/>
      <c r="AX36" s="8"/>
    </row>
    <row r="37" spans="1:50" ht="13.5" customHeight="1">
      <c r="A37" s="5"/>
      <c r="B37" s="317">
        <v>2</v>
      </c>
      <c r="C37" s="317"/>
      <c r="D37" s="318" t="s">
        <v>35</v>
      </c>
      <c r="E37" s="318"/>
      <c r="F37" s="318"/>
      <c r="G37" s="318"/>
      <c r="H37" s="318"/>
      <c r="I37" s="318"/>
      <c r="J37" s="318"/>
      <c r="K37" s="318"/>
      <c r="L37" s="318"/>
      <c r="M37" s="318"/>
      <c r="N37" s="331"/>
      <c r="O37" s="331"/>
      <c r="P37" s="331"/>
      <c r="Q37" s="331"/>
      <c r="R37" s="331"/>
      <c r="S37" s="331"/>
      <c r="T37" s="331"/>
      <c r="U37" s="331"/>
      <c r="V37" s="331" t="s">
        <v>36</v>
      </c>
      <c r="W37" s="331"/>
      <c r="X37" s="331"/>
      <c r="Y37" s="331"/>
      <c r="Z37" s="331"/>
      <c r="AA37" s="331"/>
      <c r="AB37" s="331"/>
      <c r="AC37" s="331"/>
      <c r="AD37" s="341"/>
      <c r="AE37" s="341"/>
      <c r="AF37" s="341"/>
      <c r="AG37" s="318"/>
      <c r="AH37" s="318"/>
      <c r="AI37" s="318"/>
      <c r="AJ37" s="318"/>
      <c r="AK37" s="318"/>
      <c r="AL37" s="318"/>
      <c r="AM37" s="318"/>
      <c r="AN37" s="318"/>
      <c r="AO37" s="318"/>
      <c r="AP37" s="318"/>
      <c r="AQ37" s="318"/>
      <c r="AR37" s="318"/>
      <c r="AS37" s="318"/>
      <c r="AT37" s="318"/>
      <c r="AU37" s="318"/>
      <c r="AV37" s="318"/>
      <c r="AW37" s="318"/>
      <c r="AX37" s="8"/>
    </row>
    <row r="38" spans="1:50" ht="13.5" customHeight="1">
      <c r="A38" s="5"/>
      <c r="B38" s="317">
        <v>3</v>
      </c>
      <c r="C38" s="317"/>
      <c r="D38" s="318" t="s">
        <v>78</v>
      </c>
      <c r="E38" s="318"/>
      <c r="F38" s="318"/>
      <c r="G38" s="318"/>
      <c r="H38" s="318"/>
      <c r="I38" s="318"/>
      <c r="J38" s="318"/>
      <c r="K38" s="318"/>
      <c r="L38" s="318"/>
      <c r="M38" s="318"/>
      <c r="N38" s="331"/>
      <c r="O38" s="331"/>
      <c r="P38" s="331"/>
      <c r="Q38" s="331"/>
      <c r="R38" s="331"/>
      <c r="S38" s="331"/>
      <c r="T38" s="331"/>
      <c r="U38" s="331"/>
      <c r="V38" s="331" t="s">
        <v>195</v>
      </c>
      <c r="W38" s="331"/>
      <c r="X38" s="331"/>
      <c r="Y38" s="331"/>
      <c r="Z38" s="331"/>
      <c r="AA38" s="331"/>
      <c r="AB38" s="331"/>
      <c r="AC38" s="331"/>
      <c r="AD38" s="341"/>
      <c r="AE38" s="341"/>
      <c r="AF38" s="341"/>
      <c r="AG38" s="318" t="s">
        <v>39</v>
      </c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8"/>
    </row>
    <row r="39" spans="1:50" ht="13.5" customHeight="1">
      <c r="A39" s="5"/>
      <c r="B39" s="317">
        <v>4</v>
      </c>
      <c r="C39" s="317"/>
      <c r="D39" s="318" t="s">
        <v>191</v>
      </c>
      <c r="E39" s="318"/>
      <c r="F39" s="318"/>
      <c r="G39" s="318"/>
      <c r="H39" s="318"/>
      <c r="I39" s="318"/>
      <c r="J39" s="318"/>
      <c r="K39" s="318"/>
      <c r="L39" s="318"/>
      <c r="M39" s="318"/>
      <c r="N39" s="331"/>
      <c r="O39" s="331"/>
      <c r="P39" s="331"/>
      <c r="Q39" s="331"/>
      <c r="R39" s="331"/>
      <c r="S39" s="331"/>
      <c r="T39" s="331"/>
      <c r="U39" s="331"/>
      <c r="V39" s="331" t="s">
        <v>196</v>
      </c>
      <c r="W39" s="331"/>
      <c r="X39" s="331"/>
      <c r="Y39" s="331"/>
      <c r="Z39" s="331"/>
      <c r="AA39" s="331"/>
      <c r="AB39" s="331"/>
      <c r="AC39" s="331"/>
      <c r="AD39" s="341"/>
      <c r="AE39" s="341"/>
      <c r="AF39" s="341"/>
      <c r="AG39" s="318" t="s">
        <v>39</v>
      </c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8"/>
    </row>
    <row r="40" spans="1:50" ht="13.5" customHeight="1" thickBot="1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3"/>
    </row>
    <row r="41" spans="1:50" ht="13.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4"/>
    </row>
    <row r="42" spans="1:50" ht="22.5">
      <c r="A42" s="5"/>
      <c r="B42" s="39" t="s">
        <v>123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8"/>
    </row>
    <row r="43" spans="1:50" ht="18.75">
      <c r="A43" s="5"/>
      <c r="B43" s="6" t="s">
        <v>15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8"/>
    </row>
    <row r="44" spans="1:50" ht="13.5" customHeight="1">
      <c r="A44" s="5"/>
      <c r="B44" s="319" t="s">
        <v>8</v>
      </c>
      <c r="C44" s="319"/>
      <c r="D44" s="319" t="s">
        <v>9</v>
      </c>
      <c r="E44" s="319"/>
      <c r="F44" s="319"/>
      <c r="G44" s="319"/>
      <c r="H44" s="319"/>
      <c r="I44" s="319"/>
      <c r="J44" s="319"/>
      <c r="K44" s="319"/>
      <c r="L44" s="319"/>
      <c r="M44" s="319"/>
      <c r="N44" s="319" t="s">
        <v>16</v>
      </c>
      <c r="O44" s="319"/>
      <c r="P44" s="319"/>
      <c r="Q44" s="319"/>
      <c r="R44" s="319"/>
      <c r="S44" s="319"/>
      <c r="T44" s="319"/>
      <c r="U44" s="319" t="s">
        <v>17</v>
      </c>
      <c r="V44" s="319"/>
      <c r="W44" s="319"/>
      <c r="X44" s="319"/>
      <c r="Y44" s="319"/>
      <c r="Z44" s="319"/>
      <c r="AA44" s="319"/>
      <c r="AB44" s="319" t="s">
        <v>18</v>
      </c>
      <c r="AC44" s="319"/>
      <c r="AD44" s="319" t="s">
        <v>19</v>
      </c>
      <c r="AE44" s="319"/>
      <c r="AF44" s="319" t="s">
        <v>20</v>
      </c>
      <c r="AG44" s="319"/>
      <c r="AH44" s="319" t="s">
        <v>21</v>
      </c>
      <c r="AI44" s="319"/>
      <c r="AJ44" s="319" t="s">
        <v>22</v>
      </c>
      <c r="AK44" s="319"/>
      <c r="AL44" s="319"/>
      <c r="AM44" s="319"/>
      <c r="AN44" s="319"/>
      <c r="AO44" s="319"/>
      <c r="AP44" s="319" t="s">
        <v>12</v>
      </c>
      <c r="AQ44" s="319"/>
      <c r="AR44" s="319"/>
      <c r="AS44" s="319"/>
      <c r="AT44" s="319"/>
      <c r="AU44" s="319"/>
      <c r="AV44" s="319"/>
      <c r="AW44" s="319"/>
      <c r="AX44" s="8"/>
    </row>
    <row r="45" spans="1:50" ht="13.5" customHeight="1">
      <c r="A45" s="5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8"/>
    </row>
    <row r="46" spans="1:50" ht="13.5" customHeight="1">
      <c r="A46" s="5"/>
      <c r="B46" s="317">
        <v>1</v>
      </c>
      <c r="C46" s="317"/>
      <c r="D46" s="318" t="s">
        <v>136</v>
      </c>
      <c r="E46" s="318"/>
      <c r="F46" s="318"/>
      <c r="G46" s="318"/>
      <c r="H46" s="318"/>
      <c r="I46" s="318"/>
      <c r="J46" s="318"/>
      <c r="K46" s="318"/>
      <c r="L46" s="318"/>
      <c r="M46" s="318"/>
      <c r="N46" s="395" t="s">
        <v>73</v>
      </c>
      <c r="O46" s="699"/>
      <c r="P46" s="699"/>
      <c r="Q46" s="699"/>
      <c r="R46" s="699"/>
      <c r="S46" s="699"/>
      <c r="T46" s="700"/>
      <c r="U46" s="318" t="s">
        <v>129</v>
      </c>
      <c r="V46" s="318"/>
      <c r="W46" s="318"/>
      <c r="X46" s="318"/>
      <c r="Y46" s="318"/>
      <c r="Z46" s="318"/>
      <c r="AA46" s="318"/>
      <c r="AB46" s="341" t="s">
        <v>73</v>
      </c>
      <c r="AC46" s="341"/>
      <c r="AD46" s="341" t="s">
        <v>73</v>
      </c>
      <c r="AE46" s="341"/>
      <c r="AF46" s="341" t="s">
        <v>73</v>
      </c>
      <c r="AG46" s="341"/>
      <c r="AH46" s="341" t="s">
        <v>73</v>
      </c>
      <c r="AI46" s="341"/>
      <c r="AJ46" s="398" t="s">
        <v>135</v>
      </c>
      <c r="AK46" s="398"/>
      <c r="AL46" s="398"/>
      <c r="AM46" s="398"/>
      <c r="AN46" s="398"/>
      <c r="AO46" s="398"/>
      <c r="AP46" s="399"/>
      <c r="AQ46" s="399"/>
      <c r="AR46" s="399"/>
      <c r="AS46" s="399"/>
      <c r="AT46" s="399"/>
      <c r="AU46" s="399"/>
      <c r="AV46" s="399"/>
      <c r="AW46" s="399"/>
      <c r="AX46" s="8"/>
    </row>
    <row r="47" spans="1:50" ht="13.5" customHeight="1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8"/>
    </row>
    <row r="48" spans="1:50" ht="18.75">
      <c r="A48" s="5"/>
      <c r="B48" s="32" t="s">
        <v>64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8"/>
    </row>
    <row r="49" spans="1:50" ht="13.5" customHeight="1">
      <c r="A49" s="5"/>
      <c r="B49" s="433" t="s">
        <v>65</v>
      </c>
      <c r="C49" s="433"/>
      <c r="D49" s="434" t="s">
        <v>66</v>
      </c>
      <c r="E49" s="434"/>
      <c r="F49" s="434"/>
      <c r="G49" s="434"/>
      <c r="H49" s="434"/>
      <c r="I49" s="433" t="s">
        <v>67</v>
      </c>
      <c r="J49" s="433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 t="s">
        <v>68</v>
      </c>
      <c r="W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3"/>
      <c r="AI49" s="433" t="s">
        <v>69</v>
      </c>
      <c r="AJ49" s="433"/>
      <c r="AK49" s="433"/>
      <c r="AL49" s="433"/>
      <c r="AM49" s="433"/>
      <c r="AN49" s="433"/>
      <c r="AO49" s="433"/>
      <c r="AP49" s="433"/>
      <c r="AQ49" s="433"/>
      <c r="AR49" s="433"/>
      <c r="AS49" s="433"/>
      <c r="AT49" s="433"/>
      <c r="AU49" s="433"/>
      <c r="AV49" s="433"/>
      <c r="AW49" s="433"/>
      <c r="AX49" s="8"/>
    </row>
    <row r="50" spans="1:50" ht="13.5" customHeight="1">
      <c r="A50" s="5"/>
      <c r="B50" s="433"/>
      <c r="C50" s="433"/>
      <c r="D50" s="434"/>
      <c r="E50" s="434"/>
      <c r="F50" s="434"/>
      <c r="G50" s="434"/>
      <c r="H50" s="434"/>
      <c r="I50" s="433"/>
      <c r="J50" s="433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  <c r="AG50" s="433"/>
      <c r="AH50" s="433"/>
      <c r="AI50" s="433"/>
      <c r="AJ50" s="433"/>
      <c r="AK50" s="433"/>
      <c r="AL50" s="433"/>
      <c r="AM50" s="433"/>
      <c r="AN50" s="433"/>
      <c r="AO50" s="433"/>
      <c r="AP50" s="433"/>
      <c r="AQ50" s="433"/>
      <c r="AR50" s="433"/>
      <c r="AS50" s="433"/>
      <c r="AT50" s="433"/>
      <c r="AU50" s="433"/>
      <c r="AV50" s="433"/>
      <c r="AW50" s="433"/>
      <c r="AX50" s="8"/>
    </row>
    <row r="51" spans="1:50" ht="13.5" customHeight="1">
      <c r="A51" s="5"/>
      <c r="B51" s="320">
        <v>1</v>
      </c>
      <c r="C51" s="320"/>
      <c r="D51" s="701" t="s">
        <v>130</v>
      </c>
      <c r="E51" s="702"/>
      <c r="F51" s="702"/>
      <c r="G51" s="702"/>
      <c r="H51" s="703"/>
      <c r="I51" s="321" t="s">
        <v>157</v>
      </c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704" t="s">
        <v>72</v>
      </c>
      <c r="W51" s="705"/>
      <c r="X51" s="705"/>
      <c r="Y51" s="705"/>
      <c r="Z51" s="705"/>
      <c r="AA51" s="705"/>
      <c r="AB51" s="705"/>
      <c r="AC51" s="705"/>
      <c r="AD51" s="705"/>
      <c r="AE51" s="705"/>
      <c r="AF51" s="705"/>
      <c r="AG51" s="705"/>
      <c r="AH51" s="706"/>
      <c r="AI51" s="707" t="s">
        <v>73</v>
      </c>
      <c r="AJ51" s="708"/>
      <c r="AK51" s="708"/>
      <c r="AL51" s="708"/>
      <c r="AM51" s="708"/>
      <c r="AN51" s="708"/>
      <c r="AO51" s="708"/>
      <c r="AP51" s="708"/>
      <c r="AQ51" s="708"/>
      <c r="AR51" s="708"/>
      <c r="AS51" s="708"/>
      <c r="AT51" s="708"/>
      <c r="AU51" s="708"/>
      <c r="AV51" s="708"/>
      <c r="AW51" s="709"/>
      <c r="AX51" s="8"/>
    </row>
    <row r="52" spans="1:50" ht="13.5" customHeight="1">
      <c r="A52" s="5"/>
      <c r="B52" s="320">
        <v>2</v>
      </c>
      <c r="C52" s="320"/>
      <c r="D52" s="701" t="s">
        <v>78</v>
      </c>
      <c r="E52" s="702"/>
      <c r="F52" s="702"/>
      <c r="G52" s="702"/>
      <c r="H52" s="703"/>
      <c r="I52" s="321" t="s">
        <v>166</v>
      </c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418"/>
      <c r="W52" s="419"/>
      <c r="X52" s="419"/>
      <c r="Y52" s="419"/>
      <c r="Z52" s="419"/>
      <c r="AA52" s="419"/>
      <c r="AB52" s="419"/>
      <c r="AC52" s="419"/>
      <c r="AD52" s="419"/>
      <c r="AE52" s="419"/>
      <c r="AF52" s="419"/>
      <c r="AG52" s="419"/>
      <c r="AH52" s="420"/>
      <c r="AI52" s="427"/>
      <c r="AJ52" s="428"/>
      <c r="AK52" s="428"/>
      <c r="AL52" s="428"/>
      <c r="AM52" s="428"/>
      <c r="AN52" s="428"/>
      <c r="AO52" s="428"/>
      <c r="AP52" s="428"/>
      <c r="AQ52" s="428"/>
      <c r="AR52" s="428"/>
      <c r="AS52" s="428"/>
      <c r="AT52" s="428"/>
      <c r="AU52" s="428"/>
      <c r="AV52" s="428"/>
      <c r="AW52" s="429"/>
      <c r="AX52" s="8"/>
    </row>
    <row r="53" spans="1:50" ht="13.5" customHeight="1">
      <c r="A53" s="5"/>
      <c r="B53" s="320">
        <v>3</v>
      </c>
      <c r="C53" s="320"/>
      <c r="D53" s="373"/>
      <c r="E53" s="374"/>
      <c r="F53" s="374"/>
      <c r="G53" s="374"/>
      <c r="H53" s="375"/>
      <c r="I53" s="321" t="s">
        <v>192</v>
      </c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418"/>
      <c r="W53" s="419"/>
      <c r="X53" s="419"/>
      <c r="Y53" s="419"/>
      <c r="Z53" s="419"/>
      <c r="AA53" s="419"/>
      <c r="AB53" s="419"/>
      <c r="AC53" s="419"/>
      <c r="AD53" s="419"/>
      <c r="AE53" s="419"/>
      <c r="AF53" s="419"/>
      <c r="AG53" s="419"/>
      <c r="AH53" s="420"/>
      <c r="AI53" s="427"/>
      <c r="AJ53" s="428"/>
      <c r="AK53" s="428"/>
      <c r="AL53" s="428"/>
      <c r="AM53" s="428"/>
      <c r="AN53" s="428"/>
      <c r="AO53" s="428"/>
      <c r="AP53" s="428"/>
      <c r="AQ53" s="428"/>
      <c r="AR53" s="428"/>
      <c r="AS53" s="428"/>
      <c r="AT53" s="428"/>
      <c r="AU53" s="428"/>
      <c r="AV53" s="428"/>
      <c r="AW53" s="429"/>
      <c r="AX53" s="8"/>
    </row>
    <row r="54" spans="1:50" ht="13.5" customHeight="1">
      <c r="A54" s="5"/>
      <c r="B54" s="320"/>
      <c r="C54" s="320"/>
      <c r="D54" s="373"/>
      <c r="E54" s="374"/>
      <c r="F54" s="374"/>
      <c r="G54" s="374"/>
      <c r="H54" s="375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418"/>
      <c r="W54" s="419"/>
      <c r="X54" s="419"/>
      <c r="Y54" s="419"/>
      <c r="Z54" s="419"/>
      <c r="AA54" s="419"/>
      <c r="AB54" s="419"/>
      <c r="AC54" s="419"/>
      <c r="AD54" s="419"/>
      <c r="AE54" s="419"/>
      <c r="AF54" s="419"/>
      <c r="AG54" s="419"/>
      <c r="AH54" s="420"/>
      <c r="AI54" s="427"/>
      <c r="AJ54" s="428"/>
      <c r="AK54" s="428"/>
      <c r="AL54" s="428"/>
      <c r="AM54" s="428"/>
      <c r="AN54" s="428"/>
      <c r="AO54" s="428"/>
      <c r="AP54" s="428"/>
      <c r="AQ54" s="428"/>
      <c r="AR54" s="428"/>
      <c r="AS54" s="428"/>
      <c r="AT54" s="428"/>
      <c r="AU54" s="428"/>
      <c r="AV54" s="428"/>
      <c r="AW54" s="429"/>
      <c r="AX54" s="8"/>
    </row>
    <row r="55" spans="1:50" ht="13.5" customHeight="1">
      <c r="A55" s="5"/>
      <c r="B55" s="320"/>
      <c r="C55" s="320"/>
      <c r="D55" s="373"/>
      <c r="E55" s="374"/>
      <c r="F55" s="374"/>
      <c r="G55" s="374"/>
      <c r="H55" s="375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418"/>
      <c r="W55" s="419"/>
      <c r="X55" s="419"/>
      <c r="Y55" s="419"/>
      <c r="Z55" s="419"/>
      <c r="AA55" s="419"/>
      <c r="AB55" s="419"/>
      <c r="AC55" s="419"/>
      <c r="AD55" s="419"/>
      <c r="AE55" s="419"/>
      <c r="AF55" s="419"/>
      <c r="AG55" s="419"/>
      <c r="AH55" s="420"/>
      <c r="AI55" s="427"/>
      <c r="AJ55" s="428"/>
      <c r="AK55" s="428"/>
      <c r="AL55" s="428"/>
      <c r="AM55" s="428"/>
      <c r="AN55" s="428"/>
      <c r="AO55" s="428"/>
      <c r="AP55" s="428"/>
      <c r="AQ55" s="428"/>
      <c r="AR55" s="428"/>
      <c r="AS55" s="428"/>
      <c r="AT55" s="428"/>
      <c r="AU55" s="428"/>
      <c r="AV55" s="428"/>
      <c r="AW55" s="429"/>
      <c r="AX55" s="8"/>
    </row>
    <row r="56" spans="1:50" ht="13.5" customHeight="1">
      <c r="A56" s="5"/>
      <c r="B56" s="320"/>
      <c r="C56" s="320"/>
      <c r="D56" s="326"/>
      <c r="E56" s="327"/>
      <c r="F56" s="327"/>
      <c r="G56" s="327"/>
      <c r="H56" s="328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421"/>
      <c r="W56" s="422"/>
      <c r="X56" s="422"/>
      <c r="Y56" s="422"/>
      <c r="Z56" s="422"/>
      <c r="AA56" s="422"/>
      <c r="AB56" s="422"/>
      <c r="AC56" s="422"/>
      <c r="AD56" s="422"/>
      <c r="AE56" s="422"/>
      <c r="AF56" s="422"/>
      <c r="AG56" s="422"/>
      <c r="AH56" s="423"/>
      <c r="AI56" s="430"/>
      <c r="AJ56" s="431"/>
      <c r="AK56" s="431"/>
      <c r="AL56" s="431"/>
      <c r="AM56" s="431"/>
      <c r="AN56" s="431"/>
      <c r="AO56" s="431"/>
      <c r="AP56" s="431"/>
      <c r="AQ56" s="431"/>
      <c r="AR56" s="431"/>
      <c r="AS56" s="431"/>
      <c r="AT56" s="431"/>
      <c r="AU56" s="431"/>
      <c r="AV56" s="431"/>
      <c r="AW56" s="432"/>
      <c r="AX56" s="8"/>
    </row>
    <row r="57" spans="1:50" ht="13.5" customHeight="1">
      <c r="A57" s="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8"/>
    </row>
    <row r="58" spans="1:50" ht="13.5" customHeight="1">
      <c r="A58" s="5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8"/>
    </row>
    <row r="59" spans="1:50" ht="22.5">
      <c r="A59" s="5"/>
      <c r="B59" s="39" t="s">
        <v>186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8"/>
    </row>
    <row r="60" spans="1:50" ht="18.75">
      <c r="A60" s="5"/>
      <c r="B60" s="6" t="s">
        <v>15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8"/>
    </row>
    <row r="61" spans="1:50" ht="13.5" customHeight="1">
      <c r="A61" s="5"/>
      <c r="B61" s="319" t="s">
        <v>8</v>
      </c>
      <c r="C61" s="319"/>
      <c r="D61" s="319" t="s">
        <v>9</v>
      </c>
      <c r="E61" s="319"/>
      <c r="F61" s="319"/>
      <c r="G61" s="319"/>
      <c r="H61" s="319"/>
      <c r="I61" s="319"/>
      <c r="J61" s="319"/>
      <c r="K61" s="319"/>
      <c r="L61" s="319"/>
      <c r="M61" s="319"/>
      <c r="N61" s="319" t="s">
        <v>16</v>
      </c>
      <c r="O61" s="319"/>
      <c r="P61" s="319"/>
      <c r="Q61" s="319"/>
      <c r="R61" s="319"/>
      <c r="S61" s="319"/>
      <c r="T61" s="319"/>
      <c r="U61" s="319" t="s">
        <v>17</v>
      </c>
      <c r="V61" s="319"/>
      <c r="W61" s="319"/>
      <c r="X61" s="319"/>
      <c r="Y61" s="319"/>
      <c r="Z61" s="319"/>
      <c r="AA61" s="319"/>
      <c r="AB61" s="319" t="s">
        <v>18</v>
      </c>
      <c r="AC61" s="319"/>
      <c r="AD61" s="319" t="s">
        <v>19</v>
      </c>
      <c r="AE61" s="319"/>
      <c r="AF61" s="319" t="s">
        <v>20</v>
      </c>
      <c r="AG61" s="319"/>
      <c r="AH61" s="319" t="s">
        <v>21</v>
      </c>
      <c r="AI61" s="319"/>
      <c r="AJ61" s="319" t="s">
        <v>22</v>
      </c>
      <c r="AK61" s="319"/>
      <c r="AL61" s="319"/>
      <c r="AM61" s="319"/>
      <c r="AN61" s="319"/>
      <c r="AO61" s="319"/>
      <c r="AP61" s="319" t="s">
        <v>12</v>
      </c>
      <c r="AQ61" s="319"/>
      <c r="AR61" s="319"/>
      <c r="AS61" s="319"/>
      <c r="AT61" s="319"/>
      <c r="AU61" s="319"/>
      <c r="AV61" s="319"/>
      <c r="AW61" s="319"/>
      <c r="AX61" s="8"/>
    </row>
    <row r="62" spans="1:50" ht="13.5" customHeight="1">
      <c r="A62" s="5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  <c r="AN62" s="319"/>
      <c r="AO62" s="319"/>
      <c r="AP62" s="319"/>
      <c r="AQ62" s="319"/>
      <c r="AR62" s="319"/>
      <c r="AS62" s="319"/>
      <c r="AT62" s="319"/>
      <c r="AU62" s="319"/>
      <c r="AV62" s="319"/>
      <c r="AW62" s="319"/>
      <c r="AX62" s="8"/>
    </row>
    <row r="63" spans="1:50" ht="13.5" customHeight="1">
      <c r="A63" s="5"/>
      <c r="B63" s="317">
        <v>1</v>
      </c>
      <c r="C63" s="317"/>
      <c r="D63" s="318" t="s">
        <v>187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95" t="s">
        <v>73</v>
      </c>
      <c r="O63" s="699"/>
      <c r="P63" s="699"/>
      <c r="Q63" s="699"/>
      <c r="R63" s="699"/>
      <c r="S63" s="699"/>
      <c r="T63" s="700"/>
      <c r="U63" s="318" t="s">
        <v>194</v>
      </c>
      <c r="V63" s="318"/>
      <c r="W63" s="318"/>
      <c r="X63" s="318"/>
      <c r="Y63" s="318"/>
      <c r="Z63" s="318"/>
      <c r="AA63" s="318"/>
      <c r="AB63" s="341" t="s">
        <v>73</v>
      </c>
      <c r="AC63" s="341"/>
      <c r="AD63" s="341" t="s">
        <v>73</v>
      </c>
      <c r="AE63" s="341"/>
      <c r="AF63" s="341" t="s">
        <v>73</v>
      </c>
      <c r="AG63" s="341"/>
      <c r="AH63" s="341" t="s">
        <v>73</v>
      </c>
      <c r="AI63" s="341"/>
      <c r="AJ63" s="398" t="s">
        <v>137</v>
      </c>
      <c r="AK63" s="398"/>
      <c r="AL63" s="398"/>
      <c r="AM63" s="398"/>
      <c r="AN63" s="398"/>
      <c r="AO63" s="398"/>
      <c r="AP63" s="399"/>
      <c r="AQ63" s="399"/>
      <c r="AR63" s="399"/>
      <c r="AS63" s="399"/>
      <c r="AT63" s="399"/>
      <c r="AU63" s="399"/>
      <c r="AV63" s="399"/>
      <c r="AW63" s="399"/>
      <c r="AX63" s="8"/>
    </row>
    <row r="64" spans="1:50" ht="13.5" customHeight="1">
      <c r="A64" s="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8"/>
    </row>
    <row r="65" spans="1:50" ht="18.75">
      <c r="A65" s="5"/>
      <c r="B65" s="32" t="s">
        <v>64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8"/>
    </row>
    <row r="66" spans="1:50" ht="13.5" customHeight="1">
      <c r="A66" s="5"/>
      <c r="B66" s="433" t="s">
        <v>65</v>
      </c>
      <c r="C66" s="433"/>
      <c r="D66" s="434" t="s">
        <v>66</v>
      </c>
      <c r="E66" s="434"/>
      <c r="F66" s="434"/>
      <c r="G66" s="434"/>
      <c r="H66" s="434"/>
      <c r="I66" s="433" t="s">
        <v>67</v>
      </c>
      <c r="J66" s="433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 t="s">
        <v>68</v>
      </c>
      <c r="W66" s="433"/>
      <c r="X66" s="433"/>
      <c r="Y66" s="433"/>
      <c r="Z66" s="433"/>
      <c r="AA66" s="433"/>
      <c r="AB66" s="433"/>
      <c r="AC66" s="433"/>
      <c r="AD66" s="433"/>
      <c r="AE66" s="433"/>
      <c r="AF66" s="433"/>
      <c r="AG66" s="433"/>
      <c r="AH66" s="433"/>
      <c r="AI66" s="433" t="s">
        <v>69</v>
      </c>
      <c r="AJ66" s="433"/>
      <c r="AK66" s="433"/>
      <c r="AL66" s="433"/>
      <c r="AM66" s="433"/>
      <c r="AN66" s="433"/>
      <c r="AO66" s="433"/>
      <c r="AP66" s="433"/>
      <c r="AQ66" s="433"/>
      <c r="AR66" s="433"/>
      <c r="AS66" s="433"/>
      <c r="AT66" s="433"/>
      <c r="AU66" s="433"/>
      <c r="AV66" s="433"/>
      <c r="AW66" s="433"/>
      <c r="AX66" s="8"/>
    </row>
    <row r="67" spans="1:50" ht="13.5" customHeight="1">
      <c r="A67" s="5"/>
      <c r="B67" s="433"/>
      <c r="C67" s="433"/>
      <c r="D67" s="434"/>
      <c r="E67" s="434"/>
      <c r="F67" s="434"/>
      <c r="G67" s="434"/>
      <c r="H67" s="434"/>
      <c r="I67" s="433"/>
      <c r="J67" s="433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  <c r="AB67" s="433"/>
      <c r="AC67" s="433"/>
      <c r="AD67" s="433"/>
      <c r="AE67" s="433"/>
      <c r="AF67" s="433"/>
      <c r="AG67" s="433"/>
      <c r="AH67" s="433"/>
      <c r="AI67" s="433"/>
      <c r="AJ67" s="433"/>
      <c r="AK67" s="433"/>
      <c r="AL67" s="433"/>
      <c r="AM67" s="433"/>
      <c r="AN67" s="433"/>
      <c r="AO67" s="433"/>
      <c r="AP67" s="433"/>
      <c r="AQ67" s="433"/>
      <c r="AR67" s="433"/>
      <c r="AS67" s="433"/>
      <c r="AT67" s="433"/>
      <c r="AU67" s="433"/>
      <c r="AV67" s="433"/>
      <c r="AW67" s="433"/>
      <c r="AX67" s="8"/>
    </row>
    <row r="68" spans="1:50" ht="13.5" customHeight="1">
      <c r="A68" s="5"/>
      <c r="B68" s="320">
        <v>1</v>
      </c>
      <c r="C68" s="320"/>
      <c r="D68" s="701" t="s">
        <v>127</v>
      </c>
      <c r="E68" s="702"/>
      <c r="F68" s="702"/>
      <c r="G68" s="702"/>
      <c r="H68" s="703"/>
      <c r="I68" s="321" t="s">
        <v>159</v>
      </c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704" t="s">
        <v>72</v>
      </c>
      <c r="W68" s="705"/>
      <c r="X68" s="705"/>
      <c r="Y68" s="705"/>
      <c r="Z68" s="705"/>
      <c r="AA68" s="705"/>
      <c r="AB68" s="705"/>
      <c r="AC68" s="705"/>
      <c r="AD68" s="705"/>
      <c r="AE68" s="705"/>
      <c r="AF68" s="705"/>
      <c r="AG68" s="705"/>
      <c r="AH68" s="706"/>
      <c r="AI68" s="707" t="s">
        <v>73</v>
      </c>
      <c r="AJ68" s="708"/>
      <c r="AK68" s="708"/>
      <c r="AL68" s="708"/>
      <c r="AM68" s="708"/>
      <c r="AN68" s="708"/>
      <c r="AO68" s="708"/>
      <c r="AP68" s="708"/>
      <c r="AQ68" s="708"/>
      <c r="AR68" s="708"/>
      <c r="AS68" s="708"/>
      <c r="AT68" s="708"/>
      <c r="AU68" s="708"/>
      <c r="AV68" s="708"/>
      <c r="AW68" s="709"/>
      <c r="AX68" s="8"/>
    </row>
    <row r="69" spans="1:50" ht="13.5" customHeight="1">
      <c r="A69" s="5"/>
      <c r="B69" s="320">
        <v>2</v>
      </c>
      <c r="C69" s="320"/>
      <c r="D69" s="701" t="s">
        <v>161</v>
      </c>
      <c r="E69" s="702"/>
      <c r="F69" s="702"/>
      <c r="G69" s="702"/>
      <c r="H69" s="703"/>
      <c r="I69" s="321" t="s">
        <v>193</v>
      </c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418"/>
      <c r="W69" s="419"/>
      <c r="X69" s="419"/>
      <c r="Y69" s="419"/>
      <c r="Z69" s="419"/>
      <c r="AA69" s="419"/>
      <c r="AB69" s="419"/>
      <c r="AC69" s="419"/>
      <c r="AD69" s="419"/>
      <c r="AE69" s="419"/>
      <c r="AF69" s="419"/>
      <c r="AG69" s="419"/>
      <c r="AH69" s="420"/>
      <c r="AI69" s="427"/>
      <c r="AJ69" s="428"/>
      <c r="AK69" s="428"/>
      <c r="AL69" s="428"/>
      <c r="AM69" s="428"/>
      <c r="AN69" s="428"/>
      <c r="AO69" s="428"/>
      <c r="AP69" s="428"/>
      <c r="AQ69" s="428"/>
      <c r="AR69" s="428"/>
      <c r="AS69" s="428"/>
      <c r="AT69" s="428"/>
      <c r="AU69" s="428"/>
      <c r="AV69" s="428"/>
      <c r="AW69" s="429"/>
      <c r="AX69" s="8"/>
    </row>
    <row r="70" spans="1:50" ht="13.5" customHeight="1">
      <c r="A70" s="5"/>
      <c r="B70" s="320"/>
      <c r="C70" s="320"/>
      <c r="D70" s="373"/>
      <c r="E70" s="374"/>
      <c r="F70" s="374"/>
      <c r="G70" s="374"/>
      <c r="H70" s="375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418"/>
      <c r="W70" s="419"/>
      <c r="X70" s="419"/>
      <c r="Y70" s="419"/>
      <c r="Z70" s="419"/>
      <c r="AA70" s="419"/>
      <c r="AB70" s="419"/>
      <c r="AC70" s="419"/>
      <c r="AD70" s="419"/>
      <c r="AE70" s="419"/>
      <c r="AF70" s="419"/>
      <c r="AG70" s="419"/>
      <c r="AH70" s="420"/>
      <c r="AI70" s="427"/>
      <c r="AJ70" s="428"/>
      <c r="AK70" s="428"/>
      <c r="AL70" s="428"/>
      <c r="AM70" s="428"/>
      <c r="AN70" s="428"/>
      <c r="AO70" s="428"/>
      <c r="AP70" s="428"/>
      <c r="AQ70" s="428"/>
      <c r="AR70" s="428"/>
      <c r="AS70" s="428"/>
      <c r="AT70" s="428"/>
      <c r="AU70" s="428"/>
      <c r="AV70" s="428"/>
      <c r="AW70" s="429"/>
      <c r="AX70" s="8"/>
    </row>
    <row r="71" spans="1:50" ht="13.5" customHeight="1">
      <c r="A71" s="5"/>
      <c r="B71" s="320"/>
      <c r="C71" s="320"/>
      <c r="D71" s="373"/>
      <c r="E71" s="374"/>
      <c r="F71" s="374"/>
      <c r="G71" s="374"/>
      <c r="H71" s="375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418"/>
      <c r="W71" s="419"/>
      <c r="X71" s="419"/>
      <c r="Y71" s="419"/>
      <c r="Z71" s="419"/>
      <c r="AA71" s="419"/>
      <c r="AB71" s="419"/>
      <c r="AC71" s="419"/>
      <c r="AD71" s="419"/>
      <c r="AE71" s="419"/>
      <c r="AF71" s="419"/>
      <c r="AG71" s="419"/>
      <c r="AH71" s="420"/>
      <c r="AI71" s="427"/>
      <c r="AJ71" s="428"/>
      <c r="AK71" s="428"/>
      <c r="AL71" s="428"/>
      <c r="AM71" s="428"/>
      <c r="AN71" s="428"/>
      <c r="AO71" s="428"/>
      <c r="AP71" s="428"/>
      <c r="AQ71" s="428"/>
      <c r="AR71" s="428"/>
      <c r="AS71" s="428"/>
      <c r="AT71" s="428"/>
      <c r="AU71" s="428"/>
      <c r="AV71" s="428"/>
      <c r="AW71" s="429"/>
      <c r="AX71" s="8"/>
    </row>
    <row r="72" spans="1:50" ht="13.5" customHeight="1">
      <c r="A72" s="5"/>
      <c r="B72" s="320"/>
      <c r="C72" s="320"/>
      <c r="D72" s="373"/>
      <c r="E72" s="374"/>
      <c r="F72" s="374"/>
      <c r="G72" s="374"/>
      <c r="H72" s="375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418"/>
      <c r="W72" s="419"/>
      <c r="X72" s="419"/>
      <c r="Y72" s="419"/>
      <c r="Z72" s="419"/>
      <c r="AA72" s="419"/>
      <c r="AB72" s="419"/>
      <c r="AC72" s="419"/>
      <c r="AD72" s="419"/>
      <c r="AE72" s="419"/>
      <c r="AF72" s="419"/>
      <c r="AG72" s="419"/>
      <c r="AH72" s="420"/>
      <c r="AI72" s="427"/>
      <c r="AJ72" s="428"/>
      <c r="AK72" s="428"/>
      <c r="AL72" s="428"/>
      <c r="AM72" s="428"/>
      <c r="AN72" s="428"/>
      <c r="AO72" s="428"/>
      <c r="AP72" s="428"/>
      <c r="AQ72" s="428"/>
      <c r="AR72" s="428"/>
      <c r="AS72" s="428"/>
      <c r="AT72" s="428"/>
      <c r="AU72" s="428"/>
      <c r="AV72" s="428"/>
      <c r="AW72" s="429"/>
      <c r="AX72" s="8"/>
    </row>
    <row r="73" spans="1:50" ht="13.5" customHeight="1">
      <c r="A73" s="5"/>
      <c r="B73" s="320"/>
      <c r="C73" s="320"/>
      <c r="D73" s="326"/>
      <c r="E73" s="327"/>
      <c r="F73" s="327"/>
      <c r="G73" s="327"/>
      <c r="H73" s="328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421"/>
      <c r="W73" s="422"/>
      <c r="X73" s="422"/>
      <c r="Y73" s="422"/>
      <c r="Z73" s="422"/>
      <c r="AA73" s="422"/>
      <c r="AB73" s="422"/>
      <c r="AC73" s="422"/>
      <c r="AD73" s="422"/>
      <c r="AE73" s="422"/>
      <c r="AF73" s="422"/>
      <c r="AG73" s="422"/>
      <c r="AH73" s="423"/>
      <c r="AI73" s="430"/>
      <c r="AJ73" s="431"/>
      <c r="AK73" s="431"/>
      <c r="AL73" s="431"/>
      <c r="AM73" s="431"/>
      <c r="AN73" s="431"/>
      <c r="AO73" s="431"/>
      <c r="AP73" s="431"/>
      <c r="AQ73" s="431"/>
      <c r="AR73" s="431"/>
      <c r="AS73" s="431"/>
      <c r="AT73" s="431"/>
      <c r="AU73" s="431"/>
      <c r="AV73" s="431"/>
      <c r="AW73" s="432"/>
      <c r="AX73" s="8"/>
    </row>
    <row r="74" spans="1:50" ht="13.5" customHeight="1" thickBot="1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3"/>
    </row>
  </sheetData>
  <mergeCells count="113">
    <mergeCell ref="B68:C68"/>
    <mergeCell ref="D68:H68"/>
    <mergeCell ref="I68:U68"/>
    <mergeCell ref="V68:AH73"/>
    <mergeCell ref="AI68:AW73"/>
    <mergeCell ref="B69:C73"/>
    <mergeCell ref="D69:H73"/>
    <mergeCell ref="I69:U73"/>
    <mergeCell ref="AF63:AG63"/>
    <mergeCell ref="AH63:AI63"/>
    <mergeCell ref="AJ63:AO63"/>
    <mergeCell ref="AP63:AW63"/>
    <mergeCell ref="B66:C67"/>
    <mergeCell ref="D66:H67"/>
    <mergeCell ref="I66:U67"/>
    <mergeCell ref="V66:AH67"/>
    <mergeCell ref="AI66:AW67"/>
    <mergeCell ref="AH61:AI62"/>
    <mergeCell ref="AJ61:AO62"/>
    <mergeCell ref="AP61:AW62"/>
    <mergeCell ref="B63:C63"/>
    <mergeCell ref="D63:M63"/>
    <mergeCell ref="N63:T63"/>
    <mergeCell ref="U63:AA63"/>
    <mergeCell ref="AB63:AC63"/>
    <mergeCell ref="AD63:AE63"/>
    <mergeCell ref="B61:C62"/>
    <mergeCell ref="D61:M62"/>
    <mergeCell ref="N61:T62"/>
    <mergeCell ref="U61:AA62"/>
    <mergeCell ref="AB61:AC62"/>
    <mergeCell ref="AD61:AE62"/>
    <mergeCell ref="AF61:AG62"/>
    <mergeCell ref="B49:C50"/>
    <mergeCell ref="D49:H50"/>
    <mergeCell ref="I49:U50"/>
    <mergeCell ref="V49:AH50"/>
    <mergeCell ref="AI49:AW50"/>
    <mergeCell ref="B51:C51"/>
    <mergeCell ref="D51:H51"/>
    <mergeCell ref="I51:U51"/>
    <mergeCell ref="V51:AH56"/>
    <mergeCell ref="AI51:AW56"/>
    <mergeCell ref="B52:C52"/>
    <mergeCell ref="D52:H56"/>
    <mergeCell ref="I52:U52"/>
    <mergeCell ref="B53:C56"/>
    <mergeCell ref="I53:U56"/>
    <mergeCell ref="AF44:AG45"/>
    <mergeCell ref="AH44:AI45"/>
    <mergeCell ref="AJ44:AO45"/>
    <mergeCell ref="AP44:AW45"/>
    <mergeCell ref="B46:C46"/>
    <mergeCell ref="D46:M46"/>
    <mergeCell ref="N46:T46"/>
    <mergeCell ref="U46:AA46"/>
    <mergeCell ref="AB46:AC46"/>
    <mergeCell ref="AD46:AE46"/>
    <mergeCell ref="B44:C45"/>
    <mergeCell ref="D44:M45"/>
    <mergeCell ref="N44:T45"/>
    <mergeCell ref="U44:AA45"/>
    <mergeCell ref="AB44:AC45"/>
    <mergeCell ref="AD44:AE45"/>
    <mergeCell ref="AF46:AG46"/>
    <mergeCell ref="AH46:AI46"/>
    <mergeCell ref="AJ46:AO46"/>
    <mergeCell ref="AP46:AW46"/>
    <mergeCell ref="B39:C39"/>
    <mergeCell ref="D39:M39"/>
    <mergeCell ref="N39:U39"/>
    <mergeCell ref="V39:AC39"/>
    <mergeCell ref="AD39:AF39"/>
    <mergeCell ref="AG39:AW39"/>
    <mergeCell ref="B38:C38"/>
    <mergeCell ref="D38:M38"/>
    <mergeCell ref="N38:U38"/>
    <mergeCell ref="V38:AC38"/>
    <mergeCell ref="AD38:AF38"/>
    <mergeCell ref="AG38:AW38"/>
    <mergeCell ref="B37:C37"/>
    <mergeCell ref="D37:M37"/>
    <mergeCell ref="N37:U37"/>
    <mergeCell ref="V37:AC37"/>
    <mergeCell ref="AD37:AF37"/>
    <mergeCell ref="AG37:AW37"/>
    <mergeCell ref="B34:C35"/>
    <mergeCell ref="D34:M35"/>
    <mergeCell ref="N34:AC34"/>
    <mergeCell ref="AD34:AF35"/>
    <mergeCell ref="AG34:AW35"/>
    <mergeCell ref="N35:U35"/>
    <mergeCell ref="V35:AC35"/>
    <mergeCell ref="B36:C36"/>
    <mergeCell ref="D36:M36"/>
    <mergeCell ref="N36:U36"/>
    <mergeCell ref="V36:AC36"/>
    <mergeCell ref="AD36:AF36"/>
    <mergeCell ref="AG36:AW36"/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orientation="landscape" r:id="rId1"/>
  <headerFooter>
    <oddFooter>&amp;C&amp;P/&amp;N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2596-4412-4393-B186-1F349969946A}">
  <sheetPr>
    <tabColor rgb="FFFF0000"/>
  </sheetPr>
  <dimension ref="A1:AX41"/>
  <sheetViews>
    <sheetView showGridLines="0" view="pageBreakPreview" zoomScaleNormal="60" zoomScaleSheetLayoutView="100" workbookViewId="0">
      <selection sqref="A1:J1"/>
    </sheetView>
  </sheetViews>
  <sheetFormatPr defaultColWidth="2.625" defaultRowHeight="13.5" customHeight="1"/>
  <cols>
    <col min="1" max="16384" width="2.625" style="1"/>
  </cols>
  <sheetData>
    <row r="1" spans="1:50" ht="16.5">
      <c r="A1" s="715" t="s">
        <v>0</v>
      </c>
      <c r="B1" s="711"/>
      <c r="C1" s="711"/>
      <c r="D1" s="711"/>
      <c r="E1" s="711"/>
      <c r="F1" s="711"/>
      <c r="G1" s="711"/>
      <c r="H1" s="711"/>
      <c r="I1" s="711"/>
      <c r="J1" s="716"/>
      <c r="K1" s="710" t="s">
        <v>1</v>
      </c>
      <c r="L1" s="711"/>
      <c r="M1" s="711"/>
      <c r="N1" s="711"/>
      <c r="O1" s="711"/>
      <c r="P1" s="711"/>
      <c r="Q1" s="711"/>
      <c r="R1" s="711"/>
      <c r="S1" s="711"/>
      <c r="T1" s="716"/>
      <c r="U1" s="710" t="s">
        <v>31</v>
      </c>
      <c r="V1" s="711"/>
      <c r="W1" s="711"/>
      <c r="X1" s="711"/>
      <c r="Y1" s="711"/>
      <c r="Z1" s="711"/>
      <c r="AA1" s="711"/>
      <c r="AB1" s="711"/>
      <c r="AC1" s="711"/>
      <c r="AD1" s="716"/>
      <c r="AE1" s="710" t="s">
        <v>2</v>
      </c>
      <c r="AF1" s="711"/>
      <c r="AG1" s="711"/>
      <c r="AH1" s="711"/>
      <c r="AI1" s="716"/>
      <c r="AJ1" s="710" t="s">
        <v>3</v>
      </c>
      <c r="AK1" s="711"/>
      <c r="AL1" s="711"/>
      <c r="AM1" s="711"/>
      <c r="AN1" s="716"/>
      <c r="AO1" s="710" t="s">
        <v>4</v>
      </c>
      <c r="AP1" s="711"/>
      <c r="AQ1" s="711"/>
      <c r="AR1" s="711"/>
      <c r="AS1" s="716"/>
      <c r="AT1" s="710" t="s">
        <v>5</v>
      </c>
      <c r="AU1" s="711"/>
      <c r="AV1" s="711"/>
      <c r="AW1" s="711"/>
      <c r="AX1" s="712"/>
    </row>
    <row r="2" spans="1:50" ht="13.5" customHeight="1">
      <c r="A2" s="345" t="str">
        <f>表紙!O10</f>
        <v>13期12月対応</v>
      </c>
      <c r="B2" s="317"/>
      <c r="C2" s="317"/>
      <c r="D2" s="317"/>
      <c r="E2" s="317"/>
      <c r="F2" s="317"/>
      <c r="G2" s="317"/>
      <c r="H2" s="317"/>
      <c r="I2" s="317"/>
      <c r="J2" s="317"/>
      <c r="K2" s="317" t="s">
        <v>30</v>
      </c>
      <c r="L2" s="317"/>
      <c r="M2" s="317"/>
      <c r="N2" s="317"/>
      <c r="O2" s="317"/>
      <c r="P2" s="317"/>
      <c r="Q2" s="317"/>
      <c r="R2" s="317"/>
      <c r="S2" s="317"/>
      <c r="T2" s="317"/>
      <c r="U2" s="713" t="str">
        <f ca="1">RIGHT(CELL("filename",V2),LEN(CELL("filename",V2))-FIND("]",CELL("filename",V2)))</f>
        <v>ユーザー詳細_育成担当者(企業担当者権限)</v>
      </c>
      <c r="V2" s="713"/>
      <c r="W2" s="713"/>
      <c r="X2" s="713"/>
      <c r="Y2" s="713"/>
      <c r="Z2" s="713"/>
      <c r="AA2" s="713"/>
      <c r="AB2" s="713"/>
      <c r="AC2" s="713"/>
      <c r="AD2" s="713"/>
      <c r="AE2" s="317" t="s">
        <v>355</v>
      </c>
      <c r="AF2" s="317"/>
      <c r="AG2" s="317"/>
      <c r="AH2" s="317"/>
      <c r="AI2" s="317"/>
      <c r="AJ2" s="354">
        <v>43759</v>
      </c>
      <c r="AK2" s="354"/>
      <c r="AL2" s="354"/>
      <c r="AM2" s="354"/>
      <c r="AN2" s="354"/>
      <c r="AO2" s="317"/>
      <c r="AP2" s="317"/>
      <c r="AQ2" s="317"/>
      <c r="AR2" s="317"/>
      <c r="AS2" s="317"/>
      <c r="AT2" s="354"/>
      <c r="AU2" s="354"/>
      <c r="AV2" s="354"/>
      <c r="AW2" s="354"/>
      <c r="AX2" s="408"/>
    </row>
    <row r="3" spans="1:50" ht="13.5" customHeight="1" thickBot="1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714"/>
      <c r="V3" s="714"/>
      <c r="W3" s="714"/>
      <c r="X3" s="714"/>
      <c r="Y3" s="714"/>
      <c r="Z3" s="714"/>
      <c r="AA3" s="714"/>
      <c r="AB3" s="714"/>
      <c r="AC3" s="714"/>
      <c r="AD3" s="714"/>
      <c r="AE3" s="347"/>
      <c r="AF3" s="347"/>
      <c r="AG3" s="347"/>
      <c r="AH3" s="347"/>
      <c r="AI3" s="347"/>
      <c r="AJ3" s="355"/>
      <c r="AK3" s="355"/>
      <c r="AL3" s="355"/>
      <c r="AM3" s="355"/>
      <c r="AN3" s="355"/>
      <c r="AO3" s="347"/>
      <c r="AP3" s="347"/>
      <c r="AQ3" s="347"/>
      <c r="AR3" s="347"/>
      <c r="AS3" s="347"/>
      <c r="AT3" s="355"/>
      <c r="AU3" s="355"/>
      <c r="AV3" s="355"/>
      <c r="AW3" s="355"/>
      <c r="AX3" s="409"/>
    </row>
    <row r="4" spans="1:50" ht="13.5" customHeight="1" thickBot="1"/>
    <row r="5" spans="1:50" ht="13.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</row>
    <row r="6" spans="1:50" ht="13.5" customHeight="1">
      <c r="A6" s="5"/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3.5" customHeight="1">
      <c r="A7" s="5"/>
      <c r="B7" s="7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7"/>
      <c r="AX7" s="8"/>
    </row>
    <row r="8" spans="1:50" ht="13.5" customHeight="1">
      <c r="A8" s="5"/>
      <c r="B8" s="7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7"/>
      <c r="AX8" s="8"/>
    </row>
    <row r="9" spans="1:50" ht="13.5" customHeight="1">
      <c r="A9" s="5"/>
      <c r="B9" s="7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7"/>
      <c r="AX9" s="8"/>
    </row>
    <row r="10" spans="1:50" ht="13.5" customHeight="1">
      <c r="A10" s="5"/>
      <c r="B10" s="7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7"/>
      <c r="AX10" s="8"/>
    </row>
    <row r="11" spans="1:50" ht="13.5" customHeight="1">
      <c r="A11" s="5"/>
      <c r="B11" s="7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7"/>
      <c r="AX11" s="8"/>
    </row>
    <row r="12" spans="1:50" ht="13.5" customHeight="1">
      <c r="A12" s="5"/>
      <c r="B12" s="7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7"/>
      <c r="AX12" s="8"/>
    </row>
    <row r="13" spans="1:50" ht="13.5" customHeight="1">
      <c r="A13" s="5"/>
      <c r="B13" s="7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7"/>
      <c r="AX13" s="8"/>
    </row>
    <row r="14" spans="1:50" ht="13.5" customHeight="1">
      <c r="A14" s="5"/>
      <c r="B14" s="7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7"/>
      <c r="AX14" s="8"/>
    </row>
    <row r="15" spans="1:50" ht="13.5" customHeight="1">
      <c r="A15" s="5"/>
      <c r="B15" s="7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7"/>
      <c r="AX15" s="8"/>
    </row>
    <row r="16" spans="1:50" ht="13.5" customHeight="1">
      <c r="A16" s="5"/>
      <c r="B16" s="7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7"/>
      <c r="AX16" s="8"/>
    </row>
    <row r="17" spans="1:50" ht="13.5" customHeight="1">
      <c r="A17" s="5"/>
      <c r="B17" s="7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7"/>
      <c r="AX17" s="8"/>
    </row>
    <row r="18" spans="1:50" ht="13.5" customHeight="1">
      <c r="A18" s="5"/>
      <c r="B18" s="7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7"/>
      <c r="AX18" s="8"/>
    </row>
    <row r="19" spans="1:50" ht="13.5" customHeight="1">
      <c r="A19" s="5"/>
      <c r="B19" s="7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7"/>
      <c r="AX19" s="8"/>
    </row>
    <row r="20" spans="1:50" ht="13.5" customHeight="1">
      <c r="A20" s="5"/>
      <c r="B20" s="7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7"/>
      <c r="AX20" s="8"/>
    </row>
    <row r="21" spans="1:50" ht="13.5" customHeight="1">
      <c r="A21" s="5"/>
      <c r="B21" s="7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7"/>
      <c r="AX21" s="8"/>
    </row>
    <row r="22" spans="1:50" ht="13.5" customHeight="1">
      <c r="A22" s="5"/>
      <c r="B22" s="7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7"/>
      <c r="AX22" s="8"/>
    </row>
    <row r="23" spans="1:50" ht="13.5" customHeight="1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3.5" customHeight="1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3.5" customHeight="1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13.5" customHeight="1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3.5" customHeight="1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13.5" customHeight="1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3.5" customHeight="1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13.5" customHeight="1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3.5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13.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3.5" customHeight="1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3.5" customHeight="1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8"/>
    </row>
    <row r="35" spans="1:50" ht="13.5" customHeight="1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8"/>
    </row>
    <row r="36" spans="1:50" ht="13.5" customHeight="1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8"/>
    </row>
    <row r="37" spans="1:50" ht="13.5" customHeight="1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8"/>
    </row>
    <row r="38" spans="1:50" ht="13.5" customHeight="1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8"/>
    </row>
    <row r="39" spans="1:50" ht="13.5" customHeight="1">
      <c r="A39" s="5"/>
      <c r="B39" s="9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8"/>
    </row>
    <row r="40" spans="1:50" ht="13.5" customHeight="1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8"/>
    </row>
    <row r="41" spans="1:50" ht="13.5" customHeight="1" thickBot="1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3"/>
    </row>
  </sheetData>
  <mergeCells count="14"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orientation="landscape" r:id="rId1"/>
  <headerFooter>
    <oddFooter>&amp;C&amp;P/&amp;N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X41"/>
  <sheetViews>
    <sheetView showGridLines="0" view="pageBreakPreview" zoomScaleNormal="60" zoomScaleSheetLayoutView="100" workbookViewId="0">
      <selection sqref="A1:J1"/>
    </sheetView>
  </sheetViews>
  <sheetFormatPr defaultColWidth="2.625" defaultRowHeight="13.5" customHeight="1"/>
  <cols>
    <col min="1" max="16384" width="2.625" style="1"/>
  </cols>
  <sheetData>
    <row r="1" spans="1:50" ht="16.5">
      <c r="A1" s="358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 t="s">
        <v>1</v>
      </c>
      <c r="L1" s="343"/>
      <c r="M1" s="343"/>
      <c r="N1" s="343"/>
      <c r="O1" s="343"/>
      <c r="P1" s="343"/>
      <c r="Q1" s="343"/>
      <c r="R1" s="343"/>
      <c r="S1" s="343"/>
      <c r="T1" s="343"/>
      <c r="U1" s="343" t="s">
        <v>31</v>
      </c>
      <c r="V1" s="343"/>
      <c r="W1" s="343"/>
      <c r="X1" s="343"/>
      <c r="Y1" s="343"/>
      <c r="Z1" s="343"/>
      <c r="AA1" s="343"/>
      <c r="AB1" s="343"/>
      <c r="AC1" s="343"/>
      <c r="AD1" s="343"/>
      <c r="AE1" s="343" t="s">
        <v>2</v>
      </c>
      <c r="AF1" s="343"/>
      <c r="AG1" s="343"/>
      <c r="AH1" s="343"/>
      <c r="AI1" s="343"/>
      <c r="AJ1" s="343" t="s">
        <v>3</v>
      </c>
      <c r="AK1" s="343"/>
      <c r="AL1" s="343"/>
      <c r="AM1" s="343"/>
      <c r="AN1" s="343"/>
      <c r="AO1" s="343" t="s">
        <v>4</v>
      </c>
      <c r="AP1" s="343"/>
      <c r="AQ1" s="343"/>
      <c r="AR1" s="343"/>
      <c r="AS1" s="343"/>
      <c r="AT1" s="343" t="s">
        <v>5</v>
      </c>
      <c r="AU1" s="343"/>
      <c r="AV1" s="343"/>
      <c r="AW1" s="343"/>
      <c r="AX1" s="344"/>
    </row>
    <row r="2" spans="1:50" ht="13.5" customHeight="1">
      <c r="A2" s="345" t="str">
        <f>表紙!O10</f>
        <v>13期12月対応</v>
      </c>
      <c r="B2" s="317"/>
      <c r="C2" s="317"/>
      <c r="D2" s="317"/>
      <c r="E2" s="317"/>
      <c r="F2" s="317"/>
      <c r="G2" s="317"/>
      <c r="H2" s="317"/>
      <c r="I2" s="317"/>
      <c r="J2" s="317"/>
      <c r="K2" s="317" t="s">
        <v>30</v>
      </c>
      <c r="L2" s="317"/>
      <c r="M2" s="317"/>
      <c r="N2" s="317"/>
      <c r="O2" s="317"/>
      <c r="P2" s="317"/>
      <c r="Q2" s="317"/>
      <c r="R2" s="317"/>
      <c r="S2" s="317"/>
      <c r="T2" s="317"/>
      <c r="U2" s="317" t="str">
        <f ca="1">RIGHT(CELL("filename",V2),LEN(CELL("filename",V2))-FIND("]",CELL("filename",V2)))</f>
        <v>ユーザー詳細_育成担当者(育成担当者権限)</v>
      </c>
      <c r="V2" s="317"/>
      <c r="W2" s="317"/>
      <c r="X2" s="317"/>
      <c r="Y2" s="317"/>
      <c r="Z2" s="317"/>
      <c r="AA2" s="317"/>
      <c r="AB2" s="317"/>
      <c r="AC2" s="317"/>
      <c r="AD2" s="317"/>
      <c r="AE2" s="317" t="s">
        <v>32</v>
      </c>
      <c r="AF2" s="317"/>
      <c r="AG2" s="317"/>
      <c r="AH2" s="317"/>
      <c r="AI2" s="317"/>
      <c r="AJ2" s="354">
        <v>43040</v>
      </c>
      <c r="AK2" s="354"/>
      <c r="AL2" s="354"/>
      <c r="AM2" s="354"/>
      <c r="AN2" s="354"/>
      <c r="AO2" s="317"/>
      <c r="AP2" s="317"/>
      <c r="AQ2" s="317"/>
      <c r="AR2" s="317"/>
      <c r="AS2" s="317"/>
      <c r="AT2" s="354"/>
      <c r="AU2" s="354"/>
      <c r="AV2" s="354"/>
      <c r="AW2" s="354"/>
      <c r="AX2" s="408"/>
    </row>
    <row r="3" spans="1:50" ht="13.5" customHeight="1" thickBot="1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55"/>
      <c r="AK3" s="355"/>
      <c r="AL3" s="355"/>
      <c r="AM3" s="355"/>
      <c r="AN3" s="355"/>
      <c r="AO3" s="347"/>
      <c r="AP3" s="347"/>
      <c r="AQ3" s="347"/>
      <c r="AR3" s="347"/>
      <c r="AS3" s="347"/>
      <c r="AT3" s="355"/>
      <c r="AU3" s="355"/>
      <c r="AV3" s="355"/>
      <c r="AW3" s="355"/>
      <c r="AX3" s="409"/>
    </row>
    <row r="4" spans="1:50" ht="13.5" customHeight="1" thickBot="1"/>
    <row r="5" spans="1:50" ht="13.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</row>
    <row r="6" spans="1:50" ht="13.5" customHeight="1">
      <c r="A6" s="5"/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3.5" customHeight="1">
      <c r="A7" s="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ht="13.5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8"/>
    </row>
    <row r="9" spans="1:50" ht="13.5" customHeight="1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8"/>
    </row>
    <row r="10" spans="1:50" ht="13.5" customHeight="1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8"/>
    </row>
    <row r="11" spans="1:50" ht="13.5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8"/>
    </row>
    <row r="12" spans="1:50" ht="13.5" customHeight="1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8"/>
    </row>
    <row r="13" spans="1:50" ht="13.5" customHeight="1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8"/>
    </row>
    <row r="14" spans="1:50" ht="13.5" customHeight="1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ht="13.5" customHeight="1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13.5" customHeight="1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3.5" customHeight="1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13.5" customHeight="1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ht="13.5" customHeight="1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8"/>
    </row>
    <row r="20" spans="1:50" ht="13.5" customHeight="1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</row>
    <row r="21" spans="1:50" ht="13.5" customHeight="1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</row>
    <row r="22" spans="1:50" ht="13.5" customHeight="1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3.5" customHeight="1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3.5" customHeight="1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3.5" customHeight="1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13.5" customHeight="1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3.5" customHeight="1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13.5" customHeight="1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3.5" customHeight="1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13.5" customHeight="1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3.5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13.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3.5" customHeight="1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3.5" customHeight="1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8"/>
    </row>
    <row r="35" spans="1:50" ht="13.5" customHeight="1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8"/>
    </row>
    <row r="36" spans="1:50" ht="13.5" customHeight="1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8"/>
    </row>
    <row r="37" spans="1:50" ht="13.5" customHeight="1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8"/>
    </row>
    <row r="38" spans="1:50" ht="13.5" customHeight="1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8"/>
    </row>
    <row r="39" spans="1:50" ht="13.5" customHeight="1">
      <c r="A39" s="5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8"/>
    </row>
    <row r="40" spans="1:50" ht="13.5" customHeight="1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8"/>
    </row>
    <row r="41" spans="1:50" ht="13.5" customHeight="1" thickBot="1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3"/>
    </row>
  </sheetData>
  <mergeCells count="14"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</mergeCells>
  <phoneticPr fontId="5"/>
  <printOptions horizontalCentered="1" verticalCentered="1"/>
  <pageMargins left="0.23622047244094491" right="0.23622047244094491" top="0.19685039370078741" bottom="0.74803149606299213" header="0.31496062992125984" footer="0.31496062992125984"/>
  <pageSetup paperSize="9" orientation="landscape" r:id="rId1"/>
  <headerFooter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25</vt:i4>
      </vt:variant>
    </vt:vector>
  </HeadingPairs>
  <TitlesOfParts>
    <vt:vector size="39" baseType="lpstr">
      <vt:lpstr>表紙</vt:lpstr>
      <vt:lpstr>更新履歴</vt:lpstr>
      <vt:lpstr>ユーザー詳細_受講生（受講生権限）</vt:lpstr>
      <vt:lpstr>ユーザー詳細_受講生(講師権限)</vt:lpstr>
      <vt:lpstr>ユーザー詳細_受講生(企業担当者権限)</vt:lpstr>
      <vt:lpstr>ユーザー詳細_受講生(育成担当者権限)</vt:lpstr>
      <vt:lpstr>ユーザー詳細_受講生(管理者権限）</vt:lpstr>
      <vt:lpstr>ユーザー詳細_講師(管理者権限) </vt:lpstr>
      <vt:lpstr>ユーザー詳細_企業担当者(管理者権限)</vt:lpstr>
      <vt:lpstr>ユーザー詳細_企業担当者(企業担当者権限・育成担当者権限)</vt:lpstr>
      <vt:lpstr>ユーザー詳細_管理者(管理者権限)</vt:lpstr>
      <vt:lpstr>ユーザー詳細_育成担当者(管理者権限)</vt:lpstr>
      <vt:lpstr>ユーザー詳細_育成担当者(企業担当者権限)</vt:lpstr>
      <vt:lpstr>ユーザー詳細_育成担当者(育成担当者権限)</vt:lpstr>
      <vt:lpstr>'ユーザー詳細_育成担当者(育成担当者権限)'!Print_Area</vt:lpstr>
      <vt:lpstr>'ユーザー詳細_育成担当者(管理者権限)'!Print_Area</vt:lpstr>
      <vt:lpstr>'ユーザー詳細_育成担当者(企業担当者権限)'!Print_Area</vt:lpstr>
      <vt:lpstr>'ユーザー詳細_管理者(管理者権限)'!Print_Area</vt:lpstr>
      <vt:lpstr>'ユーザー詳細_企業担当者(管理者権限)'!Print_Area</vt:lpstr>
      <vt:lpstr>'ユーザー詳細_企業担当者(企業担当者権限・育成担当者権限)'!Print_Area</vt:lpstr>
      <vt:lpstr>'ユーザー詳細_講師(管理者権限) '!Print_Area</vt:lpstr>
      <vt:lpstr>'ユーザー詳細_受講生(育成担当者権限)'!Print_Area</vt:lpstr>
      <vt:lpstr>'ユーザー詳細_受講生(管理者権限）'!Print_Area</vt:lpstr>
      <vt:lpstr>'ユーザー詳細_受講生(企業担当者権限)'!Print_Area</vt:lpstr>
      <vt:lpstr>'ユーザー詳細_受講生(講師権限)'!Print_Area</vt:lpstr>
      <vt:lpstr>'ユーザー詳細_受講生（受講生権限）'!Print_Area</vt:lpstr>
      <vt:lpstr>更新履歴!Print_Area</vt:lpstr>
      <vt:lpstr>'ユーザー詳細_育成担当者(育成担当者権限)'!Print_Titles</vt:lpstr>
      <vt:lpstr>'ユーザー詳細_育成担当者(管理者権限)'!Print_Titles</vt:lpstr>
      <vt:lpstr>'ユーザー詳細_育成担当者(企業担当者権限)'!Print_Titles</vt:lpstr>
      <vt:lpstr>'ユーザー詳細_管理者(管理者権限)'!Print_Titles</vt:lpstr>
      <vt:lpstr>'ユーザー詳細_企業担当者(管理者権限)'!Print_Titles</vt:lpstr>
      <vt:lpstr>'ユーザー詳細_企業担当者(企業担当者権限・育成担当者権限)'!Print_Titles</vt:lpstr>
      <vt:lpstr>'ユーザー詳細_講師(管理者権限) '!Print_Titles</vt:lpstr>
      <vt:lpstr>'ユーザー詳細_受講生(育成担当者権限)'!Print_Titles</vt:lpstr>
      <vt:lpstr>'ユーザー詳細_受講生(管理者権限）'!Print_Titles</vt:lpstr>
      <vt:lpstr>'ユーザー詳細_受講生(企業担当者権限)'!Print_Titles</vt:lpstr>
      <vt:lpstr>'ユーザー詳細_受講生(講師権限)'!Print_Titles</vt:lpstr>
      <vt:lpstr>'ユーザー詳細_受講生（受講生権限）'!Print_Titles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TeraokaMai</dc:creator>
  <cp:lastModifiedBy>PC391TAKAHASHI</cp:lastModifiedBy>
  <cp:lastPrinted>2019-12-05T08:23:21Z</cp:lastPrinted>
  <dcterms:created xsi:type="dcterms:W3CDTF">2017-09-14T06:21:04Z</dcterms:created>
  <dcterms:modified xsi:type="dcterms:W3CDTF">2020-01-31T06:07:19Z</dcterms:modified>
</cp:coreProperties>
</file>