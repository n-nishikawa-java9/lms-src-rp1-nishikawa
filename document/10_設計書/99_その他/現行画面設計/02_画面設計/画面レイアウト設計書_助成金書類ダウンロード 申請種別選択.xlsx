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3_ncr:1_{A25826A5-3945-4F6E-BD04-C4C6C7E0891E}" xr6:coauthVersionLast="31" xr6:coauthVersionMax="31" xr10:uidLastSave="{00000000-0000-0000-0000-000000000000}"/>
  <bookViews>
    <workbookView xWindow="0" yWindow="0" windowWidth="14376" windowHeight="4740" tabRatio="850" xr2:uid="{00000000-000D-0000-FFFF-FFFF00000000}"/>
  </bookViews>
  <sheets>
    <sheet name="表紙" sheetId="4" r:id="rId1"/>
    <sheet name="更新履歴" sheetId="5" r:id="rId2"/>
    <sheet name="助成金書類ダウンロード 申請種別選択" sheetId="53" r:id="rId3"/>
  </sheets>
  <externalReferences>
    <externalReference r:id="rId4"/>
    <externalReference r:id="rId5"/>
  </externalReferences>
  <definedNames>
    <definedName name="a" hidden="1">{"ID名称",#N/A,FALSE,"進捗状況";"prog予定",#N/A,FALSE,"進捗状況"}</definedName>
    <definedName name="aaaaa" hidden="1">{"ID名称",#N/A,FALSE,"進捗状況";"prog予定",#N/A,FALSE,"進捗状況"}</definedName>
    <definedName name="abc" hidden="1">{"ID名称",#N/A,FALSE,"進捗状況";"prog予定",#N/A,FALSE,"進捗状況"}</definedName>
    <definedName name="abcd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更新履歴!$A$1:$BC$35</definedName>
    <definedName name="_xlnm.Print_Area" localSheetId="2">'助成金書類ダウンロード 申請種別選択'!$A$1:$BC$50</definedName>
    <definedName name="_xlnm.Print_Titles" localSheetId="2">'助成金書類ダウンロード 申請種別選択'!$1:$4</definedName>
    <definedName name="ugawa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hidden="1">{"ID名称",#N/A,FALSE,"進捗状況";"prog予定",#N/A,FALSE,"進捗状況"}</definedName>
    <definedName name="xxxx" hidden="1">{"ID名称",#N/A,FALSE,"進捗状況";"prog予定",#N/A,FALSE,"進捗状況"}</definedName>
    <definedName name="ｚ" hidden="1">{"ID名称",#N/A,FALSE,"進捗状況";"prog予定",#N/A,FALSE,"進捗状況"}</definedName>
    <definedName name="ｚｚ" hidden="1">{"ID名称",#N/A,FALSE,"進捗状況";"prog予定",#N/A,FALSE,"進捗状況"}</definedName>
    <definedName name="発注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J2" i="53" l="1"/>
  <c r="A2" i="53"/>
  <c r="J2" i="5"/>
  <c r="A2" i="5"/>
  <c r="AA17" i="4" l="1"/>
  <c r="X17" i="4"/>
  <c r="R2" i="53" l="1"/>
  <c r="R1" i="53"/>
  <c r="R1" i="5" l="1"/>
</calcChain>
</file>

<file path=xl/sharedStrings.xml><?xml version="1.0" encoding="utf-8"?>
<sst xmlns="http://schemas.openxmlformats.org/spreadsheetml/2006/main" count="103" uniqueCount="79">
  <si>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</si>
  <si>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</si>
  <si>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</si>
  <si>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</si>
  <si>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</si>
  <si>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</si>
  <si>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</si>
  <si>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</si>
  <si>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</si>
  <si>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</si>
  <si>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</si>
  <si>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</si>
  <si>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</si>
  <si>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</si>
  <si>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</si>
  <si>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</si>
  <si>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</si>
  <si>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</si>
  <si>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</si>
  <si>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</si>
  <si>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</si>
  <si>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</si>
  <si>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</si>
  <si>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</si>
  <si>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</si>
  <si>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</si>
  <si>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</si>
  <si>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</si>
  <si>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</si>
  <si>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</si>
  <si>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</si>
  <si>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</si>
  <si>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</si>
  <si>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</si>
  <si>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</si>
  <si>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</si>
  <si>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櫻井</t>
    <rPh sb="0" eb="2">
      <t>サクライ</t>
    </rPh>
    <phoneticPr fontId="3"/>
  </si>
  <si>
    <t>m_company</t>
    <phoneticPr fontId="1"/>
  </si>
  <si>
    <t>company_name</t>
    <phoneticPr fontId="1"/>
  </si>
  <si>
    <t>櫻井</t>
    <rPh sb="0" eb="2">
      <t>サクライ</t>
    </rPh>
    <phoneticPr fontId="1"/>
  </si>
  <si>
    <t>リンク</t>
    <phoneticPr fontId="1"/>
  </si>
  <si>
    <t>企業名</t>
    <phoneticPr fontId="1"/>
  </si>
  <si>
    <t>m_subsidy_category</t>
    <phoneticPr fontId="1"/>
  </si>
  <si>
    <t>subsidy_category_name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</si>
  <si>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</si>
  <si>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</si>
  <si>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</si>
  <si>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カテゴリ名</t>
    <rPh sb="4" eb="5">
      <t>メイ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</si>
  <si>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</si>
  <si>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</si>
  <si>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申請種別名</t>
    <rPh sb="0" eb="2">
      <t>シンセイ</t>
    </rPh>
    <rPh sb="2" eb="4">
      <t>シュベツ</t>
    </rPh>
    <rPh sb="4" eb="5">
      <t>メイ</t>
    </rPh>
    <phoneticPr fontId="1"/>
  </si>
  <si>
    <t>申請種別コード</t>
    <rPh sb="0" eb="2">
      <t>シンセイ</t>
    </rPh>
    <rPh sb="2" eb="4">
      <t>シュベツ</t>
    </rPh>
    <phoneticPr fontId="1"/>
  </si>
  <si>
    <t>その他仕様</t>
    <rPh sb="2" eb="3">
      <t>タ</t>
    </rPh>
    <rPh sb="3" eb="5">
      <t>シヨウ</t>
    </rPh>
    <phoneticPr fontId="1"/>
  </si>
  <si>
    <t>申請種別</t>
    <rPh sb="0" eb="2">
      <t>シンセイ</t>
    </rPh>
    <rPh sb="2" eb="4">
      <t>シュベツ</t>
    </rPh>
    <phoneticPr fontId="1"/>
  </si>
  <si>
    <t>/subsidy/user</t>
    <phoneticPr fontId="1"/>
  </si>
  <si>
    <t>全て</t>
    <rPh sb="0" eb="1">
      <t>スベ</t>
    </rPh>
    <phoneticPr fontId="1"/>
  </si>
  <si>
    <t>要件変更事項取りこみ</t>
    <rPh sb="0" eb="2">
      <t>ヨウケン</t>
    </rPh>
    <rPh sb="2" eb="4">
      <t>ヘンコウ</t>
    </rPh>
    <rPh sb="4" eb="6">
      <t>ジコウ</t>
    </rPh>
    <rPh sb="6" eb="7">
      <t>ト</t>
    </rPh>
    <phoneticPr fontId="1"/>
  </si>
  <si>
    <t>本松</t>
    <rPh sb="0" eb="2">
      <t>ホンマツ</t>
    </rPh>
    <phoneticPr fontId="1"/>
  </si>
  <si>
    <t>追加</t>
    <rPh sb="0" eb="2">
      <t>ツイカ</t>
    </rPh>
    <phoneticPr fontId="1"/>
  </si>
  <si>
    <t>櫻井</t>
    <rPh sb="0" eb="2">
      <t>サクライ</t>
    </rPh>
    <phoneticPr fontId="1"/>
  </si>
  <si>
    <t>助成金書類一覧画面、勤怠管理画面を追加</t>
    <rPh sb="0" eb="3">
      <t>ジョセイキン</t>
    </rPh>
    <rPh sb="3" eb="5">
      <t>ショルイ</t>
    </rPh>
    <rPh sb="5" eb="7">
      <t>イチラン</t>
    </rPh>
    <rPh sb="7" eb="9">
      <t>ガメン</t>
    </rPh>
    <rPh sb="10" eb="12">
      <t>キンタイ</t>
    </rPh>
    <rPh sb="12" eb="14">
      <t>カンリ</t>
    </rPh>
    <rPh sb="14" eb="16">
      <t>ガメン</t>
    </rPh>
    <rPh sb="17" eb="19">
      <t>ツイカ</t>
    </rPh>
    <phoneticPr fontId="1"/>
  </si>
  <si>
    <t>shinseiTypeCd</t>
    <phoneticPr fontId="1"/>
  </si>
  <si>
    <t>1：計画申請、2：変更申請、3：支給申請　固定で文言を出力</t>
    <rPh sb="21" eb="23">
      <t>コテイ</t>
    </rPh>
    <rPh sb="24" eb="26">
      <t>モンゴン</t>
    </rPh>
    <rPh sb="27" eb="29">
      <t>シュツリョク</t>
    </rPh>
    <phoneticPr fontId="1"/>
  </si>
  <si>
    <t>LMS学習管理システム</t>
    <phoneticPr fontId="1"/>
  </si>
  <si>
    <t>櫻井</t>
    <rPh sb="0" eb="2">
      <t>サクライ</t>
    </rPh>
    <phoneticPr fontId="1"/>
  </si>
  <si>
    <t>◆【管理者権限・企業担当者権限】</t>
    <rPh sb="2" eb="5">
      <t>カンリシャ</t>
    </rPh>
    <rPh sb="5" eb="7">
      <t>ケンゲン</t>
    </rPh>
    <rPh sb="8" eb="10">
      <t>キギョウ</t>
    </rPh>
    <rPh sb="10" eb="13">
      <t>タントウシャ</t>
    </rPh>
    <rPh sb="13" eb="15">
      <t>ケンゲン</t>
    </rPh>
    <phoneticPr fontId="1"/>
  </si>
  <si>
    <t>・パラメーターとして設定された申請種別コードをセッションに保持する</t>
    <rPh sb="10" eb="12">
      <t>セッテイ</t>
    </rPh>
    <rPh sb="15" eb="17">
      <t>シンセイ</t>
    </rPh>
    <rPh sb="17" eb="19">
      <t>シュベツ</t>
    </rPh>
    <rPh sb="29" eb="31">
      <t>ホジ</t>
    </rPh>
    <phoneticPr fontId="1"/>
  </si>
  <si>
    <t>-</t>
  </si>
  <si>
    <r>
      <rPr>
        <sz val="8"/>
        <color rgb="FFFF0000"/>
        <rFont val="ＭＳ Ｐゴシック"/>
        <family val="3"/>
        <charset val="128"/>
        <scheme val="minor"/>
      </rPr>
      <t>助成金書類ダウンロード 出力対象選択画面</t>
    </r>
    <r>
      <rPr>
        <sz val="8"/>
        <color theme="1"/>
        <rFont val="ＭＳ Ｐゴシック"/>
        <family val="3"/>
        <charset val="128"/>
        <scheme val="minor"/>
      </rPr>
      <t>へ</t>
    </r>
    <phoneticPr fontId="1"/>
  </si>
  <si>
    <t>遷移する</t>
    <phoneticPr fontId="1"/>
  </si>
  <si>
    <t>◆助成金申請種別のリンク押下時</t>
    <rPh sb="1" eb="4">
      <t>ジョセイキン</t>
    </rPh>
    <rPh sb="4" eb="6">
      <t>シンセイ</t>
    </rPh>
    <rPh sb="6" eb="8">
      <t>シュベツ</t>
    </rPh>
    <rPh sb="12" eb="15">
      <t>オウカジ</t>
    </rPh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</si>
  <si>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</si>
  <si>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</si>
  <si>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</si>
  <si>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</si>
  <si>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申請種別コード</t>
    <phoneticPr fontId="1"/>
  </si>
  <si>
    <t>指定のコード以外が入力された場合</t>
    <rPh sb="0" eb="2">
      <t>シテイ</t>
    </rPh>
    <rPh sb="6" eb="8">
      <t>イガイ</t>
    </rPh>
    <rPh sb="9" eb="11">
      <t>ニュウリョク</t>
    </rPh>
    <rPh sb="14" eb="16">
      <t>バアイ</t>
    </rPh>
    <phoneticPr fontId="1"/>
  </si>
  <si>
    <t>助成金書類ダウンロード 申請種別選択</t>
    <phoneticPr fontId="1"/>
  </si>
  <si>
    <t>【助成金書類DL機能のユーザビリティ向上 案件対応】
「助成金申請種別選択」シートを「助成金書類ダウンロード 申請種別選択」に変更
助成金カテゴリ名の表示を削除</t>
    <rPh sb="31" eb="33">
      <t>シンセイ</t>
    </rPh>
    <rPh sb="33" eb="35">
      <t>シュベツ</t>
    </rPh>
    <rPh sb="43" eb="46">
      <t>ジョセイキン</t>
    </rPh>
    <rPh sb="46" eb="48">
      <t>ショルイ</t>
    </rPh>
    <rPh sb="55" eb="57">
      <t>シンセイ</t>
    </rPh>
    <rPh sb="57" eb="59">
      <t>シュベツ</t>
    </rPh>
    <rPh sb="59" eb="61">
      <t>センタク</t>
    </rPh>
    <rPh sb="63" eb="65">
      <t>ヘンコウ</t>
    </rPh>
    <rPh sb="66" eb="69">
      <t>ジョセイキン</t>
    </rPh>
    <rPh sb="73" eb="74">
      <t>メイ</t>
    </rPh>
    <rPh sb="75" eb="77">
      <t>ヒョウジ</t>
    </rPh>
    <rPh sb="78" eb="80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</si>
</sst>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69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 tint="-0.249977111117893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b/>
      <sz val="11"/>
      <color rgb="FF555555"/>
      <name val="Arial"/>
      <family val="2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145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38" fontId="2" fillId="0" borderId="0" applyFont="0" applyFill="0" applyBorder="0" applyAlignment="0" applyProtection="0">
      <alignment vertical="center"/>
    </xf>
    <xf numFmtId="38" fontId="57" fillId="0" borderId="0" applyFont="0" applyFill="0" applyBorder="0" applyAlignment="0" applyProtection="0">
      <alignment vertical="center"/>
    </xf>
    <xf numFmtId="38" fontId="57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2" fillId="0" borderId="0">
      <alignment vertical="center"/>
    </xf>
    <xf numFmtId="0" fontId="5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60" fillId="0" borderId="0"/>
    <xf numFmtId="0" fontId="33" fillId="20" borderId="78" applyNumberFormat="0" applyProtection="0">
      <alignment vertical="center"/>
    </xf>
    <xf numFmtId="0" fontId="41" fillId="7" borderId="78" applyNumberFormat="0" applyProtection="0">
      <alignment vertical="center"/>
    </xf>
    <xf numFmtId="0" fontId="2" fillId="10" borderId="79" applyNumberFormat="0" applyProtection="0">
      <alignment vertical="center"/>
    </xf>
    <xf numFmtId="0" fontId="44" fillId="20" borderId="80" applyNumberFormat="0" applyProtection="0">
      <alignment vertical="center"/>
    </xf>
    <xf numFmtId="0" fontId="46" fillId="0" borderId="81" applyNumberFormat="0" applyFill="0" applyProtection="0">
      <alignment vertical="center"/>
    </xf>
    <xf numFmtId="0" fontId="2" fillId="10" borderId="79" applyNumberFormat="0" applyProtection="0">
      <alignment vertical="center"/>
    </xf>
    <xf numFmtId="0" fontId="13" fillId="8" borderId="78" applyNumberFormat="0" applyProtection="0">
      <alignment vertical="center"/>
    </xf>
    <xf numFmtId="0" fontId="18" fillId="0" borderId="82" applyNumberFormat="0" applyFill="0" applyProtection="0">
      <alignment vertical="center"/>
    </xf>
    <xf numFmtId="0" fontId="19" fillId="8" borderId="80" applyNumberFormat="0" applyProtection="0">
      <alignment vertical="center"/>
    </xf>
    <xf numFmtId="0" fontId="33" fillId="20" borderId="92" applyNumberFormat="0" applyProtection="0">
      <alignment vertical="center"/>
    </xf>
    <xf numFmtId="0" fontId="48" fillId="3" borderId="78" applyNumberFormat="0" applyProtection="0">
      <alignment vertical="center"/>
    </xf>
    <xf numFmtId="38" fontId="2" fillId="0" borderId="0" applyFont="0" applyFill="0" applyBorder="0" applyAlignment="0" applyProtection="0"/>
    <xf numFmtId="0" fontId="41" fillId="7" borderId="92" applyNumberFormat="0" applyProtection="0">
      <alignment vertical="center"/>
    </xf>
    <xf numFmtId="0" fontId="2" fillId="10" borderId="93" applyNumberFormat="0" applyProtection="0">
      <alignment vertical="center"/>
    </xf>
    <xf numFmtId="0" fontId="44" fillId="20" borderId="94" applyNumberFormat="0" applyProtection="0">
      <alignment vertical="center"/>
    </xf>
    <xf numFmtId="0" fontId="46" fillId="0" borderId="95" applyNumberFormat="0" applyFill="0" applyProtection="0">
      <alignment vertical="center"/>
    </xf>
    <xf numFmtId="0" fontId="2" fillId="10" borderId="93" applyNumberFormat="0" applyProtection="0">
      <alignment vertical="center"/>
    </xf>
    <xf numFmtId="0" fontId="13" fillId="8" borderId="92" applyNumberFormat="0" applyProtection="0">
      <alignment vertical="center"/>
    </xf>
    <xf numFmtId="0" fontId="18" fillId="0" borderId="96" applyNumberFormat="0" applyFill="0" applyProtection="0">
      <alignment vertical="center"/>
    </xf>
    <xf numFmtId="0" fontId="19" fillId="8" borderId="94" applyNumberFormat="0" applyProtection="0">
      <alignment vertical="center"/>
    </xf>
    <xf numFmtId="0" fontId="48" fillId="3" borderId="92" applyNumberFormat="0" applyProtection="0">
      <alignment vertical="center"/>
    </xf>
  </cellStyleXfs>
  <cellXfs count="251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0" xfId="0" applyBorder="1">
      <alignment vertical="center"/>
    </xf>
    <xf numFmtId="0" fontId="52" fillId="0" borderId="0" xfId="0" applyFont="1" applyBorder="1">
      <alignment vertical="center"/>
    </xf>
    <xf numFmtId="0" fontId="55" fillId="0" borderId="0" xfId="0" applyFont="1">
      <alignment vertical="center"/>
    </xf>
    <xf numFmtId="0" fontId="53" fillId="32" borderId="0" xfId="0" applyFont="1" applyFill="1" applyBorder="1" applyAlignment="1">
      <alignment horizontal="center" vertical="center"/>
    </xf>
    <xf numFmtId="0" fontId="0" fillId="32" borderId="0" xfId="0" applyFill="1" applyBorder="1" applyAlignment="1">
      <alignment vertical="center"/>
    </xf>
    <xf numFmtId="0" fontId="53" fillId="0" borderId="0" xfId="0" applyFont="1" applyBorder="1">
      <alignment vertical="center"/>
    </xf>
    <xf numFmtId="0" fontId="53" fillId="32" borderId="0" xfId="0" applyFont="1" applyFill="1" applyBorder="1" applyAlignment="1">
      <alignment horizontal="left" vertical="center"/>
    </xf>
    <xf numFmtId="0" fontId="54" fillId="0" borderId="0" xfId="0" applyFont="1" applyBorder="1">
      <alignment vertical="center"/>
    </xf>
    <xf numFmtId="0" fontId="55" fillId="0" borderId="0" xfId="0" applyFont="1" applyBorder="1">
      <alignment vertical="center"/>
    </xf>
    <xf numFmtId="0" fontId="61" fillId="0" borderId="0" xfId="0" applyFont="1">
      <alignment vertical="center"/>
    </xf>
    <xf numFmtId="0" fontId="53" fillId="32" borderId="0" xfId="0" applyFont="1" applyFill="1" applyBorder="1" applyAlignment="1">
      <alignment vertical="center"/>
    </xf>
    <xf numFmtId="0" fontId="0" fillId="0" borderId="32" xfId="0" applyBorder="1">
      <alignment vertical="center"/>
    </xf>
    <xf numFmtId="0" fontId="67" fillId="0" borderId="0" xfId="0" applyFont="1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67" fillId="0" borderId="31" xfId="0" applyFont="1" applyBorder="1">
      <alignment vertical="center"/>
    </xf>
    <xf numFmtId="0" fontId="64" fillId="0" borderId="83" xfId="0" applyFont="1" applyBorder="1" applyAlignment="1">
      <alignment horizontal="left" vertical="top"/>
    </xf>
    <xf numFmtId="0" fontId="64" fillId="0" borderId="90" xfId="0" applyFont="1" applyBorder="1" applyAlignment="1">
      <alignment horizontal="left" vertical="top"/>
    </xf>
    <xf numFmtId="0" fontId="64" fillId="0" borderId="91" xfId="0" applyFont="1" applyBorder="1" applyAlignment="1">
      <alignment horizontal="left" vertical="top"/>
    </xf>
    <xf numFmtId="0" fontId="64" fillId="0" borderId="0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57" fillId="0" borderId="0" xfId="0" applyFont="1" applyBorder="1">
      <alignment vertical="center"/>
    </xf>
    <xf numFmtId="0" fontId="64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52" fillId="0" borderId="0" xfId="0" applyFont="1" applyBorder="1">
      <alignment vertical="center"/>
    </xf>
    <xf numFmtId="0" fontId="57" fillId="0" borderId="0" xfId="0" applyFont="1" applyBorder="1">
      <alignment vertical="center"/>
    </xf>
    <xf numFmtId="0" fontId="64" fillId="0" borderId="90" xfId="0" applyFont="1" applyBorder="1" applyAlignment="1">
      <alignment vertical="center"/>
    </xf>
    <xf numFmtId="0" fontId="64" fillId="0" borderId="91" xfId="0" applyFont="1" applyBorder="1" applyAlignment="1">
      <alignment vertical="center"/>
    </xf>
    <xf numFmtId="0" fontId="64" fillId="32" borderId="91" xfId="0" applyFont="1" applyFill="1" applyBorder="1" applyAlignment="1">
      <alignment horizontal="left"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176" fontId="50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176" fontId="50" fillId="0" borderId="34" xfId="101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 wrapText="1"/>
    </xf>
    <xf numFmtId="0" fontId="50" fillId="0" borderId="25" xfId="101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64" fillId="32" borderId="71" xfId="0" applyFont="1" applyFill="1" applyBorder="1" applyAlignment="1">
      <alignment vertical="center"/>
    </xf>
    <xf numFmtId="0" fontId="64" fillId="32" borderId="72" xfId="0" applyFont="1" applyFill="1" applyBorder="1" applyAlignment="1">
      <alignment vertical="center"/>
    </xf>
    <xf numFmtId="0" fontId="64" fillId="32" borderId="73" xfId="0" applyFont="1" applyFill="1" applyBorder="1" applyAlignment="1">
      <alignment vertical="center"/>
    </xf>
    <xf numFmtId="0" fontId="64" fillId="32" borderId="66" xfId="0" applyFont="1" applyFill="1" applyBorder="1" applyAlignment="1">
      <alignment vertical="center"/>
    </xf>
    <xf numFmtId="0" fontId="64" fillId="32" borderId="68" xfId="0" applyFont="1" applyFill="1" applyBorder="1" applyAlignment="1">
      <alignment horizontal="center" vertical="center"/>
    </xf>
    <xf numFmtId="0" fontId="64" fillId="32" borderId="69" xfId="0" applyFont="1" applyFill="1" applyBorder="1" applyAlignment="1">
      <alignment horizontal="center" vertical="center"/>
    </xf>
    <xf numFmtId="0" fontId="64" fillId="32" borderId="70" xfId="0" applyFont="1" applyFill="1" applyBorder="1" applyAlignment="1">
      <alignment horizontal="center" vertical="center"/>
    </xf>
    <xf numFmtId="0" fontId="64" fillId="32" borderId="68" xfId="0" applyFont="1" applyFill="1" applyBorder="1" applyAlignment="1">
      <alignment vertical="center"/>
    </xf>
    <xf numFmtId="0" fontId="64" fillId="32" borderId="69" xfId="0" applyFont="1" applyFill="1" applyBorder="1" applyAlignment="1">
      <alignment vertical="center"/>
    </xf>
    <xf numFmtId="0" fontId="64" fillId="32" borderId="70" xfId="0" applyFont="1" applyFill="1" applyBorder="1" applyAlignment="1">
      <alignment vertical="center"/>
    </xf>
    <xf numFmtId="0" fontId="64" fillId="32" borderId="67" xfId="0" applyFont="1" applyFill="1" applyBorder="1" applyAlignment="1">
      <alignment horizontal="center" vertical="center"/>
    </xf>
    <xf numFmtId="0" fontId="63" fillId="31" borderId="66" xfId="98" applyFont="1" applyFill="1" applyBorder="1" applyAlignment="1">
      <alignment horizontal="center" vertical="center"/>
    </xf>
    <xf numFmtId="0" fontId="64" fillId="0" borderId="71" xfId="0" applyFont="1" applyBorder="1" applyAlignment="1">
      <alignment vertical="center"/>
    </xf>
    <xf numFmtId="0" fontId="64" fillId="0" borderId="72" xfId="0" applyFont="1" applyBorder="1" applyAlignment="1">
      <alignment vertical="center"/>
    </xf>
    <xf numFmtId="0" fontId="64" fillId="0" borderId="73" xfId="0" applyFont="1" applyBorder="1" applyAlignment="1">
      <alignment vertical="center"/>
    </xf>
    <xf numFmtId="0" fontId="64" fillId="0" borderId="66" xfId="0" applyFont="1" applyBorder="1" applyAlignment="1">
      <alignment vertical="center"/>
    </xf>
    <xf numFmtId="0" fontId="64" fillId="33" borderId="66" xfId="0" applyFont="1" applyFill="1" applyBorder="1" applyAlignment="1">
      <alignment horizontal="center" vertical="center"/>
    </xf>
    <xf numFmtId="0" fontId="64" fillId="33" borderId="66" xfId="0" applyFont="1" applyFill="1" applyBorder="1" applyAlignment="1">
      <alignment horizontal="left" vertical="center"/>
    </xf>
    <xf numFmtId="0" fontId="64" fillId="33" borderId="71" xfId="0" applyFont="1" applyFill="1" applyBorder="1" applyAlignment="1">
      <alignment vertical="center"/>
    </xf>
    <xf numFmtId="0" fontId="64" fillId="33" borderId="72" xfId="0" applyFont="1" applyFill="1" applyBorder="1" applyAlignment="1">
      <alignment vertical="center"/>
    </xf>
    <xf numFmtId="0" fontId="64" fillId="33" borderId="73" xfId="0" applyFont="1" applyFill="1" applyBorder="1" applyAlignment="1">
      <alignment vertical="center"/>
    </xf>
    <xf numFmtId="0" fontId="64" fillId="33" borderId="66" xfId="0" applyFont="1" applyFill="1" applyBorder="1" applyAlignment="1">
      <alignment vertical="center"/>
    </xf>
    <xf numFmtId="0" fontId="64" fillId="0" borderId="83" xfId="0" applyFont="1" applyBorder="1" applyAlignment="1">
      <alignment horizontal="left" vertical="center"/>
    </xf>
    <xf numFmtId="0" fontId="64" fillId="0" borderId="90" xfId="0" applyFont="1" applyBorder="1" applyAlignment="1">
      <alignment horizontal="left" vertical="center"/>
    </xf>
    <xf numFmtId="0" fontId="64" fillId="0" borderId="91" xfId="0" applyFont="1" applyBorder="1" applyAlignment="1">
      <alignment horizontal="left" vertical="center"/>
    </xf>
    <xf numFmtId="0" fontId="64" fillId="0" borderId="83" xfId="0" applyFont="1" applyBorder="1" applyAlignment="1">
      <alignment horizontal="center" vertical="center"/>
    </xf>
    <xf numFmtId="0" fontId="64" fillId="0" borderId="91" xfId="0" applyFont="1" applyBorder="1" applyAlignment="1">
      <alignment horizontal="center" vertical="center"/>
    </xf>
    <xf numFmtId="0" fontId="64" fillId="32" borderId="66" xfId="0" applyFont="1" applyFill="1" applyBorder="1" applyAlignment="1">
      <alignment horizontal="center" vertical="center"/>
    </xf>
    <xf numFmtId="0" fontId="64" fillId="32" borderId="66" xfId="0" applyFont="1" applyFill="1" applyBorder="1" applyAlignment="1">
      <alignment horizontal="left" vertical="center"/>
    </xf>
    <xf numFmtId="0" fontId="66" fillId="32" borderId="66" xfId="0" applyFont="1" applyFill="1" applyBorder="1" applyAlignment="1">
      <alignment horizontal="center" vertical="center"/>
    </xf>
    <xf numFmtId="0" fontId="64" fillId="32" borderId="67" xfId="0" applyFont="1" applyFill="1" applyBorder="1" applyAlignment="1">
      <alignment horizontal="left" vertical="center"/>
    </xf>
    <xf numFmtId="0" fontId="64" fillId="32" borderId="74" xfId="0" applyFont="1" applyFill="1" applyBorder="1" applyAlignment="1">
      <alignment horizontal="center" vertical="center"/>
    </xf>
    <xf numFmtId="0" fontId="64" fillId="32" borderId="74" xfId="0" applyFont="1" applyFill="1" applyBorder="1" applyAlignment="1">
      <alignment horizontal="left" vertical="center"/>
    </xf>
    <xf numFmtId="0" fontId="63" fillId="31" borderId="71" xfId="98" applyFont="1" applyFill="1" applyBorder="1" applyAlignment="1">
      <alignment horizontal="center" vertical="center"/>
    </xf>
    <xf numFmtId="0" fontId="62" fillId="30" borderId="66" xfId="0" applyFont="1" applyFill="1" applyBorder="1" applyAlignment="1">
      <alignment horizontal="center" vertical="center"/>
    </xf>
    <xf numFmtId="0" fontId="64" fillId="32" borderId="75" xfId="0" applyFont="1" applyFill="1" applyBorder="1" applyAlignment="1">
      <alignment vertical="center"/>
    </xf>
    <xf numFmtId="0" fontId="64" fillId="32" borderId="76" xfId="0" applyFont="1" applyFill="1" applyBorder="1" applyAlignment="1">
      <alignment vertical="center"/>
    </xf>
    <xf numFmtId="0" fontId="64" fillId="32" borderId="77" xfId="0" applyFont="1" applyFill="1" applyBorder="1" applyAlignment="1">
      <alignment vertical="center"/>
    </xf>
    <xf numFmtId="0" fontId="68" fillId="0" borderId="0" xfId="0" applyFont="1" applyBorder="1" applyAlignment="1">
      <alignment horizontal="left" vertical="center"/>
    </xf>
    <xf numFmtId="0" fontId="62" fillId="30" borderId="88" xfId="0" applyFont="1" applyFill="1" applyBorder="1" applyAlignment="1">
      <alignment horizontal="center" vertical="center"/>
    </xf>
    <xf numFmtId="0" fontId="62" fillId="30" borderId="89" xfId="0" applyFont="1" applyFill="1" applyBorder="1" applyAlignment="1">
      <alignment horizontal="center" vertical="center"/>
    </xf>
    <xf numFmtId="0" fontId="63" fillId="31" borderId="88" xfId="98" applyFont="1" applyFill="1" applyBorder="1" applyAlignment="1">
      <alignment horizontal="center" vertical="center"/>
    </xf>
    <xf numFmtId="0" fontId="63" fillId="31" borderId="87" xfId="98" applyFont="1" applyFill="1" applyBorder="1" applyAlignment="1">
      <alignment horizontal="center" vertical="center"/>
    </xf>
    <xf numFmtId="0" fontId="63" fillId="31" borderId="89" xfId="98" applyFont="1" applyFill="1" applyBorder="1" applyAlignment="1">
      <alignment horizontal="center" vertical="center"/>
    </xf>
    <xf numFmtId="0" fontId="62" fillId="30" borderId="84" xfId="0" applyFont="1" applyFill="1" applyBorder="1" applyAlignment="1">
      <alignment horizontal="center" vertical="center"/>
    </xf>
    <xf numFmtId="0" fontId="62" fillId="30" borderId="85" xfId="0" applyFont="1" applyFill="1" applyBorder="1" applyAlignment="1">
      <alignment horizontal="center" vertical="center"/>
    </xf>
    <xf numFmtId="0" fontId="62" fillId="30" borderId="86" xfId="0" applyFont="1" applyFill="1" applyBorder="1" applyAlignment="1">
      <alignment horizontal="center" vertical="center"/>
    </xf>
    <xf numFmtId="0" fontId="64" fillId="32" borderId="75" xfId="0" applyFont="1" applyFill="1" applyBorder="1" applyAlignment="1">
      <alignment horizontal="center" vertical="center"/>
    </xf>
    <xf numFmtId="0" fontId="64" fillId="32" borderId="76" xfId="0" applyFont="1" applyFill="1" applyBorder="1" applyAlignment="1">
      <alignment horizontal="center" vertical="center"/>
    </xf>
    <xf numFmtId="0" fontId="64" fillId="32" borderId="77" xfId="0" applyFont="1" applyFill="1" applyBorder="1" applyAlignment="1">
      <alignment horizontal="center" vertical="center"/>
    </xf>
    <xf numFmtId="0" fontId="64" fillId="32" borderId="74" xfId="0" applyFont="1" applyFill="1" applyBorder="1" applyAlignment="1">
      <alignment vertical="center"/>
    </xf>
  </cellXfs>
  <cellStyles count="145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24" xr:uid="{00000000-0005-0000-0000-00002D000000}"/>
    <cellStyle name="Calculation 3" xfId="133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25" xr:uid="{00000000-0005-0000-0000-00003D000000}"/>
    <cellStyle name="Input 3" xfId="136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26" xr:uid="{00000000-0005-0000-0000-000048000000}"/>
    <cellStyle name="Note 3" xfId="137" xr:uid="{00000000-0005-0000-0000-000049000000}"/>
    <cellStyle name="Output" xfId="68" xr:uid="{00000000-0005-0000-0000-00004A000000}"/>
    <cellStyle name="Output 2" xfId="127" xr:uid="{00000000-0005-0000-0000-00004B000000}"/>
    <cellStyle name="Output 3" xfId="138" xr:uid="{00000000-0005-0000-0000-00004C000000}"/>
    <cellStyle name="Title" xfId="69" xr:uid="{00000000-0005-0000-0000-00004D000000}"/>
    <cellStyle name="Total" xfId="70" xr:uid="{00000000-0005-0000-0000-00004E000000}"/>
    <cellStyle name="Total 2" xfId="128" xr:uid="{00000000-0005-0000-0000-00004F000000}"/>
    <cellStyle name="Total 3" xfId="139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ハイパーリンク 2" xfId="109" xr:uid="{00000000-0005-0000-0000-00005D000000}"/>
    <cellStyle name="ハイパーリンク 3" xfId="110" xr:uid="{00000000-0005-0000-0000-00005E000000}"/>
    <cellStyle name="フェンスチャート" xfId="83" xr:uid="{00000000-0005-0000-0000-00005F000000}"/>
    <cellStyle name="メモ 2" xfId="84" xr:uid="{00000000-0005-0000-0000-000060000000}"/>
    <cellStyle name="メモ 2 2" xfId="129" xr:uid="{00000000-0005-0000-0000-000061000000}"/>
    <cellStyle name="メモ 2 3" xfId="140" xr:uid="{00000000-0005-0000-0000-000062000000}"/>
    <cellStyle name="リンク セル 2" xfId="85" xr:uid="{00000000-0005-0000-0000-000063000000}"/>
    <cellStyle name="悪い 2" xfId="86" xr:uid="{00000000-0005-0000-0000-000064000000}"/>
    <cellStyle name="計算 2" xfId="87" xr:uid="{00000000-0005-0000-0000-000065000000}"/>
    <cellStyle name="計算 2 2" xfId="130" xr:uid="{00000000-0005-0000-0000-000066000000}"/>
    <cellStyle name="計算 2 3" xfId="141" xr:uid="{00000000-0005-0000-0000-000067000000}"/>
    <cellStyle name="警告文 2" xfId="88" xr:uid="{00000000-0005-0000-0000-000068000000}"/>
    <cellStyle name="桁区切り 2" xfId="111" xr:uid="{00000000-0005-0000-0000-000069000000}"/>
    <cellStyle name="桁区切り 2 2" xfId="135" xr:uid="{00000000-0005-0000-0000-00006A000000}"/>
    <cellStyle name="桁区切り 3" xfId="112" xr:uid="{00000000-0005-0000-0000-00006B000000}"/>
    <cellStyle name="桁区切り 4" xfId="113" xr:uid="{00000000-0005-0000-0000-00006C000000}"/>
    <cellStyle name="見出し 1 2" xfId="89" xr:uid="{00000000-0005-0000-0000-00006D000000}"/>
    <cellStyle name="見出し 2 2" xfId="90" xr:uid="{00000000-0005-0000-0000-00006E000000}"/>
    <cellStyle name="見出し 3 2" xfId="91" xr:uid="{00000000-0005-0000-0000-00006F000000}"/>
    <cellStyle name="見出し 4 2" xfId="92" xr:uid="{00000000-0005-0000-0000-000070000000}"/>
    <cellStyle name="集計 2" xfId="93" xr:uid="{00000000-0005-0000-0000-000071000000}"/>
    <cellStyle name="集計 2 2" xfId="131" xr:uid="{00000000-0005-0000-0000-000072000000}"/>
    <cellStyle name="集計 2 3" xfId="142" xr:uid="{00000000-0005-0000-0000-000073000000}"/>
    <cellStyle name="出力 2" xfId="94" xr:uid="{00000000-0005-0000-0000-000074000000}"/>
    <cellStyle name="出力 2 2" xfId="132" xr:uid="{00000000-0005-0000-0000-000075000000}"/>
    <cellStyle name="出力 2 3" xfId="143" xr:uid="{00000000-0005-0000-0000-000076000000}"/>
    <cellStyle name="状態遷移図" xfId="95" xr:uid="{00000000-0005-0000-0000-000077000000}"/>
    <cellStyle name="説明文 2" xfId="96" xr:uid="{00000000-0005-0000-0000-000078000000}"/>
    <cellStyle name="入力 2" xfId="97" xr:uid="{00000000-0005-0000-0000-000079000000}"/>
    <cellStyle name="入力 2 2" xfId="134" xr:uid="{00000000-0005-0000-0000-00007A000000}"/>
    <cellStyle name="入力 2 3" xfId="144" xr:uid="{00000000-0005-0000-0000-00007B000000}"/>
    <cellStyle name="標準" xfId="0" builtinId="0"/>
    <cellStyle name="標準 2" xfId="98" xr:uid="{00000000-0005-0000-0000-00007D000000}"/>
    <cellStyle name="標準 2 2" xfId="105" xr:uid="{00000000-0005-0000-0000-00007E000000}"/>
    <cellStyle name="標準 2 2 2" xfId="114" xr:uid="{00000000-0005-0000-0000-00007F000000}"/>
    <cellStyle name="標準 2 2 3" xfId="115" xr:uid="{00000000-0005-0000-0000-000080000000}"/>
    <cellStyle name="標準 2 3" xfId="116" xr:uid="{00000000-0005-0000-0000-000081000000}"/>
    <cellStyle name="標準 2 4" xfId="117" xr:uid="{00000000-0005-0000-0000-000082000000}"/>
    <cellStyle name="標準 2_デモ／空メールエントリーシステム＿メモ" xfId="108" xr:uid="{00000000-0005-0000-0000-000083000000}"/>
    <cellStyle name="標準 3" xfId="99" xr:uid="{00000000-0005-0000-0000-000084000000}"/>
    <cellStyle name="標準 3 2" xfId="118" xr:uid="{00000000-0005-0000-0000-000085000000}"/>
    <cellStyle name="標準 4" xfId="100" xr:uid="{00000000-0005-0000-0000-000086000000}"/>
    <cellStyle name="標準 4 2" xfId="119" xr:uid="{00000000-0005-0000-0000-000087000000}"/>
    <cellStyle name="標準 5" xfId="1" xr:uid="{00000000-0005-0000-0000-000088000000}"/>
    <cellStyle name="標準 5 2" xfId="120" xr:uid="{00000000-0005-0000-0000-000089000000}"/>
    <cellStyle name="標準 6" xfId="121" xr:uid="{00000000-0005-0000-0000-00008A000000}"/>
    <cellStyle name="標準 7" xfId="122" xr:uid="{00000000-0005-0000-0000-00008B000000}"/>
    <cellStyle name="標準 8" xfId="123" xr:uid="{00000000-0005-0000-0000-00008C000000}"/>
    <cellStyle name="標準_開発計画_110720_v11" xfId="101" xr:uid="{00000000-0005-0000-0000-00008D000000}"/>
    <cellStyle name="標準_朝日生命_バースデーキャンペーン_DB設計書_080415_社内_情報活用セミナー_Createテキストデータ設計書_081107-2" xfId="102" xr:uid="{00000000-0005-0000-0000-00008E000000}"/>
    <cellStyle name="未定義" xfId="103" xr:uid="{00000000-0005-0000-0000-00008F000000}"/>
    <cellStyle name="良い 2" xfId="104" xr:uid="{00000000-0005-0000-0000-00009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56022</xdr:colOff>
      <xdr:row>14</xdr:row>
      <xdr:rowOff>78457</xdr:rowOff>
    </xdr:from>
    <xdr:to>
      <xdr:col>19</xdr:col>
      <xdr:colOff>180575</xdr:colOff>
      <xdr:row>16</xdr:row>
      <xdr:rowOff>78438</xdr:rowOff>
    </xdr:to>
    <xdr:sp macro="" textlink="">
      <xdr:nvSpPr>
        <xdr:cNvPr id="7" name="角丸四角形吹き出し 17">
          <a:extLst>
            <a:ext uri="{FF2B5EF4-FFF2-40B4-BE49-F238E27FC236}">
              <a16:creationId xmlns:a16="http://schemas.microsoft.com/office/drawing/2014/main" id="{0BB28693-8FDF-40F7-BD4D-A057BD11F359}"/>
            </a:ext>
          </a:extLst>
        </xdr:cNvPr>
        <xdr:cNvSpPr/>
      </xdr:nvSpPr>
      <xdr:spPr>
        <a:xfrm>
          <a:off x="2700610" y="2431692"/>
          <a:ext cx="1334789" cy="336158"/>
        </a:xfrm>
        <a:prstGeom prst="wedgeRoundRectCallout">
          <a:avLst>
            <a:gd name="adj1" fmla="val -58575"/>
            <a:gd name="adj2" fmla="val -111008"/>
            <a:gd name="adj3" fmla="val 16667"/>
          </a:avLst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600">
              <a:solidFill>
                <a:srgbClr val="FF0000"/>
              </a:solidFill>
            </a:rPr>
            <a:t>助成金カテゴリの表示を削除</a:t>
          </a:r>
          <a:endParaRPr kumimoji="1" lang="en-US" altLang="ja-JP" sz="6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</xdr:col>
      <xdr:colOff>24853</xdr:colOff>
      <xdr:row>6</xdr:row>
      <xdr:rowOff>57981</xdr:rowOff>
    </xdr:from>
    <xdr:to>
      <xdr:col>36</xdr:col>
      <xdr:colOff>1050</xdr:colOff>
      <xdr:row>23</xdr:row>
      <xdr:rowOff>8284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232A48E-1DB0-4529-9E8C-DF316B43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46" t="13248" r="5694" b="37069"/>
        <a:stretch/>
      </xdr:blipFill>
      <xdr:spPr>
        <a:xfrm>
          <a:off x="455549" y="1101590"/>
          <a:ext cx="6718903" cy="290719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6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67" t="s">
        <v>63</v>
      </c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68" t="s">
        <v>19</v>
      </c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69"/>
      <c r="AB15" s="69"/>
      <c r="AC15" s="69"/>
      <c r="AD15" s="69"/>
      <c r="AE15" s="69"/>
      <c r="AF15" s="6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"第"&amp;TEXT(MAX(更新履歴!A8:I173),"#0.0")&amp;"版"</f>
        <v>第1.3版</v>
      </c>
      <c r="Y17" s="34"/>
      <c r="Z17" s="34"/>
      <c r="AA17" s="70">
        <f>MAX(更新履歴!J8:Q173)</f>
        <v>42746</v>
      </c>
      <c r="AB17" s="70"/>
      <c r="AC17" s="70"/>
      <c r="AD17" s="70"/>
      <c r="AE17" s="70"/>
      <c r="AF17" s="70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70"/>
      <c r="AB19" s="70"/>
      <c r="AC19" s="70"/>
      <c r="AD19" s="70"/>
      <c r="AE19" s="70"/>
      <c r="AF19" s="70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71" t="s">
        <v>6</v>
      </c>
      <c r="V20" s="72"/>
      <c r="W20" s="72"/>
      <c r="X20" s="72"/>
      <c r="Y20" s="73"/>
      <c r="Z20" s="74" t="s">
        <v>7</v>
      </c>
      <c r="AA20" s="75"/>
      <c r="AB20" s="75"/>
      <c r="AC20" s="75"/>
      <c r="AD20" s="76"/>
      <c r="AE20" s="71" t="s">
        <v>8</v>
      </c>
      <c r="AF20" s="72"/>
      <c r="AG20" s="72"/>
      <c r="AH20" s="72"/>
      <c r="AI20" s="73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6"/>
  <sheetViews>
    <sheetView showGridLines="0" view="pageBreakPreview" zoomScale="85" zoomScaleNormal="85" zoomScaleSheetLayoutView="85" workbookViewId="0">
      <selection sqref="A1:I1"/>
    </sheetView>
  </sheetViews>
  <sheetFormatPr defaultColWidth="2.77734375" defaultRowHeight="13.5" customHeight="1"/>
  <cols>
    <col min="1" max="55" width="2.6640625" style="31" customWidth="1"/>
    <col min="56" max="237" width="2.77734375" style="31"/>
    <col min="238" max="301" width="2.6640625" style="31" customWidth="1"/>
    <col min="302" max="493" width="2.77734375" style="31"/>
    <col min="494" max="557" width="2.6640625" style="31" customWidth="1"/>
    <col min="558" max="749" width="2.77734375" style="31"/>
    <col min="750" max="813" width="2.6640625" style="31" customWidth="1"/>
    <col min="814" max="1005" width="2.77734375" style="31"/>
    <col min="1006" max="1069" width="2.6640625" style="31" customWidth="1"/>
    <col min="1070" max="1261" width="2.77734375" style="31"/>
    <col min="1262" max="1325" width="2.6640625" style="31" customWidth="1"/>
    <col min="1326" max="1517" width="2.77734375" style="31"/>
    <col min="1518" max="1581" width="2.6640625" style="31" customWidth="1"/>
    <col min="1582" max="1773" width="2.77734375" style="31"/>
    <col min="1774" max="1837" width="2.6640625" style="31" customWidth="1"/>
    <col min="1838" max="2029" width="2.77734375" style="31"/>
    <col min="2030" max="2093" width="2.6640625" style="31" customWidth="1"/>
    <col min="2094" max="2285" width="2.77734375" style="31"/>
    <col min="2286" max="2349" width="2.6640625" style="31" customWidth="1"/>
    <col min="2350" max="2541" width="2.77734375" style="31"/>
    <col min="2542" max="2605" width="2.6640625" style="31" customWidth="1"/>
    <col min="2606" max="2797" width="2.77734375" style="31"/>
    <col min="2798" max="2861" width="2.6640625" style="31" customWidth="1"/>
    <col min="2862" max="3053" width="2.77734375" style="31"/>
    <col min="3054" max="3117" width="2.6640625" style="31" customWidth="1"/>
    <col min="3118" max="3309" width="2.77734375" style="31"/>
    <col min="3310" max="3373" width="2.6640625" style="31" customWidth="1"/>
    <col min="3374" max="3565" width="2.77734375" style="31"/>
    <col min="3566" max="3629" width="2.6640625" style="31" customWidth="1"/>
    <col min="3630" max="3821" width="2.77734375" style="31"/>
    <col min="3822" max="3885" width="2.6640625" style="31" customWidth="1"/>
    <col min="3886" max="4077" width="2.77734375" style="31"/>
    <col min="4078" max="4141" width="2.6640625" style="31" customWidth="1"/>
    <col min="4142" max="4333" width="2.77734375" style="31"/>
    <col min="4334" max="4397" width="2.6640625" style="31" customWidth="1"/>
    <col min="4398" max="4589" width="2.77734375" style="31"/>
    <col min="4590" max="4653" width="2.6640625" style="31" customWidth="1"/>
    <col min="4654" max="4845" width="2.77734375" style="31"/>
    <col min="4846" max="4909" width="2.6640625" style="31" customWidth="1"/>
    <col min="4910" max="5101" width="2.77734375" style="31"/>
    <col min="5102" max="5165" width="2.6640625" style="31" customWidth="1"/>
    <col min="5166" max="5357" width="2.77734375" style="31"/>
    <col min="5358" max="5421" width="2.6640625" style="31" customWidth="1"/>
    <col min="5422" max="5613" width="2.77734375" style="31"/>
    <col min="5614" max="5677" width="2.6640625" style="31" customWidth="1"/>
    <col min="5678" max="5869" width="2.77734375" style="31"/>
    <col min="5870" max="5933" width="2.6640625" style="31" customWidth="1"/>
    <col min="5934" max="6125" width="2.77734375" style="31"/>
    <col min="6126" max="6189" width="2.6640625" style="31" customWidth="1"/>
    <col min="6190" max="6381" width="2.77734375" style="31"/>
    <col min="6382" max="6445" width="2.6640625" style="31" customWidth="1"/>
    <col min="6446" max="6637" width="2.77734375" style="31"/>
    <col min="6638" max="6701" width="2.6640625" style="31" customWidth="1"/>
    <col min="6702" max="6893" width="2.77734375" style="31"/>
    <col min="6894" max="6957" width="2.6640625" style="31" customWidth="1"/>
    <col min="6958" max="7149" width="2.77734375" style="31"/>
    <col min="7150" max="7213" width="2.6640625" style="31" customWidth="1"/>
    <col min="7214" max="7405" width="2.77734375" style="31"/>
    <col min="7406" max="7469" width="2.6640625" style="31" customWidth="1"/>
    <col min="7470" max="7661" width="2.77734375" style="31"/>
    <col min="7662" max="7725" width="2.6640625" style="31" customWidth="1"/>
    <col min="7726" max="7917" width="2.77734375" style="31"/>
    <col min="7918" max="7981" width="2.6640625" style="31" customWidth="1"/>
    <col min="7982" max="8173" width="2.77734375" style="31"/>
    <col min="8174" max="8237" width="2.6640625" style="31" customWidth="1"/>
    <col min="8238" max="8429" width="2.77734375" style="31"/>
    <col min="8430" max="8493" width="2.6640625" style="31" customWidth="1"/>
    <col min="8494" max="8685" width="2.77734375" style="31"/>
    <col min="8686" max="8749" width="2.6640625" style="31" customWidth="1"/>
    <col min="8750" max="8941" width="2.77734375" style="31"/>
    <col min="8942" max="9005" width="2.6640625" style="31" customWidth="1"/>
    <col min="9006" max="9197" width="2.77734375" style="31"/>
    <col min="9198" max="9261" width="2.6640625" style="31" customWidth="1"/>
    <col min="9262" max="9453" width="2.77734375" style="31"/>
    <col min="9454" max="9517" width="2.6640625" style="31" customWidth="1"/>
    <col min="9518" max="9709" width="2.77734375" style="31"/>
    <col min="9710" max="9773" width="2.6640625" style="31" customWidth="1"/>
    <col min="9774" max="9965" width="2.77734375" style="31"/>
    <col min="9966" max="10029" width="2.6640625" style="31" customWidth="1"/>
    <col min="10030" max="10221" width="2.77734375" style="31"/>
    <col min="10222" max="10285" width="2.6640625" style="31" customWidth="1"/>
    <col min="10286" max="10477" width="2.77734375" style="31"/>
    <col min="10478" max="10541" width="2.6640625" style="31" customWidth="1"/>
    <col min="10542" max="10733" width="2.77734375" style="31"/>
    <col min="10734" max="10797" width="2.6640625" style="31" customWidth="1"/>
    <col min="10798" max="10989" width="2.77734375" style="31"/>
    <col min="10990" max="11053" width="2.6640625" style="31" customWidth="1"/>
    <col min="11054" max="11245" width="2.77734375" style="31"/>
    <col min="11246" max="11309" width="2.6640625" style="31" customWidth="1"/>
    <col min="11310" max="11501" width="2.77734375" style="31"/>
    <col min="11502" max="11565" width="2.6640625" style="31" customWidth="1"/>
    <col min="11566" max="11757" width="2.77734375" style="31"/>
    <col min="11758" max="11821" width="2.6640625" style="31" customWidth="1"/>
    <col min="11822" max="12013" width="2.77734375" style="31"/>
    <col min="12014" max="12077" width="2.6640625" style="31" customWidth="1"/>
    <col min="12078" max="12269" width="2.77734375" style="31"/>
    <col min="12270" max="12333" width="2.6640625" style="31" customWidth="1"/>
    <col min="12334" max="12525" width="2.77734375" style="31"/>
    <col min="12526" max="12589" width="2.6640625" style="31" customWidth="1"/>
    <col min="12590" max="12781" width="2.77734375" style="31"/>
    <col min="12782" max="12845" width="2.6640625" style="31" customWidth="1"/>
    <col min="12846" max="13037" width="2.77734375" style="31"/>
    <col min="13038" max="13101" width="2.6640625" style="31" customWidth="1"/>
    <col min="13102" max="13293" width="2.77734375" style="31"/>
    <col min="13294" max="13357" width="2.6640625" style="31" customWidth="1"/>
    <col min="13358" max="13549" width="2.77734375" style="31"/>
    <col min="13550" max="13613" width="2.6640625" style="31" customWidth="1"/>
    <col min="13614" max="13805" width="2.77734375" style="31"/>
    <col min="13806" max="13869" width="2.6640625" style="31" customWidth="1"/>
    <col min="13870" max="14061" width="2.77734375" style="31"/>
    <col min="14062" max="14125" width="2.6640625" style="31" customWidth="1"/>
    <col min="14126" max="14317" width="2.77734375" style="31"/>
    <col min="14318" max="14381" width="2.6640625" style="31" customWidth="1"/>
    <col min="14382" max="14573" width="2.77734375" style="31"/>
    <col min="14574" max="14637" width="2.6640625" style="31" customWidth="1"/>
    <col min="14638" max="14829" width="2.77734375" style="31"/>
    <col min="14830" max="14893" width="2.6640625" style="31" customWidth="1"/>
    <col min="14894" max="15085" width="2.77734375" style="31"/>
    <col min="15086" max="15149" width="2.6640625" style="31" customWidth="1"/>
    <col min="15150" max="15341" width="2.77734375" style="31"/>
    <col min="15342" max="15405" width="2.6640625" style="31" customWidth="1"/>
    <col min="15406" max="15597" width="2.77734375" style="31"/>
    <col min="15598" max="15661" width="2.6640625" style="31" customWidth="1"/>
    <col min="15662" max="15853" width="2.77734375" style="31"/>
    <col min="15854" max="15917" width="2.6640625" style="31" customWidth="1"/>
    <col min="15918" max="16109" width="2.77734375" style="31"/>
    <col min="16110" max="16173" width="2.6640625" style="31" customWidth="1"/>
    <col min="16174" max="16384" width="2.77734375" style="31"/>
  </cols>
  <sheetData>
    <row r="1" spans="1:55" s="25" customFormat="1" ht="13.5" customHeight="1">
      <c r="A1" s="191" t="s">
        <v>0</v>
      </c>
      <c r="B1" s="160"/>
      <c r="C1" s="160"/>
      <c r="D1" s="160"/>
      <c r="E1" s="160"/>
      <c r="F1" s="161"/>
      <c r="G1" s="161"/>
      <c r="H1" s="161"/>
      <c r="I1" s="192"/>
      <c r="J1" s="193" t="s">
        <v>1</v>
      </c>
      <c r="K1" s="160"/>
      <c r="L1" s="160"/>
      <c r="M1" s="160"/>
      <c r="N1" s="160"/>
      <c r="O1" s="161"/>
      <c r="P1" s="161"/>
      <c r="Q1" s="161"/>
      <c r="R1" s="194" t="str">
        <f>表紙!S12</f>
        <v>画面レイアウト設計書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6"/>
      <c r="AJ1" s="197" t="s">
        <v>2</v>
      </c>
      <c r="AK1" s="198"/>
      <c r="AL1" s="198"/>
      <c r="AM1" s="198"/>
      <c r="AN1" s="198"/>
      <c r="AO1" s="199" t="s">
        <v>3</v>
      </c>
      <c r="AP1" s="198"/>
      <c r="AQ1" s="198"/>
      <c r="AR1" s="198"/>
      <c r="AS1" s="198"/>
      <c r="AT1" s="199" t="s">
        <v>4</v>
      </c>
      <c r="AU1" s="198"/>
      <c r="AV1" s="198"/>
      <c r="AW1" s="198"/>
      <c r="AX1" s="198"/>
      <c r="AY1" s="160" t="s">
        <v>5</v>
      </c>
      <c r="AZ1" s="161"/>
      <c r="BA1" s="161"/>
      <c r="BB1" s="161"/>
      <c r="BC1" s="162"/>
    </row>
    <row r="2" spans="1:55" s="25" customFormat="1" ht="13.5" customHeight="1">
      <c r="A2" s="163">
        <f>表紙!O10</f>
        <v>0</v>
      </c>
      <c r="B2" s="164"/>
      <c r="C2" s="164"/>
      <c r="D2" s="164"/>
      <c r="E2" s="164"/>
      <c r="F2" s="165"/>
      <c r="G2" s="165"/>
      <c r="H2" s="165"/>
      <c r="I2" s="166"/>
      <c r="J2" s="171" t="str">
        <f>表紙!O9</f>
        <v>LMS学習管理システム</v>
      </c>
      <c r="K2" s="164"/>
      <c r="L2" s="164"/>
      <c r="M2" s="164"/>
      <c r="N2" s="164"/>
      <c r="O2" s="165"/>
      <c r="P2" s="165"/>
      <c r="Q2" s="172"/>
      <c r="R2" s="175" t="s">
        <v>9</v>
      </c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7"/>
      <c r="AJ2" s="181" t="s">
        <v>36</v>
      </c>
      <c r="AK2" s="182"/>
      <c r="AL2" s="182"/>
      <c r="AM2" s="182"/>
      <c r="AN2" s="182"/>
      <c r="AO2" s="185">
        <v>42660</v>
      </c>
      <c r="AP2" s="182"/>
      <c r="AQ2" s="182"/>
      <c r="AR2" s="182"/>
      <c r="AS2" s="182"/>
      <c r="AT2" s="181" t="s">
        <v>64</v>
      </c>
      <c r="AU2" s="182"/>
      <c r="AV2" s="182"/>
      <c r="AW2" s="182"/>
      <c r="AX2" s="182"/>
      <c r="AY2" s="186">
        <v>43111</v>
      </c>
      <c r="AZ2" s="187"/>
      <c r="BA2" s="187"/>
      <c r="BB2" s="187"/>
      <c r="BC2" s="188"/>
    </row>
    <row r="3" spans="1:55" s="25" customFormat="1" ht="13.5" customHeight="1" thickBot="1">
      <c r="A3" s="167"/>
      <c r="B3" s="168"/>
      <c r="C3" s="168"/>
      <c r="D3" s="168"/>
      <c r="E3" s="168"/>
      <c r="F3" s="169"/>
      <c r="G3" s="169"/>
      <c r="H3" s="169"/>
      <c r="I3" s="170"/>
      <c r="J3" s="173"/>
      <c r="K3" s="168"/>
      <c r="L3" s="168"/>
      <c r="M3" s="168"/>
      <c r="N3" s="168"/>
      <c r="O3" s="169"/>
      <c r="P3" s="169"/>
      <c r="Q3" s="174"/>
      <c r="R3" s="178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80"/>
      <c r="AJ3" s="183"/>
      <c r="AK3" s="184"/>
      <c r="AL3" s="184"/>
      <c r="AM3" s="184"/>
      <c r="AN3" s="184"/>
      <c r="AO3" s="184"/>
      <c r="AP3" s="184"/>
      <c r="AQ3" s="184"/>
      <c r="AR3" s="184"/>
      <c r="AS3" s="184"/>
      <c r="AT3" s="183"/>
      <c r="AU3" s="184"/>
      <c r="AV3" s="184"/>
      <c r="AW3" s="184"/>
      <c r="AX3" s="184"/>
      <c r="AY3" s="189"/>
      <c r="AZ3" s="189"/>
      <c r="BA3" s="189"/>
      <c r="BB3" s="189"/>
      <c r="BC3" s="190"/>
    </row>
    <row r="4" spans="1:55" ht="13.5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P4" s="28"/>
      <c r="Q4" s="29"/>
      <c r="R4" s="29"/>
      <c r="S4" s="29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27"/>
      <c r="AQ4" s="27"/>
      <c r="AR4" s="27"/>
      <c r="AS4" s="27"/>
      <c r="AT4" s="27"/>
      <c r="AU4" s="28"/>
      <c r="AV4" s="28"/>
      <c r="AW4" s="28"/>
      <c r="AX4" s="30"/>
      <c r="AY4" s="28"/>
      <c r="AZ4" s="28"/>
      <c r="BA4" s="30"/>
      <c r="BB4" s="30"/>
      <c r="BC4" s="26"/>
    </row>
    <row r="5" spans="1:55" s="32" customFormat="1" ht="13.5" customHeight="1">
      <c r="A5" s="145" t="s">
        <v>10</v>
      </c>
      <c r="B5" s="146"/>
      <c r="C5" s="146"/>
      <c r="D5" s="146"/>
      <c r="E5" s="146"/>
      <c r="F5" s="146"/>
      <c r="G5" s="146"/>
      <c r="H5" s="146"/>
      <c r="I5" s="147"/>
      <c r="J5" s="154" t="s">
        <v>11</v>
      </c>
      <c r="K5" s="146"/>
      <c r="L5" s="146"/>
      <c r="M5" s="146"/>
      <c r="N5" s="146"/>
      <c r="O5" s="146"/>
      <c r="P5" s="146"/>
      <c r="Q5" s="147"/>
      <c r="R5" s="154" t="s">
        <v>12</v>
      </c>
      <c r="S5" s="146"/>
      <c r="T5" s="146"/>
      <c r="U5" s="147"/>
      <c r="V5" s="154" t="s">
        <v>13</v>
      </c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7"/>
      <c r="AT5" s="154" t="s">
        <v>14</v>
      </c>
      <c r="AU5" s="146"/>
      <c r="AV5" s="146"/>
      <c r="AW5" s="146"/>
      <c r="AX5" s="146"/>
      <c r="AY5" s="146"/>
      <c r="AZ5" s="146"/>
      <c r="BA5" s="146"/>
      <c r="BB5" s="146"/>
      <c r="BC5" s="157"/>
    </row>
    <row r="6" spans="1:55" s="33" customFormat="1" ht="13.5" customHeight="1">
      <c r="A6" s="148"/>
      <c r="B6" s="149"/>
      <c r="C6" s="149"/>
      <c r="D6" s="149"/>
      <c r="E6" s="149"/>
      <c r="F6" s="149"/>
      <c r="G6" s="149"/>
      <c r="H6" s="149"/>
      <c r="I6" s="150"/>
      <c r="J6" s="155"/>
      <c r="K6" s="149"/>
      <c r="L6" s="149"/>
      <c r="M6" s="149"/>
      <c r="N6" s="149"/>
      <c r="O6" s="149"/>
      <c r="P6" s="149"/>
      <c r="Q6" s="150"/>
      <c r="R6" s="155"/>
      <c r="S6" s="149"/>
      <c r="T6" s="149"/>
      <c r="U6" s="150"/>
      <c r="V6" s="155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50"/>
      <c r="AT6" s="155"/>
      <c r="AU6" s="149"/>
      <c r="AV6" s="149"/>
      <c r="AW6" s="149"/>
      <c r="AX6" s="149"/>
      <c r="AY6" s="149"/>
      <c r="AZ6" s="149"/>
      <c r="BA6" s="149"/>
      <c r="BB6" s="149"/>
      <c r="BC6" s="158"/>
    </row>
    <row r="7" spans="1:55" s="33" customFormat="1" ht="13.5" customHeight="1" thickBot="1">
      <c r="A7" s="151"/>
      <c r="B7" s="152"/>
      <c r="C7" s="152"/>
      <c r="D7" s="152"/>
      <c r="E7" s="152"/>
      <c r="F7" s="152"/>
      <c r="G7" s="152"/>
      <c r="H7" s="152"/>
      <c r="I7" s="153"/>
      <c r="J7" s="156"/>
      <c r="K7" s="152"/>
      <c r="L7" s="152"/>
      <c r="M7" s="152"/>
      <c r="N7" s="152"/>
      <c r="O7" s="152"/>
      <c r="P7" s="152"/>
      <c r="Q7" s="153"/>
      <c r="R7" s="156"/>
      <c r="S7" s="152"/>
      <c r="T7" s="152"/>
      <c r="U7" s="153"/>
      <c r="V7" s="156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3"/>
      <c r="AT7" s="156"/>
      <c r="AU7" s="152"/>
      <c r="AV7" s="152"/>
      <c r="AW7" s="152"/>
      <c r="AX7" s="152"/>
      <c r="AY7" s="152"/>
      <c r="AZ7" s="152"/>
      <c r="BA7" s="152"/>
      <c r="BB7" s="152"/>
      <c r="BC7" s="159"/>
    </row>
    <row r="8" spans="1:55" s="33" customFormat="1" ht="13.5" customHeight="1" thickTop="1">
      <c r="A8" s="141">
        <v>1</v>
      </c>
      <c r="B8" s="78"/>
      <c r="C8" s="78"/>
      <c r="D8" s="78"/>
      <c r="E8" s="78"/>
      <c r="F8" s="78"/>
      <c r="G8" s="78"/>
      <c r="H8" s="78"/>
      <c r="I8" s="89"/>
      <c r="J8" s="142">
        <v>42660</v>
      </c>
      <c r="K8" s="80"/>
      <c r="L8" s="80"/>
      <c r="M8" s="80"/>
      <c r="N8" s="80"/>
      <c r="O8" s="80"/>
      <c r="P8" s="80"/>
      <c r="Q8" s="97"/>
      <c r="R8" s="144" t="s">
        <v>15</v>
      </c>
      <c r="S8" s="82"/>
      <c r="T8" s="82"/>
      <c r="U8" s="105"/>
      <c r="V8" s="112" t="s">
        <v>16</v>
      </c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132"/>
      <c r="AT8" s="144" t="s">
        <v>39</v>
      </c>
      <c r="AU8" s="82"/>
      <c r="AV8" s="82"/>
      <c r="AW8" s="82"/>
      <c r="AX8" s="82"/>
      <c r="AY8" s="82"/>
      <c r="AZ8" s="82"/>
      <c r="BA8" s="82"/>
      <c r="BB8" s="82"/>
      <c r="BC8" s="118"/>
    </row>
    <row r="9" spans="1:55" s="33" customFormat="1" ht="13.5" customHeight="1">
      <c r="A9" s="88"/>
      <c r="B9" s="78"/>
      <c r="C9" s="78"/>
      <c r="D9" s="78"/>
      <c r="E9" s="78"/>
      <c r="F9" s="78"/>
      <c r="G9" s="78"/>
      <c r="H9" s="78"/>
      <c r="I9" s="89"/>
      <c r="J9" s="96"/>
      <c r="K9" s="80"/>
      <c r="L9" s="80"/>
      <c r="M9" s="80"/>
      <c r="N9" s="80"/>
      <c r="O9" s="80"/>
      <c r="P9" s="80"/>
      <c r="Q9" s="97"/>
      <c r="R9" s="104"/>
      <c r="S9" s="82"/>
      <c r="T9" s="82"/>
      <c r="U9" s="105"/>
      <c r="V9" s="131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132"/>
      <c r="AT9" s="104"/>
      <c r="AU9" s="82"/>
      <c r="AV9" s="82"/>
      <c r="AW9" s="82"/>
      <c r="AX9" s="82"/>
      <c r="AY9" s="82"/>
      <c r="AZ9" s="82"/>
      <c r="BA9" s="82"/>
      <c r="BB9" s="82"/>
      <c r="BC9" s="118"/>
    </row>
    <row r="10" spans="1:55" s="33" customFormat="1" ht="13.5" customHeight="1">
      <c r="A10" s="90"/>
      <c r="B10" s="91"/>
      <c r="C10" s="91"/>
      <c r="D10" s="91"/>
      <c r="E10" s="91"/>
      <c r="F10" s="91"/>
      <c r="G10" s="91"/>
      <c r="H10" s="91"/>
      <c r="I10" s="92"/>
      <c r="J10" s="98"/>
      <c r="K10" s="99"/>
      <c r="L10" s="99"/>
      <c r="M10" s="99"/>
      <c r="N10" s="99"/>
      <c r="O10" s="99"/>
      <c r="P10" s="99"/>
      <c r="Q10" s="100"/>
      <c r="R10" s="106"/>
      <c r="S10" s="107"/>
      <c r="T10" s="107"/>
      <c r="U10" s="108"/>
      <c r="V10" s="138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40"/>
      <c r="AT10" s="106"/>
      <c r="AU10" s="107"/>
      <c r="AV10" s="107"/>
      <c r="AW10" s="107"/>
      <c r="AX10" s="107"/>
      <c r="AY10" s="107"/>
      <c r="AZ10" s="107"/>
      <c r="BA10" s="107"/>
      <c r="BB10" s="107"/>
      <c r="BC10" s="119"/>
    </row>
    <row r="11" spans="1:55" s="33" customFormat="1" ht="13.5" customHeight="1">
      <c r="A11" s="85">
        <v>1.1000000000000001</v>
      </c>
      <c r="B11" s="86"/>
      <c r="C11" s="86"/>
      <c r="D11" s="86"/>
      <c r="E11" s="86"/>
      <c r="F11" s="86"/>
      <c r="G11" s="86"/>
      <c r="H11" s="86"/>
      <c r="I11" s="87"/>
      <c r="J11" s="93">
        <v>42683</v>
      </c>
      <c r="K11" s="94"/>
      <c r="L11" s="94"/>
      <c r="M11" s="94"/>
      <c r="N11" s="94"/>
      <c r="O11" s="94"/>
      <c r="P11" s="94"/>
      <c r="Q11" s="95"/>
      <c r="R11" s="101" t="s">
        <v>55</v>
      </c>
      <c r="S11" s="102"/>
      <c r="T11" s="102"/>
      <c r="U11" s="103"/>
      <c r="V11" s="109" t="s">
        <v>56</v>
      </c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30"/>
      <c r="AT11" s="144" t="s">
        <v>57</v>
      </c>
      <c r="AU11" s="82"/>
      <c r="AV11" s="82"/>
      <c r="AW11" s="82"/>
      <c r="AX11" s="82"/>
      <c r="AY11" s="82"/>
      <c r="AZ11" s="82"/>
      <c r="BA11" s="82"/>
      <c r="BB11" s="82"/>
      <c r="BC11" s="118"/>
    </row>
    <row r="12" spans="1:55" s="33" customFormat="1" ht="13.5" customHeight="1">
      <c r="A12" s="88"/>
      <c r="B12" s="78"/>
      <c r="C12" s="78"/>
      <c r="D12" s="78"/>
      <c r="E12" s="78"/>
      <c r="F12" s="78"/>
      <c r="G12" s="78"/>
      <c r="H12" s="78"/>
      <c r="I12" s="89"/>
      <c r="J12" s="96"/>
      <c r="K12" s="80"/>
      <c r="L12" s="80"/>
      <c r="M12" s="80"/>
      <c r="N12" s="80"/>
      <c r="O12" s="80"/>
      <c r="P12" s="80"/>
      <c r="Q12" s="97"/>
      <c r="R12" s="104"/>
      <c r="S12" s="82"/>
      <c r="T12" s="82"/>
      <c r="U12" s="105"/>
      <c r="V12" s="131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132"/>
      <c r="AT12" s="104"/>
      <c r="AU12" s="82"/>
      <c r="AV12" s="82"/>
      <c r="AW12" s="82"/>
      <c r="AX12" s="82"/>
      <c r="AY12" s="82"/>
      <c r="AZ12" s="82"/>
      <c r="BA12" s="82"/>
      <c r="BB12" s="82"/>
      <c r="BC12" s="118"/>
    </row>
    <row r="13" spans="1:55" s="33" customFormat="1" ht="13.5" customHeight="1">
      <c r="A13" s="90"/>
      <c r="B13" s="91"/>
      <c r="C13" s="91"/>
      <c r="D13" s="91"/>
      <c r="E13" s="91"/>
      <c r="F13" s="91"/>
      <c r="G13" s="91"/>
      <c r="H13" s="91"/>
      <c r="I13" s="92"/>
      <c r="J13" s="98"/>
      <c r="K13" s="99"/>
      <c r="L13" s="99"/>
      <c r="M13" s="99"/>
      <c r="N13" s="99"/>
      <c r="O13" s="99"/>
      <c r="P13" s="99"/>
      <c r="Q13" s="100"/>
      <c r="R13" s="106"/>
      <c r="S13" s="107"/>
      <c r="T13" s="107"/>
      <c r="U13" s="108"/>
      <c r="V13" s="138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40"/>
      <c r="AT13" s="106"/>
      <c r="AU13" s="107"/>
      <c r="AV13" s="107"/>
      <c r="AW13" s="107"/>
      <c r="AX13" s="107"/>
      <c r="AY13" s="107"/>
      <c r="AZ13" s="107"/>
      <c r="BA13" s="107"/>
      <c r="BB13" s="107"/>
      <c r="BC13" s="119"/>
    </row>
    <row r="14" spans="1:55" s="33" customFormat="1" ht="13.5" customHeight="1">
      <c r="A14" s="85">
        <v>1.2</v>
      </c>
      <c r="B14" s="86"/>
      <c r="C14" s="86"/>
      <c r="D14" s="86"/>
      <c r="E14" s="86"/>
      <c r="F14" s="86"/>
      <c r="G14" s="86"/>
      <c r="H14" s="86"/>
      <c r="I14" s="87"/>
      <c r="J14" s="93">
        <v>42698</v>
      </c>
      <c r="K14" s="94"/>
      <c r="L14" s="94"/>
      <c r="M14" s="94"/>
      <c r="N14" s="94"/>
      <c r="O14" s="94"/>
      <c r="P14" s="94"/>
      <c r="Q14" s="95"/>
      <c r="R14" s="101" t="s">
        <v>58</v>
      </c>
      <c r="S14" s="102"/>
      <c r="T14" s="102"/>
      <c r="U14" s="103"/>
      <c r="V14" s="109" t="s">
        <v>60</v>
      </c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30"/>
      <c r="AT14" s="101" t="s">
        <v>59</v>
      </c>
      <c r="AU14" s="102"/>
      <c r="AV14" s="102"/>
      <c r="AW14" s="102"/>
      <c r="AX14" s="102"/>
      <c r="AY14" s="102"/>
      <c r="AZ14" s="102"/>
      <c r="BA14" s="102"/>
      <c r="BB14" s="102"/>
      <c r="BC14" s="117"/>
    </row>
    <row r="15" spans="1:55" s="33" customFormat="1" ht="13.5" customHeight="1">
      <c r="A15" s="88"/>
      <c r="B15" s="78"/>
      <c r="C15" s="78"/>
      <c r="D15" s="78"/>
      <c r="E15" s="78"/>
      <c r="F15" s="78"/>
      <c r="G15" s="78"/>
      <c r="H15" s="78"/>
      <c r="I15" s="89"/>
      <c r="J15" s="96"/>
      <c r="K15" s="80"/>
      <c r="L15" s="80"/>
      <c r="M15" s="80"/>
      <c r="N15" s="80"/>
      <c r="O15" s="80"/>
      <c r="P15" s="80"/>
      <c r="Q15" s="97"/>
      <c r="R15" s="104"/>
      <c r="S15" s="82"/>
      <c r="T15" s="82"/>
      <c r="U15" s="105"/>
      <c r="V15" s="131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132"/>
      <c r="AT15" s="104"/>
      <c r="AU15" s="82"/>
      <c r="AV15" s="82"/>
      <c r="AW15" s="82"/>
      <c r="AX15" s="82"/>
      <c r="AY15" s="82"/>
      <c r="AZ15" s="82"/>
      <c r="BA15" s="82"/>
      <c r="BB15" s="82"/>
      <c r="BC15" s="118"/>
    </row>
    <row r="16" spans="1:55" s="33" customFormat="1" ht="13.5" customHeight="1">
      <c r="A16" s="90"/>
      <c r="B16" s="91"/>
      <c r="C16" s="91"/>
      <c r="D16" s="91"/>
      <c r="E16" s="91"/>
      <c r="F16" s="91"/>
      <c r="G16" s="91"/>
      <c r="H16" s="91"/>
      <c r="I16" s="92"/>
      <c r="J16" s="98"/>
      <c r="K16" s="99"/>
      <c r="L16" s="99"/>
      <c r="M16" s="99"/>
      <c r="N16" s="99"/>
      <c r="O16" s="99"/>
      <c r="P16" s="99"/>
      <c r="Q16" s="100"/>
      <c r="R16" s="106"/>
      <c r="S16" s="107"/>
      <c r="T16" s="107"/>
      <c r="U16" s="108"/>
      <c r="V16" s="138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40"/>
      <c r="AT16" s="106"/>
      <c r="AU16" s="107"/>
      <c r="AV16" s="107"/>
      <c r="AW16" s="107"/>
      <c r="AX16" s="107"/>
      <c r="AY16" s="107"/>
      <c r="AZ16" s="107"/>
      <c r="BA16" s="107"/>
      <c r="BB16" s="107"/>
      <c r="BC16" s="119"/>
    </row>
    <row r="17" spans="1:55" s="33" customFormat="1" ht="13.5" customHeight="1">
      <c r="A17" s="85">
        <v>1.3</v>
      </c>
      <c r="B17" s="86"/>
      <c r="C17" s="86"/>
      <c r="D17" s="86"/>
      <c r="E17" s="86"/>
      <c r="F17" s="86"/>
      <c r="G17" s="86"/>
      <c r="H17" s="86"/>
      <c r="I17" s="87"/>
      <c r="J17" s="93">
        <v>42746</v>
      </c>
      <c r="K17" s="94"/>
      <c r="L17" s="94"/>
      <c r="M17" s="94"/>
      <c r="N17" s="94"/>
      <c r="O17" s="94"/>
      <c r="P17" s="94"/>
      <c r="Q17" s="95"/>
      <c r="R17" s="137" t="s">
        <v>77</v>
      </c>
      <c r="S17" s="102"/>
      <c r="T17" s="102"/>
      <c r="U17" s="103"/>
      <c r="V17" s="109" t="s">
        <v>78</v>
      </c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30"/>
      <c r="AT17" s="101" t="s">
        <v>39</v>
      </c>
      <c r="AU17" s="102"/>
      <c r="AV17" s="102"/>
      <c r="AW17" s="102"/>
      <c r="AX17" s="102"/>
      <c r="AY17" s="102"/>
      <c r="AZ17" s="102"/>
      <c r="BA17" s="102"/>
      <c r="BB17" s="102"/>
      <c r="BC17" s="117"/>
    </row>
    <row r="18" spans="1:55" s="33" customFormat="1" ht="13.5" customHeight="1">
      <c r="A18" s="141"/>
      <c r="B18" s="78"/>
      <c r="C18" s="78"/>
      <c r="D18" s="78"/>
      <c r="E18" s="78"/>
      <c r="F18" s="78"/>
      <c r="G18" s="78"/>
      <c r="H18" s="78"/>
      <c r="I18" s="89"/>
      <c r="J18" s="142"/>
      <c r="K18" s="80"/>
      <c r="L18" s="80"/>
      <c r="M18" s="80"/>
      <c r="N18" s="80"/>
      <c r="O18" s="80"/>
      <c r="P18" s="80"/>
      <c r="Q18" s="97"/>
      <c r="R18" s="143"/>
      <c r="S18" s="82"/>
      <c r="T18" s="82"/>
      <c r="U18" s="105"/>
      <c r="V18" s="112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132"/>
      <c r="AT18" s="144"/>
      <c r="AU18" s="82"/>
      <c r="AV18" s="82"/>
      <c r="AW18" s="82"/>
      <c r="AX18" s="82"/>
      <c r="AY18" s="82"/>
      <c r="AZ18" s="82"/>
      <c r="BA18" s="82"/>
      <c r="BB18" s="82"/>
      <c r="BC18" s="118"/>
    </row>
    <row r="19" spans="1:55" s="33" customFormat="1" ht="13.5" customHeight="1">
      <c r="A19" s="141"/>
      <c r="B19" s="78"/>
      <c r="C19" s="78"/>
      <c r="D19" s="78"/>
      <c r="E19" s="78"/>
      <c r="F19" s="78"/>
      <c r="G19" s="78"/>
      <c r="H19" s="78"/>
      <c r="I19" s="89"/>
      <c r="J19" s="142"/>
      <c r="K19" s="80"/>
      <c r="L19" s="80"/>
      <c r="M19" s="80"/>
      <c r="N19" s="80"/>
      <c r="O19" s="80"/>
      <c r="P19" s="80"/>
      <c r="Q19" s="97"/>
      <c r="R19" s="143"/>
      <c r="S19" s="82"/>
      <c r="T19" s="82"/>
      <c r="U19" s="105"/>
      <c r="V19" s="112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132"/>
      <c r="AT19" s="144"/>
      <c r="AU19" s="82"/>
      <c r="AV19" s="82"/>
      <c r="AW19" s="82"/>
      <c r="AX19" s="82"/>
      <c r="AY19" s="82"/>
      <c r="AZ19" s="82"/>
      <c r="BA19" s="82"/>
      <c r="BB19" s="82"/>
      <c r="BC19" s="118"/>
    </row>
    <row r="20" spans="1:55" s="33" customFormat="1" ht="13.5" customHeight="1">
      <c r="A20" s="141"/>
      <c r="B20" s="78"/>
      <c r="C20" s="78"/>
      <c r="D20" s="78"/>
      <c r="E20" s="78"/>
      <c r="F20" s="78"/>
      <c r="G20" s="78"/>
      <c r="H20" s="78"/>
      <c r="I20" s="89"/>
      <c r="J20" s="142"/>
      <c r="K20" s="80"/>
      <c r="L20" s="80"/>
      <c r="M20" s="80"/>
      <c r="N20" s="80"/>
      <c r="O20" s="80"/>
      <c r="P20" s="80"/>
      <c r="Q20" s="97"/>
      <c r="R20" s="143"/>
      <c r="S20" s="82"/>
      <c r="T20" s="82"/>
      <c r="U20" s="105"/>
      <c r="V20" s="112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132"/>
      <c r="AT20" s="144"/>
      <c r="AU20" s="82"/>
      <c r="AV20" s="82"/>
      <c r="AW20" s="82"/>
      <c r="AX20" s="82"/>
      <c r="AY20" s="82"/>
      <c r="AZ20" s="82"/>
      <c r="BA20" s="82"/>
      <c r="BB20" s="82"/>
      <c r="BC20" s="118"/>
    </row>
    <row r="21" spans="1:55" s="33" customFormat="1" ht="13.5" customHeight="1">
      <c r="A21" s="85"/>
      <c r="B21" s="86"/>
      <c r="C21" s="86"/>
      <c r="D21" s="86"/>
      <c r="E21" s="86"/>
      <c r="F21" s="86"/>
      <c r="G21" s="86"/>
      <c r="H21" s="86"/>
      <c r="I21" s="87"/>
      <c r="J21" s="93"/>
      <c r="K21" s="94"/>
      <c r="L21" s="94"/>
      <c r="M21" s="94"/>
      <c r="N21" s="94"/>
      <c r="O21" s="94"/>
      <c r="P21" s="94"/>
      <c r="Q21" s="95"/>
      <c r="R21" s="137"/>
      <c r="S21" s="102"/>
      <c r="T21" s="102"/>
      <c r="U21" s="103"/>
      <c r="V21" s="10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30"/>
      <c r="AT21" s="101"/>
      <c r="AU21" s="102"/>
      <c r="AV21" s="102"/>
      <c r="AW21" s="102"/>
      <c r="AX21" s="102"/>
      <c r="AY21" s="102"/>
      <c r="AZ21" s="102"/>
      <c r="BA21" s="102"/>
      <c r="BB21" s="102"/>
      <c r="BC21" s="117"/>
    </row>
    <row r="22" spans="1:55" s="33" customFormat="1" ht="13.5" customHeight="1">
      <c r="A22" s="88"/>
      <c r="B22" s="78"/>
      <c r="C22" s="78"/>
      <c r="D22" s="78"/>
      <c r="E22" s="78"/>
      <c r="F22" s="78"/>
      <c r="G22" s="78"/>
      <c r="H22" s="78"/>
      <c r="I22" s="89"/>
      <c r="J22" s="96"/>
      <c r="K22" s="80"/>
      <c r="L22" s="80"/>
      <c r="M22" s="80"/>
      <c r="N22" s="80"/>
      <c r="O22" s="80"/>
      <c r="P22" s="80"/>
      <c r="Q22" s="97"/>
      <c r="R22" s="104"/>
      <c r="S22" s="82"/>
      <c r="T22" s="82"/>
      <c r="U22" s="105"/>
      <c r="V22" s="131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132"/>
      <c r="AT22" s="104"/>
      <c r="AU22" s="82"/>
      <c r="AV22" s="82"/>
      <c r="AW22" s="82"/>
      <c r="AX22" s="82"/>
      <c r="AY22" s="82"/>
      <c r="AZ22" s="82"/>
      <c r="BA22" s="82"/>
      <c r="BB22" s="82"/>
      <c r="BC22" s="118"/>
    </row>
    <row r="23" spans="1:55" s="33" customFormat="1" ht="13.5" customHeight="1">
      <c r="A23" s="90"/>
      <c r="B23" s="91"/>
      <c r="C23" s="91"/>
      <c r="D23" s="91"/>
      <c r="E23" s="91"/>
      <c r="F23" s="91"/>
      <c r="G23" s="91"/>
      <c r="H23" s="91"/>
      <c r="I23" s="92"/>
      <c r="J23" s="98"/>
      <c r="K23" s="99"/>
      <c r="L23" s="99"/>
      <c r="M23" s="99"/>
      <c r="N23" s="99"/>
      <c r="O23" s="99"/>
      <c r="P23" s="99"/>
      <c r="Q23" s="100"/>
      <c r="R23" s="106"/>
      <c r="S23" s="107"/>
      <c r="T23" s="107"/>
      <c r="U23" s="108"/>
      <c r="V23" s="138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40"/>
      <c r="AT23" s="106"/>
      <c r="AU23" s="107"/>
      <c r="AV23" s="107"/>
      <c r="AW23" s="107"/>
      <c r="AX23" s="107"/>
      <c r="AY23" s="107"/>
      <c r="AZ23" s="107"/>
      <c r="BA23" s="107"/>
      <c r="BB23" s="107"/>
      <c r="BC23" s="119"/>
    </row>
    <row r="24" spans="1:55" s="33" customFormat="1" ht="13.5" customHeight="1">
      <c r="A24" s="85"/>
      <c r="B24" s="86"/>
      <c r="C24" s="86"/>
      <c r="D24" s="86"/>
      <c r="E24" s="86"/>
      <c r="F24" s="86"/>
      <c r="G24" s="86"/>
      <c r="H24" s="86"/>
      <c r="I24" s="87"/>
      <c r="J24" s="93"/>
      <c r="K24" s="94"/>
      <c r="L24" s="94"/>
      <c r="M24" s="94"/>
      <c r="N24" s="94"/>
      <c r="O24" s="94"/>
      <c r="P24" s="94"/>
      <c r="Q24" s="95"/>
      <c r="R24" s="137"/>
      <c r="S24" s="102"/>
      <c r="T24" s="102"/>
      <c r="U24" s="103"/>
      <c r="V24" s="10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30"/>
      <c r="AT24" s="101"/>
      <c r="AU24" s="102"/>
      <c r="AV24" s="102"/>
      <c r="AW24" s="102"/>
      <c r="AX24" s="102"/>
      <c r="AY24" s="102"/>
      <c r="AZ24" s="102"/>
      <c r="BA24" s="102"/>
      <c r="BB24" s="102"/>
      <c r="BC24" s="117"/>
    </row>
    <row r="25" spans="1:55" s="33" customFormat="1" ht="13.5" customHeight="1">
      <c r="A25" s="88"/>
      <c r="B25" s="78"/>
      <c r="C25" s="78"/>
      <c r="D25" s="78"/>
      <c r="E25" s="78"/>
      <c r="F25" s="78"/>
      <c r="G25" s="78"/>
      <c r="H25" s="78"/>
      <c r="I25" s="89"/>
      <c r="J25" s="96"/>
      <c r="K25" s="80"/>
      <c r="L25" s="80"/>
      <c r="M25" s="80"/>
      <c r="N25" s="80"/>
      <c r="O25" s="80"/>
      <c r="P25" s="80"/>
      <c r="Q25" s="97"/>
      <c r="R25" s="104"/>
      <c r="S25" s="82"/>
      <c r="T25" s="82"/>
      <c r="U25" s="105"/>
      <c r="V25" s="131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132"/>
      <c r="AT25" s="104"/>
      <c r="AU25" s="82"/>
      <c r="AV25" s="82"/>
      <c r="AW25" s="82"/>
      <c r="AX25" s="82"/>
      <c r="AY25" s="82"/>
      <c r="AZ25" s="82"/>
      <c r="BA25" s="82"/>
      <c r="BB25" s="82"/>
      <c r="BC25" s="118"/>
    </row>
    <row r="26" spans="1:55" s="33" customFormat="1" ht="13.5" customHeight="1">
      <c r="A26" s="90"/>
      <c r="B26" s="91"/>
      <c r="C26" s="91"/>
      <c r="D26" s="91"/>
      <c r="E26" s="91"/>
      <c r="F26" s="91"/>
      <c r="G26" s="91"/>
      <c r="H26" s="91"/>
      <c r="I26" s="92"/>
      <c r="J26" s="98"/>
      <c r="K26" s="99"/>
      <c r="L26" s="99"/>
      <c r="M26" s="99"/>
      <c r="N26" s="99"/>
      <c r="O26" s="99"/>
      <c r="P26" s="99"/>
      <c r="Q26" s="100"/>
      <c r="R26" s="106"/>
      <c r="S26" s="107"/>
      <c r="T26" s="107"/>
      <c r="U26" s="108"/>
      <c r="V26" s="138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40"/>
      <c r="AT26" s="106"/>
      <c r="AU26" s="107"/>
      <c r="AV26" s="107"/>
      <c r="AW26" s="107"/>
      <c r="AX26" s="107"/>
      <c r="AY26" s="107"/>
      <c r="AZ26" s="107"/>
      <c r="BA26" s="107"/>
      <c r="BB26" s="107"/>
      <c r="BC26" s="119"/>
    </row>
    <row r="27" spans="1:55" s="33" customFormat="1" ht="13.5" customHeight="1">
      <c r="A27" s="85"/>
      <c r="B27" s="86"/>
      <c r="C27" s="86"/>
      <c r="D27" s="86"/>
      <c r="E27" s="86"/>
      <c r="F27" s="86"/>
      <c r="G27" s="86"/>
      <c r="H27" s="86"/>
      <c r="I27" s="87"/>
      <c r="J27" s="93"/>
      <c r="K27" s="94"/>
      <c r="L27" s="94"/>
      <c r="M27" s="94"/>
      <c r="N27" s="94"/>
      <c r="O27" s="94"/>
      <c r="P27" s="94"/>
      <c r="Q27" s="95"/>
      <c r="R27" s="137"/>
      <c r="S27" s="102"/>
      <c r="T27" s="102"/>
      <c r="U27" s="103"/>
      <c r="V27" s="10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30"/>
      <c r="AT27" s="101"/>
      <c r="AU27" s="102"/>
      <c r="AV27" s="102"/>
      <c r="AW27" s="102"/>
      <c r="AX27" s="102"/>
      <c r="AY27" s="102"/>
      <c r="AZ27" s="102"/>
      <c r="BA27" s="102"/>
      <c r="BB27" s="102"/>
      <c r="BC27" s="117"/>
    </row>
    <row r="28" spans="1:55" s="33" customFormat="1" ht="13.5" customHeight="1">
      <c r="A28" s="88"/>
      <c r="B28" s="78"/>
      <c r="C28" s="78"/>
      <c r="D28" s="78"/>
      <c r="E28" s="78"/>
      <c r="F28" s="78"/>
      <c r="G28" s="78"/>
      <c r="H28" s="78"/>
      <c r="I28" s="89"/>
      <c r="J28" s="96"/>
      <c r="K28" s="80"/>
      <c r="L28" s="80"/>
      <c r="M28" s="80"/>
      <c r="N28" s="80"/>
      <c r="O28" s="80"/>
      <c r="P28" s="80"/>
      <c r="Q28" s="97"/>
      <c r="R28" s="104"/>
      <c r="S28" s="82"/>
      <c r="T28" s="82"/>
      <c r="U28" s="105"/>
      <c r="V28" s="131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132"/>
      <c r="AT28" s="104"/>
      <c r="AU28" s="82"/>
      <c r="AV28" s="82"/>
      <c r="AW28" s="82"/>
      <c r="AX28" s="82"/>
      <c r="AY28" s="82"/>
      <c r="AZ28" s="82"/>
      <c r="BA28" s="82"/>
      <c r="BB28" s="82"/>
      <c r="BC28" s="118"/>
    </row>
    <row r="29" spans="1:55" s="33" customFormat="1" ht="13.5" customHeight="1">
      <c r="A29" s="90"/>
      <c r="B29" s="91"/>
      <c r="C29" s="91"/>
      <c r="D29" s="91"/>
      <c r="E29" s="91"/>
      <c r="F29" s="91"/>
      <c r="G29" s="91"/>
      <c r="H29" s="91"/>
      <c r="I29" s="92"/>
      <c r="J29" s="98"/>
      <c r="K29" s="99"/>
      <c r="L29" s="99"/>
      <c r="M29" s="99"/>
      <c r="N29" s="99"/>
      <c r="O29" s="99"/>
      <c r="P29" s="99"/>
      <c r="Q29" s="100"/>
      <c r="R29" s="106"/>
      <c r="S29" s="107"/>
      <c r="T29" s="107"/>
      <c r="U29" s="108"/>
      <c r="V29" s="138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40"/>
      <c r="AT29" s="106"/>
      <c r="AU29" s="107"/>
      <c r="AV29" s="107"/>
      <c r="AW29" s="107"/>
      <c r="AX29" s="107"/>
      <c r="AY29" s="107"/>
      <c r="AZ29" s="107"/>
      <c r="BA29" s="107"/>
      <c r="BB29" s="107"/>
      <c r="BC29" s="119"/>
    </row>
    <row r="30" spans="1:55" s="33" customFormat="1" ht="13.5" customHeight="1">
      <c r="A30" s="85"/>
      <c r="B30" s="86"/>
      <c r="C30" s="86"/>
      <c r="D30" s="86"/>
      <c r="E30" s="86"/>
      <c r="F30" s="86"/>
      <c r="G30" s="86"/>
      <c r="H30" s="86"/>
      <c r="I30" s="87"/>
      <c r="J30" s="93"/>
      <c r="K30" s="94"/>
      <c r="L30" s="94"/>
      <c r="M30" s="94"/>
      <c r="N30" s="94"/>
      <c r="O30" s="94"/>
      <c r="P30" s="94"/>
      <c r="Q30" s="95"/>
      <c r="R30" s="101"/>
      <c r="S30" s="102"/>
      <c r="T30" s="102"/>
      <c r="U30" s="103"/>
      <c r="V30" s="109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1"/>
      <c r="AT30" s="101"/>
      <c r="AU30" s="102"/>
      <c r="AV30" s="102"/>
      <c r="AW30" s="102"/>
      <c r="AX30" s="102"/>
      <c r="AY30" s="102"/>
      <c r="AZ30" s="102"/>
      <c r="BA30" s="102"/>
      <c r="BB30" s="102"/>
      <c r="BC30" s="117"/>
    </row>
    <row r="31" spans="1:55" s="33" customFormat="1" ht="13.5" customHeight="1">
      <c r="A31" s="88"/>
      <c r="B31" s="78"/>
      <c r="C31" s="78"/>
      <c r="D31" s="78"/>
      <c r="E31" s="78"/>
      <c r="F31" s="78"/>
      <c r="G31" s="78"/>
      <c r="H31" s="78"/>
      <c r="I31" s="89"/>
      <c r="J31" s="96"/>
      <c r="K31" s="80"/>
      <c r="L31" s="80"/>
      <c r="M31" s="80"/>
      <c r="N31" s="80"/>
      <c r="O31" s="80"/>
      <c r="P31" s="80"/>
      <c r="Q31" s="97"/>
      <c r="R31" s="104"/>
      <c r="S31" s="82"/>
      <c r="T31" s="82"/>
      <c r="U31" s="105"/>
      <c r="V31" s="112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113"/>
      <c r="AT31" s="104"/>
      <c r="AU31" s="82"/>
      <c r="AV31" s="82"/>
      <c r="AW31" s="82"/>
      <c r="AX31" s="82"/>
      <c r="AY31" s="82"/>
      <c r="AZ31" s="82"/>
      <c r="BA31" s="82"/>
      <c r="BB31" s="82"/>
      <c r="BC31" s="118"/>
    </row>
    <row r="32" spans="1:55" s="33" customFormat="1" ht="13.5" customHeight="1">
      <c r="A32" s="90"/>
      <c r="B32" s="91"/>
      <c r="C32" s="91"/>
      <c r="D32" s="91"/>
      <c r="E32" s="91"/>
      <c r="F32" s="91"/>
      <c r="G32" s="91"/>
      <c r="H32" s="91"/>
      <c r="I32" s="92"/>
      <c r="J32" s="98"/>
      <c r="K32" s="99"/>
      <c r="L32" s="99"/>
      <c r="M32" s="99"/>
      <c r="N32" s="99"/>
      <c r="O32" s="99"/>
      <c r="P32" s="99"/>
      <c r="Q32" s="100"/>
      <c r="R32" s="106"/>
      <c r="S32" s="107"/>
      <c r="T32" s="107"/>
      <c r="U32" s="108"/>
      <c r="V32" s="114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6"/>
      <c r="AT32" s="106"/>
      <c r="AU32" s="107"/>
      <c r="AV32" s="107"/>
      <c r="AW32" s="107"/>
      <c r="AX32" s="107"/>
      <c r="AY32" s="107"/>
      <c r="AZ32" s="107"/>
      <c r="BA32" s="107"/>
      <c r="BB32" s="107"/>
      <c r="BC32" s="119"/>
    </row>
    <row r="33" spans="1:55" s="33" customFormat="1" ht="13.5" customHeight="1">
      <c r="A33" s="85"/>
      <c r="B33" s="86"/>
      <c r="C33" s="86"/>
      <c r="D33" s="86"/>
      <c r="E33" s="86"/>
      <c r="F33" s="86"/>
      <c r="G33" s="86"/>
      <c r="H33" s="86"/>
      <c r="I33" s="87"/>
      <c r="J33" s="93"/>
      <c r="K33" s="94"/>
      <c r="L33" s="94"/>
      <c r="M33" s="94"/>
      <c r="N33" s="94"/>
      <c r="O33" s="94"/>
      <c r="P33" s="94"/>
      <c r="Q33" s="95"/>
      <c r="R33" s="101"/>
      <c r="S33" s="102"/>
      <c r="T33" s="102"/>
      <c r="U33" s="103"/>
      <c r="V33" s="10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30"/>
      <c r="AT33" s="101"/>
      <c r="AU33" s="102"/>
      <c r="AV33" s="102"/>
      <c r="AW33" s="102"/>
      <c r="AX33" s="102"/>
      <c r="AY33" s="102"/>
      <c r="AZ33" s="102"/>
      <c r="BA33" s="102"/>
      <c r="BB33" s="102"/>
      <c r="BC33" s="117"/>
    </row>
    <row r="34" spans="1:55" s="33" customFormat="1" ht="13.5" customHeight="1">
      <c r="A34" s="88"/>
      <c r="B34" s="78"/>
      <c r="C34" s="78"/>
      <c r="D34" s="78"/>
      <c r="E34" s="78"/>
      <c r="F34" s="78"/>
      <c r="G34" s="78"/>
      <c r="H34" s="78"/>
      <c r="I34" s="89"/>
      <c r="J34" s="96"/>
      <c r="K34" s="80"/>
      <c r="L34" s="80"/>
      <c r="M34" s="80"/>
      <c r="N34" s="80"/>
      <c r="O34" s="80"/>
      <c r="P34" s="80"/>
      <c r="Q34" s="97"/>
      <c r="R34" s="104"/>
      <c r="S34" s="82"/>
      <c r="T34" s="82"/>
      <c r="U34" s="105"/>
      <c r="V34" s="131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132"/>
      <c r="AT34" s="104"/>
      <c r="AU34" s="82"/>
      <c r="AV34" s="82"/>
      <c r="AW34" s="82"/>
      <c r="AX34" s="82"/>
      <c r="AY34" s="82"/>
      <c r="AZ34" s="82"/>
      <c r="BA34" s="82"/>
      <c r="BB34" s="82"/>
      <c r="BC34" s="118"/>
    </row>
    <row r="35" spans="1:55" s="33" customFormat="1" ht="13.5" customHeight="1" thickBot="1">
      <c r="A35" s="120"/>
      <c r="B35" s="121"/>
      <c r="C35" s="121"/>
      <c r="D35" s="121"/>
      <c r="E35" s="121"/>
      <c r="F35" s="121"/>
      <c r="G35" s="121"/>
      <c r="H35" s="121"/>
      <c r="I35" s="122"/>
      <c r="J35" s="123"/>
      <c r="K35" s="124"/>
      <c r="L35" s="124"/>
      <c r="M35" s="124"/>
      <c r="N35" s="124"/>
      <c r="O35" s="124"/>
      <c r="P35" s="124"/>
      <c r="Q35" s="125"/>
      <c r="R35" s="126"/>
      <c r="S35" s="127"/>
      <c r="T35" s="127"/>
      <c r="U35" s="128"/>
      <c r="V35" s="133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5"/>
      <c r="AT35" s="126"/>
      <c r="AU35" s="127"/>
      <c r="AV35" s="127"/>
      <c r="AW35" s="127"/>
      <c r="AX35" s="127"/>
      <c r="AY35" s="127"/>
      <c r="AZ35" s="127"/>
      <c r="BA35" s="127"/>
      <c r="BB35" s="127"/>
      <c r="BC35" s="136"/>
    </row>
    <row r="36" spans="1:55" s="33" customFormat="1" ht="13.5" customHeight="1">
      <c r="A36" s="77"/>
      <c r="B36" s="78"/>
      <c r="C36" s="78"/>
      <c r="D36" s="78"/>
      <c r="E36" s="78"/>
      <c r="F36" s="78"/>
      <c r="G36" s="78"/>
      <c r="H36" s="78"/>
      <c r="I36" s="78"/>
      <c r="J36" s="79"/>
      <c r="K36" s="80"/>
      <c r="L36" s="80"/>
      <c r="M36" s="80"/>
      <c r="N36" s="80"/>
      <c r="O36" s="80"/>
      <c r="P36" s="80"/>
      <c r="Q36" s="80"/>
      <c r="R36" s="81"/>
      <c r="S36" s="82"/>
      <c r="T36" s="82"/>
      <c r="U36" s="82"/>
      <c r="V36" s="83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1"/>
      <c r="AU36" s="82"/>
      <c r="AV36" s="82"/>
      <c r="AW36" s="82"/>
      <c r="AX36" s="82"/>
      <c r="AY36" s="82"/>
      <c r="AZ36" s="82"/>
      <c r="BA36" s="82"/>
      <c r="BB36" s="82"/>
      <c r="BC36" s="82"/>
    </row>
  </sheetData>
  <mergeCells count="69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21:I23"/>
    <mergeCell ref="J21:Q23"/>
    <mergeCell ref="R21:U23"/>
    <mergeCell ref="V21:AS23"/>
    <mergeCell ref="AT21:BC23"/>
    <mergeCell ref="A17:I20"/>
    <mergeCell ref="J17:Q20"/>
    <mergeCell ref="R17:U20"/>
    <mergeCell ref="V17:AS20"/>
    <mergeCell ref="AT17:BC20"/>
    <mergeCell ref="A27:I29"/>
    <mergeCell ref="J27:Q29"/>
    <mergeCell ref="R27:U29"/>
    <mergeCell ref="V27:AS29"/>
    <mergeCell ref="AT27:BC29"/>
    <mergeCell ref="A24:I26"/>
    <mergeCell ref="J24:Q26"/>
    <mergeCell ref="R24:U26"/>
    <mergeCell ref="V24:AS26"/>
    <mergeCell ref="AT24:BC26"/>
    <mergeCell ref="A33:I35"/>
    <mergeCell ref="J33:Q35"/>
    <mergeCell ref="R33:U35"/>
    <mergeCell ref="V33:AS35"/>
    <mergeCell ref="AT33:BC35"/>
    <mergeCell ref="A30:I32"/>
    <mergeCell ref="J30:Q32"/>
    <mergeCell ref="R30:U32"/>
    <mergeCell ref="V30:AS32"/>
    <mergeCell ref="AT30:BC32"/>
    <mergeCell ref="A36:I36"/>
    <mergeCell ref="J36:Q36"/>
    <mergeCell ref="R36:U36"/>
    <mergeCell ref="V36:AS36"/>
    <mergeCell ref="AT36:BC36"/>
  </mergeCells>
  <phoneticPr fontI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56"/>
  <sheetViews>
    <sheetView showGridLines="0" view="pageBreakPreview" zoomScaleSheetLayoutView="100" workbookViewId="0">
      <selection sqref="A1:I1"/>
    </sheetView>
  </sheetViews>
  <sheetFormatPr defaultColWidth="2.6640625" defaultRowHeight="13.2"/>
  <cols>
    <col min="1" max="1" width="3" customWidth="1"/>
  </cols>
  <sheetData>
    <row r="1" spans="1:55" ht="13.5" customHeight="1">
      <c r="A1" s="191" t="s">
        <v>0</v>
      </c>
      <c r="B1" s="160"/>
      <c r="C1" s="160"/>
      <c r="D1" s="160"/>
      <c r="E1" s="160"/>
      <c r="F1" s="161"/>
      <c r="G1" s="161"/>
      <c r="H1" s="161"/>
      <c r="I1" s="192"/>
      <c r="J1" s="193" t="s">
        <v>1</v>
      </c>
      <c r="K1" s="160"/>
      <c r="L1" s="160"/>
      <c r="M1" s="160"/>
      <c r="N1" s="160"/>
      <c r="O1" s="161"/>
      <c r="P1" s="161"/>
      <c r="Q1" s="161"/>
      <c r="R1" s="194" t="str">
        <f>表紙!S12</f>
        <v>画面レイアウト設計書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6"/>
      <c r="AJ1" s="197" t="s">
        <v>2</v>
      </c>
      <c r="AK1" s="198"/>
      <c r="AL1" s="198"/>
      <c r="AM1" s="198"/>
      <c r="AN1" s="198"/>
      <c r="AO1" s="199" t="s">
        <v>3</v>
      </c>
      <c r="AP1" s="198"/>
      <c r="AQ1" s="198"/>
      <c r="AR1" s="198"/>
      <c r="AS1" s="198"/>
      <c r="AT1" s="199" t="s">
        <v>4</v>
      </c>
      <c r="AU1" s="198"/>
      <c r="AV1" s="198"/>
      <c r="AW1" s="198"/>
      <c r="AX1" s="198"/>
      <c r="AY1" s="160" t="s">
        <v>5</v>
      </c>
      <c r="AZ1" s="161"/>
      <c r="BA1" s="161"/>
      <c r="BB1" s="161"/>
      <c r="BC1" s="162"/>
    </row>
    <row r="2" spans="1:55" ht="13.5" customHeight="1">
      <c r="A2" s="163">
        <f>表紙!O10</f>
        <v>0</v>
      </c>
      <c r="B2" s="164"/>
      <c r="C2" s="164"/>
      <c r="D2" s="164"/>
      <c r="E2" s="164"/>
      <c r="F2" s="165"/>
      <c r="G2" s="165"/>
      <c r="H2" s="165"/>
      <c r="I2" s="166"/>
      <c r="J2" s="171" t="str">
        <f>表紙!O9</f>
        <v>LMS学習管理システム</v>
      </c>
      <c r="K2" s="164"/>
      <c r="L2" s="164"/>
      <c r="M2" s="164"/>
      <c r="N2" s="164"/>
      <c r="O2" s="165"/>
      <c r="P2" s="165"/>
      <c r="Q2" s="172"/>
      <c r="R2" s="175" t="str">
        <f ca="1">RIGHT(CELL("filename",A1),LEN(CELL("filename",A1))-FIND("]",CELL("filename",A1)))</f>
        <v>助成金書類ダウンロード 申請種別選択</v>
      </c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7"/>
      <c r="AJ2" s="181" t="s">
        <v>36</v>
      </c>
      <c r="AK2" s="182"/>
      <c r="AL2" s="182"/>
      <c r="AM2" s="182"/>
      <c r="AN2" s="182"/>
      <c r="AO2" s="185">
        <v>42661</v>
      </c>
      <c r="AP2" s="182"/>
      <c r="AQ2" s="182"/>
      <c r="AR2" s="182"/>
      <c r="AS2" s="182"/>
      <c r="AT2" s="181" t="s">
        <v>39</v>
      </c>
      <c r="AU2" s="182"/>
      <c r="AV2" s="182"/>
      <c r="AW2" s="182"/>
      <c r="AX2" s="182"/>
      <c r="AY2" s="186">
        <v>43111</v>
      </c>
      <c r="AZ2" s="187"/>
      <c r="BA2" s="187"/>
      <c r="BB2" s="187"/>
      <c r="BC2" s="188"/>
    </row>
    <row r="3" spans="1:55" ht="13.5" customHeight="1" thickBot="1">
      <c r="A3" s="167"/>
      <c r="B3" s="168"/>
      <c r="C3" s="168"/>
      <c r="D3" s="168"/>
      <c r="E3" s="168"/>
      <c r="F3" s="169"/>
      <c r="G3" s="169"/>
      <c r="H3" s="169"/>
      <c r="I3" s="170"/>
      <c r="J3" s="173"/>
      <c r="K3" s="168"/>
      <c r="L3" s="168"/>
      <c r="M3" s="168"/>
      <c r="N3" s="168"/>
      <c r="O3" s="169"/>
      <c r="P3" s="169"/>
      <c r="Q3" s="174"/>
      <c r="R3" s="178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80"/>
      <c r="AJ3" s="183"/>
      <c r="AK3" s="184"/>
      <c r="AL3" s="184"/>
      <c r="AM3" s="184"/>
      <c r="AN3" s="184"/>
      <c r="AO3" s="184"/>
      <c r="AP3" s="184"/>
      <c r="AQ3" s="184"/>
      <c r="AR3" s="184"/>
      <c r="AS3" s="184"/>
      <c r="AT3" s="183"/>
      <c r="AU3" s="184"/>
      <c r="AV3" s="184"/>
      <c r="AW3" s="184"/>
      <c r="AX3" s="184"/>
      <c r="AY3" s="189"/>
      <c r="AZ3" s="189"/>
      <c r="BA3" s="189"/>
      <c r="BB3" s="189"/>
      <c r="BC3" s="190"/>
    </row>
    <row r="4" spans="1:55" ht="13.5" customHeight="1"/>
    <row r="5" spans="1:55" ht="13.5" customHeight="1">
      <c r="A5" s="35"/>
      <c r="B5" s="36" t="s">
        <v>20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</row>
    <row r="6" spans="1:55" ht="13.5" customHeight="1">
      <c r="A6" s="35"/>
      <c r="B6" s="35"/>
      <c r="C6" s="40" t="s">
        <v>65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ht="13.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ht="13.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ht="13.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ht="13.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ht="13.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</row>
    <row r="12" spans="1:55" ht="13.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</row>
    <row r="13" spans="1:55" ht="13.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</row>
    <row r="14" spans="1:55" ht="13.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</row>
    <row r="15" spans="1:55" ht="13.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</row>
    <row r="16" spans="1:55" ht="13.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</row>
    <row r="17" spans="1:55" ht="13.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</row>
    <row r="18" spans="1:55" ht="13.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44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</row>
    <row r="19" spans="1:55" ht="13.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</row>
    <row r="20" spans="1:55" ht="13.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</row>
    <row r="21" spans="1:55" ht="13.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44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</row>
    <row r="22" spans="1:55" ht="13.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</row>
    <row r="23" spans="1:55" ht="13.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</row>
    <row r="24" spans="1:55" ht="13.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</row>
    <row r="25" spans="1:55">
      <c r="A25" s="35"/>
      <c r="B25" s="36" t="s">
        <v>35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</row>
    <row r="26" spans="1:55">
      <c r="A26" s="35"/>
      <c r="B26" s="234" t="s">
        <v>17</v>
      </c>
      <c r="C26" s="234"/>
      <c r="D26" s="211" t="s">
        <v>28</v>
      </c>
      <c r="E26" s="211"/>
      <c r="F26" s="211"/>
      <c r="G26" s="211"/>
      <c r="H26" s="211"/>
      <c r="I26" s="211"/>
      <c r="J26" s="211"/>
      <c r="K26" s="211"/>
      <c r="L26" s="211"/>
      <c r="M26" s="211" t="s">
        <v>21</v>
      </c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1"/>
      <c r="AE26" s="233"/>
      <c r="AF26" s="234" t="s">
        <v>18</v>
      </c>
      <c r="AG26" s="234"/>
      <c r="AH26" s="234"/>
      <c r="AI26" s="234"/>
      <c r="AJ26" s="234"/>
      <c r="AK26" s="234"/>
      <c r="AL26" s="234"/>
      <c r="AM26" s="234"/>
      <c r="AN26" s="234"/>
      <c r="AO26" s="234"/>
      <c r="AP26" s="234"/>
      <c r="AQ26" s="234"/>
      <c r="AR26" s="234"/>
      <c r="AS26" s="234"/>
      <c r="AT26" s="234"/>
      <c r="AU26" s="234"/>
      <c r="AV26" s="234"/>
      <c r="AW26" s="234"/>
      <c r="AX26" s="234"/>
      <c r="AY26" s="234"/>
      <c r="AZ26" s="234"/>
      <c r="BA26" s="234"/>
      <c r="BB26" s="234"/>
      <c r="BC26" s="35"/>
    </row>
    <row r="27" spans="1:55">
      <c r="A27" s="35"/>
      <c r="B27" s="234"/>
      <c r="C27" s="234"/>
      <c r="D27" s="211"/>
      <c r="E27" s="211"/>
      <c r="F27" s="211"/>
      <c r="G27" s="211"/>
      <c r="H27" s="211"/>
      <c r="I27" s="211"/>
      <c r="J27" s="211"/>
      <c r="K27" s="211"/>
      <c r="L27" s="211"/>
      <c r="M27" s="211" t="s">
        <v>34</v>
      </c>
      <c r="N27" s="211"/>
      <c r="O27" s="211"/>
      <c r="P27" s="211"/>
      <c r="Q27" s="211"/>
      <c r="R27" s="211"/>
      <c r="S27" s="211"/>
      <c r="T27" s="211"/>
      <c r="U27" s="211"/>
      <c r="V27" s="211"/>
      <c r="W27" s="211" t="s">
        <v>30</v>
      </c>
      <c r="X27" s="211"/>
      <c r="Y27" s="211"/>
      <c r="Z27" s="211"/>
      <c r="AA27" s="211"/>
      <c r="AB27" s="211"/>
      <c r="AC27" s="211"/>
      <c r="AD27" s="211"/>
      <c r="AE27" s="233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234"/>
      <c r="AT27" s="234"/>
      <c r="AU27" s="234"/>
      <c r="AV27" s="234"/>
      <c r="AW27" s="234"/>
      <c r="AX27" s="234"/>
      <c r="AY27" s="234"/>
      <c r="AZ27" s="234"/>
      <c r="BA27" s="234"/>
      <c r="BB27" s="234"/>
      <c r="BC27" s="35"/>
    </row>
    <row r="28" spans="1:55">
      <c r="A28" s="35"/>
      <c r="B28" s="227">
        <v>1</v>
      </c>
      <c r="C28" s="227"/>
      <c r="D28" s="228" t="s">
        <v>41</v>
      </c>
      <c r="E28" s="228"/>
      <c r="F28" s="228"/>
      <c r="G28" s="228"/>
      <c r="H28" s="228"/>
      <c r="I28" s="228"/>
      <c r="J28" s="228"/>
      <c r="K28" s="228"/>
      <c r="L28" s="228"/>
      <c r="M28" s="200" t="s">
        <v>37</v>
      </c>
      <c r="N28" s="201"/>
      <c r="O28" s="201"/>
      <c r="P28" s="201"/>
      <c r="Q28" s="201"/>
      <c r="R28" s="201"/>
      <c r="S28" s="201"/>
      <c r="T28" s="201"/>
      <c r="U28" s="201"/>
      <c r="V28" s="202"/>
      <c r="W28" s="212" t="s">
        <v>38</v>
      </c>
      <c r="X28" s="213"/>
      <c r="Y28" s="213"/>
      <c r="Z28" s="213"/>
      <c r="AA28" s="213"/>
      <c r="AB28" s="213"/>
      <c r="AC28" s="213"/>
      <c r="AD28" s="213"/>
      <c r="AE28" s="214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5"/>
      <c r="AX28" s="215"/>
      <c r="AY28" s="215"/>
      <c r="AZ28" s="215"/>
      <c r="BA28" s="215"/>
      <c r="BB28" s="215"/>
      <c r="BC28" s="35"/>
    </row>
    <row r="29" spans="1:55">
      <c r="A29" s="35"/>
      <c r="B29" s="216">
        <v>2</v>
      </c>
      <c r="C29" s="216"/>
      <c r="D29" s="217" t="s">
        <v>47</v>
      </c>
      <c r="E29" s="217"/>
      <c r="F29" s="217"/>
      <c r="G29" s="217"/>
      <c r="H29" s="217"/>
      <c r="I29" s="217"/>
      <c r="J29" s="217"/>
      <c r="K29" s="217"/>
      <c r="L29" s="217"/>
      <c r="M29" s="218" t="s">
        <v>42</v>
      </c>
      <c r="N29" s="219"/>
      <c r="O29" s="219"/>
      <c r="P29" s="219"/>
      <c r="Q29" s="219"/>
      <c r="R29" s="219"/>
      <c r="S29" s="219"/>
      <c r="T29" s="219"/>
      <c r="U29" s="219"/>
      <c r="V29" s="220"/>
      <c r="W29" s="218" t="s">
        <v>43</v>
      </c>
      <c r="X29" s="219"/>
      <c r="Y29" s="219"/>
      <c r="Z29" s="219"/>
      <c r="AA29" s="219"/>
      <c r="AB29" s="219"/>
      <c r="AC29" s="219"/>
      <c r="AD29" s="219"/>
      <c r="AE29" s="220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/>
      <c r="AX29" s="221"/>
      <c r="AY29" s="221"/>
      <c r="AZ29" s="221"/>
      <c r="BA29" s="221"/>
      <c r="BB29" s="221"/>
      <c r="BC29" s="35"/>
    </row>
    <row r="30" spans="1:55">
      <c r="A30" s="35"/>
      <c r="B30" s="229">
        <v>2</v>
      </c>
      <c r="C30" s="229"/>
      <c r="D30" s="228" t="s">
        <v>50</v>
      </c>
      <c r="E30" s="228"/>
      <c r="F30" s="228"/>
      <c r="G30" s="228"/>
      <c r="H30" s="228"/>
      <c r="I30" s="228"/>
      <c r="J30" s="228"/>
      <c r="K30" s="228"/>
      <c r="L30" s="228"/>
      <c r="M30" s="200" t="s">
        <v>31</v>
      </c>
      <c r="N30" s="201"/>
      <c r="O30" s="201"/>
      <c r="P30" s="201"/>
      <c r="Q30" s="201"/>
      <c r="R30" s="201"/>
      <c r="S30" s="201"/>
      <c r="T30" s="201"/>
      <c r="U30" s="201"/>
      <c r="V30" s="202"/>
      <c r="W30" s="200" t="s">
        <v>31</v>
      </c>
      <c r="X30" s="201"/>
      <c r="Y30" s="201"/>
      <c r="Z30" s="201"/>
      <c r="AA30" s="201"/>
      <c r="AB30" s="201"/>
      <c r="AC30" s="201"/>
      <c r="AD30" s="201"/>
      <c r="AE30" s="202"/>
      <c r="AF30" s="203" t="s">
        <v>62</v>
      </c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203"/>
      <c r="BC30" s="35"/>
    </row>
    <row r="31" spans="1:55">
      <c r="A31" s="35"/>
      <c r="B31" s="38"/>
      <c r="C31" s="38"/>
      <c r="D31" s="41"/>
      <c r="E31" s="41"/>
      <c r="F31" s="41"/>
      <c r="G31" s="41"/>
      <c r="H31" s="41"/>
      <c r="I31" s="41"/>
      <c r="J31" s="41"/>
      <c r="K31" s="41"/>
      <c r="L31" s="41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35"/>
    </row>
    <row r="32" spans="1:55">
      <c r="A32" s="57"/>
      <c r="B32" s="238" t="s">
        <v>70</v>
      </c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AK32" s="238"/>
      <c r="AL32" s="238"/>
      <c r="AM32" s="238"/>
      <c r="AN32" s="238"/>
      <c r="AO32" s="238"/>
      <c r="AP32" s="238"/>
      <c r="AQ32" s="238"/>
      <c r="AR32" s="238"/>
      <c r="AS32" s="238"/>
      <c r="AT32" s="238"/>
      <c r="AU32" s="238"/>
      <c r="AV32" s="238"/>
      <c r="AW32" s="238"/>
      <c r="AX32" s="238"/>
      <c r="AY32" s="238"/>
      <c r="AZ32" s="238"/>
      <c r="BA32" s="238"/>
      <c r="BB32" s="238"/>
      <c r="BC32" s="57"/>
    </row>
    <row r="33" spans="1:55">
      <c r="A33" s="57"/>
      <c r="B33" s="238"/>
      <c r="C33" s="238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I33" s="238"/>
      <c r="AJ33" s="238"/>
      <c r="AK33" s="238"/>
      <c r="AL33" s="238"/>
      <c r="AM33" s="238"/>
      <c r="AN33" s="238"/>
      <c r="AO33" s="238"/>
      <c r="AP33" s="238"/>
      <c r="AQ33" s="238"/>
      <c r="AR33" s="238"/>
      <c r="AS33" s="238"/>
      <c r="AT33" s="238"/>
      <c r="AU33" s="238"/>
      <c r="AV33" s="238"/>
      <c r="AW33" s="238"/>
      <c r="AX33" s="238"/>
      <c r="AY33" s="238"/>
      <c r="AZ33" s="238"/>
      <c r="BA33" s="238"/>
      <c r="BB33" s="238"/>
      <c r="BC33" s="57"/>
    </row>
    <row r="34" spans="1:55">
      <c r="A34" s="35"/>
      <c r="B34" s="36" t="s">
        <v>29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</row>
    <row r="35" spans="1:55">
      <c r="A35" s="35"/>
      <c r="B35" s="234" t="s">
        <v>17</v>
      </c>
      <c r="C35" s="234"/>
      <c r="D35" s="211" t="s">
        <v>28</v>
      </c>
      <c r="E35" s="211"/>
      <c r="F35" s="211"/>
      <c r="G35" s="211"/>
      <c r="H35" s="211"/>
      <c r="I35" s="211"/>
      <c r="J35" s="211" t="s">
        <v>27</v>
      </c>
      <c r="K35" s="211"/>
      <c r="L35" s="211"/>
      <c r="M35" s="211"/>
      <c r="N35" s="211"/>
      <c r="O35" s="211"/>
      <c r="P35" s="211" t="s">
        <v>32</v>
      </c>
      <c r="Q35" s="211"/>
      <c r="R35" s="211"/>
      <c r="S35" s="211"/>
      <c r="T35" s="211"/>
      <c r="U35" s="211"/>
      <c r="V35" s="211" t="s">
        <v>26</v>
      </c>
      <c r="W35" s="211"/>
      <c r="X35" s="211" t="s">
        <v>25</v>
      </c>
      <c r="Y35" s="211"/>
      <c r="Z35" s="211"/>
      <c r="AA35" s="211" t="s">
        <v>24</v>
      </c>
      <c r="AB35" s="211"/>
      <c r="AC35" s="211"/>
      <c r="AD35" s="211" t="s">
        <v>23</v>
      </c>
      <c r="AE35" s="211"/>
      <c r="AF35" s="211"/>
      <c r="AG35" s="211" t="s">
        <v>33</v>
      </c>
      <c r="AH35" s="211"/>
      <c r="AI35" s="211" t="s">
        <v>22</v>
      </c>
      <c r="AJ35" s="211"/>
      <c r="AK35" s="211"/>
      <c r="AL35" s="211"/>
      <c r="AM35" s="211"/>
      <c r="AN35" s="211"/>
      <c r="AO35" s="211"/>
      <c r="AP35" s="211"/>
      <c r="AQ35" s="211"/>
      <c r="AR35" s="211" t="s">
        <v>18</v>
      </c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35"/>
    </row>
    <row r="36" spans="1:55">
      <c r="A36" s="35"/>
      <c r="B36" s="234"/>
      <c r="C36" s="234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211"/>
      <c r="AG36" s="211"/>
      <c r="AH36" s="211"/>
      <c r="AI36" s="211"/>
      <c r="AJ36" s="211"/>
      <c r="AK36" s="211"/>
      <c r="AL36" s="211"/>
      <c r="AM36" s="211"/>
      <c r="AN36" s="211"/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35"/>
    </row>
    <row r="37" spans="1:55">
      <c r="A37" s="35"/>
      <c r="B37" s="210">
        <v>1</v>
      </c>
      <c r="C37" s="210"/>
      <c r="D37" s="230" t="s">
        <v>51</v>
      </c>
      <c r="E37" s="230"/>
      <c r="F37" s="230"/>
      <c r="G37" s="230"/>
      <c r="H37" s="230"/>
      <c r="I37" s="230"/>
      <c r="J37" s="230" t="s">
        <v>61</v>
      </c>
      <c r="K37" s="230"/>
      <c r="L37" s="230"/>
      <c r="M37" s="230"/>
      <c r="N37" s="230"/>
      <c r="O37" s="230"/>
      <c r="P37" s="230" t="s">
        <v>44</v>
      </c>
      <c r="Q37" s="230"/>
      <c r="R37" s="230"/>
      <c r="S37" s="230"/>
      <c r="T37" s="230"/>
      <c r="U37" s="230"/>
      <c r="V37" s="210" t="s">
        <v>45</v>
      </c>
      <c r="W37" s="210"/>
      <c r="X37" s="204" t="s">
        <v>31</v>
      </c>
      <c r="Y37" s="205"/>
      <c r="Z37" s="206"/>
      <c r="AA37" s="204" t="s">
        <v>31</v>
      </c>
      <c r="AB37" s="205"/>
      <c r="AC37" s="206"/>
      <c r="AD37" s="204" t="s">
        <v>31</v>
      </c>
      <c r="AE37" s="205"/>
      <c r="AF37" s="206"/>
      <c r="AG37" s="204" t="s">
        <v>31</v>
      </c>
      <c r="AH37" s="206"/>
      <c r="AI37" s="203" t="s">
        <v>46</v>
      </c>
      <c r="AJ37" s="203"/>
      <c r="AK37" s="203"/>
      <c r="AL37" s="203"/>
      <c r="AM37" s="203"/>
      <c r="AN37" s="203"/>
      <c r="AO37" s="203"/>
      <c r="AP37" s="203"/>
      <c r="AQ37" s="203"/>
      <c r="AR37" s="207"/>
      <c r="AS37" s="208"/>
      <c r="AT37" s="208"/>
      <c r="AU37" s="208"/>
      <c r="AV37" s="208"/>
      <c r="AW37" s="208"/>
      <c r="AX37" s="208"/>
      <c r="AY37" s="208"/>
      <c r="AZ37" s="208"/>
      <c r="BA37" s="208"/>
      <c r="BB37" s="209"/>
      <c r="BC37" s="35"/>
    </row>
    <row r="38" spans="1:55">
      <c r="A38" s="35"/>
      <c r="B38" s="231">
        <v>2</v>
      </c>
      <c r="C38" s="231"/>
      <c r="D38" s="232" t="s">
        <v>53</v>
      </c>
      <c r="E38" s="232"/>
      <c r="F38" s="232"/>
      <c r="G38" s="232"/>
      <c r="H38" s="232"/>
      <c r="I38" s="232"/>
      <c r="J38" s="232" t="s">
        <v>31</v>
      </c>
      <c r="K38" s="232"/>
      <c r="L38" s="232"/>
      <c r="M38" s="232"/>
      <c r="N38" s="232"/>
      <c r="O38" s="232"/>
      <c r="P38" s="232" t="s">
        <v>40</v>
      </c>
      <c r="Q38" s="232"/>
      <c r="R38" s="232"/>
      <c r="S38" s="232"/>
      <c r="T38" s="232"/>
      <c r="U38" s="232"/>
      <c r="V38" s="231" t="s">
        <v>31</v>
      </c>
      <c r="W38" s="231"/>
      <c r="X38" s="247" t="s">
        <v>31</v>
      </c>
      <c r="Y38" s="248"/>
      <c r="Z38" s="249"/>
      <c r="AA38" s="247" t="s">
        <v>31</v>
      </c>
      <c r="AB38" s="248"/>
      <c r="AC38" s="249"/>
      <c r="AD38" s="247" t="s">
        <v>31</v>
      </c>
      <c r="AE38" s="248"/>
      <c r="AF38" s="249"/>
      <c r="AG38" s="247" t="s">
        <v>31</v>
      </c>
      <c r="AH38" s="249"/>
      <c r="AI38" s="250" t="s">
        <v>54</v>
      </c>
      <c r="AJ38" s="250"/>
      <c r="AK38" s="250"/>
      <c r="AL38" s="250"/>
      <c r="AM38" s="250"/>
      <c r="AN38" s="250"/>
      <c r="AO38" s="250"/>
      <c r="AP38" s="250"/>
      <c r="AQ38" s="250"/>
      <c r="AR38" s="235" t="s">
        <v>68</v>
      </c>
      <c r="AS38" s="236"/>
      <c r="AT38" s="236"/>
      <c r="AU38" s="236"/>
      <c r="AV38" s="236"/>
      <c r="AW38" s="236"/>
      <c r="AX38" s="236"/>
      <c r="AY38" s="236"/>
      <c r="AZ38" s="236"/>
      <c r="BA38" s="236"/>
      <c r="BB38" s="237"/>
      <c r="BC38" s="35"/>
    </row>
    <row r="39" spans="1:55">
      <c r="A39" s="35"/>
      <c r="B39" s="48"/>
      <c r="C39" s="46"/>
      <c r="D39" s="49"/>
      <c r="E39" s="49"/>
      <c r="F39" s="49"/>
      <c r="G39" s="49"/>
      <c r="H39" s="49"/>
      <c r="I39" s="46"/>
      <c r="J39" s="49"/>
      <c r="K39" s="49"/>
      <c r="L39" s="49"/>
      <c r="M39" s="49"/>
      <c r="N39" s="49"/>
      <c r="O39" s="46"/>
      <c r="P39" s="49"/>
      <c r="Q39" s="49"/>
      <c r="R39" s="49"/>
      <c r="S39" s="49"/>
      <c r="T39" s="49"/>
      <c r="U39" s="46"/>
      <c r="V39" s="49"/>
      <c r="W39" s="46"/>
      <c r="X39" s="49"/>
      <c r="Y39" s="49"/>
      <c r="Z39" s="46"/>
      <c r="AA39" s="49"/>
      <c r="AB39" s="49"/>
      <c r="AC39" s="46"/>
      <c r="AD39" s="49"/>
      <c r="AE39" s="49"/>
      <c r="AF39" s="46"/>
      <c r="AG39" s="49"/>
      <c r="AH39" s="46"/>
      <c r="AI39" s="49"/>
      <c r="AJ39" s="49"/>
      <c r="AK39" s="49"/>
      <c r="AL39" s="49"/>
      <c r="AM39" s="49"/>
      <c r="AN39" s="49"/>
      <c r="AO39" s="49"/>
      <c r="AP39" s="49"/>
      <c r="AQ39" s="46"/>
      <c r="AR39" s="50" t="s">
        <v>69</v>
      </c>
      <c r="AS39" s="49"/>
      <c r="AT39" s="49"/>
      <c r="AU39" s="49"/>
      <c r="AV39" s="49"/>
      <c r="AW39" s="49"/>
      <c r="AX39" s="49"/>
      <c r="AY39" s="49"/>
      <c r="AZ39" s="49"/>
      <c r="BA39" s="49"/>
      <c r="BB39" s="46"/>
      <c r="BC39" s="35"/>
    </row>
    <row r="40" spans="1:55" s="55" customFormat="1">
      <c r="A40" s="61"/>
      <c r="B40" s="60" t="s">
        <v>48</v>
      </c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</row>
    <row r="41" spans="1:55" s="55" customFormat="1">
      <c r="A41" s="59"/>
      <c r="B41" s="239" t="s">
        <v>49</v>
      </c>
      <c r="C41" s="240"/>
      <c r="D41" s="241" t="s">
        <v>28</v>
      </c>
      <c r="E41" s="242"/>
      <c r="F41" s="242"/>
      <c r="G41" s="242"/>
      <c r="H41" s="242"/>
      <c r="I41" s="243"/>
      <c r="J41" s="244" t="s">
        <v>71</v>
      </c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6"/>
      <c r="W41" s="244" t="s">
        <v>72</v>
      </c>
      <c r="X41" s="245"/>
      <c r="Y41" s="245"/>
      <c r="Z41" s="245"/>
      <c r="AA41" s="245"/>
      <c r="AB41" s="245"/>
      <c r="AC41" s="245"/>
      <c r="AD41" s="245"/>
      <c r="AE41" s="245"/>
      <c r="AF41" s="245"/>
      <c r="AG41" s="245"/>
      <c r="AH41" s="245"/>
      <c r="AI41" s="246"/>
      <c r="AJ41" s="244" t="s">
        <v>73</v>
      </c>
      <c r="AK41" s="245"/>
      <c r="AL41" s="245"/>
      <c r="AM41" s="245"/>
      <c r="AN41" s="245"/>
      <c r="AO41" s="245"/>
      <c r="AP41" s="245"/>
      <c r="AQ41" s="245"/>
      <c r="AR41" s="245"/>
      <c r="AS41" s="245"/>
      <c r="AT41" s="245"/>
      <c r="AU41" s="245"/>
      <c r="AV41" s="245"/>
      <c r="AW41" s="245"/>
      <c r="AX41" s="245"/>
      <c r="AY41" s="245"/>
      <c r="AZ41" s="245"/>
      <c r="BA41" s="245"/>
      <c r="BB41" s="246"/>
      <c r="BC41" s="59"/>
    </row>
    <row r="42" spans="1:55" s="55" customFormat="1">
      <c r="A42" s="59"/>
      <c r="B42" s="225">
        <v>1</v>
      </c>
      <c r="C42" s="226"/>
      <c r="D42" s="222" t="s">
        <v>75</v>
      </c>
      <c r="E42" s="223"/>
      <c r="F42" s="223"/>
      <c r="G42" s="223"/>
      <c r="H42" s="223"/>
      <c r="I42" s="224"/>
      <c r="J42" s="51" t="s">
        <v>76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3"/>
      <c r="W42" s="62" t="s">
        <v>74</v>
      </c>
      <c r="X42" s="63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2" t="s">
        <v>67</v>
      </c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4"/>
      <c r="BC42" s="59"/>
    </row>
    <row r="43" spans="1:55" s="55" customFormat="1">
      <c r="A43" s="56"/>
      <c r="B43" s="54"/>
      <c r="C43" s="54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6"/>
    </row>
    <row r="44" spans="1:55">
      <c r="A44" s="40"/>
      <c r="B44" s="36" t="s">
        <v>52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35"/>
    </row>
    <row r="45" spans="1:55">
      <c r="A45" s="40"/>
      <c r="B45" s="47" t="s">
        <v>66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35"/>
    </row>
    <row r="46" spans="1:55">
      <c r="A46" s="42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35"/>
    </row>
    <row r="47" spans="1:55">
      <c r="A47" s="42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40"/>
      <c r="AL47" s="40"/>
      <c r="AM47" s="40"/>
      <c r="AN47" s="40"/>
      <c r="AO47" s="35"/>
      <c r="AP47" s="35"/>
      <c r="AQ47" s="35"/>
      <c r="AR47" s="35"/>
      <c r="AS47" s="35"/>
      <c r="AT47" s="35"/>
      <c r="AU47" s="35"/>
      <c r="AV47" s="35"/>
      <c r="AW47" s="35"/>
      <c r="AX47" s="40"/>
      <c r="AY47" s="40"/>
      <c r="AZ47" s="40"/>
      <c r="BA47" s="40"/>
      <c r="BB47" s="40"/>
      <c r="BC47" s="35"/>
    </row>
    <row r="48" spans="1:55">
      <c r="A48" s="42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40"/>
      <c r="AL48" s="40"/>
      <c r="AM48" s="40"/>
      <c r="AN48" s="40"/>
      <c r="AO48" s="35"/>
      <c r="AP48" s="35"/>
      <c r="AQ48" s="35"/>
      <c r="AR48" s="35"/>
      <c r="AS48" s="35"/>
      <c r="AT48" s="35"/>
      <c r="AU48" s="35"/>
      <c r="AV48" s="35"/>
      <c r="AW48" s="35"/>
      <c r="AX48" s="40"/>
      <c r="AY48" s="40"/>
      <c r="AZ48" s="40"/>
      <c r="BA48" s="40"/>
      <c r="BB48" s="40"/>
      <c r="BC48" s="35"/>
    </row>
    <row r="49" spans="1:5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</row>
    <row r="50" spans="1:5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</row>
    <row r="51" spans="1:5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</row>
    <row r="52" spans="1:5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43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</row>
    <row r="55" spans="1:55">
      <c r="O55" s="35"/>
    </row>
    <row r="56" spans="1:55">
      <c r="O56" s="37"/>
    </row>
  </sheetData>
  <mergeCells count="76">
    <mergeCell ref="B35:C3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26:C27"/>
    <mergeCell ref="V38:W38"/>
    <mergeCell ref="D35:I36"/>
    <mergeCell ref="J35:O36"/>
    <mergeCell ref="P35:U36"/>
    <mergeCell ref="V35:W36"/>
    <mergeCell ref="AR38:BB38"/>
    <mergeCell ref="B32:BB33"/>
    <mergeCell ref="B41:C41"/>
    <mergeCell ref="D41:I41"/>
    <mergeCell ref="J41:V41"/>
    <mergeCell ref="W41:AI41"/>
    <mergeCell ref="AJ41:BB41"/>
    <mergeCell ref="X38:Z38"/>
    <mergeCell ref="AA38:AC38"/>
    <mergeCell ref="AD38:AF38"/>
    <mergeCell ref="AG38:AH38"/>
    <mergeCell ref="AI38:AQ38"/>
    <mergeCell ref="AD35:AF36"/>
    <mergeCell ref="AG35:AH36"/>
    <mergeCell ref="AI35:AQ36"/>
    <mergeCell ref="AR35:BB36"/>
    <mergeCell ref="D26:L27"/>
    <mergeCell ref="M26:AE26"/>
    <mergeCell ref="AF26:BB27"/>
    <mergeCell ref="M27:V27"/>
    <mergeCell ref="W27:AE27"/>
    <mergeCell ref="D42:I42"/>
    <mergeCell ref="B42:C42"/>
    <mergeCell ref="B28:C28"/>
    <mergeCell ref="D28:L28"/>
    <mergeCell ref="M28:V28"/>
    <mergeCell ref="B30:C30"/>
    <mergeCell ref="D30:L30"/>
    <mergeCell ref="M30:V30"/>
    <mergeCell ref="B37:C37"/>
    <mergeCell ref="D37:I37"/>
    <mergeCell ref="J37:O37"/>
    <mergeCell ref="P37:U37"/>
    <mergeCell ref="B38:C38"/>
    <mergeCell ref="D38:I38"/>
    <mergeCell ref="J38:O38"/>
    <mergeCell ref="P38:U38"/>
    <mergeCell ref="W28:AE28"/>
    <mergeCell ref="AF28:BB28"/>
    <mergeCell ref="B29:C29"/>
    <mergeCell ref="D29:L29"/>
    <mergeCell ref="M29:V29"/>
    <mergeCell ref="W29:AE29"/>
    <mergeCell ref="AF29:BB29"/>
    <mergeCell ref="W30:AE30"/>
    <mergeCell ref="AF30:BB30"/>
    <mergeCell ref="X37:Z37"/>
    <mergeCell ref="AA37:AC37"/>
    <mergeCell ref="AD37:AF37"/>
    <mergeCell ref="AG37:AH37"/>
    <mergeCell ref="AI37:AQ37"/>
    <mergeCell ref="AR37:BB37"/>
    <mergeCell ref="V37:W37"/>
    <mergeCell ref="AA35:AC36"/>
    <mergeCell ref="X35:Z36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助成金書類ダウンロード 申請種別選択</vt:lpstr>
      <vt:lpstr>更新履歴!Print_Area</vt:lpstr>
      <vt:lpstr>'助成金書類ダウンロード 申請種別選択'!Print_Area</vt:lpstr>
      <vt:lpstr>'助成金書類ダウンロード 申請種別選択'!Print_Titles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2018-05-16T05:13:03Z</dcterms:modified>
</cp:coreProperties>
</file>