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13_ncr:1_{8AEDECC7-5D8C-487C-B4B9-78A7CDA1A19C}" xr6:coauthVersionLast="45" xr6:coauthVersionMax="45" xr10:uidLastSave="{00000000-0000-0000-0000-000000000000}"/>
  <bookViews>
    <workbookView xWindow="-120" yWindow="-120" windowWidth="29040" windowHeight="15840" tabRatio="807" xr2:uid="{00000000-000D-0000-FFFF-FFFF00000000}"/>
  </bookViews>
  <sheets>
    <sheet name="表紙" sheetId="4" r:id="rId1"/>
    <sheet name="更新履歴" sheetId="5" r:id="rId2"/>
    <sheet name="見積もり情報登録画面（管理者権限）" sheetId="49" r:id="rId3"/>
  </sheets>
  <externalReferences>
    <externalReference r:id="rId4"/>
    <externalReference r:id="rId5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'見積もり情報登録画面（管理者権限）'!$A$1:$BF$122</definedName>
    <definedName name="_xlnm.Print_Area" localSheetId="1">更新履歴!$A$1:$BC$32</definedName>
    <definedName name="_xlnm.Print_Titles" localSheetId="2">'見積もり情報登録画面（管理者権限）'!$1:$4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7" i="4" l="1"/>
  <c r="X17" i="4"/>
  <c r="J2" i="49" l="1"/>
  <c r="A2" i="49"/>
  <c r="J2" i="5"/>
  <c r="A2" i="5"/>
  <c r="R2" i="49" l="1"/>
  <c r="R1" i="49"/>
  <c r="R1" i="5"/>
</calcChain>
</file>

<file path=xl/sharedStrings.xml><?xml version="1.0" encoding="utf-8"?>
<sst xmlns="http://schemas.openxmlformats.org/spreadsheetml/2006/main" count="221" uniqueCount="107">
  <si>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</si>
  <si>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</si>
  <si>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</si>
  <si>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</si>
  <si>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</si>
  <si>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</si>
  <si>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</si>
  <si>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</si>
  <si>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</si>
  <si>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</si>
  <si>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</si>
  <si>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</si>
  <si>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</si>
  <si>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</si>
  <si>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</si>
  <si>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</si>
  <si>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</si>
  <si>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</si>
  <si>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</si>
  <si>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</si>
  <si>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</si>
  <si>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</si>
  <si>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</si>
  <si>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</si>
  <si>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</si>
  <si>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</si>
  <si>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</si>
  <si>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</si>
  <si>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</si>
  <si>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</si>
  <si>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</si>
  <si>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</si>
  <si>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</si>
  <si>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</si>
  <si>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</si>
  <si>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</si>
  <si>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その他仕様</t>
    <rPh sb="2" eb="3">
      <t>タ</t>
    </rPh>
    <rPh sb="3" eb="5">
      <t>シヨウ</t>
    </rPh>
    <phoneticPr fontId="1"/>
  </si>
  <si>
    <t>LMS学習管理システム</t>
    <phoneticPr fontId="1"/>
  </si>
  <si>
    <t>-</t>
    <phoneticPr fontId="1"/>
  </si>
  <si>
    <t>送信ボタン</t>
  </si>
  <si>
    <t>櫻井</t>
    <rPh sb="0" eb="2">
      <t>サクライ</t>
    </rPh>
    <phoneticPr fontId="1"/>
  </si>
  <si>
    <t>高橋大</t>
    <rPh sb="0" eb="2">
      <t>タカハシ</t>
    </rPh>
    <rPh sb="2" eb="3">
      <t>ダイ</t>
    </rPh>
    <phoneticPr fontId="1"/>
  </si>
  <si>
    <t>基本情報</t>
    <rPh sb="0" eb="2">
      <t>キホン</t>
    </rPh>
    <rPh sb="2" eb="4">
      <t>ジョウホウ</t>
    </rPh>
    <phoneticPr fontId="1"/>
  </si>
  <si>
    <t>企業名</t>
    <rPh sb="0" eb="2">
      <t>キギョウ</t>
    </rPh>
    <rPh sb="2" eb="3">
      <t>メイ</t>
    </rPh>
    <phoneticPr fontId="1"/>
  </si>
  <si>
    <t>コース名</t>
    <rPh sb="3" eb="4">
      <t>メイ</t>
    </rPh>
    <phoneticPr fontId="1"/>
  </si>
  <si>
    <t>会場</t>
    <rPh sb="0" eb="2">
      <t>カイジョウ</t>
    </rPh>
    <phoneticPr fontId="1"/>
  </si>
  <si>
    <t>会場名</t>
    <rPh sb="0" eb="2">
      <t>カイジョウ</t>
    </rPh>
    <rPh sb="2" eb="3">
      <t>メイ</t>
    </rPh>
    <phoneticPr fontId="1"/>
  </si>
  <si>
    <t>品名</t>
    <rPh sb="0" eb="1">
      <t>シナ</t>
    </rPh>
    <rPh sb="1" eb="2">
      <t>メイ</t>
    </rPh>
    <phoneticPr fontId="1"/>
  </si>
  <si>
    <t>金額</t>
    <rPh sb="0" eb="2">
      <t>キンガク</t>
    </rPh>
    <phoneticPr fontId="1"/>
  </si>
  <si>
    <t>数量</t>
    <rPh sb="0" eb="2">
      <t>スウリョウ</t>
    </rPh>
    <phoneticPr fontId="1"/>
  </si>
  <si>
    <t>税率</t>
    <rPh sb="0" eb="2">
      <t>ゼイリツ</t>
    </rPh>
    <phoneticPr fontId="1"/>
  </si>
  <si>
    <t>◆『追加』ボタン押下時</t>
    <rPh sb="2" eb="4">
      <t>ツイカ</t>
    </rPh>
    <rPh sb="8" eb="10">
      <t>オウカ</t>
    </rPh>
    <phoneticPr fontId="1"/>
  </si>
  <si>
    <t>◆『削除』ボタン押下時</t>
    <phoneticPr fontId="1"/>
  </si>
  <si>
    <t>◆『登録』ボタン押下時</t>
    <phoneticPr fontId="1"/>
  </si>
  <si>
    <t>データベース　更新</t>
    <rPh sb="7" eb="9">
      <t>コウシン</t>
    </rPh>
    <phoneticPr fontId="1"/>
  </si>
  <si>
    <t>名称</t>
  </si>
  <si>
    <t>テーブル名(物理名）</t>
  </si>
  <si>
    <t>カラム名(物理名）</t>
  </si>
  <si>
    <t>備考</t>
  </si>
  <si>
    <t>追加</t>
    <rPh sb="0" eb="2">
      <t>ツイカ</t>
    </rPh>
    <phoneticPr fontId="1"/>
  </si>
  <si>
    <t>ボタン</t>
    <phoneticPr fontId="1"/>
  </si>
  <si>
    <t>追加ボタン押下で対象行の下に一行追加する</t>
    <rPh sb="0" eb="2">
      <t>ツイカ</t>
    </rPh>
    <rPh sb="5" eb="7">
      <t>オウカ</t>
    </rPh>
    <rPh sb="8" eb="10">
      <t>タイショウ</t>
    </rPh>
    <rPh sb="10" eb="11">
      <t>ギョウ</t>
    </rPh>
    <rPh sb="12" eb="13">
      <t>シタ</t>
    </rPh>
    <rPh sb="14" eb="16">
      <t>イチギョウ</t>
    </rPh>
    <rPh sb="16" eb="18">
      <t>ツイカ</t>
    </rPh>
    <phoneticPr fontId="1"/>
  </si>
  <si>
    <t>※1行：品名、金額、数量、税込み、編集</t>
    <rPh sb="2" eb="3">
      <t>ギョウ</t>
    </rPh>
    <rPh sb="4" eb="6">
      <t>ヒンメイ</t>
    </rPh>
    <rPh sb="7" eb="9">
      <t>キンガク</t>
    </rPh>
    <rPh sb="10" eb="12">
      <t>スウリョウ</t>
    </rPh>
    <rPh sb="13" eb="15">
      <t>ゼイコ</t>
    </rPh>
    <rPh sb="17" eb="19">
      <t>ヘンシュウ</t>
    </rPh>
    <phoneticPr fontId="1"/>
  </si>
  <si>
    <t>削除</t>
    <rPh sb="0" eb="2">
      <t>サクジョ</t>
    </rPh>
    <phoneticPr fontId="1"/>
  </si>
  <si>
    <t>削除ボタン押下で対象行を削除する</t>
    <rPh sb="0" eb="2">
      <t>サクジョ</t>
    </rPh>
    <rPh sb="5" eb="7">
      <t>オウカ</t>
    </rPh>
    <rPh sb="8" eb="10">
      <t>タイショウ</t>
    </rPh>
    <rPh sb="10" eb="11">
      <t>ギョウ</t>
    </rPh>
    <rPh sb="12" eb="14">
      <t>サクジョ</t>
    </rPh>
    <phoneticPr fontId="1"/>
  </si>
  <si>
    <t>登録</t>
    <rPh sb="0" eb="2">
      <t>トウロク</t>
    </rPh>
    <phoneticPr fontId="1"/>
  </si>
  <si>
    <t>見積もり情報明細ID</t>
    <phoneticPr fontId="1"/>
  </si>
  <si>
    <t>t_estimate_detail</t>
    <phoneticPr fontId="1"/>
  </si>
  <si>
    <t>estimate_detail_id</t>
    <phoneticPr fontId="1"/>
  </si>
  <si>
    <t>品名</t>
    <phoneticPr fontId="1"/>
  </si>
  <si>
    <t>金額</t>
    <phoneticPr fontId="1"/>
  </si>
  <si>
    <t>price</t>
    <phoneticPr fontId="1"/>
  </si>
  <si>
    <t>t_estimate</t>
    <phoneticPr fontId="1"/>
  </si>
  <si>
    <t>見積もり情報ID</t>
    <phoneticPr fontId="1"/>
  </si>
  <si>
    <t>estimate_id</t>
    <phoneticPr fontId="1"/>
  </si>
  <si>
    <t>請求月</t>
    <phoneticPr fontId="1"/>
  </si>
  <si>
    <t>billing_month</t>
    <phoneticPr fontId="1"/>
  </si>
  <si>
    <t>消費税</t>
    <phoneticPr fontId="1"/>
  </si>
  <si>
    <t>tax</t>
    <phoneticPr fontId="1"/>
  </si>
  <si>
    <t>会場ID</t>
    <phoneticPr fontId="1"/>
  </si>
  <si>
    <t>place_id</t>
    <phoneticPr fontId="1"/>
  </si>
  <si>
    <t>画面入力</t>
    <rPh sb="0" eb="2">
      <t>ガメン</t>
    </rPh>
    <rPh sb="2" eb="4">
      <t>ニュウリョク</t>
    </rPh>
    <phoneticPr fontId="1"/>
  </si>
  <si>
    <t>/lms/entry/confirm/</t>
    <phoneticPr fontId="1"/>
  </si>
  <si>
    <t>13期12月対応</t>
    <phoneticPr fontId="1"/>
  </si>
  <si>
    <t>会場ID</t>
    <rPh sb="0" eb="2">
      <t>カイジョウ</t>
    </rPh>
    <phoneticPr fontId="1"/>
  </si>
  <si>
    <t>hidden</t>
    <phoneticPr fontId="1"/>
  </si>
  <si>
    <t>○</t>
    <phoneticPr fontId="1"/>
  </si>
  <si>
    <t>placeId</t>
    <phoneticPr fontId="1"/>
  </si>
  <si>
    <t>product_name</t>
    <phoneticPr fontId="1"/>
  </si>
  <si>
    <t>productName</t>
    <phoneticPr fontId="1"/>
  </si>
  <si>
    <t>セレクトボックス</t>
    <phoneticPr fontId="1"/>
  </si>
  <si>
    <t>テキストボックス</t>
    <phoneticPr fontId="1"/>
  </si>
  <si>
    <t>税率</t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</si>
  <si>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</si>
  <si>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</si>
  <si>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</si>
  <si>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</si>
  <si>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</si>
  <si>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エラー文を表示</t>
    <rPh sb="3" eb="4">
      <t>ブン</t>
    </rPh>
    <rPh sb="5" eb="7">
      <t>ヒョウジ</t>
    </rPh>
    <phoneticPr fontId="1"/>
  </si>
  <si>
    <t>全項目</t>
    <rPh sb="0" eb="1">
      <t>ゼン</t>
    </rPh>
    <rPh sb="1" eb="3">
      <t>コウモク</t>
    </rPh>
    <phoneticPr fontId="1"/>
  </si>
  <si>
    <t>未入力の場合</t>
    <rPh sb="0" eb="3">
      <t>ミニュウリョク</t>
    </rPh>
    <rPh sb="4" eb="6">
      <t>バアイ</t>
    </rPh>
    <phoneticPr fontId="1"/>
  </si>
  <si>
    <t>{項目名}は必須です。</t>
    <rPh sb="1" eb="3">
      <t>コウモク</t>
    </rPh>
    <rPh sb="3" eb="4">
      <t>メイ</t>
    </rPh>
    <rPh sb="6" eb="8">
      <t>ヒッス</t>
    </rPh>
    <phoneticPr fontId="1"/>
  </si>
  <si>
    <t>【13期12月対応】
内部レビュー対応</t>
    <rPh sb="11" eb="13">
      <t>ナイブ</t>
    </rPh>
    <rPh sb="17" eb="19">
      <t>タイオウ</t>
    </rPh>
    <phoneticPr fontId="1"/>
  </si>
  <si>
    <t>高橋大</t>
    <rPh sb="0" eb="1">
      <t>タカ</t>
    </rPh>
    <rPh sb="1" eb="2">
      <t>ハシ</t>
    </rPh>
    <rPh sb="2" eb="3">
      <t>ダイ</t>
    </rPh>
    <phoneticPr fontId="1"/>
  </si>
  <si>
    <t>企業ID</t>
    <rPh sb="0" eb="2">
      <t>キギョウ</t>
    </rPh>
    <phoneticPr fontId="1"/>
  </si>
  <si>
    <t>companyId</t>
    <phoneticPr fontId="1"/>
  </si>
  <si>
    <t>【13期12月対応】
外部レビュー対応：出力様式削除</t>
    <rPh sb="11" eb="13">
      <t>ガイブ</t>
    </rPh>
    <rPh sb="17" eb="19">
      <t>タイオウ</t>
    </rPh>
    <rPh sb="20" eb="22">
      <t>シュツリョク</t>
    </rPh>
    <rPh sb="22" eb="24">
      <t>ヨウシキ</t>
    </rPh>
    <rPh sb="24" eb="26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</si>
</sst>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30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91" applyNumberFormat="0" applyProtection="0">
      <alignment vertical="center"/>
    </xf>
    <xf numFmtId="0" fontId="19" fillId="8" borderId="93" applyNumberFormat="0" applyProtection="0">
      <alignment vertical="center"/>
    </xf>
    <xf numFmtId="0" fontId="18" fillId="0" borderId="95" applyNumberFormat="0" applyFill="0" applyProtection="0">
      <alignment vertical="center"/>
    </xf>
    <xf numFmtId="0" fontId="13" fillId="8" borderId="91" applyNumberFormat="0" applyProtection="0">
      <alignment vertical="center"/>
    </xf>
    <xf numFmtId="0" fontId="2" fillId="10" borderId="92" applyNumberFormat="0" applyProtection="0">
      <alignment vertical="center"/>
    </xf>
    <xf numFmtId="0" fontId="46" fillId="0" borderId="94" applyNumberFormat="0" applyFill="0" applyProtection="0">
      <alignment vertical="center"/>
    </xf>
    <xf numFmtId="0" fontId="44" fillId="20" borderId="93" applyNumberFormat="0" applyProtection="0">
      <alignment vertical="center"/>
    </xf>
    <xf numFmtId="0" fontId="2" fillId="10" borderId="92" applyNumberFormat="0" applyProtection="0">
      <alignment vertical="center"/>
    </xf>
    <xf numFmtId="0" fontId="41" fillId="7" borderId="91" applyNumberFormat="0" applyProtection="0">
      <alignment vertical="center"/>
    </xf>
    <xf numFmtId="0" fontId="33" fillId="20" borderId="85" applyNumberFormat="0" applyProtection="0">
      <alignment vertical="center"/>
    </xf>
    <xf numFmtId="0" fontId="33" fillId="20" borderId="91" applyNumberFormat="0" applyProtection="0">
      <alignment vertical="center"/>
    </xf>
    <xf numFmtId="0" fontId="41" fillId="7" borderId="85" applyNumberFormat="0" applyProtection="0">
      <alignment vertical="center"/>
    </xf>
    <xf numFmtId="0" fontId="2" fillId="10" borderId="86" applyNumberFormat="0" applyProtection="0">
      <alignment vertical="center"/>
    </xf>
    <xf numFmtId="0" fontId="44" fillId="20" borderId="87" applyNumberFormat="0" applyProtection="0">
      <alignment vertical="center"/>
    </xf>
    <xf numFmtId="0" fontId="46" fillId="0" borderId="88" applyNumberFormat="0" applyFill="0" applyProtection="0">
      <alignment vertical="center"/>
    </xf>
    <xf numFmtId="0" fontId="2" fillId="10" borderId="86" applyNumberFormat="0" applyProtection="0">
      <alignment vertical="center"/>
    </xf>
    <xf numFmtId="0" fontId="13" fillId="8" borderId="85" applyNumberFormat="0" applyProtection="0">
      <alignment vertical="center"/>
    </xf>
    <xf numFmtId="0" fontId="18" fillId="0" borderId="89" applyNumberFormat="0" applyFill="0" applyProtection="0">
      <alignment vertical="center"/>
    </xf>
    <xf numFmtId="0" fontId="19" fillId="8" borderId="87" applyNumberFormat="0" applyProtection="0">
      <alignment vertical="center"/>
    </xf>
    <xf numFmtId="0" fontId="48" fillId="3" borderId="85" applyNumberFormat="0" applyProtection="0">
      <alignment vertical="center"/>
    </xf>
  </cellStyleXfs>
  <cellXfs count="311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2" fillId="32" borderId="76" xfId="0" applyFont="1" applyFill="1" applyBorder="1" applyAlignment="1">
      <alignment vertical="center"/>
    </xf>
    <xf numFmtId="0" fontId="52" fillId="0" borderId="77" xfId="0" applyFont="1" applyBorder="1" applyAlignment="1">
      <alignment vertical="center"/>
    </xf>
    <xf numFmtId="0" fontId="52" fillId="0" borderId="78" xfId="0" applyFont="1" applyBorder="1" applyAlignment="1">
      <alignment vertical="center"/>
    </xf>
    <xf numFmtId="0" fontId="52" fillId="0" borderId="0" xfId="0" applyFont="1" applyBorder="1" applyAlignment="1">
      <alignment vertical="center"/>
    </xf>
    <xf numFmtId="0" fontId="53" fillId="0" borderId="0" xfId="0" applyFont="1" applyBorder="1">
      <alignment vertical="center"/>
    </xf>
    <xf numFmtId="0" fontId="54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33" borderId="72" xfId="0" applyFont="1" applyFill="1" applyBorder="1" applyAlignment="1">
      <alignment vertical="center"/>
    </xf>
    <xf numFmtId="0" fontId="52" fillId="33" borderId="31" xfId="0" applyFont="1" applyFill="1" applyBorder="1" applyAlignment="1">
      <alignment vertical="center"/>
    </xf>
    <xf numFmtId="0" fontId="54" fillId="33" borderId="73" xfId="0" applyFont="1" applyFill="1" applyBorder="1">
      <alignment vertical="center"/>
    </xf>
    <xf numFmtId="0" fontId="54" fillId="0" borderId="73" xfId="0" applyFont="1" applyBorder="1">
      <alignment vertical="center"/>
    </xf>
    <xf numFmtId="0" fontId="52" fillId="0" borderId="71" xfId="0" applyFont="1" applyBorder="1" applyAlignment="1">
      <alignment vertical="center"/>
    </xf>
    <xf numFmtId="0" fontId="52" fillId="0" borderId="72" xfId="0" applyFont="1" applyBorder="1" applyAlignment="1">
      <alignment vertical="center"/>
    </xf>
    <xf numFmtId="0" fontId="52" fillId="32" borderId="71" xfId="0" applyFont="1" applyFill="1" applyBorder="1" applyAlignment="1">
      <alignment vertical="center"/>
    </xf>
    <xf numFmtId="0" fontId="52" fillId="32" borderId="72" xfId="0" applyFont="1" applyFill="1" applyBorder="1" applyAlignment="1">
      <alignment vertical="center"/>
    </xf>
    <xf numFmtId="0" fontId="52" fillId="32" borderId="73" xfId="0" applyFont="1" applyFill="1" applyBorder="1" applyAlignment="1">
      <alignment vertical="center"/>
    </xf>
    <xf numFmtId="0" fontId="52" fillId="32" borderId="81" xfId="0" applyFont="1" applyFill="1" applyBorder="1" applyAlignment="1">
      <alignment vertical="center"/>
    </xf>
    <xf numFmtId="0" fontId="52" fillId="0" borderId="79" xfId="0" applyFont="1" applyBorder="1" applyAlignment="1">
      <alignment vertical="center"/>
    </xf>
    <xf numFmtId="0" fontId="52" fillId="0" borderId="80" xfId="0" applyFont="1" applyBorder="1" applyAlignment="1">
      <alignment vertical="center"/>
    </xf>
    <xf numFmtId="0" fontId="54" fillId="0" borderId="0" xfId="0" applyFont="1">
      <alignment vertical="center"/>
    </xf>
    <xf numFmtId="0" fontId="54" fillId="30" borderId="0" xfId="0" applyFont="1" applyFill="1" applyBorder="1">
      <alignment vertical="center"/>
    </xf>
    <xf numFmtId="0" fontId="55" fillId="30" borderId="0" xfId="0" applyFont="1" applyFill="1" applyBorder="1">
      <alignment vertical="center"/>
    </xf>
    <xf numFmtId="0" fontId="54" fillId="30" borderId="0" xfId="0" applyFont="1" applyFill="1">
      <alignment vertical="center"/>
    </xf>
    <xf numFmtId="0" fontId="55" fillId="0" borderId="0" xfId="0" applyFont="1" applyBorder="1">
      <alignment vertical="center"/>
    </xf>
    <xf numFmtId="0" fontId="55" fillId="32" borderId="0" xfId="0" applyFont="1" applyFill="1" applyBorder="1">
      <alignment vertical="center"/>
    </xf>
    <xf numFmtId="0" fontId="52" fillId="32" borderId="0" xfId="0" applyFont="1" applyFill="1" applyBorder="1" applyAlignment="1">
      <alignment horizontal="center" vertical="center"/>
    </xf>
    <xf numFmtId="0" fontId="52" fillId="32" borderId="0" xfId="0" applyFont="1" applyFill="1" applyBorder="1" applyAlignment="1">
      <alignment vertical="center"/>
    </xf>
    <xf numFmtId="0" fontId="52" fillId="32" borderId="78" xfId="0" applyFont="1" applyFill="1" applyBorder="1" applyAlignment="1">
      <alignment vertical="top" wrapText="1"/>
    </xf>
    <xf numFmtId="0" fontId="52" fillId="32" borderId="76" xfId="0" applyFont="1" applyFill="1" applyBorder="1" applyAlignment="1">
      <alignment horizontal="left" vertical="top" wrapText="1"/>
    </xf>
    <xf numFmtId="0" fontId="55" fillId="32" borderId="0" xfId="0" applyFont="1" applyFill="1" applyBorder="1" applyAlignment="1">
      <alignment horizontal="center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vertical="center"/>
    </xf>
    <xf numFmtId="0" fontId="52" fillId="32" borderId="0" xfId="0" applyFont="1" applyFill="1" applyBorder="1" applyAlignment="1">
      <alignment horizontal="left" vertical="center"/>
    </xf>
    <xf numFmtId="0" fontId="52" fillId="32" borderId="0" xfId="0" applyFont="1" applyFill="1" applyBorder="1" applyAlignment="1">
      <alignment vertical="top"/>
    </xf>
    <xf numFmtId="0" fontId="52" fillId="32" borderId="0" xfId="0" applyFont="1" applyFill="1" applyBorder="1" applyAlignment="1">
      <alignment vertical="top" wrapText="1"/>
    </xf>
    <xf numFmtId="0" fontId="52" fillId="32" borderId="0" xfId="0" applyFont="1" applyFill="1" applyBorder="1" applyAlignment="1">
      <alignment horizontal="left" vertical="top" wrapText="1"/>
    </xf>
    <xf numFmtId="0" fontId="52" fillId="33" borderId="71" xfId="0" applyFont="1" applyFill="1" applyBorder="1" applyAlignment="1">
      <alignment vertical="center"/>
    </xf>
    <xf numFmtId="0" fontId="52" fillId="32" borderId="71" xfId="0" applyFont="1" applyFill="1" applyBorder="1" applyAlignment="1">
      <alignment vertical="center"/>
    </xf>
    <xf numFmtId="0" fontId="52" fillId="32" borderId="72" xfId="0" applyFont="1" applyFill="1" applyBorder="1" applyAlignment="1">
      <alignment vertical="center"/>
    </xf>
    <xf numFmtId="0" fontId="52" fillId="32" borderId="73" xfId="0" applyFont="1" applyFill="1" applyBorder="1" applyAlignment="1">
      <alignment vertical="center"/>
    </xf>
    <xf numFmtId="0" fontId="52" fillId="32" borderId="75" xfId="0" applyFont="1" applyFill="1" applyBorder="1" applyAlignment="1">
      <alignment vertical="center"/>
    </xf>
    <xf numFmtId="0" fontId="52" fillId="32" borderId="77" xfId="0" applyFont="1" applyFill="1" applyBorder="1" applyAlignment="1">
      <alignment vertical="top"/>
    </xf>
    <xf numFmtId="0" fontId="53" fillId="0" borderId="0" xfId="0" applyFont="1">
      <alignment vertical="center"/>
    </xf>
    <xf numFmtId="0" fontId="52" fillId="0" borderId="0" xfId="0" applyFont="1">
      <alignment vertical="center"/>
    </xf>
    <xf numFmtId="0" fontId="58" fillId="0" borderId="0" xfId="0" applyFont="1">
      <alignment vertical="center"/>
    </xf>
    <xf numFmtId="0" fontId="2" fillId="0" borderId="0" xfId="0" applyFont="1">
      <alignment vertical="center"/>
    </xf>
    <xf numFmtId="0" fontId="58" fillId="0" borderId="0" xfId="105" applyFont="1" applyAlignment="1">
      <alignment vertical="center"/>
    </xf>
    <xf numFmtId="0" fontId="52" fillId="32" borderId="71" xfId="0" applyFont="1" applyFill="1" applyBorder="1" applyAlignment="1">
      <alignment vertical="center"/>
    </xf>
    <xf numFmtId="0" fontId="52" fillId="32" borderId="72" xfId="0" applyFont="1" applyFill="1" applyBorder="1" applyAlignment="1">
      <alignment vertical="center"/>
    </xf>
    <xf numFmtId="0" fontId="52" fillId="32" borderId="73" xfId="0" applyFont="1" applyFill="1" applyBorder="1" applyAlignment="1">
      <alignment vertical="center"/>
    </xf>
    <xf numFmtId="0" fontId="61" fillId="0" borderId="0" xfId="0" applyFont="1">
      <alignment vertical="center"/>
    </xf>
    <xf numFmtId="0" fontId="52" fillId="0" borderId="0" xfId="0" applyFont="1" applyBorder="1" applyAlignment="1">
      <alignment horizontal="center" vertical="center"/>
    </xf>
    <xf numFmtId="0" fontId="52" fillId="0" borderId="0" xfId="0" applyFont="1" applyBorder="1" applyAlignment="1">
      <alignment horizontal="left" vertical="center"/>
    </xf>
    <xf numFmtId="0" fontId="52" fillId="0" borderId="0" xfId="0" applyFont="1" applyBorder="1" applyAlignment="1">
      <alignment horizontal="left" vertical="center" wrapText="1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96" xfId="102" applyFont="1" applyFill="1" applyBorder="1" applyAlignment="1">
      <alignment horizontal="center" vertical="center"/>
    </xf>
    <xf numFmtId="0" fontId="2" fillId="28" borderId="90" xfId="102" applyFont="1" applyFill="1" applyBorder="1" applyAlignment="1">
      <alignment horizontal="center" vertical="center"/>
    </xf>
    <xf numFmtId="0" fontId="2" fillId="28" borderId="97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8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75" xfId="102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36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56" fillId="30" borderId="105" xfId="0" applyFont="1" applyFill="1" applyBorder="1" applyAlignment="1">
      <alignment horizontal="center" vertical="center"/>
    </xf>
    <xf numFmtId="0" fontId="56" fillId="30" borderId="106" xfId="0" applyFont="1" applyFill="1" applyBorder="1" applyAlignment="1">
      <alignment horizontal="center" vertical="center"/>
    </xf>
    <xf numFmtId="0" fontId="56" fillId="31" borderId="105" xfId="98" applyFont="1" applyFill="1" applyBorder="1" applyAlignment="1">
      <alignment horizontal="center" vertical="center"/>
    </xf>
    <xf numFmtId="0" fontId="56" fillId="31" borderId="107" xfId="98" applyFont="1" applyFill="1" applyBorder="1" applyAlignment="1">
      <alignment horizontal="center" vertical="center"/>
    </xf>
    <xf numFmtId="0" fontId="56" fillId="31" borderId="106" xfId="98" applyFont="1" applyFill="1" applyBorder="1" applyAlignment="1">
      <alignment horizontal="center" vertical="center"/>
    </xf>
    <xf numFmtId="0" fontId="56" fillId="30" borderId="102" xfId="0" applyFont="1" applyFill="1" applyBorder="1" applyAlignment="1">
      <alignment horizontal="center" vertical="center"/>
    </xf>
    <xf numFmtId="0" fontId="56" fillId="30" borderId="103" xfId="0" applyFont="1" applyFill="1" applyBorder="1" applyAlignment="1">
      <alignment horizontal="center" vertical="center"/>
    </xf>
    <xf numFmtId="0" fontId="56" fillId="30" borderId="104" xfId="0" applyFont="1" applyFill="1" applyBorder="1" applyAlignment="1">
      <alignment horizontal="center" vertical="center"/>
    </xf>
    <xf numFmtId="0" fontId="52" fillId="0" borderId="102" xfId="0" applyFont="1" applyBorder="1" applyAlignment="1">
      <alignment horizontal="center" vertical="center"/>
    </xf>
    <xf numFmtId="0" fontId="52" fillId="0" borderId="104" xfId="0" applyFont="1" applyBorder="1" applyAlignment="1">
      <alignment horizontal="center" vertical="center"/>
    </xf>
    <xf numFmtId="0" fontId="52" fillId="0" borderId="102" xfId="0" applyFont="1" applyBorder="1" applyAlignment="1">
      <alignment horizontal="left" vertical="center"/>
    </xf>
    <xf numFmtId="0" fontId="52" fillId="0" borderId="103" xfId="0" applyFont="1" applyBorder="1" applyAlignment="1">
      <alignment horizontal="left" vertical="center"/>
    </xf>
    <xf numFmtId="0" fontId="52" fillId="0" borderId="104" xfId="0" applyFont="1" applyBorder="1" applyAlignment="1">
      <alignment horizontal="left" vertical="center"/>
    </xf>
    <xf numFmtId="0" fontId="52" fillId="0" borderId="102" xfId="0" applyFont="1" applyBorder="1" applyAlignment="1">
      <alignment horizontal="left" vertical="center" wrapText="1"/>
    </xf>
    <xf numFmtId="0" fontId="52" fillId="0" borderId="103" xfId="0" applyFont="1" applyBorder="1" applyAlignment="1">
      <alignment horizontal="left" vertical="center" wrapText="1"/>
    </xf>
    <xf numFmtId="0" fontId="52" fillId="0" borderId="104" xfId="0" applyFont="1" applyBorder="1" applyAlignment="1">
      <alignment horizontal="left" vertical="center" wrapText="1"/>
    </xf>
    <xf numFmtId="0" fontId="52" fillId="32" borderId="102" xfId="0" applyFont="1" applyFill="1" applyBorder="1" applyAlignment="1">
      <alignment horizontal="left" vertical="center"/>
    </xf>
    <xf numFmtId="0" fontId="52" fillId="32" borderId="103" xfId="0" applyFont="1" applyFill="1" applyBorder="1" applyAlignment="1">
      <alignment horizontal="left" vertical="center"/>
    </xf>
    <xf numFmtId="0" fontId="52" fillId="32" borderId="104" xfId="0" applyFont="1" applyFill="1" applyBorder="1" applyAlignment="1">
      <alignment horizontal="left" vertical="center"/>
    </xf>
    <xf numFmtId="0" fontId="52" fillId="32" borderId="77" xfId="0" applyFont="1" applyFill="1" applyBorder="1" applyAlignment="1">
      <alignment vertical="center"/>
    </xf>
    <xf numFmtId="0" fontId="52" fillId="32" borderId="78" xfId="0" applyFont="1" applyFill="1" applyBorder="1" applyAlignment="1">
      <alignment vertical="center"/>
    </xf>
    <xf numFmtId="0" fontId="52" fillId="32" borderId="76" xfId="0" applyFont="1" applyFill="1" applyBorder="1" applyAlignment="1">
      <alignment vertical="center"/>
    </xf>
    <xf numFmtId="0" fontId="52" fillId="32" borderId="77" xfId="0" applyFont="1" applyFill="1" applyBorder="1" applyAlignment="1">
      <alignment horizontal="center" vertical="center"/>
    </xf>
    <xf numFmtId="0" fontId="52" fillId="32" borderId="76" xfId="0" applyFont="1" applyFill="1" applyBorder="1" applyAlignment="1">
      <alignment horizontal="center" vertical="center"/>
    </xf>
    <xf numFmtId="0" fontId="52" fillId="32" borderId="71" xfId="0" applyFont="1" applyFill="1" applyBorder="1" applyAlignment="1">
      <alignment horizontal="left" vertical="center"/>
    </xf>
    <xf numFmtId="0" fontId="52" fillId="32" borderId="72" xfId="0" applyFont="1" applyFill="1" applyBorder="1" applyAlignment="1">
      <alignment horizontal="left" vertical="center"/>
    </xf>
    <xf numFmtId="0" fontId="52" fillId="32" borderId="73" xfId="0" applyFont="1" applyFill="1" applyBorder="1" applyAlignment="1">
      <alignment horizontal="left" vertical="center"/>
    </xf>
    <xf numFmtId="0" fontId="52" fillId="32" borderId="77" xfId="0" applyFont="1" applyFill="1" applyBorder="1" applyAlignment="1">
      <alignment horizontal="left" vertical="center"/>
    </xf>
    <xf numFmtId="0" fontId="52" fillId="32" borderId="78" xfId="0" applyFont="1" applyFill="1" applyBorder="1" applyAlignment="1">
      <alignment horizontal="left" vertical="center"/>
    </xf>
    <xf numFmtId="0" fontId="52" fillId="32" borderId="76" xfId="0" applyFont="1" applyFill="1" applyBorder="1" applyAlignment="1">
      <alignment horizontal="left" vertical="center"/>
    </xf>
    <xf numFmtId="0" fontId="52" fillId="32" borderId="71" xfId="0" applyFont="1" applyFill="1" applyBorder="1" applyAlignment="1">
      <alignment horizontal="center" vertical="center"/>
    </xf>
    <xf numFmtId="0" fontId="52" fillId="32" borderId="72" xfId="0" applyFont="1" applyFill="1" applyBorder="1" applyAlignment="1">
      <alignment horizontal="center" vertical="center"/>
    </xf>
    <xf numFmtId="0" fontId="52" fillId="32" borderId="73" xfId="0" applyFont="1" applyFill="1" applyBorder="1" applyAlignment="1">
      <alignment horizontal="center" vertical="center"/>
    </xf>
    <xf numFmtId="0" fontId="52" fillId="0" borderId="71" xfId="0" applyFont="1" applyFill="1" applyBorder="1" applyAlignment="1">
      <alignment vertical="center"/>
    </xf>
    <xf numFmtId="0" fontId="52" fillId="0" borderId="72" xfId="0" applyFont="1" applyFill="1" applyBorder="1" applyAlignment="1">
      <alignment vertical="center"/>
    </xf>
    <xf numFmtId="0" fontId="52" fillId="0" borderId="73" xfId="0" applyFont="1" applyFill="1" applyBorder="1" applyAlignment="1">
      <alignment vertical="center"/>
    </xf>
    <xf numFmtId="0" fontId="60" fillId="0" borderId="98" xfId="105" applyFont="1" applyBorder="1" applyAlignment="1">
      <alignment horizontal="center" vertical="center"/>
    </xf>
    <xf numFmtId="0" fontId="60" fillId="0" borderId="99" xfId="105" applyFont="1" applyBorder="1" applyAlignment="1">
      <alignment horizontal="left" vertical="center"/>
    </xf>
    <xf numFmtId="0" fontId="60" fillId="0" borderId="100" xfId="105" applyFont="1" applyBorder="1" applyAlignment="1">
      <alignment horizontal="left" vertical="center"/>
    </xf>
    <xf numFmtId="0" fontId="60" fillId="0" borderId="101" xfId="105" applyFont="1" applyBorder="1" applyAlignment="1">
      <alignment horizontal="left" vertical="center"/>
    </xf>
    <xf numFmtId="0" fontId="60" fillId="0" borderId="98" xfId="105" applyFont="1" applyBorder="1" applyAlignment="1">
      <alignment horizontal="left" vertical="center"/>
    </xf>
    <xf numFmtId="0" fontId="56" fillId="30" borderId="70" xfId="0" applyFont="1" applyFill="1" applyBorder="1" applyAlignment="1">
      <alignment horizontal="center" vertical="center"/>
    </xf>
    <xf numFmtId="0" fontId="56" fillId="30" borderId="67" xfId="0" applyFont="1" applyFill="1" applyBorder="1" applyAlignment="1">
      <alignment horizontal="center" vertical="center"/>
    </xf>
    <xf numFmtId="0" fontId="56" fillId="31" borderId="70" xfId="98" applyFont="1" applyFill="1" applyBorder="1" applyAlignment="1">
      <alignment horizontal="center" vertical="center"/>
    </xf>
    <xf numFmtId="0" fontId="56" fillId="31" borderId="74" xfId="98" applyFont="1" applyFill="1" applyBorder="1" applyAlignment="1">
      <alignment horizontal="center" vertical="center"/>
    </xf>
    <xf numFmtId="0" fontId="56" fillId="31" borderId="67" xfId="98" applyFont="1" applyFill="1" applyBorder="1" applyAlignment="1">
      <alignment horizontal="center" vertical="center"/>
    </xf>
    <xf numFmtId="0" fontId="57" fillId="0" borderId="0" xfId="0" applyFont="1" applyBorder="1" applyAlignment="1">
      <alignment horizontal="left" vertical="center"/>
    </xf>
    <xf numFmtId="0" fontId="56" fillId="31" borderId="71" xfId="98" applyFont="1" applyFill="1" applyBorder="1" applyAlignment="1">
      <alignment horizontal="center" vertical="center"/>
    </xf>
    <xf numFmtId="0" fontId="56" fillId="31" borderId="72" xfId="98" applyFont="1" applyFill="1" applyBorder="1" applyAlignment="1">
      <alignment horizontal="center" vertical="center"/>
    </xf>
    <xf numFmtId="0" fontId="56" fillId="31" borderId="73" xfId="98" applyFont="1" applyFill="1" applyBorder="1" applyAlignment="1">
      <alignment horizontal="center" vertical="center"/>
    </xf>
    <xf numFmtId="0" fontId="59" fillId="34" borderId="98" xfId="105" applyFont="1" applyFill="1" applyBorder="1" applyAlignment="1">
      <alignment horizontal="center" vertical="center"/>
    </xf>
    <xf numFmtId="0" fontId="60" fillId="0" borderId="99" xfId="105" applyFont="1" applyBorder="1" applyAlignment="1">
      <alignment horizontal="left"/>
    </xf>
    <xf numFmtId="0" fontId="60" fillId="0" borderId="100" xfId="105" applyFont="1" applyBorder="1" applyAlignment="1">
      <alignment horizontal="left"/>
    </xf>
    <xf numFmtId="0" fontId="60" fillId="0" borderId="101" xfId="105" applyFont="1" applyBorder="1" applyAlignment="1">
      <alignment horizontal="left"/>
    </xf>
    <xf numFmtId="0" fontId="52" fillId="32" borderId="78" xfId="0" applyFont="1" applyFill="1" applyBorder="1" applyAlignment="1">
      <alignment horizontal="center" vertical="center"/>
    </xf>
    <xf numFmtId="0" fontId="56" fillId="30" borderId="74" xfId="0" applyFont="1" applyFill="1" applyBorder="1" applyAlignment="1">
      <alignment horizontal="center" vertical="center"/>
    </xf>
    <xf numFmtId="0" fontId="56" fillId="30" borderId="68" xfId="0" applyFont="1" applyFill="1" applyBorder="1" applyAlignment="1">
      <alignment horizontal="center" vertical="center"/>
    </xf>
    <xf numFmtId="0" fontId="56" fillId="30" borderId="31" xfId="0" applyFont="1" applyFill="1" applyBorder="1" applyAlignment="1">
      <alignment horizontal="center" vertical="center"/>
    </xf>
    <xf numFmtId="0" fontId="56" fillId="30" borderId="75" xfId="0" applyFont="1" applyFill="1" applyBorder="1" applyAlignment="1">
      <alignment horizontal="center" vertical="center"/>
    </xf>
    <xf numFmtId="0" fontId="52" fillId="32" borderId="83" xfId="0" applyFont="1" applyFill="1" applyBorder="1" applyAlignment="1">
      <alignment horizontal="center" vertical="center"/>
    </xf>
    <xf numFmtId="0" fontId="52" fillId="32" borderId="82" xfId="0" applyFont="1" applyFill="1" applyBorder="1" applyAlignment="1">
      <alignment horizontal="left" vertical="center"/>
    </xf>
    <xf numFmtId="0" fontId="52" fillId="32" borderId="84" xfId="0" applyFont="1" applyFill="1" applyBorder="1" applyAlignment="1">
      <alignment horizontal="left" vertical="center"/>
    </xf>
    <xf numFmtId="0" fontId="52" fillId="32" borderId="83" xfId="0" applyFont="1" applyFill="1" applyBorder="1" applyAlignment="1">
      <alignment horizontal="left" vertical="center"/>
    </xf>
    <xf numFmtId="0" fontId="52" fillId="32" borderId="79" xfId="0" applyFont="1" applyFill="1" applyBorder="1" applyAlignment="1">
      <alignment horizontal="left" vertical="center"/>
    </xf>
    <xf numFmtId="0" fontId="52" fillId="32" borderId="80" xfId="0" applyFont="1" applyFill="1" applyBorder="1" applyAlignment="1">
      <alignment horizontal="left" vertical="center"/>
    </xf>
    <xf numFmtId="0" fontId="52" fillId="32" borderId="81" xfId="0" applyFont="1" applyFill="1" applyBorder="1" applyAlignment="1">
      <alignment horizontal="left" vertical="center"/>
    </xf>
    <xf numFmtId="0" fontId="52" fillId="0" borderId="71" xfId="0" applyFont="1" applyFill="1" applyBorder="1" applyAlignment="1">
      <alignment horizontal="left" vertical="center"/>
    </xf>
    <xf numFmtId="0" fontId="52" fillId="0" borderId="72" xfId="0" applyFont="1" applyFill="1" applyBorder="1" applyAlignment="1">
      <alignment horizontal="left" vertical="center"/>
    </xf>
    <xf numFmtId="0" fontId="52" fillId="0" borderId="73" xfId="0" applyFont="1" applyFill="1" applyBorder="1" applyAlignment="1">
      <alignment horizontal="left" vertical="center"/>
    </xf>
    <xf numFmtId="0" fontId="54" fillId="0" borderId="33" xfId="101" applyFont="1" applyBorder="1" applyAlignment="1">
      <alignment horizontal="center" vertical="center" wrapText="1"/>
    </xf>
    <xf numFmtId="0" fontId="54" fillId="0" borderId="28" xfId="10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52" fillId="32" borderId="71" xfId="0" applyFont="1" applyFill="1" applyBorder="1" applyAlignment="1">
      <alignment vertical="center"/>
    </xf>
    <xf numFmtId="0" fontId="52" fillId="32" borderId="72" xfId="0" applyFont="1" applyFill="1" applyBorder="1" applyAlignment="1">
      <alignment vertical="center"/>
    </xf>
    <xf numFmtId="0" fontId="52" fillId="32" borderId="73" xfId="0" applyFont="1" applyFill="1" applyBorder="1" applyAlignment="1">
      <alignment vertical="center"/>
    </xf>
    <xf numFmtId="0" fontId="52" fillId="32" borderId="79" xfId="0" applyFont="1" applyFill="1" applyBorder="1" applyAlignment="1">
      <alignment horizontal="center" vertical="center"/>
    </xf>
    <xf numFmtId="0" fontId="52" fillId="32" borderId="81" xfId="0" applyFont="1" applyFill="1" applyBorder="1" applyAlignment="1">
      <alignment horizontal="center" vertical="center"/>
    </xf>
    <xf numFmtId="0" fontId="52" fillId="0" borderId="71" xfId="0" applyFont="1" applyBorder="1" applyAlignment="1">
      <alignment vertical="center"/>
    </xf>
    <xf numFmtId="0" fontId="52" fillId="0" borderId="72" xfId="0" applyFont="1" applyBorder="1" applyAlignment="1">
      <alignment vertical="center"/>
    </xf>
    <xf numFmtId="0" fontId="52" fillId="0" borderId="73" xfId="0" applyFont="1" applyBorder="1" applyAlignment="1">
      <alignment vertical="center"/>
    </xf>
    <xf numFmtId="0" fontId="56" fillId="31" borderId="68" xfId="98" applyFont="1" applyFill="1" applyBorder="1" applyAlignment="1">
      <alignment horizontal="center" vertical="center"/>
    </xf>
    <xf numFmtId="0" fontId="56" fillId="31" borderId="31" xfId="98" applyFont="1" applyFill="1" applyBorder="1" applyAlignment="1">
      <alignment horizontal="center" vertical="center"/>
    </xf>
    <xf numFmtId="0" fontId="56" fillId="31" borderId="75" xfId="98" applyFont="1" applyFill="1" applyBorder="1" applyAlignment="1">
      <alignment horizontal="center" vertical="center"/>
    </xf>
    <xf numFmtId="0" fontId="59" fillId="34" borderId="99" xfId="105" applyFont="1" applyFill="1" applyBorder="1" applyAlignment="1">
      <alignment horizontal="center" vertical="center"/>
    </xf>
    <xf numFmtId="0" fontId="59" fillId="34" borderId="100" xfId="105" applyFont="1" applyFill="1" applyBorder="1" applyAlignment="1">
      <alignment horizontal="center" vertical="center"/>
    </xf>
    <xf numFmtId="0" fontId="59" fillId="34" borderId="101" xfId="105" applyFont="1" applyFill="1" applyBorder="1" applyAlignment="1">
      <alignment horizontal="center" vertical="center"/>
    </xf>
  </cellXfs>
  <cellStyles count="13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9" xr:uid="{00000000-0005-0000-0000-00002D000000}"/>
    <cellStyle name="Calculation 3" xfId="12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1" xr:uid="{00000000-0005-0000-0000-00003D000000}"/>
    <cellStyle name="Input 3" xfId="118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2" xr:uid="{00000000-0005-0000-0000-000048000000}"/>
    <cellStyle name="Note 3" xfId="117" xr:uid="{00000000-0005-0000-0000-000049000000}"/>
    <cellStyle name="Output" xfId="68" xr:uid="{00000000-0005-0000-0000-00004A000000}"/>
    <cellStyle name="Output 2" xfId="123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24" xr:uid="{00000000-0005-0000-0000-00004F000000}"/>
    <cellStyle name="Total 3" xfId="115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25" xr:uid="{00000000-0005-0000-0000-00005F000000}"/>
    <cellStyle name="メモ 2 3" xfId="114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6" xr:uid="{00000000-0005-0000-0000-000064000000}"/>
    <cellStyle name="計算 2 3" xfId="113" xr:uid="{00000000-0005-0000-0000-000065000000}"/>
    <cellStyle name="警告文 2" xfId="88" xr:uid="{00000000-0005-0000-0000-000066000000}"/>
    <cellStyle name="桁区切り 2" xfId="109" xr:uid="{00000000-0005-0000-0000-000067000000}"/>
    <cellStyle name="見出し 1 2" xfId="89" xr:uid="{00000000-0005-0000-0000-000068000000}"/>
    <cellStyle name="見出し 2 2" xfId="90" xr:uid="{00000000-0005-0000-0000-000069000000}"/>
    <cellStyle name="見出し 3 2" xfId="91" xr:uid="{00000000-0005-0000-0000-00006A000000}"/>
    <cellStyle name="見出し 4 2" xfId="92" xr:uid="{00000000-0005-0000-0000-00006B000000}"/>
    <cellStyle name="集計 2" xfId="93" xr:uid="{00000000-0005-0000-0000-00006C000000}"/>
    <cellStyle name="集計 2 2" xfId="127" xr:uid="{00000000-0005-0000-0000-00006D000000}"/>
    <cellStyle name="集計 2 3" xfId="112" xr:uid="{00000000-0005-0000-0000-00006E000000}"/>
    <cellStyle name="出力 2" xfId="94" xr:uid="{00000000-0005-0000-0000-00006F000000}"/>
    <cellStyle name="出力 2 2" xfId="128" xr:uid="{00000000-0005-0000-0000-000070000000}"/>
    <cellStyle name="出力 2 3" xfId="111" xr:uid="{00000000-0005-0000-0000-000071000000}"/>
    <cellStyle name="状態遷移図" xfId="95" xr:uid="{00000000-0005-0000-0000-000072000000}"/>
    <cellStyle name="説明文 2" xfId="96" xr:uid="{00000000-0005-0000-0000-000073000000}"/>
    <cellStyle name="入力 2" xfId="97" xr:uid="{00000000-0005-0000-0000-000074000000}"/>
    <cellStyle name="入力 2 2" xfId="129" xr:uid="{00000000-0005-0000-0000-000075000000}"/>
    <cellStyle name="入力 2 3" xfId="110" xr:uid="{00000000-0005-0000-0000-000076000000}"/>
    <cellStyle name="標準" xfId="0" builtinId="0"/>
    <cellStyle name="標準 2" xfId="98" xr:uid="{00000000-0005-0000-0000-000078000000}"/>
    <cellStyle name="標準 2 2" xfId="105" xr:uid="{00000000-0005-0000-0000-000079000000}"/>
    <cellStyle name="標準 2_デモ／空メールエントリーシステム＿メモ" xfId="108" xr:uid="{00000000-0005-0000-0000-00007A000000}"/>
    <cellStyle name="標準 3" xfId="99" xr:uid="{00000000-0005-0000-0000-00007B000000}"/>
    <cellStyle name="標準 4" xfId="100" xr:uid="{00000000-0005-0000-0000-00007C000000}"/>
    <cellStyle name="標準 5" xfId="1" xr:uid="{00000000-0005-0000-0000-00007D000000}"/>
    <cellStyle name="標準_開発計画_110720_v11" xfId="101" xr:uid="{00000000-0005-0000-0000-00007E000000}"/>
    <cellStyle name="標準_朝日生命_バースデーキャンペーン_DB設計書_080415_社内_情報活用セミナー_Createテキストデータ設計書_081107-2" xfId="102" xr:uid="{00000000-0005-0000-0000-00007F000000}"/>
    <cellStyle name="未定義" xfId="103" xr:uid="{00000000-0005-0000-0000-000080000000}"/>
    <cellStyle name="良い 2" xfId="104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66675</xdr:colOff>
      <xdr:row>8</xdr:row>
      <xdr:rowOff>9525</xdr:rowOff>
    </xdr:from>
    <xdr:to>
      <xdr:col>78</xdr:col>
      <xdr:colOff>0</xdr:colOff>
      <xdr:row>17</xdr:row>
      <xdr:rowOff>161925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948EFB8-F660-48C7-BE84-8F55485A7D45}"/>
            </a:ext>
          </a:extLst>
        </xdr:cNvPr>
        <xdr:cNvSpPr/>
      </xdr:nvSpPr>
      <xdr:spPr>
        <a:xfrm>
          <a:off x="11658600" y="1381125"/>
          <a:ext cx="3333750" cy="1695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&lt;h2&gt;</a:t>
          </a:r>
          <a:r>
            <a:rPr kumimoji="1" lang="ja-JP" altLang="en-US" sz="1100"/>
            <a:t>見積もり情報登録</a:t>
          </a:r>
          <a:r>
            <a:rPr kumimoji="1" lang="en-US" altLang="ja-JP" sz="1100"/>
            <a:t>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&lt;form name="entry_estimate_registActionForm" method="post" action="/lms/entry/estimate/regist/"&gt;&lt;div&gt;&lt;input type="hidden" name="org.apache.struts.taglib.html.TOKEN" value="95200312f1fd8fed3c65d8fd4c5bc5a7"&gt;&lt;/div&gt;</a:t>
          </a:r>
        </a:p>
        <a:p>
          <a:pPr algn="l"/>
          <a:r>
            <a:rPr kumimoji="1" lang="en-US" altLang="ja-JP" sz="1100"/>
            <a:t>  &lt;h3&gt;</a:t>
          </a:r>
          <a:r>
            <a:rPr kumimoji="1" lang="ja-JP" altLang="en-US" sz="1100"/>
            <a:t>基本情報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&lt;table class="table table-hover wh"&gt;</a:t>
          </a:r>
        </a:p>
        <a:p>
          <a:pPr algn="l"/>
          <a:r>
            <a:rPr kumimoji="1" lang="en-US" altLang="ja-JP" sz="1100"/>
            <a:t>    &lt;tbody&gt;&lt;tr&gt;</a:t>
          </a:r>
        </a:p>
        <a:p>
          <a:pPr algn="l"/>
          <a:r>
            <a:rPr kumimoji="1" lang="en-US" altLang="ja-JP" sz="1100"/>
            <a:t>        &lt;th class="w100"&gt;</a:t>
          </a:r>
          <a:r>
            <a:rPr kumimoji="1" lang="ja-JP" altLang="en-US" sz="1100"/>
            <a:t>企業名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&lt;td&gt;</a:t>
          </a:r>
          <a:r>
            <a:rPr kumimoji="1" lang="ja-JP" altLang="en-US" sz="1100"/>
            <a:t>株式会社システム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&lt;/tr&gt;</a:t>
          </a:r>
        </a:p>
        <a:p>
          <a:pPr algn="l"/>
          <a:r>
            <a:rPr kumimoji="1" lang="en-US" altLang="ja-JP" sz="1100"/>
            <a:t>    &lt;tr&gt;</a:t>
          </a:r>
        </a:p>
        <a:p>
          <a:pPr algn="l"/>
          <a:r>
            <a:rPr kumimoji="1" lang="en-US" altLang="ja-JP" sz="1100"/>
            <a:t>        &lt;th class="w100"&gt;</a:t>
          </a:r>
          <a:r>
            <a:rPr kumimoji="1" lang="ja-JP" altLang="en-US" sz="1100"/>
            <a:t>コース名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&lt;td&gt;SE</a:t>
          </a:r>
          <a:r>
            <a:rPr kumimoji="1" lang="ja-JP" altLang="en-US" sz="1100"/>
            <a:t>育成</a:t>
          </a:r>
          <a:r>
            <a:rPr kumimoji="1" lang="en-US" altLang="ja-JP" sz="1100"/>
            <a:t>3</a:t>
          </a:r>
          <a:r>
            <a:rPr kumimoji="1" lang="ja-JP" altLang="en-US" sz="1100"/>
            <a:t>カ月コース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&lt;/tr&gt;</a:t>
          </a:r>
        </a:p>
        <a:p>
          <a:pPr algn="l"/>
          <a:r>
            <a:rPr kumimoji="1" lang="en-US" altLang="ja-JP" sz="1100"/>
            <a:t>    &lt;tr&gt;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&lt;/tr&gt;</a:t>
          </a:r>
        </a:p>
        <a:p>
          <a:pPr algn="l"/>
          <a:r>
            <a:rPr kumimoji="1" lang="en-US" altLang="ja-JP" sz="1100"/>
            <a:t>    &lt;/tbody&gt;&lt;/table&gt;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&lt;hr&gt;</a:t>
          </a:r>
        </a:p>
        <a:p>
          <a:pPr algn="l"/>
          <a:r>
            <a:rPr kumimoji="1" lang="en-US" altLang="ja-JP" sz="1100"/>
            <a:t>    &lt;h3&gt;</a:t>
          </a:r>
          <a:r>
            <a:rPr kumimoji="1" lang="ja-JP" altLang="en-US" sz="1100"/>
            <a:t>品川Ａ会場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　</a:t>
          </a:r>
          <a:r>
            <a:rPr kumimoji="1" lang="en-US" altLang="ja-JP" sz="1100"/>
            <a:t>1</a:t>
          </a:r>
          <a:r>
            <a:rPr kumimoji="1" lang="ja-JP" altLang="en-US" sz="1100"/>
            <a:t>ヶ月目</a:t>
          </a:r>
          <a:r>
            <a:rPr kumimoji="1" lang="en-US" altLang="ja-JP" sz="1100"/>
            <a:t>&lt;/small&gt;&lt;/h3&gt;</a:t>
          </a:r>
        </a:p>
        <a:p>
          <a:pPr algn="l"/>
          <a:r>
            <a:rPr kumimoji="1" lang="en-US" altLang="ja-JP" sz="1100"/>
            <a:t>    &lt;h5&gt;</a:t>
          </a:r>
          <a:r>
            <a:rPr kumimoji="1" lang="ja-JP" altLang="en-US" sz="1100"/>
            <a:t>見積もり内容</a:t>
          </a:r>
          <a:r>
            <a:rPr kumimoji="1" lang="en-US" altLang="ja-JP" sz="1100"/>
            <a:t>&lt;small&gt;(2019/11)&lt;/small&gt;&lt;/h5&gt;</a:t>
          </a:r>
        </a:p>
        <a:p>
          <a:pPr algn="l"/>
          <a:r>
            <a:rPr kumimoji="1" lang="en-US" altLang="ja-JP" sz="1100"/>
            <a:t>    &lt;table class="table table-hover" id="estimate[0]"&gt;</a:t>
          </a:r>
        </a:p>
        <a:p>
          <a:pPr algn="l"/>
          <a:r>
            <a:rPr kumimoji="1" lang="en-US" altLang="ja-JP" sz="1100"/>
            <a:t>      &lt;thead&gt;</a:t>
          </a:r>
        </a:p>
        <a:p>
          <a:pPr algn="l"/>
          <a:r>
            <a:rPr kumimoji="1" lang="en-US" altLang="ja-JP" sz="1100"/>
            <a:t>      &lt;tr&gt;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品名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金額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数量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税込み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 colspan="2"&gt;</a:t>
          </a:r>
          <a:r>
            <a:rPr kumimoji="1" lang="ja-JP" altLang="en-US" sz="1100"/>
            <a:t>編集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  &lt;/thead&gt;</a:t>
          </a:r>
        </a:p>
        <a:p>
          <a:pPr algn="l"/>
          <a:r>
            <a:rPr kumimoji="1" lang="en-US" altLang="ja-JP" sz="1100"/>
            <a:t>      &lt;tbody&gt;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&lt;tr&gt;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&lt;select name="productIdArr[0][0]" id="productIdArr[0][0]" class="form-control product"&gt;&lt;option value=""&gt;&lt;/option&gt;</a:t>
          </a:r>
        </a:p>
        <a:p>
          <a:pPr algn="l"/>
          <a:r>
            <a:rPr kumimoji="1" lang="en-US" altLang="ja-JP" sz="1100"/>
            <a:t>            &lt;/select&gt;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type="text" name="priceArr[0][0]" value="" id="priceArr[0][0]" class="form-control w220 di calc"&gt; </a:t>
          </a:r>
          <a:r>
            <a:rPr kumimoji="1" lang="ja-JP" altLang="en-US" sz="1100"/>
            <a:t>円</a:t>
          </a:r>
        </a:p>
        <a:p>
          <a:pPr algn="l"/>
          <a:r>
            <a:rPr kumimoji="1" lang="ja-JP" altLang="en-US" sz="1100"/>
            <a:t>            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type="number" name="amountArr[0][0]" value="" id="amountArr[0][0]" style="width:6em;" class="form-control w220 di calc"&gt;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&lt;span id="taxincluded[0][0]"&gt;0&lt;/span&gt;</a:t>
          </a:r>
          <a:r>
            <a:rPr kumimoji="1" lang="ja-JP" altLang="en-US" sz="1100"/>
            <a:t>円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&lt;td&gt;&lt;input type="button" value="</a:t>
          </a:r>
          <a:r>
            <a:rPr kumimoji="1" lang="ja-JP" altLang="en-US" sz="1100"/>
            <a:t>追加</a:t>
          </a:r>
          <a:r>
            <a:rPr kumimoji="1" lang="en-US" altLang="ja-JP" sz="1100"/>
            <a:t>" class="btn btn-default add-row-btn calc"&gt;&lt;/td&gt;</a:t>
          </a:r>
        </a:p>
        <a:p>
          <a:pPr algn="l"/>
          <a:r>
            <a:rPr kumimoji="1" lang="en-US" altLang="ja-JP" sz="1100"/>
            <a:t>          &lt;td&gt;&lt;input type="button" value="</a:t>
          </a:r>
          <a:r>
            <a:rPr kumimoji="1" lang="ja-JP" altLang="en-US" sz="1100"/>
            <a:t>削除</a:t>
          </a:r>
          <a:r>
            <a:rPr kumimoji="1" lang="en-US" altLang="ja-JP" sz="1100"/>
            <a:t>" class="btn btn-default del-row-btn calc"&gt;&lt;/td&gt;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&lt;/tbody&gt;</a:t>
          </a:r>
        </a:p>
        <a:p>
          <a:pPr algn="l"/>
          <a:r>
            <a:rPr kumimoji="1" lang="en-US" altLang="ja-JP" sz="1100"/>
            <a:t>    &lt;tfoot&gt;</a:t>
          </a:r>
        </a:p>
        <a:p>
          <a:pPr algn="l"/>
          <a:r>
            <a:rPr kumimoji="1" lang="en-US" altLang="ja-JP" sz="1100"/>
            <a:t>      &lt;tr&gt;</a:t>
          </a:r>
        </a:p>
        <a:p>
          <a:pPr algn="l"/>
          <a:r>
            <a:rPr kumimoji="1" lang="en-US" altLang="ja-JP" sz="1100"/>
            <a:t>        &lt;th class="tar"&gt;</a:t>
          </a:r>
          <a:r>
            <a:rPr kumimoji="1" lang="ja-JP" altLang="en-US" sz="1100"/>
            <a:t>小計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&lt;td&gt;&lt;span id="subtotal[0]"&gt;0&lt;/span&gt;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&lt;th class="tar"&gt;</a:t>
          </a:r>
          <a:r>
            <a:rPr kumimoji="1" lang="ja-JP" altLang="en-US" sz="1100"/>
            <a:t>税率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&lt;td&gt;</a:t>
          </a:r>
        </a:p>
        <a:p>
          <a:pPr algn="l"/>
          <a:r>
            <a:rPr kumimoji="1" lang="en-US" altLang="ja-JP" sz="1100"/>
            <a:t>          &lt;input type="text" name="tax[0]" value="10" id="tax[0]" class="form-control input-sm w50 di calc"&gt;%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&lt;/td&gt;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  &lt;tr&gt;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    &lt;th class="fs20 tar"&gt;</a:t>
          </a:r>
          <a:r>
            <a:rPr kumimoji="1" lang="ja-JP" altLang="en-US" sz="1100"/>
            <a:t>合計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 class="fs20"&gt;&lt;span id="subsummary[0]"&gt;0&lt;/span&gt;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&lt;/tfoot&gt;</a:t>
          </a:r>
        </a:p>
        <a:p>
          <a:pPr algn="l"/>
          <a:r>
            <a:rPr kumimoji="1" lang="en-US" altLang="ja-JP" sz="1100"/>
            <a:t>    &lt;/table&gt;</a:t>
          </a:r>
        </a:p>
        <a:p>
          <a:pPr algn="l"/>
          <a:r>
            <a:rPr kumimoji="1" lang="en-US" altLang="ja-JP" sz="1100"/>
            <a:t>    &lt;span class="dn"&gt;2019/11&lt;/span&gt;</a:t>
          </a:r>
        </a:p>
        <a:p>
          <a:pPr algn="l"/>
          <a:r>
            <a:rPr kumimoji="1" lang="en-US" altLang="ja-JP" sz="1100"/>
            <a:t>    &lt;input type="hidden" name="billingMonthArr[0]" value="2019/11"&gt;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&lt;span id="summary" style="display:none;"&gt;0&lt;/span&gt;</a:t>
          </a:r>
        </a:p>
        <a:p>
          <a:pPr algn="l"/>
          <a:r>
            <a:rPr kumimoji="1" lang="en-US" altLang="ja-JP" sz="1100"/>
            <a:t>    &lt;h3&gt;</a:t>
          </a:r>
          <a:r>
            <a:rPr kumimoji="1" lang="ja-JP" altLang="en-US" sz="1100"/>
            <a:t>品川Ａ会場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　</a:t>
          </a:r>
          <a:r>
            <a:rPr kumimoji="1" lang="en-US" altLang="ja-JP" sz="1100"/>
            <a:t>2</a:t>
          </a:r>
          <a:r>
            <a:rPr kumimoji="1" lang="ja-JP" altLang="en-US" sz="1100"/>
            <a:t>ヶ月目</a:t>
          </a:r>
          <a:r>
            <a:rPr kumimoji="1" lang="en-US" altLang="ja-JP" sz="1100"/>
            <a:t>&lt;/small&gt;&lt;/h3&gt;</a:t>
          </a:r>
        </a:p>
        <a:p>
          <a:pPr algn="l"/>
          <a:r>
            <a:rPr kumimoji="1" lang="en-US" altLang="ja-JP" sz="1100"/>
            <a:t>    &lt;h5&gt;</a:t>
          </a:r>
          <a:r>
            <a:rPr kumimoji="1" lang="ja-JP" altLang="en-US" sz="1100"/>
            <a:t>見積もり内容</a:t>
          </a:r>
          <a:r>
            <a:rPr kumimoji="1" lang="en-US" altLang="ja-JP" sz="1100"/>
            <a:t>&lt;small&gt;(2019/12)&lt;/small&gt;&lt;/h5&gt;</a:t>
          </a:r>
        </a:p>
        <a:p>
          <a:pPr algn="l"/>
          <a:r>
            <a:rPr kumimoji="1" lang="en-US" altLang="ja-JP" sz="1100"/>
            <a:t>    &lt;table class="table table-hover" id="estimate[0]"&gt;</a:t>
          </a:r>
        </a:p>
        <a:p>
          <a:pPr algn="l"/>
          <a:r>
            <a:rPr kumimoji="1" lang="en-US" altLang="ja-JP" sz="1100"/>
            <a:t>      &lt;thead&gt;</a:t>
          </a:r>
        </a:p>
        <a:p>
          <a:pPr algn="l"/>
          <a:r>
            <a:rPr kumimoji="1" lang="en-US" altLang="ja-JP" sz="1100"/>
            <a:t>      &lt;tr&gt;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品名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金額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数量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税込み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 colspan="2"&gt;</a:t>
          </a:r>
          <a:r>
            <a:rPr kumimoji="1" lang="ja-JP" altLang="en-US" sz="1100"/>
            <a:t>編集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  &lt;/thead&gt;</a:t>
          </a:r>
        </a:p>
        <a:p>
          <a:pPr algn="l"/>
          <a:r>
            <a:rPr kumimoji="1" lang="en-US" altLang="ja-JP" sz="1100"/>
            <a:t>      &lt;tbody&gt;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&lt;tr&gt;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&lt;select name="productIdArr[0][0]" id="productIdArr[0][0]" class="form-control product"&gt;&lt;option value=""&gt;&lt;/option&gt;</a:t>
          </a:r>
        </a:p>
        <a:p>
          <a:pPr algn="l"/>
          <a:r>
            <a:rPr kumimoji="1" lang="en-US" altLang="ja-JP" sz="1100"/>
            <a:t>            &lt;/select&gt;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type="text" name="priceArr[0][0]" value="" id="priceArr[0][0]" class="form-control w220 di calc"&gt; </a:t>
          </a:r>
          <a:r>
            <a:rPr kumimoji="1" lang="ja-JP" altLang="en-US" sz="1100"/>
            <a:t>円</a:t>
          </a:r>
        </a:p>
        <a:p>
          <a:pPr algn="l"/>
          <a:r>
            <a:rPr kumimoji="1" lang="ja-JP" altLang="en-US" sz="1100"/>
            <a:t>            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type="number" name="amountArr[0][0]" value="" id="amountArr[0][0]" style="width:6em;" class="form-control w220 di calc"&gt;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&lt;span id="taxincluded[0][0]"&gt;0&lt;/span&gt;</a:t>
          </a:r>
          <a:r>
            <a:rPr kumimoji="1" lang="ja-JP" altLang="en-US" sz="1100"/>
            <a:t>円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&lt;td&gt;&lt;input type="button" value="</a:t>
          </a:r>
          <a:r>
            <a:rPr kumimoji="1" lang="ja-JP" altLang="en-US" sz="1100"/>
            <a:t>追加</a:t>
          </a:r>
          <a:r>
            <a:rPr kumimoji="1" lang="en-US" altLang="ja-JP" sz="1100"/>
            <a:t>" class="btn btn-default add-row-btn calc"&gt;&lt;/td&gt;</a:t>
          </a:r>
        </a:p>
        <a:p>
          <a:pPr algn="l"/>
          <a:r>
            <a:rPr kumimoji="1" lang="en-US" altLang="ja-JP" sz="1100"/>
            <a:t>          &lt;td&gt;&lt;input type="button" value="</a:t>
          </a:r>
          <a:r>
            <a:rPr kumimoji="1" lang="ja-JP" altLang="en-US" sz="1100"/>
            <a:t>削除</a:t>
          </a:r>
          <a:r>
            <a:rPr kumimoji="1" lang="en-US" altLang="ja-JP" sz="1100"/>
            <a:t>" class="btn btn-default del-row-btn calc"&gt;&lt;/td&gt;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&lt;/tbody&gt;</a:t>
          </a:r>
        </a:p>
        <a:p>
          <a:pPr algn="l"/>
          <a:r>
            <a:rPr kumimoji="1" lang="en-US" altLang="ja-JP" sz="1100"/>
            <a:t>    &lt;tfoot&gt;</a:t>
          </a:r>
        </a:p>
        <a:p>
          <a:pPr algn="l"/>
          <a:r>
            <a:rPr kumimoji="1" lang="en-US" altLang="ja-JP" sz="1100"/>
            <a:t>      &lt;tr&gt;</a:t>
          </a:r>
        </a:p>
        <a:p>
          <a:pPr algn="l"/>
          <a:r>
            <a:rPr kumimoji="1" lang="en-US" altLang="ja-JP" sz="1100"/>
            <a:t>        &lt;th class="tar"&gt;</a:t>
          </a:r>
          <a:r>
            <a:rPr kumimoji="1" lang="ja-JP" altLang="en-US" sz="1100"/>
            <a:t>小計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&lt;td&gt;&lt;span id="subtotal[0]"&gt;0&lt;/span&gt;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&lt;th class="tar"&gt;</a:t>
          </a:r>
          <a:r>
            <a:rPr kumimoji="1" lang="ja-JP" altLang="en-US" sz="1100"/>
            <a:t>税率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&lt;td&gt;</a:t>
          </a:r>
        </a:p>
        <a:p>
          <a:pPr algn="l"/>
          <a:r>
            <a:rPr kumimoji="1" lang="en-US" altLang="ja-JP" sz="1100"/>
            <a:t>          &lt;input type="text" name="tax[0]" value="10" id="tax[0]" class="form-control input-sm w50 di calc"&gt;%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&lt;/td&gt;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  &lt;tr&gt;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    &lt;th class="fs20 tar"&gt;</a:t>
          </a:r>
          <a:r>
            <a:rPr kumimoji="1" lang="ja-JP" altLang="en-US" sz="1100"/>
            <a:t>合計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 class="fs20"&gt;&lt;span id="subsummary[0]"&gt;0&lt;/span&gt;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&lt;/tfoot&gt;</a:t>
          </a:r>
        </a:p>
        <a:p>
          <a:pPr algn="l"/>
          <a:r>
            <a:rPr kumimoji="1" lang="en-US" altLang="ja-JP" sz="1100"/>
            <a:t>    &lt;/table&gt;</a:t>
          </a:r>
        </a:p>
        <a:p>
          <a:pPr algn="l"/>
          <a:r>
            <a:rPr kumimoji="1" lang="en-US" altLang="ja-JP" sz="1100"/>
            <a:t>    &lt;span class="dn"&gt;2019/11&lt;/span&gt;</a:t>
          </a:r>
        </a:p>
        <a:p>
          <a:pPr algn="l"/>
          <a:r>
            <a:rPr kumimoji="1" lang="en-US" altLang="ja-JP" sz="1100"/>
            <a:t>    &lt;input type="hidden" name="billingMonthArr[0]" value="2019/11"&gt;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&lt;span id="summary" style="display:none;"&gt;0&lt;/span&gt;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&lt;hr&gt;</a:t>
          </a:r>
        </a:p>
        <a:p>
          <a:pPr algn="l"/>
          <a:r>
            <a:rPr kumimoji="1" lang="en-US" altLang="ja-JP" sz="1100"/>
            <a:t>  &lt;h3&gt;</a:t>
          </a:r>
          <a:r>
            <a:rPr kumimoji="1" lang="ja-JP" altLang="en-US" sz="1100"/>
            <a:t>横浜Ａ会場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　</a:t>
          </a:r>
          <a:r>
            <a:rPr kumimoji="1" lang="en-US" altLang="ja-JP" sz="1100"/>
            <a:t>1</a:t>
          </a:r>
          <a:r>
            <a:rPr kumimoji="1" lang="ja-JP" altLang="en-US" sz="1100"/>
            <a:t>ヶ月目</a:t>
          </a:r>
          <a:r>
            <a:rPr kumimoji="1" lang="en-US" altLang="ja-JP" sz="1100"/>
            <a:t>&lt;/small&gt;&lt;/h3&gt;</a:t>
          </a:r>
        </a:p>
        <a:p>
          <a:pPr algn="l"/>
          <a:r>
            <a:rPr kumimoji="1" lang="en-US" altLang="ja-JP" sz="1100"/>
            <a:t>      &lt;h5&gt;</a:t>
          </a:r>
          <a:r>
            <a:rPr kumimoji="1" lang="ja-JP" altLang="en-US" sz="1100"/>
            <a:t>見積もり内容</a:t>
          </a:r>
          <a:r>
            <a:rPr kumimoji="1" lang="en-US" altLang="ja-JP" sz="1100"/>
            <a:t>&lt;small&gt;(2019/11)&lt;/small&gt;&lt;/h5&gt;</a:t>
          </a:r>
        </a:p>
        <a:p>
          <a:pPr algn="l"/>
          <a:r>
            <a:rPr kumimoji="1" lang="en-US" altLang="ja-JP" sz="1100"/>
            <a:t>    &lt;table class="table table-hover" id="estimate[0]"&gt;</a:t>
          </a:r>
        </a:p>
        <a:p>
          <a:pPr algn="l"/>
          <a:r>
            <a:rPr kumimoji="1" lang="en-US" altLang="ja-JP" sz="1100"/>
            <a:t>      &lt;thead&gt;</a:t>
          </a:r>
        </a:p>
        <a:p>
          <a:pPr algn="l"/>
          <a:r>
            <a:rPr kumimoji="1" lang="en-US" altLang="ja-JP" sz="1100"/>
            <a:t>      &lt;tr&gt;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品名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金額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数量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&lt;th&gt;</a:t>
          </a:r>
          <a:r>
            <a:rPr kumimoji="1" lang="ja-JP" altLang="en-US" sz="1100"/>
            <a:t>税込み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&lt;th colspan="2"&gt;</a:t>
          </a:r>
          <a:r>
            <a:rPr kumimoji="1" lang="ja-JP" altLang="en-US" sz="1100"/>
            <a:t>編集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  &lt;/thead&gt;</a:t>
          </a:r>
        </a:p>
        <a:p>
          <a:pPr algn="l"/>
          <a:r>
            <a:rPr kumimoji="1" lang="en-US" altLang="ja-JP" sz="1100"/>
            <a:t>      &lt;tbody&gt;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&lt;tr&gt;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&lt;select name="productIdArr[0][0]" id="productIdArr[0][0]" class="form-control product"&gt;&lt;option value=""&gt;&lt;/option&gt;</a:t>
          </a:r>
        </a:p>
        <a:p>
          <a:pPr algn="l"/>
          <a:r>
            <a:rPr kumimoji="1" lang="en-US" altLang="ja-JP" sz="1100"/>
            <a:t>            &lt;/select&gt;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type="text" name="priceArr[0][0]" value="" id="priceArr[0][0]" class="form-control w220 di calc"&gt; </a:t>
          </a:r>
          <a:r>
            <a:rPr kumimoji="1" lang="ja-JP" altLang="en-US" sz="1100"/>
            <a:t>円</a:t>
          </a:r>
        </a:p>
        <a:p>
          <a:pPr algn="l"/>
          <a:r>
            <a:rPr kumimoji="1" lang="ja-JP" altLang="en-US" sz="1100"/>
            <a:t>            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type="number" name="amountArr[0][0]" value="" id="amountArr[0][0]" style="width:6em;" class="form-control w220 di calc"&gt;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&lt;span id="taxincluded[0][0]"&gt;0&lt;/span&gt;</a:t>
          </a:r>
          <a:r>
            <a:rPr kumimoji="1" lang="ja-JP" altLang="en-US" sz="1100"/>
            <a:t>円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&lt;td&gt;&lt;input type="button" value="</a:t>
          </a:r>
          <a:r>
            <a:rPr kumimoji="1" lang="ja-JP" altLang="en-US" sz="1100"/>
            <a:t>追加</a:t>
          </a:r>
          <a:r>
            <a:rPr kumimoji="1" lang="en-US" altLang="ja-JP" sz="1100"/>
            <a:t>" class="btn btn-default add-row-btn calc"&gt;&lt;/td&gt;</a:t>
          </a:r>
        </a:p>
        <a:p>
          <a:pPr algn="l"/>
          <a:r>
            <a:rPr kumimoji="1" lang="en-US" altLang="ja-JP" sz="1100"/>
            <a:t>          &lt;td&gt;&lt;input type="button" value="</a:t>
          </a:r>
          <a:r>
            <a:rPr kumimoji="1" lang="ja-JP" altLang="en-US" sz="1100"/>
            <a:t>削除</a:t>
          </a:r>
          <a:r>
            <a:rPr kumimoji="1" lang="en-US" altLang="ja-JP" sz="1100"/>
            <a:t>" class="btn btn-default del-row-btn calc"&gt;&lt;/td&gt;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&lt;/tbody&gt;</a:t>
          </a:r>
        </a:p>
        <a:p>
          <a:pPr algn="l"/>
          <a:r>
            <a:rPr kumimoji="1" lang="en-US" altLang="ja-JP" sz="1100"/>
            <a:t>    &lt;tfoot&gt;</a:t>
          </a:r>
        </a:p>
        <a:p>
          <a:pPr algn="l"/>
          <a:r>
            <a:rPr kumimoji="1" lang="en-US" altLang="ja-JP" sz="1100"/>
            <a:t>      &lt;tr&gt;</a:t>
          </a:r>
        </a:p>
        <a:p>
          <a:pPr algn="l"/>
          <a:r>
            <a:rPr kumimoji="1" lang="en-US" altLang="ja-JP" sz="1100"/>
            <a:t>        &lt;th class="tar"&gt;</a:t>
          </a:r>
          <a:r>
            <a:rPr kumimoji="1" lang="ja-JP" altLang="en-US" sz="1100"/>
            <a:t>小計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&lt;td&gt;&lt;span id="subtotal[0]"&gt;0&lt;/span&gt;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&lt;th class="tar"&gt;</a:t>
          </a:r>
          <a:r>
            <a:rPr kumimoji="1" lang="ja-JP" altLang="en-US" sz="1100"/>
            <a:t>税率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&lt;td&gt;</a:t>
          </a:r>
        </a:p>
        <a:p>
          <a:pPr algn="l"/>
          <a:r>
            <a:rPr kumimoji="1" lang="en-US" altLang="ja-JP" sz="1100"/>
            <a:t>          &lt;input type="text" name="tax[0]" value="10" id="tax[0]" class="form-control input-sm w50 di calc"&gt;%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&lt;/td&gt;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  &lt;tr&gt;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    &lt;th class="fs20 tar"&gt;</a:t>
          </a:r>
          <a:r>
            <a:rPr kumimoji="1" lang="ja-JP" altLang="en-US" sz="1100"/>
            <a:t>合計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 class="fs20"&gt;&lt;span id="subsummary[0]"&gt;0&lt;/span&gt;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&lt;/tfoot&gt;</a:t>
          </a:r>
        </a:p>
        <a:p>
          <a:pPr algn="l"/>
          <a:r>
            <a:rPr kumimoji="1" lang="en-US" altLang="ja-JP" sz="1100"/>
            <a:t>    &lt;/table&gt;</a:t>
          </a:r>
        </a:p>
        <a:p>
          <a:pPr algn="l"/>
          <a:r>
            <a:rPr kumimoji="1" lang="en-US" altLang="ja-JP" sz="1100"/>
            <a:t>    &lt;span class="dn"&gt;2019/11&lt;/span&gt;</a:t>
          </a:r>
        </a:p>
        <a:p>
          <a:pPr algn="l"/>
          <a:r>
            <a:rPr kumimoji="1" lang="en-US" altLang="ja-JP" sz="1100"/>
            <a:t>    &lt;input type="hidden" name="billingMonthArr[0]" value="2019/11"&gt;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&lt;span id="summary" style="display:none;"&gt;0&lt;/span&gt;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&lt;br&gt;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&lt;div class="form-group"&gt;</a:t>
          </a:r>
        </a:p>
        <a:p>
          <a:pPr algn="l"/>
          <a:r>
            <a:rPr kumimoji="1" lang="en-US" altLang="ja-JP" sz="1100"/>
            <a:t>    &lt;input type="submit" name="complete" value="</a:t>
          </a:r>
          <a:r>
            <a:rPr kumimoji="1" lang="ja-JP" altLang="en-US" sz="1100"/>
            <a:t>登録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&lt;/div&gt;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&lt;/form&gt;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</xdr:row>
      <xdr:rowOff>1</xdr:rowOff>
    </xdr:from>
    <xdr:to>
      <xdr:col>53</xdr:col>
      <xdr:colOff>57150</xdr:colOff>
      <xdr:row>55</xdr:row>
      <xdr:rowOff>93517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AC9C5C1-9288-42D2-AE2C-34097C43A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28701"/>
          <a:ext cx="10258425" cy="8494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83" t="s">
        <v>37</v>
      </c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83" t="s">
        <v>83</v>
      </c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84" t="s">
        <v>19</v>
      </c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85"/>
      <c r="AB15" s="85"/>
      <c r="AC15" s="85"/>
      <c r="AD15" s="85"/>
      <c r="AE15" s="85"/>
      <c r="AF15" s="8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"第"&amp;TEXT(MAX(更新履歴!A8:I31),"0.0")&amp;"版"</f>
        <v>第1.2版</v>
      </c>
      <c r="Y17" s="26"/>
      <c r="Z17" s="26"/>
      <c r="AA17" s="86">
        <f>MAX(更新履歴!J8:Q31)</f>
        <v>43776</v>
      </c>
      <c r="AB17" s="86"/>
      <c r="AC17" s="86"/>
      <c r="AD17" s="86"/>
      <c r="AE17" s="86"/>
      <c r="AF17" s="86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86"/>
      <c r="AB19" s="86"/>
      <c r="AC19" s="86"/>
      <c r="AD19" s="86"/>
      <c r="AE19" s="86"/>
      <c r="AF19" s="86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87" t="s">
        <v>6</v>
      </c>
      <c r="V20" s="88"/>
      <c r="W20" s="88"/>
      <c r="X20" s="88"/>
      <c r="Y20" s="89"/>
      <c r="Z20" s="90" t="s">
        <v>7</v>
      </c>
      <c r="AA20" s="91"/>
      <c r="AB20" s="91"/>
      <c r="AC20" s="91"/>
      <c r="AD20" s="92"/>
      <c r="AE20" s="87" t="s">
        <v>8</v>
      </c>
      <c r="AF20" s="88"/>
      <c r="AG20" s="88"/>
      <c r="AH20" s="88"/>
      <c r="AI20" s="89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93" t="s">
        <v>40</v>
      </c>
      <c r="V21" s="94"/>
      <c r="W21" s="94"/>
      <c r="X21" s="94"/>
      <c r="Y21" s="95"/>
      <c r="Z21" s="93"/>
      <c r="AA21" s="94"/>
      <c r="AB21" s="94"/>
      <c r="AC21" s="94"/>
      <c r="AD21" s="95"/>
      <c r="AE21" s="93"/>
      <c r="AF21" s="94"/>
      <c r="AG21" s="94"/>
      <c r="AH21" s="94"/>
      <c r="AI21" s="95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96"/>
      <c r="V22" s="97"/>
      <c r="W22" s="97"/>
      <c r="X22" s="97"/>
      <c r="Y22" s="98"/>
      <c r="Z22" s="96"/>
      <c r="AA22" s="97"/>
      <c r="AB22" s="97"/>
      <c r="AC22" s="97"/>
      <c r="AD22" s="98"/>
      <c r="AE22" s="96"/>
      <c r="AF22" s="97"/>
      <c r="AG22" s="97"/>
      <c r="AH22" s="97"/>
      <c r="AI22" s="98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96"/>
      <c r="V23" s="97"/>
      <c r="W23" s="97"/>
      <c r="X23" s="97"/>
      <c r="Y23" s="98"/>
      <c r="Z23" s="96"/>
      <c r="AA23" s="97"/>
      <c r="AB23" s="97"/>
      <c r="AC23" s="97"/>
      <c r="AD23" s="98"/>
      <c r="AE23" s="96"/>
      <c r="AF23" s="97"/>
      <c r="AG23" s="97"/>
      <c r="AH23" s="97"/>
      <c r="AI23" s="98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99"/>
      <c r="V24" s="100"/>
      <c r="W24" s="100"/>
      <c r="X24" s="100"/>
      <c r="Y24" s="101"/>
      <c r="Z24" s="99"/>
      <c r="AA24" s="100"/>
      <c r="AB24" s="100"/>
      <c r="AC24" s="100"/>
      <c r="AD24" s="101"/>
      <c r="AE24" s="99"/>
      <c r="AF24" s="100"/>
      <c r="AG24" s="100"/>
      <c r="AH24" s="100"/>
      <c r="AI24" s="10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133" t="s">
        <v>0</v>
      </c>
      <c r="B1" s="102"/>
      <c r="C1" s="102"/>
      <c r="D1" s="102"/>
      <c r="E1" s="102"/>
      <c r="F1" s="103"/>
      <c r="G1" s="103"/>
      <c r="H1" s="103"/>
      <c r="I1" s="134"/>
      <c r="J1" s="135" t="s">
        <v>1</v>
      </c>
      <c r="K1" s="102"/>
      <c r="L1" s="102"/>
      <c r="M1" s="102"/>
      <c r="N1" s="102"/>
      <c r="O1" s="103"/>
      <c r="P1" s="103"/>
      <c r="Q1" s="103"/>
      <c r="R1" s="136" t="str">
        <f>表紙!S12</f>
        <v>画面レイアウト設計書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8"/>
      <c r="AJ1" s="139" t="s">
        <v>2</v>
      </c>
      <c r="AK1" s="140"/>
      <c r="AL1" s="140"/>
      <c r="AM1" s="140"/>
      <c r="AN1" s="140"/>
      <c r="AO1" s="141" t="s">
        <v>3</v>
      </c>
      <c r="AP1" s="140"/>
      <c r="AQ1" s="140"/>
      <c r="AR1" s="140"/>
      <c r="AS1" s="140"/>
      <c r="AT1" s="141" t="s">
        <v>4</v>
      </c>
      <c r="AU1" s="140"/>
      <c r="AV1" s="140"/>
      <c r="AW1" s="140"/>
      <c r="AX1" s="140"/>
      <c r="AY1" s="102" t="s">
        <v>5</v>
      </c>
      <c r="AZ1" s="103"/>
      <c r="BA1" s="103"/>
      <c r="BB1" s="103"/>
      <c r="BC1" s="104"/>
    </row>
    <row r="2" spans="1:55" s="17" customFormat="1" ht="13.5" customHeight="1">
      <c r="A2" s="105" t="str">
        <f>表紙!O10</f>
        <v>13期12月対応</v>
      </c>
      <c r="B2" s="106"/>
      <c r="C2" s="106"/>
      <c r="D2" s="106"/>
      <c r="E2" s="106"/>
      <c r="F2" s="107"/>
      <c r="G2" s="107"/>
      <c r="H2" s="107"/>
      <c r="I2" s="108"/>
      <c r="J2" s="113" t="str">
        <f>表紙!O9</f>
        <v>LMS学習管理システム</v>
      </c>
      <c r="K2" s="106"/>
      <c r="L2" s="106"/>
      <c r="M2" s="106"/>
      <c r="N2" s="106"/>
      <c r="O2" s="107"/>
      <c r="P2" s="107"/>
      <c r="Q2" s="114"/>
      <c r="R2" s="117" t="s">
        <v>9</v>
      </c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J2" s="123" t="s">
        <v>41</v>
      </c>
      <c r="AK2" s="124"/>
      <c r="AL2" s="124"/>
      <c r="AM2" s="124"/>
      <c r="AN2" s="124"/>
      <c r="AO2" s="127">
        <v>43766</v>
      </c>
      <c r="AP2" s="124"/>
      <c r="AQ2" s="124"/>
      <c r="AR2" s="124"/>
      <c r="AS2" s="124"/>
      <c r="AT2" s="123" t="s">
        <v>103</v>
      </c>
      <c r="AU2" s="124"/>
      <c r="AV2" s="124"/>
      <c r="AW2" s="124"/>
      <c r="AX2" s="124"/>
      <c r="AY2" s="128">
        <v>43776</v>
      </c>
      <c r="AZ2" s="129"/>
      <c r="BA2" s="129"/>
      <c r="BB2" s="129"/>
      <c r="BC2" s="130"/>
    </row>
    <row r="3" spans="1:55" s="17" customFormat="1" ht="13.5" customHeight="1" thickBot="1">
      <c r="A3" s="109"/>
      <c r="B3" s="110"/>
      <c r="C3" s="110"/>
      <c r="D3" s="110"/>
      <c r="E3" s="110"/>
      <c r="F3" s="111"/>
      <c r="G3" s="111"/>
      <c r="H3" s="111"/>
      <c r="I3" s="112"/>
      <c r="J3" s="115"/>
      <c r="K3" s="110"/>
      <c r="L3" s="110"/>
      <c r="M3" s="110"/>
      <c r="N3" s="110"/>
      <c r="O3" s="111"/>
      <c r="P3" s="111"/>
      <c r="Q3" s="116"/>
      <c r="R3" s="120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2"/>
      <c r="AJ3" s="125"/>
      <c r="AK3" s="126"/>
      <c r="AL3" s="126"/>
      <c r="AM3" s="126"/>
      <c r="AN3" s="126"/>
      <c r="AO3" s="126"/>
      <c r="AP3" s="126"/>
      <c r="AQ3" s="126"/>
      <c r="AR3" s="126"/>
      <c r="AS3" s="126"/>
      <c r="AT3" s="125"/>
      <c r="AU3" s="126"/>
      <c r="AV3" s="126"/>
      <c r="AW3" s="126"/>
      <c r="AX3" s="126"/>
      <c r="AY3" s="131"/>
      <c r="AZ3" s="131"/>
      <c r="BA3" s="131"/>
      <c r="BB3" s="131"/>
      <c r="BC3" s="132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72" t="s">
        <v>10</v>
      </c>
      <c r="B5" s="173"/>
      <c r="C5" s="173"/>
      <c r="D5" s="173"/>
      <c r="E5" s="173"/>
      <c r="F5" s="173"/>
      <c r="G5" s="173"/>
      <c r="H5" s="173"/>
      <c r="I5" s="174"/>
      <c r="J5" s="181" t="s">
        <v>11</v>
      </c>
      <c r="K5" s="173"/>
      <c r="L5" s="173"/>
      <c r="M5" s="173"/>
      <c r="N5" s="173"/>
      <c r="O5" s="173"/>
      <c r="P5" s="173"/>
      <c r="Q5" s="174"/>
      <c r="R5" s="181" t="s">
        <v>12</v>
      </c>
      <c r="S5" s="173"/>
      <c r="T5" s="173"/>
      <c r="U5" s="174"/>
      <c r="V5" s="181" t="s">
        <v>13</v>
      </c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4"/>
      <c r="AT5" s="181" t="s">
        <v>14</v>
      </c>
      <c r="AU5" s="173"/>
      <c r="AV5" s="173"/>
      <c r="AW5" s="173"/>
      <c r="AX5" s="173"/>
      <c r="AY5" s="173"/>
      <c r="AZ5" s="173"/>
      <c r="BA5" s="173"/>
      <c r="BB5" s="173"/>
      <c r="BC5" s="184"/>
    </row>
    <row r="6" spans="1:55" s="25" customFormat="1" ht="13.5" customHeight="1">
      <c r="A6" s="175"/>
      <c r="B6" s="176"/>
      <c r="C6" s="176"/>
      <c r="D6" s="176"/>
      <c r="E6" s="176"/>
      <c r="F6" s="176"/>
      <c r="G6" s="176"/>
      <c r="H6" s="176"/>
      <c r="I6" s="177"/>
      <c r="J6" s="182"/>
      <c r="K6" s="176"/>
      <c r="L6" s="176"/>
      <c r="M6" s="176"/>
      <c r="N6" s="176"/>
      <c r="O6" s="176"/>
      <c r="P6" s="176"/>
      <c r="Q6" s="177"/>
      <c r="R6" s="182"/>
      <c r="S6" s="176"/>
      <c r="T6" s="176"/>
      <c r="U6" s="177"/>
      <c r="V6" s="182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7"/>
      <c r="AT6" s="182"/>
      <c r="AU6" s="176"/>
      <c r="AV6" s="176"/>
      <c r="AW6" s="176"/>
      <c r="AX6" s="176"/>
      <c r="AY6" s="176"/>
      <c r="AZ6" s="176"/>
      <c r="BA6" s="176"/>
      <c r="BB6" s="176"/>
      <c r="BC6" s="185"/>
    </row>
    <row r="7" spans="1:55" s="25" customFormat="1" ht="13.5" customHeight="1" thickBot="1">
      <c r="A7" s="178"/>
      <c r="B7" s="179"/>
      <c r="C7" s="179"/>
      <c r="D7" s="179"/>
      <c r="E7" s="179"/>
      <c r="F7" s="179"/>
      <c r="G7" s="179"/>
      <c r="H7" s="179"/>
      <c r="I7" s="180"/>
      <c r="J7" s="183"/>
      <c r="K7" s="179"/>
      <c r="L7" s="179"/>
      <c r="M7" s="179"/>
      <c r="N7" s="179"/>
      <c r="O7" s="179"/>
      <c r="P7" s="179"/>
      <c r="Q7" s="180"/>
      <c r="R7" s="183"/>
      <c r="S7" s="179"/>
      <c r="T7" s="179"/>
      <c r="U7" s="180"/>
      <c r="V7" s="183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179"/>
      <c r="AQ7" s="179"/>
      <c r="AR7" s="179"/>
      <c r="AS7" s="180"/>
      <c r="AT7" s="183"/>
      <c r="AU7" s="179"/>
      <c r="AV7" s="179"/>
      <c r="AW7" s="179"/>
      <c r="AX7" s="179"/>
      <c r="AY7" s="179"/>
      <c r="AZ7" s="179"/>
      <c r="BA7" s="179"/>
      <c r="BB7" s="179"/>
      <c r="BC7" s="186"/>
    </row>
    <row r="8" spans="1:55" s="25" customFormat="1" ht="13.5" customHeight="1" thickTop="1">
      <c r="A8" s="142">
        <v>1</v>
      </c>
      <c r="B8" s="143"/>
      <c r="C8" s="143"/>
      <c r="D8" s="143"/>
      <c r="E8" s="143"/>
      <c r="F8" s="143"/>
      <c r="G8" s="143"/>
      <c r="H8" s="143"/>
      <c r="I8" s="144"/>
      <c r="J8" s="149">
        <v>43766</v>
      </c>
      <c r="K8" s="150"/>
      <c r="L8" s="150"/>
      <c r="M8" s="150"/>
      <c r="N8" s="150"/>
      <c r="O8" s="150"/>
      <c r="P8" s="150"/>
      <c r="Q8" s="151"/>
      <c r="R8" s="156" t="s">
        <v>15</v>
      </c>
      <c r="S8" s="157"/>
      <c r="T8" s="157"/>
      <c r="U8" s="158"/>
      <c r="V8" s="163" t="s">
        <v>16</v>
      </c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5"/>
      <c r="AT8" s="156" t="s">
        <v>41</v>
      </c>
      <c r="AU8" s="157"/>
      <c r="AV8" s="157"/>
      <c r="AW8" s="157"/>
      <c r="AX8" s="157"/>
      <c r="AY8" s="157"/>
      <c r="AZ8" s="157"/>
      <c r="BA8" s="157"/>
      <c r="BB8" s="157"/>
      <c r="BC8" s="170"/>
    </row>
    <row r="9" spans="1:55" s="25" customFormat="1" ht="13.5" customHeight="1">
      <c r="A9" s="145"/>
      <c r="B9" s="143"/>
      <c r="C9" s="143"/>
      <c r="D9" s="143"/>
      <c r="E9" s="143"/>
      <c r="F9" s="143"/>
      <c r="G9" s="143"/>
      <c r="H9" s="143"/>
      <c r="I9" s="144"/>
      <c r="J9" s="152"/>
      <c r="K9" s="150"/>
      <c r="L9" s="150"/>
      <c r="M9" s="150"/>
      <c r="N9" s="150"/>
      <c r="O9" s="150"/>
      <c r="P9" s="150"/>
      <c r="Q9" s="151"/>
      <c r="R9" s="159"/>
      <c r="S9" s="157"/>
      <c r="T9" s="157"/>
      <c r="U9" s="158"/>
      <c r="V9" s="166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5"/>
      <c r="AT9" s="159"/>
      <c r="AU9" s="157"/>
      <c r="AV9" s="157"/>
      <c r="AW9" s="157"/>
      <c r="AX9" s="157"/>
      <c r="AY9" s="157"/>
      <c r="AZ9" s="157"/>
      <c r="BA9" s="157"/>
      <c r="BB9" s="157"/>
      <c r="BC9" s="170"/>
    </row>
    <row r="10" spans="1:55" s="25" customFormat="1" ht="13.5" customHeight="1">
      <c r="A10" s="146"/>
      <c r="B10" s="147"/>
      <c r="C10" s="147"/>
      <c r="D10" s="147"/>
      <c r="E10" s="147"/>
      <c r="F10" s="147"/>
      <c r="G10" s="147"/>
      <c r="H10" s="147"/>
      <c r="I10" s="148"/>
      <c r="J10" s="153"/>
      <c r="K10" s="154"/>
      <c r="L10" s="154"/>
      <c r="M10" s="154"/>
      <c r="N10" s="154"/>
      <c r="O10" s="154"/>
      <c r="P10" s="154"/>
      <c r="Q10" s="155"/>
      <c r="R10" s="160"/>
      <c r="S10" s="161"/>
      <c r="T10" s="161"/>
      <c r="U10" s="162"/>
      <c r="V10" s="167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9"/>
      <c r="AT10" s="160"/>
      <c r="AU10" s="161"/>
      <c r="AV10" s="161"/>
      <c r="AW10" s="161"/>
      <c r="AX10" s="161"/>
      <c r="AY10" s="161"/>
      <c r="AZ10" s="161"/>
      <c r="BA10" s="161"/>
      <c r="BB10" s="161"/>
      <c r="BC10" s="171"/>
    </row>
    <row r="11" spans="1:55" s="25" customFormat="1" ht="13.5" customHeight="1">
      <c r="A11" s="187">
        <v>1.1000000000000001</v>
      </c>
      <c r="B11" s="188"/>
      <c r="C11" s="188"/>
      <c r="D11" s="188"/>
      <c r="E11" s="188"/>
      <c r="F11" s="188"/>
      <c r="G11" s="188"/>
      <c r="H11" s="188"/>
      <c r="I11" s="189"/>
      <c r="J11" s="190">
        <v>43770</v>
      </c>
      <c r="K11" s="191"/>
      <c r="L11" s="191"/>
      <c r="M11" s="191"/>
      <c r="N11" s="191"/>
      <c r="O11" s="191"/>
      <c r="P11" s="191"/>
      <c r="Q11" s="192"/>
      <c r="R11" s="156" t="s">
        <v>15</v>
      </c>
      <c r="S11" s="157"/>
      <c r="T11" s="157"/>
      <c r="U11" s="158"/>
      <c r="V11" s="193" t="s">
        <v>102</v>
      </c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5"/>
      <c r="AT11" s="156" t="s">
        <v>41</v>
      </c>
      <c r="AU11" s="157"/>
      <c r="AV11" s="157"/>
      <c r="AW11" s="157"/>
      <c r="AX11" s="157"/>
      <c r="AY11" s="157"/>
      <c r="AZ11" s="157"/>
      <c r="BA11" s="157"/>
      <c r="BB11" s="157"/>
      <c r="BC11" s="170"/>
    </row>
    <row r="12" spans="1:55" s="25" customFormat="1" ht="13.5" customHeight="1">
      <c r="A12" s="145"/>
      <c r="B12" s="143"/>
      <c r="C12" s="143"/>
      <c r="D12" s="143"/>
      <c r="E12" s="143"/>
      <c r="F12" s="143"/>
      <c r="G12" s="143"/>
      <c r="H12" s="143"/>
      <c r="I12" s="144"/>
      <c r="J12" s="152"/>
      <c r="K12" s="150"/>
      <c r="L12" s="150"/>
      <c r="M12" s="150"/>
      <c r="N12" s="150"/>
      <c r="O12" s="150"/>
      <c r="P12" s="150"/>
      <c r="Q12" s="151"/>
      <c r="R12" s="159"/>
      <c r="S12" s="157"/>
      <c r="T12" s="157"/>
      <c r="U12" s="158"/>
      <c r="V12" s="166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5"/>
      <c r="AT12" s="159"/>
      <c r="AU12" s="157"/>
      <c r="AV12" s="157"/>
      <c r="AW12" s="157"/>
      <c r="AX12" s="157"/>
      <c r="AY12" s="157"/>
      <c r="AZ12" s="157"/>
      <c r="BA12" s="157"/>
      <c r="BB12" s="157"/>
      <c r="BC12" s="170"/>
    </row>
    <row r="13" spans="1:55" s="25" customFormat="1" ht="13.5" customHeight="1">
      <c r="A13" s="146"/>
      <c r="B13" s="147"/>
      <c r="C13" s="147"/>
      <c r="D13" s="147"/>
      <c r="E13" s="147"/>
      <c r="F13" s="147"/>
      <c r="G13" s="147"/>
      <c r="H13" s="147"/>
      <c r="I13" s="148"/>
      <c r="J13" s="153"/>
      <c r="K13" s="154"/>
      <c r="L13" s="154"/>
      <c r="M13" s="154"/>
      <c r="N13" s="154"/>
      <c r="O13" s="154"/>
      <c r="P13" s="154"/>
      <c r="Q13" s="155"/>
      <c r="R13" s="160"/>
      <c r="S13" s="161"/>
      <c r="T13" s="161"/>
      <c r="U13" s="162"/>
      <c r="V13" s="167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9"/>
      <c r="AT13" s="160"/>
      <c r="AU13" s="161"/>
      <c r="AV13" s="161"/>
      <c r="AW13" s="161"/>
      <c r="AX13" s="161"/>
      <c r="AY13" s="161"/>
      <c r="AZ13" s="161"/>
      <c r="BA13" s="161"/>
      <c r="BB13" s="161"/>
      <c r="BC13" s="171"/>
    </row>
    <row r="14" spans="1:55" s="25" customFormat="1" ht="13.5" customHeight="1">
      <c r="A14" s="187">
        <v>1.2</v>
      </c>
      <c r="B14" s="188"/>
      <c r="C14" s="188"/>
      <c r="D14" s="188"/>
      <c r="E14" s="188"/>
      <c r="F14" s="188"/>
      <c r="G14" s="188"/>
      <c r="H14" s="188"/>
      <c r="I14" s="189"/>
      <c r="J14" s="190">
        <v>43776</v>
      </c>
      <c r="K14" s="191"/>
      <c r="L14" s="191"/>
      <c r="M14" s="191"/>
      <c r="N14" s="191"/>
      <c r="O14" s="191"/>
      <c r="P14" s="191"/>
      <c r="Q14" s="192"/>
      <c r="R14" s="156" t="s">
        <v>15</v>
      </c>
      <c r="S14" s="157"/>
      <c r="T14" s="157"/>
      <c r="U14" s="158"/>
      <c r="V14" s="193" t="s">
        <v>106</v>
      </c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5"/>
      <c r="AT14" s="156" t="s">
        <v>41</v>
      </c>
      <c r="AU14" s="157"/>
      <c r="AV14" s="157"/>
      <c r="AW14" s="157"/>
      <c r="AX14" s="157"/>
      <c r="AY14" s="157"/>
      <c r="AZ14" s="157"/>
      <c r="BA14" s="157"/>
      <c r="BB14" s="157"/>
      <c r="BC14" s="170"/>
    </row>
    <row r="15" spans="1:55" s="25" customFormat="1" ht="13.5" customHeight="1">
      <c r="A15" s="145"/>
      <c r="B15" s="143"/>
      <c r="C15" s="143"/>
      <c r="D15" s="143"/>
      <c r="E15" s="143"/>
      <c r="F15" s="143"/>
      <c r="G15" s="143"/>
      <c r="H15" s="143"/>
      <c r="I15" s="144"/>
      <c r="J15" s="152"/>
      <c r="K15" s="150"/>
      <c r="L15" s="150"/>
      <c r="M15" s="150"/>
      <c r="N15" s="150"/>
      <c r="O15" s="150"/>
      <c r="P15" s="150"/>
      <c r="Q15" s="151"/>
      <c r="R15" s="159"/>
      <c r="S15" s="157"/>
      <c r="T15" s="157"/>
      <c r="U15" s="158"/>
      <c r="V15" s="166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5"/>
      <c r="AT15" s="159"/>
      <c r="AU15" s="157"/>
      <c r="AV15" s="157"/>
      <c r="AW15" s="157"/>
      <c r="AX15" s="157"/>
      <c r="AY15" s="157"/>
      <c r="AZ15" s="157"/>
      <c r="BA15" s="157"/>
      <c r="BB15" s="157"/>
      <c r="BC15" s="170"/>
    </row>
    <row r="16" spans="1:55" s="25" customFormat="1" ht="13.5" customHeight="1">
      <c r="A16" s="146"/>
      <c r="B16" s="147"/>
      <c r="C16" s="147"/>
      <c r="D16" s="147"/>
      <c r="E16" s="147"/>
      <c r="F16" s="147"/>
      <c r="G16" s="147"/>
      <c r="H16" s="147"/>
      <c r="I16" s="148"/>
      <c r="J16" s="153"/>
      <c r="K16" s="154"/>
      <c r="L16" s="154"/>
      <c r="M16" s="154"/>
      <c r="N16" s="154"/>
      <c r="O16" s="154"/>
      <c r="P16" s="154"/>
      <c r="Q16" s="155"/>
      <c r="R16" s="160"/>
      <c r="S16" s="161"/>
      <c r="T16" s="161"/>
      <c r="U16" s="162"/>
      <c r="V16" s="167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9"/>
      <c r="AT16" s="160"/>
      <c r="AU16" s="161"/>
      <c r="AV16" s="161"/>
      <c r="AW16" s="161"/>
      <c r="AX16" s="161"/>
      <c r="AY16" s="161"/>
      <c r="AZ16" s="161"/>
      <c r="BA16" s="161"/>
      <c r="BB16" s="161"/>
      <c r="BC16" s="171"/>
    </row>
    <row r="17" spans="1:55" s="25" customFormat="1" ht="13.5" customHeight="1">
      <c r="A17" s="187"/>
      <c r="B17" s="188"/>
      <c r="C17" s="188"/>
      <c r="D17" s="188"/>
      <c r="E17" s="188"/>
      <c r="F17" s="188"/>
      <c r="G17" s="188"/>
      <c r="H17" s="188"/>
      <c r="I17" s="189"/>
      <c r="J17" s="190"/>
      <c r="K17" s="191"/>
      <c r="L17" s="191"/>
      <c r="M17" s="191"/>
      <c r="N17" s="191"/>
      <c r="O17" s="191"/>
      <c r="P17" s="191"/>
      <c r="Q17" s="192"/>
      <c r="R17" s="196"/>
      <c r="S17" s="197"/>
      <c r="T17" s="197"/>
      <c r="U17" s="198"/>
      <c r="V17" s="193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5"/>
      <c r="AT17" s="199"/>
      <c r="AU17" s="197"/>
      <c r="AV17" s="197"/>
      <c r="AW17" s="197"/>
      <c r="AX17" s="197"/>
      <c r="AY17" s="197"/>
      <c r="AZ17" s="197"/>
      <c r="BA17" s="197"/>
      <c r="BB17" s="197"/>
      <c r="BC17" s="200"/>
    </row>
    <row r="18" spans="1:55" s="25" customFormat="1" ht="13.5" customHeight="1">
      <c r="A18" s="145"/>
      <c r="B18" s="143"/>
      <c r="C18" s="143"/>
      <c r="D18" s="143"/>
      <c r="E18" s="143"/>
      <c r="F18" s="143"/>
      <c r="G18" s="143"/>
      <c r="H18" s="143"/>
      <c r="I18" s="144"/>
      <c r="J18" s="152"/>
      <c r="K18" s="150"/>
      <c r="L18" s="150"/>
      <c r="M18" s="150"/>
      <c r="N18" s="150"/>
      <c r="O18" s="150"/>
      <c r="P18" s="150"/>
      <c r="Q18" s="151"/>
      <c r="R18" s="159"/>
      <c r="S18" s="157"/>
      <c r="T18" s="157"/>
      <c r="U18" s="158"/>
      <c r="V18" s="166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5"/>
      <c r="AT18" s="159"/>
      <c r="AU18" s="157"/>
      <c r="AV18" s="157"/>
      <c r="AW18" s="157"/>
      <c r="AX18" s="157"/>
      <c r="AY18" s="157"/>
      <c r="AZ18" s="157"/>
      <c r="BA18" s="157"/>
      <c r="BB18" s="157"/>
      <c r="BC18" s="170"/>
    </row>
    <row r="19" spans="1:55" s="25" customFormat="1" ht="13.5" customHeight="1">
      <c r="A19" s="146"/>
      <c r="B19" s="147"/>
      <c r="C19" s="147"/>
      <c r="D19" s="147"/>
      <c r="E19" s="147"/>
      <c r="F19" s="147"/>
      <c r="G19" s="147"/>
      <c r="H19" s="147"/>
      <c r="I19" s="148"/>
      <c r="J19" s="153"/>
      <c r="K19" s="154"/>
      <c r="L19" s="154"/>
      <c r="M19" s="154"/>
      <c r="N19" s="154"/>
      <c r="O19" s="154"/>
      <c r="P19" s="154"/>
      <c r="Q19" s="155"/>
      <c r="R19" s="160"/>
      <c r="S19" s="161"/>
      <c r="T19" s="161"/>
      <c r="U19" s="162"/>
      <c r="V19" s="167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9"/>
      <c r="AT19" s="160"/>
      <c r="AU19" s="161"/>
      <c r="AV19" s="161"/>
      <c r="AW19" s="161"/>
      <c r="AX19" s="161"/>
      <c r="AY19" s="161"/>
      <c r="AZ19" s="161"/>
      <c r="BA19" s="161"/>
      <c r="BB19" s="161"/>
      <c r="BC19" s="171"/>
    </row>
    <row r="20" spans="1:55" s="25" customFormat="1" ht="13.5" customHeight="1">
      <c r="A20" s="187"/>
      <c r="B20" s="188"/>
      <c r="C20" s="188"/>
      <c r="D20" s="188"/>
      <c r="E20" s="188"/>
      <c r="F20" s="188"/>
      <c r="G20" s="188"/>
      <c r="H20" s="188"/>
      <c r="I20" s="189"/>
      <c r="J20" s="190"/>
      <c r="K20" s="191"/>
      <c r="L20" s="191"/>
      <c r="M20" s="191"/>
      <c r="N20" s="191"/>
      <c r="O20" s="191"/>
      <c r="P20" s="191"/>
      <c r="Q20" s="192"/>
      <c r="R20" s="196"/>
      <c r="S20" s="197"/>
      <c r="T20" s="197"/>
      <c r="U20" s="198"/>
      <c r="V20" s="193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5"/>
      <c r="AT20" s="199"/>
      <c r="AU20" s="197"/>
      <c r="AV20" s="197"/>
      <c r="AW20" s="197"/>
      <c r="AX20" s="197"/>
      <c r="AY20" s="197"/>
      <c r="AZ20" s="197"/>
      <c r="BA20" s="197"/>
      <c r="BB20" s="197"/>
      <c r="BC20" s="200"/>
    </row>
    <row r="21" spans="1:55" s="25" customFormat="1" ht="13.5" customHeight="1">
      <c r="A21" s="145"/>
      <c r="B21" s="143"/>
      <c r="C21" s="143"/>
      <c r="D21" s="143"/>
      <c r="E21" s="143"/>
      <c r="F21" s="143"/>
      <c r="G21" s="143"/>
      <c r="H21" s="143"/>
      <c r="I21" s="144"/>
      <c r="J21" s="152"/>
      <c r="K21" s="150"/>
      <c r="L21" s="150"/>
      <c r="M21" s="150"/>
      <c r="N21" s="150"/>
      <c r="O21" s="150"/>
      <c r="P21" s="150"/>
      <c r="Q21" s="151"/>
      <c r="R21" s="159"/>
      <c r="S21" s="157"/>
      <c r="T21" s="157"/>
      <c r="U21" s="158"/>
      <c r="V21" s="166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5"/>
      <c r="AT21" s="159"/>
      <c r="AU21" s="157"/>
      <c r="AV21" s="157"/>
      <c r="AW21" s="157"/>
      <c r="AX21" s="157"/>
      <c r="AY21" s="157"/>
      <c r="AZ21" s="157"/>
      <c r="BA21" s="157"/>
      <c r="BB21" s="157"/>
      <c r="BC21" s="170"/>
    </row>
    <row r="22" spans="1:55" s="25" customFormat="1" ht="13.5" customHeight="1">
      <c r="A22" s="146"/>
      <c r="B22" s="147"/>
      <c r="C22" s="147"/>
      <c r="D22" s="147"/>
      <c r="E22" s="147"/>
      <c r="F22" s="147"/>
      <c r="G22" s="147"/>
      <c r="H22" s="147"/>
      <c r="I22" s="148"/>
      <c r="J22" s="153"/>
      <c r="K22" s="154"/>
      <c r="L22" s="154"/>
      <c r="M22" s="154"/>
      <c r="N22" s="154"/>
      <c r="O22" s="154"/>
      <c r="P22" s="154"/>
      <c r="Q22" s="155"/>
      <c r="R22" s="160"/>
      <c r="S22" s="161"/>
      <c r="T22" s="161"/>
      <c r="U22" s="162"/>
      <c r="V22" s="167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9"/>
      <c r="AT22" s="160"/>
      <c r="AU22" s="161"/>
      <c r="AV22" s="161"/>
      <c r="AW22" s="161"/>
      <c r="AX22" s="161"/>
      <c r="AY22" s="161"/>
      <c r="AZ22" s="161"/>
      <c r="BA22" s="161"/>
      <c r="BB22" s="161"/>
      <c r="BC22" s="171"/>
    </row>
    <row r="23" spans="1:55" s="25" customFormat="1" ht="13.5" customHeight="1">
      <c r="A23" s="187"/>
      <c r="B23" s="188"/>
      <c r="C23" s="188"/>
      <c r="D23" s="188"/>
      <c r="E23" s="188"/>
      <c r="F23" s="188"/>
      <c r="G23" s="188"/>
      <c r="H23" s="188"/>
      <c r="I23" s="189"/>
      <c r="J23" s="190"/>
      <c r="K23" s="191"/>
      <c r="L23" s="191"/>
      <c r="M23" s="191"/>
      <c r="N23" s="191"/>
      <c r="O23" s="191"/>
      <c r="P23" s="191"/>
      <c r="Q23" s="192"/>
      <c r="R23" s="196"/>
      <c r="S23" s="197"/>
      <c r="T23" s="197"/>
      <c r="U23" s="198"/>
      <c r="V23" s="193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5"/>
      <c r="AT23" s="199"/>
      <c r="AU23" s="197"/>
      <c r="AV23" s="197"/>
      <c r="AW23" s="197"/>
      <c r="AX23" s="197"/>
      <c r="AY23" s="197"/>
      <c r="AZ23" s="197"/>
      <c r="BA23" s="197"/>
      <c r="BB23" s="197"/>
      <c r="BC23" s="200"/>
    </row>
    <row r="24" spans="1:55" s="25" customFormat="1" ht="13.5" customHeight="1">
      <c r="A24" s="145"/>
      <c r="B24" s="143"/>
      <c r="C24" s="143"/>
      <c r="D24" s="143"/>
      <c r="E24" s="143"/>
      <c r="F24" s="143"/>
      <c r="G24" s="143"/>
      <c r="H24" s="143"/>
      <c r="I24" s="144"/>
      <c r="J24" s="152"/>
      <c r="K24" s="150"/>
      <c r="L24" s="150"/>
      <c r="M24" s="150"/>
      <c r="N24" s="150"/>
      <c r="O24" s="150"/>
      <c r="P24" s="150"/>
      <c r="Q24" s="151"/>
      <c r="R24" s="159"/>
      <c r="S24" s="157"/>
      <c r="T24" s="157"/>
      <c r="U24" s="158"/>
      <c r="V24" s="166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5"/>
      <c r="AT24" s="159"/>
      <c r="AU24" s="157"/>
      <c r="AV24" s="157"/>
      <c r="AW24" s="157"/>
      <c r="AX24" s="157"/>
      <c r="AY24" s="157"/>
      <c r="AZ24" s="157"/>
      <c r="BA24" s="157"/>
      <c r="BB24" s="157"/>
      <c r="BC24" s="170"/>
    </row>
    <row r="25" spans="1:55" s="25" customFormat="1" ht="13.5" customHeight="1">
      <c r="A25" s="146"/>
      <c r="B25" s="147"/>
      <c r="C25" s="147"/>
      <c r="D25" s="147"/>
      <c r="E25" s="147"/>
      <c r="F25" s="147"/>
      <c r="G25" s="147"/>
      <c r="H25" s="147"/>
      <c r="I25" s="148"/>
      <c r="J25" s="153"/>
      <c r="K25" s="154"/>
      <c r="L25" s="154"/>
      <c r="M25" s="154"/>
      <c r="N25" s="154"/>
      <c r="O25" s="154"/>
      <c r="P25" s="154"/>
      <c r="Q25" s="155"/>
      <c r="R25" s="160"/>
      <c r="S25" s="161"/>
      <c r="T25" s="161"/>
      <c r="U25" s="162"/>
      <c r="V25" s="167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9"/>
      <c r="AT25" s="160"/>
      <c r="AU25" s="161"/>
      <c r="AV25" s="161"/>
      <c r="AW25" s="161"/>
      <c r="AX25" s="161"/>
      <c r="AY25" s="161"/>
      <c r="AZ25" s="161"/>
      <c r="BA25" s="161"/>
      <c r="BB25" s="161"/>
      <c r="BC25" s="171"/>
    </row>
    <row r="26" spans="1:55" s="25" customFormat="1" ht="13.5" customHeight="1">
      <c r="A26" s="187"/>
      <c r="B26" s="188"/>
      <c r="C26" s="188"/>
      <c r="D26" s="188"/>
      <c r="E26" s="188"/>
      <c r="F26" s="188"/>
      <c r="G26" s="188"/>
      <c r="H26" s="188"/>
      <c r="I26" s="189"/>
      <c r="J26" s="190"/>
      <c r="K26" s="191"/>
      <c r="L26" s="191"/>
      <c r="M26" s="191"/>
      <c r="N26" s="191"/>
      <c r="O26" s="191"/>
      <c r="P26" s="191"/>
      <c r="Q26" s="192"/>
      <c r="R26" s="199"/>
      <c r="S26" s="197"/>
      <c r="T26" s="197"/>
      <c r="U26" s="198"/>
      <c r="V26" s="193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  <c r="AT26" s="199"/>
      <c r="AU26" s="197"/>
      <c r="AV26" s="197"/>
      <c r="AW26" s="197"/>
      <c r="AX26" s="197"/>
      <c r="AY26" s="197"/>
      <c r="AZ26" s="197"/>
      <c r="BA26" s="197"/>
      <c r="BB26" s="197"/>
      <c r="BC26" s="200"/>
    </row>
    <row r="27" spans="1:55" s="25" customFormat="1" ht="13.5" customHeight="1">
      <c r="A27" s="145"/>
      <c r="B27" s="143"/>
      <c r="C27" s="143"/>
      <c r="D27" s="143"/>
      <c r="E27" s="143"/>
      <c r="F27" s="143"/>
      <c r="G27" s="143"/>
      <c r="H27" s="143"/>
      <c r="I27" s="144"/>
      <c r="J27" s="152"/>
      <c r="K27" s="150"/>
      <c r="L27" s="150"/>
      <c r="M27" s="150"/>
      <c r="N27" s="150"/>
      <c r="O27" s="150"/>
      <c r="P27" s="150"/>
      <c r="Q27" s="151"/>
      <c r="R27" s="159"/>
      <c r="S27" s="157"/>
      <c r="T27" s="157"/>
      <c r="U27" s="158"/>
      <c r="V27" s="163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7"/>
      <c r="AT27" s="159"/>
      <c r="AU27" s="157"/>
      <c r="AV27" s="157"/>
      <c r="AW27" s="157"/>
      <c r="AX27" s="157"/>
      <c r="AY27" s="157"/>
      <c r="AZ27" s="157"/>
      <c r="BA27" s="157"/>
      <c r="BB27" s="157"/>
      <c r="BC27" s="170"/>
    </row>
    <row r="28" spans="1:55" s="25" customFormat="1" ht="13.5" customHeight="1">
      <c r="A28" s="146"/>
      <c r="B28" s="147"/>
      <c r="C28" s="147"/>
      <c r="D28" s="147"/>
      <c r="E28" s="147"/>
      <c r="F28" s="147"/>
      <c r="G28" s="147"/>
      <c r="H28" s="147"/>
      <c r="I28" s="148"/>
      <c r="J28" s="153"/>
      <c r="K28" s="154"/>
      <c r="L28" s="154"/>
      <c r="M28" s="154"/>
      <c r="N28" s="154"/>
      <c r="O28" s="154"/>
      <c r="P28" s="154"/>
      <c r="Q28" s="155"/>
      <c r="R28" s="160"/>
      <c r="S28" s="161"/>
      <c r="T28" s="161"/>
      <c r="U28" s="162"/>
      <c r="V28" s="218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20"/>
      <c r="AT28" s="160"/>
      <c r="AU28" s="161"/>
      <c r="AV28" s="161"/>
      <c r="AW28" s="161"/>
      <c r="AX28" s="161"/>
      <c r="AY28" s="161"/>
      <c r="AZ28" s="161"/>
      <c r="BA28" s="161"/>
      <c r="BB28" s="161"/>
      <c r="BC28" s="171"/>
    </row>
    <row r="29" spans="1:55" s="25" customFormat="1" ht="13.5" customHeight="1">
      <c r="A29" s="187"/>
      <c r="B29" s="188"/>
      <c r="C29" s="188"/>
      <c r="D29" s="188"/>
      <c r="E29" s="188"/>
      <c r="F29" s="188"/>
      <c r="G29" s="188"/>
      <c r="H29" s="188"/>
      <c r="I29" s="189"/>
      <c r="J29" s="190"/>
      <c r="K29" s="191"/>
      <c r="L29" s="191"/>
      <c r="M29" s="191"/>
      <c r="N29" s="191"/>
      <c r="O29" s="191"/>
      <c r="P29" s="191"/>
      <c r="Q29" s="192"/>
      <c r="R29" s="199"/>
      <c r="S29" s="197"/>
      <c r="T29" s="197"/>
      <c r="U29" s="198"/>
      <c r="V29" s="193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5"/>
      <c r="AT29" s="199"/>
      <c r="AU29" s="197"/>
      <c r="AV29" s="197"/>
      <c r="AW29" s="197"/>
      <c r="AX29" s="197"/>
      <c r="AY29" s="197"/>
      <c r="AZ29" s="197"/>
      <c r="BA29" s="197"/>
      <c r="BB29" s="197"/>
      <c r="BC29" s="200"/>
    </row>
    <row r="30" spans="1:55" s="25" customFormat="1" ht="13.5" customHeight="1">
      <c r="A30" s="145"/>
      <c r="B30" s="143"/>
      <c r="C30" s="143"/>
      <c r="D30" s="143"/>
      <c r="E30" s="143"/>
      <c r="F30" s="143"/>
      <c r="G30" s="143"/>
      <c r="H30" s="143"/>
      <c r="I30" s="144"/>
      <c r="J30" s="152"/>
      <c r="K30" s="150"/>
      <c r="L30" s="150"/>
      <c r="M30" s="150"/>
      <c r="N30" s="150"/>
      <c r="O30" s="150"/>
      <c r="P30" s="150"/>
      <c r="Q30" s="151"/>
      <c r="R30" s="159"/>
      <c r="S30" s="157"/>
      <c r="T30" s="157"/>
      <c r="U30" s="158"/>
      <c r="V30" s="166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5"/>
      <c r="AT30" s="159"/>
      <c r="AU30" s="157"/>
      <c r="AV30" s="157"/>
      <c r="AW30" s="157"/>
      <c r="AX30" s="157"/>
      <c r="AY30" s="157"/>
      <c r="AZ30" s="157"/>
      <c r="BA30" s="157"/>
      <c r="BB30" s="157"/>
      <c r="BC30" s="170"/>
    </row>
    <row r="31" spans="1:55" s="25" customFormat="1" ht="13.5" customHeight="1" thickBot="1">
      <c r="A31" s="201"/>
      <c r="B31" s="202"/>
      <c r="C31" s="202"/>
      <c r="D31" s="202"/>
      <c r="E31" s="202"/>
      <c r="F31" s="202"/>
      <c r="G31" s="202"/>
      <c r="H31" s="202"/>
      <c r="I31" s="203"/>
      <c r="J31" s="204"/>
      <c r="K31" s="205"/>
      <c r="L31" s="205"/>
      <c r="M31" s="205"/>
      <c r="N31" s="205"/>
      <c r="O31" s="205"/>
      <c r="P31" s="205"/>
      <c r="Q31" s="206"/>
      <c r="R31" s="207"/>
      <c r="S31" s="208"/>
      <c r="T31" s="208"/>
      <c r="U31" s="209"/>
      <c r="V31" s="210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2"/>
      <c r="AT31" s="207"/>
      <c r="AU31" s="208"/>
      <c r="AV31" s="208"/>
      <c r="AW31" s="208"/>
      <c r="AX31" s="208"/>
      <c r="AY31" s="208"/>
      <c r="AZ31" s="208"/>
      <c r="BA31" s="208"/>
      <c r="BB31" s="208"/>
      <c r="BC31" s="213"/>
    </row>
    <row r="32" spans="1:55" s="25" customFormat="1" ht="13.5" customHeight="1">
      <c r="A32" s="221"/>
      <c r="B32" s="143"/>
      <c r="C32" s="143"/>
      <c r="D32" s="143"/>
      <c r="E32" s="143"/>
      <c r="F32" s="143"/>
      <c r="G32" s="143"/>
      <c r="H32" s="143"/>
      <c r="I32" s="143"/>
      <c r="J32" s="222"/>
      <c r="K32" s="150"/>
      <c r="L32" s="150"/>
      <c r="M32" s="150"/>
      <c r="N32" s="150"/>
      <c r="O32" s="150"/>
      <c r="P32" s="150"/>
      <c r="Q32" s="150"/>
      <c r="R32" s="223"/>
      <c r="S32" s="157"/>
      <c r="T32" s="157"/>
      <c r="U32" s="157"/>
      <c r="V32" s="216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223"/>
      <c r="AU32" s="157"/>
      <c r="AV32" s="157"/>
      <c r="AW32" s="157"/>
      <c r="AX32" s="157"/>
      <c r="AY32" s="157"/>
      <c r="AZ32" s="157"/>
      <c r="BA32" s="157"/>
      <c r="BB32" s="157"/>
      <c r="BC32" s="157"/>
    </row>
  </sheetData>
  <mergeCells count="64">
    <mergeCell ref="A32:I32"/>
    <mergeCell ref="J32:Q32"/>
    <mergeCell ref="R32:U32"/>
    <mergeCell ref="V32:AS32"/>
    <mergeCell ref="AT32:BC32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11:I13"/>
    <mergeCell ref="J11:Q13"/>
    <mergeCell ref="R11:U13"/>
    <mergeCell ref="V11:AS13"/>
    <mergeCell ref="AT11:BC13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18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46" customWidth="1"/>
    <col min="2" max="27" width="2.625" style="46"/>
    <col min="28" max="28" width="2.625" style="46" customWidth="1"/>
    <col min="29" max="41" width="2.625" style="46"/>
    <col min="42" max="43" width="2.625" style="46" customWidth="1"/>
    <col min="44" max="51" width="2.625" style="46"/>
    <col min="52" max="53" width="2.625" style="46" customWidth="1"/>
    <col min="54" max="54" width="2.75" style="46" customWidth="1"/>
    <col min="55" max="55" width="2.375" style="46" customWidth="1"/>
    <col min="56" max="56" width="3.125" style="46" hidden="1" customWidth="1"/>
    <col min="57" max="58" width="2.625" style="46" hidden="1" customWidth="1"/>
    <col min="59" max="16384" width="2.625" style="46"/>
  </cols>
  <sheetData>
    <row r="1" spans="1:55" ht="13.5" customHeight="1">
      <c r="A1" s="133" t="s">
        <v>0</v>
      </c>
      <c r="B1" s="102"/>
      <c r="C1" s="102"/>
      <c r="D1" s="102"/>
      <c r="E1" s="102"/>
      <c r="F1" s="103"/>
      <c r="G1" s="103"/>
      <c r="H1" s="103"/>
      <c r="I1" s="134"/>
      <c r="J1" s="135" t="s">
        <v>1</v>
      </c>
      <c r="K1" s="102"/>
      <c r="L1" s="102"/>
      <c r="M1" s="102"/>
      <c r="N1" s="102"/>
      <c r="O1" s="103"/>
      <c r="P1" s="103"/>
      <c r="Q1" s="103"/>
      <c r="R1" s="136" t="str">
        <f>表紙!S12</f>
        <v>画面レイアウト設計書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8"/>
      <c r="AJ1" s="139" t="s">
        <v>2</v>
      </c>
      <c r="AK1" s="140"/>
      <c r="AL1" s="140"/>
      <c r="AM1" s="140"/>
      <c r="AN1" s="140"/>
      <c r="AO1" s="141" t="s">
        <v>3</v>
      </c>
      <c r="AP1" s="140"/>
      <c r="AQ1" s="140"/>
      <c r="AR1" s="140"/>
      <c r="AS1" s="140"/>
      <c r="AT1" s="141" t="s">
        <v>4</v>
      </c>
      <c r="AU1" s="140"/>
      <c r="AV1" s="140"/>
      <c r="AW1" s="140"/>
      <c r="AX1" s="140"/>
      <c r="AY1" s="102" t="s">
        <v>5</v>
      </c>
      <c r="AZ1" s="103"/>
      <c r="BA1" s="103"/>
      <c r="BB1" s="103"/>
      <c r="BC1" s="104"/>
    </row>
    <row r="2" spans="1:55" ht="13.5" customHeight="1">
      <c r="A2" s="293" t="str">
        <f>表紙!O10</f>
        <v>13期12月対応</v>
      </c>
      <c r="B2" s="106"/>
      <c r="C2" s="106"/>
      <c r="D2" s="106"/>
      <c r="E2" s="106"/>
      <c r="F2" s="107"/>
      <c r="G2" s="107"/>
      <c r="H2" s="107"/>
      <c r="I2" s="108"/>
      <c r="J2" s="113" t="str">
        <f>表紙!O9</f>
        <v>LMS学習管理システム</v>
      </c>
      <c r="K2" s="106"/>
      <c r="L2" s="106"/>
      <c r="M2" s="106"/>
      <c r="N2" s="106"/>
      <c r="O2" s="107"/>
      <c r="P2" s="107"/>
      <c r="Q2" s="114"/>
      <c r="R2" s="117" t="str">
        <f ca="1">RIGHT(CELL("filename",A1),LEN(CELL("filename",A1))-FIND("]",CELL("filename",A1)))</f>
        <v>見積もり情報登録画面（管理者権限）</v>
      </c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J2" s="294" t="s">
        <v>41</v>
      </c>
      <c r="AK2" s="124"/>
      <c r="AL2" s="124"/>
      <c r="AM2" s="124"/>
      <c r="AN2" s="124"/>
      <c r="AO2" s="127">
        <v>43766</v>
      </c>
      <c r="AP2" s="124"/>
      <c r="AQ2" s="295"/>
      <c r="AR2" s="124"/>
      <c r="AS2" s="124"/>
      <c r="AT2" s="294" t="s">
        <v>41</v>
      </c>
      <c r="AU2" s="124"/>
      <c r="AV2" s="295"/>
      <c r="AW2" s="124"/>
      <c r="AX2" s="124"/>
      <c r="AY2" s="128">
        <v>43776</v>
      </c>
      <c r="AZ2" s="129"/>
      <c r="BA2" s="129"/>
      <c r="BB2" s="296"/>
      <c r="BC2" s="130"/>
    </row>
    <row r="3" spans="1:55" ht="13.5" customHeight="1" thickBot="1">
      <c r="A3" s="109"/>
      <c r="B3" s="110"/>
      <c r="C3" s="110"/>
      <c r="D3" s="110"/>
      <c r="E3" s="110"/>
      <c r="F3" s="111"/>
      <c r="G3" s="111"/>
      <c r="H3" s="111"/>
      <c r="I3" s="112"/>
      <c r="J3" s="115"/>
      <c r="K3" s="110"/>
      <c r="L3" s="110"/>
      <c r="M3" s="110"/>
      <c r="N3" s="110"/>
      <c r="O3" s="111"/>
      <c r="P3" s="111"/>
      <c r="Q3" s="116"/>
      <c r="R3" s="120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2"/>
      <c r="AJ3" s="125"/>
      <c r="AK3" s="126"/>
      <c r="AL3" s="126"/>
      <c r="AM3" s="126"/>
      <c r="AN3" s="126"/>
      <c r="AO3" s="126"/>
      <c r="AP3" s="126"/>
      <c r="AQ3" s="126"/>
      <c r="AR3" s="126"/>
      <c r="AS3" s="126"/>
      <c r="AT3" s="125"/>
      <c r="AU3" s="126"/>
      <c r="AV3" s="126"/>
      <c r="AW3" s="126"/>
      <c r="AX3" s="126"/>
      <c r="AY3" s="131"/>
      <c r="AZ3" s="131"/>
      <c r="BA3" s="131"/>
      <c r="BB3" s="131"/>
      <c r="BC3" s="132"/>
    </row>
    <row r="4" spans="1:55" ht="13.5" customHeight="1"/>
    <row r="5" spans="1:55" ht="13.5" customHeight="1">
      <c r="A5" s="32"/>
      <c r="B5" s="31" t="s">
        <v>20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</row>
    <row r="6" spans="1:55" ht="13.5" customHeight="1">
      <c r="A6" s="32"/>
      <c r="B6" s="47"/>
      <c r="C6" s="48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9"/>
      <c r="AA6" s="47"/>
      <c r="AB6" s="47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32"/>
    </row>
    <row r="7" spans="1:55" ht="13.5" customHeight="1">
      <c r="A7" s="32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32"/>
    </row>
    <row r="8" spans="1:55" ht="13.5" customHeight="1">
      <c r="A8" s="32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32"/>
    </row>
    <row r="9" spans="1:55" ht="13.5" customHeight="1">
      <c r="A9" s="32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32"/>
    </row>
    <row r="10" spans="1:55" ht="13.5" customHeight="1">
      <c r="A10" s="32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32"/>
    </row>
    <row r="11" spans="1:55" ht="13.5" customHeight="1">
      <c r="A11" s="32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32"/>
    </row>
    <row r="12" spans="1:55" ht="13.5" customHeight="1">
      <c r="A12" s="32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32"/>
    </row>
    <row r="13" spans="1:55" ht="13.5" customHeight="1">
      <c r="A13" s="32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32"/>
    </row>
    <row r="14" spans="1:55" ht="13.5" customHeight="1">
      <c r="A14" s="32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32"/>
    </row>
    <row r="15" spans="1:55" ht="13.5" customHeight="1">
      <c r="A15" s="32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32"/>
    </row>
    <row r="16" spans="1:55" ht="13.5" customHeight="1">
      <c r="A16" s="32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32"/>
    </row>
    <row r="17" spans="1:55" ht="13.5" customHeight="1">
      <c r="A17" s="32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32"/>
    </row>
    <row r="18" spans="1:55" ht="13.5" customHeight="1">
      <c r="A18" s="32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32"/>
    </row>
    <row r="19" spans="1:55" ht="13.5" customHeight="1">
      <c r="A19" s="32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32"/>
    </row>
    <row r="20" spans="1:55" ht="13.5" customHeight="1">
      <c r="A20" s="32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32"/>
    </row>
    <row r="21" spans="1:55" ht="13.5" customHeight="1">
      <c r="A21" s="32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32"/>
    </row>
    <row r="22" spans="1:55" ht="13.5" customHeight="1">
      <c r="A22" s="32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32"/>
    </row>
    <row r="23" spans="1:55" ht="13.5" customHeight="1">
      <c r="A23" s="32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32"/>
    </row>
    <row r="24" spans="1:55" ht="13.5" customHeight="1">
      <c r="A24" s="32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32"/>
    </row>
    <row r="25" spans="1:55" ht="13.5" customHeight="1">
      <c r="A25" s="32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32"/>
    </row>
    <row r="26" spans="1:55" ht="13.5" customHeight="1">
      <c r="A26" s="32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32"/>
    </row>
    <row r="27" spans="1:55" ht="13.5" customHeight="1">
      <c r="A27" s="32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32"/>
    </row>
    <row r="28" spans="1:55" ht="13.5" customHeight="1">
      <c r="A28" s="32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32"/>
    </row>
    <row r="29" spans="1:55" ht="13.5" customHeight="1">
      <c r="A29" s="32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32"/>
    </row>
    <row r="30" spans="1:55" ht="13.5" customHeight="1">
      <c r="A30" s="32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32"/>
    </row>
    <row r="31" spans="1:55" ht="13.5" customHeight="1">
      <c r="A31" s="32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32"/>
    </row>
    <row r="32" spans="1:55" ht="13.5" customHeight="1">
      <c r="A32" s="32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32"/>
    </row>
    <row r="33" spans="1:55" ht="13.5" customHeight="1">
      <c r="A33" s="32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32"/>
    </row>
    <row r="34" spans="1:55" ht="13.5" customHeight="1">
      <c r="A34" s="32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32"/>
    </row>
    <row r="35" spans="1:55" ht="13.5" customHeight="1">
      <c r="A35" s="32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32"/>
    </row>
    <row r="36" spans="1:55" ht="13.5" customHeight="1">
      <c r="A36" s="32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32"/>
    </row>
    <row r="37" spans="1:55" ht="13.5" customHeight="1">
      <c r="A37" s="32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32"/>
    </row>
    <row r="38" spans="1:55" ht="13.5" customHeight="1">
      <c r="A38" s="32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32"/>
    </row>
    <row r="39" spans="1:55" ht="13.5" customHeight="1">
      <c r="A39" s="32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32"/>
    </row>
    <row r="40" spans="1:55" ht="13.5" customHeight="1">
      <c r="A40" s="32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32"/>
    </row>
    <row r="41" spans="1:55">
      <c r="A41" s="32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32"/>
    </row>
    <row r="42" spans="1:55">
      <c r="A42" s="32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32"/>
    </row>
    <row r="43" spans="1:55">
      <c r="A43" s="32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32"/>
    </row>
    <row r="44" spans="1:55">
      <c r="A44" s="32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32"/>
    </row>
    <row r="45" spans="1:55">
      <c r="A45" s="32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32"/>
    </row>
    <row r="46" spans="1:55">
      <c r="A46" s="32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32"/>
    </row>
    <row r="47" spans="1:55">
      <c r="A47" s="32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32"/>
    </row>
    <row r="48" spans="1:55">
      <c r="A48" s="32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32"/>
    </row>
    <row r="49" spans="1:55">
      <c r="A49" s="32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32"/>
    </row>
    <row r="50" spans="1:55">
      <c r="A50" s="32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32"/>
    </row>
    <row r="51" spans="1:55">
      <c r="A51" s="32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32"/>
    </row>
    <row r="52" spans="1:55">
      <c r="A52" s="32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32"/>
    </row>
    <row r="53" spans="1:55">
      <c r="A53" s="32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32"/>
    </row>
    <row r="54" spans="1:55">
      <c r="A54" s="32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32"/>
    </row>
    <row r="55" spans="1:55">
      <c r="A55" s="32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32"/>
    </row>
    <row r="56" spans="1:55">
      <c r="A56" s="32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32"/>
    </row>
    <row r="57" spans="1:55">
      <c r="A57" s="32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32"/>
    </row>
    <row r="58" spans="1:5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</row>
    <row r="59" spans="1:5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</row>
    <row r="60" spans="1:55">
      <c r="A60" s="32"/>
      <c r="B60" s="31" t="s">
        <v>35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1"/>
      <c r="BC60" s="32"/>
    </row>
    <row r="61" spans="1:55">
      <c r="A61" s="32"/>
      <c r="B61" s="265" t="s">
        <v>17</v>
      </c>
      <c r="C61" s="266"/>
      <c r="D61" s="267" t="s">
        <v>28</v>
      </c>
      <c r="E61" s="268"/>
      <c r="F61" s="268"/>
      <c r="G61" s="268"/>
      <c r="H61" s="268"/>
      <c r="I61" s="268"/>
      <c r="J61" s="268"/>
      <c r="K61" s="268"/>
      <c r="L61" s="269"/>
      <c r="M61" s="271" t="s">
        <v>21</v>
      </c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  <c r="AC61" s="272"/>
      <c r="AD61" s="272"/>
      <c r="AE61" s="273"/>
      <c r="AF61" s="265" t="s">
        <v>18</v>
      </c>
      <c r="AG61" s="279"/>
      <c r="AH61" s="279"/>
      <c r="AI61" s="279"/>
      <c r="AJ61" s="279"/>
      <c r="AK61" s="279"/>
      <c r="AL61" s="279"/>
      <c r="AM61" s="279"/>
      <c r="AN61" s="279"/>
      <c r="AO61" s="279"/>
      <c r="AP61" s="279"/>
      <c r="AQ61" s="279"/>
      <c r="AR61" s="279"/>
      <c r="AS61" s="279"/>
      <c r="AT61" s="279"/>
      <c r="AU61" s="279"/>
      <c r="AV61" s="279"/>
      <c r="AW61" s="279"/>
      <c r="AX61" s="279"/>
      <c r="AY61" s="279"/>
      <c r="AZ61" s="279"/>
      <c r="BA61" s="279"/>
      <c r="BB61" s="266"/>
      <c r="BC61" s="32"/>
    </row>
    <row r="62" spans="1:55">
      <c r="A62" s="32"/>
      <c r="B62" s="280"/>
      <c r="C62" s="282"/>
      <c r="D62" s="305"/>
      <c r="E62" s="306"/>
      <c r="F62" s="306"/>
      <c r="G62" s="306"/>
      <c r="H62" s="306"/>
      <c r="I62" s="306"/>
      <c r="J62" s="306"/>
      <c r="K62" s="306"/>
      <c r="L62" s="307"/>
      <c r="M62" s="271" t="s">
        <v>34</v>
      </c>
      <c r="N62" s="272"/>
      <c r="O62" s="272"/>
      <c r="P62" s="272"/>
      <c r="Q62" s="272"/>
      <c r="R62" s="272"/>
      <c r="S62" s="272"/>
      <c r="T62" s="272"/>
      <c r="U62" s="272"/>
      <c r="V62" s="273"/>
      <c r="W62" s="271" t="s">
        <v>30</v>
      </c>
      <c r="X62" s="272"/>
      <c r="Y62" s="272"/>
      <c r="Z62" s="272"/>
      <c r="AA62" s="272"/>
      <c r="AB62" s="272"/>
      <c r="AC62" s="272"/>
      <c r="AD62" s="272"/>
      <c r="AE62" s="273"/>
      <c r="AF62" s="280"/>
      <c r="AG62" s="281"/>
      <c r="AH62" s="281"/>
      <c r="AI62" s="281"/>
      <c r="AJ62" s="281"/>
      <c r="AK62" s="281"/>
      <c r="AL62" s="281"/>
      <c r="AM62" s="281"/>
      <c r="AN62" s="281"/>
      <c r="AO62" s="281"/>
      <c r="AP62" s="281"/>
      <c r="AQ62" s="281"/>
      <c r="AR62" s="281"/>
      <c r="AS62" s="281"/>
      <c r="AT62" s="281"/>
      <c r="AU62" s="281"/>
      <c r="AV62" s="281"/>
      <c r="AW62" s="281"/>
      <c r="AX62" s="281"/>
      <c r="AY62" s="281"/>
      <c r="AZ62" s="281"/>
      <c r="BA62" s="281"/>
      <c r="BB62" s="282"/>
      <c r="BC62" s="32"/>
    </row>
    <row r="63" spans="1:55">
      <c r="A63" s="32"/>
      <c r="B63" s="63" t="s">
        <v>42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6"/>
      <c r="BC63" s="32"/>
    </row>
    <row r="64" spans="1:55">
      <c r="A64" s="32"/>
      <c r="B64" s="246">
        <v>1</v>
      </c>
      <c r="C64" s="247"/>
      <c r="D64" s="248" t="s">
        <v>43</v>
      </c>
      <c r="E64" s="249"/>
      <c r="F64" s="249"/>
      <c r="G64" s="249"/>
      <c r="H64" s="249"/>
      <c r="I64" s="249"/>
      <c r="J64" s="249"/>
      <c r="K64" s="249"/>
      <c r="L64" s="250"/>
      <c r="M64" s="297" t="s">
        <v>31</v>
      </c>
      <c r="N64" s="298"/>
      <c r="O64" s="298"/>
      <c r="P64" s="298"/>
      <c r="Q64" s="298"/>
      <c r="R64" s="298"/>
      <c r="S64" s="298"/>
      <c r="T64" s="298"/>
      <c r="U64" s="298"/>
      <c r="V64" s="299"/>
      <c r="W64" s="302" t="s">
        <v>31</v>
      </c>
      <c r="X64" s="303"/>
      <c r="Y64" s="303"/>
      <c r="Z64" s="303"/>
      <c r="AA64" s="303"/>
      <c r="AB64" s="303"/>
      <c r="AC64" s="303"/>
      <c r="AD64" s="303"/>
      <c r="AE64" s="304"/>
      <c r="AF64" s="38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27"/>
      <c r="BC64" s="32"/>
    </row>
    <row r="65" spans="1:55">
      <c r="A65" s="32"/>
      <c r="B65" s="246">
        <v>2</v>
      </c>
      <c r="C65" s="247"/>
      <c r="D65" s="290" t="s">
        <v>44</v>
      </c>
      <c r="E65" s="291"/>
      <c r="F65" s="291"/>
      <c r="G65" s="291"/>
      <c r="H65" s="291"/>
      <c r="I65" s="291"/>
      <c r="J65" s="291"/>
      <c r="K65" s="291"/>
      <c r="L65" s="292"/>
      <c r="M65" s="257" t="s">
        <v>31</v>
      </c>
      <c r="N65" s="258"/>
      <c r="O65" s="258"/>
      <c r="P65" s="258"/>
      <c r="Q65" s="258"/>
      <c r="R65" s="258"/>
      <c r="S65" s="258"/>
      <c r="T65" s="258"/>
      <c r="U65" s="258"/>
      <c r="V65" s="259"/>
      <c r="W65" s="257" t="s">
        <v>31</v>
      </c>
      <c r="X65" s="258"/>
      <c r="Y65" s="258"/>
      <c r="Z65" s="258"/>
      <c r="AA65" s="258"/>
      <c r="AB65" s="258"/>
      <c r="AC65" s="258"/>
      <c r="AD65" s="258"/>
      <c r="AE65" s="259"/>
      <c r="AF65" s="38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67"/>
      <c r="BC65" s="32"/>
    </row>
    <row r="66" spans="1:55">
      <c r="A66" s="32"/>
      <c r="B66" s="63" t="s">
        <v>45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6"/>
      <c r="BC66" s="32"/>
    </row>
    <row r="67" spans="1:55">
      <c r="A67" s="32"/>
      <c r="B67" s="246">
        <v>3</v>
      </c>
      <c r="C67" s="247"/>
      <c r="D67" s="248" t="s">
        <v>46</v>
      </c>
      <c r="E67" s="249"/>
      <c r="F67" s="249"/>
      <c r="G67" s="249"/>
      <c r="H67" s="249"/>
      <c r="I67" s="249"/>
      <c r="J67" s="249"/>
      <c r="K67" s="249"/>
      <c r="L67" s="250"/>
      <c r="M67" s="257" t="s">
        <v>31</v>
      </c>
      <c r="N67" s="258"/>
      <c r="O67" s="258"/>
      <c r="P67" s="258"/>
      <c r="Q67" s="258"/>
      <c r="R67" s="258"/>
      <c r="S67" s="258"/>
      <c r="T67" s="258"/>
      <c r="U67" s="258"/>
      <c r="V67" s="259"/>
      <c r="W67" s="257" t="s">
        <v>31</v>
      </c>
      <c r="X67" s="258"/>
      <c r="Y67" s="258"/>
      <c r="Z67" s="258"/>
      <c r="AA67" s="258"/>
      <c r="AB67" s="258"/>
      <c r="AC67" s="258"/>
      <c r="AD67" s="258"/>
      <c r="AE67" s="259"/>
      <c r="AF67" s="28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7"/>
      <c r="BC67" s="32"/>
    </row>
    <row r="68" spans="1:55">
      <c r="A68" s="32"/>
      <c r="B68" s="300">
        <v>4</v>
      </c>
      <c r="C68" s="301"/>
      <c r="D68" s="287" t="s">
        <v>47</v>
      </c>
      <c r="E68" s="288"/>
      <c r="F68" s="288"/>
      <c r="G68" s="288"/>
      <c r="H68" s="288"/>
      <c r="I68" s="288"/>
      <c r="J68" s="288"/>
      <c r="K68" s="288"/>
      <c r="L68" s="289"/>
      <c r="M68" s="257" t="s">
        <v>31</v>
      </c>
      <c r="N68" s="258"/>
      <c r="O68" s="258"/>
      <c r="P68" s="258"/>
      <c r="Q68" s="258"/>
      <c r="R68" s="258"/>
      <c r="S68" s="258"/>
      <c r="T68" s="258"/>
      <c r="U68" s="258"/>
      <c r="V68" s="259"/>
      <c r="W68" s="257" t="s">
        <v>31</v>
      </c>
      <c r="X68" s="258"/>
      <c r="Y68" s="258"/>
      <c r="Z68" s="258"/>
      <c r="AA68" s="258"/>
      <c r="AB68" s="258"/>
      <c r="AC68" s="258"/>
      <c r="AD68" s="258"/>
      <c r="AE68" s="259"/>
      <c r="AF68" s="44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3"/>
      <c r="BC68" s="32"/>
    </row>
    <row r="69" spans="1:55">
      <c r="A69" s="32"/>
      <c r="B69" s="254">
        <v>5</v>
      </c>
      <c r="C69" s="256"/>
      <c r="D69" s="248" t="s">
        <v>48</v>
      </c>
      <c r="E69" s="249"/>
      <c r="F69" s="249"/>
      <c r="G69" s="249"/>
      <c r="H69" s="249"/>
      <c r="I69" s="249"/>
      <c r="J69" s="249"/>
      <c r="K69" s="249"/>
      <c r="L69" s="250"/>
      <c r="M69" s="257" t="s">
        <v>31</v>
      </c>
      <c r="N69" s="258"/>
      <c r="O69" s="258"/>
      <c r="P69" s="258"/>
      <c r="Q69" s="258"/>
      <c r="R69" s="258"/>
      <c r="S69" s="258"/>
      <c r="T69" s="258"/>
      <c r="U69" s="258"/>
      <c r="V69" s="259"/>
      <c r="W69" s="257" t="s">
        <v>31</v>
      </c>
      <c r="X69" s="258"/>
      <c r="Y69" s="258"/>
      <c r="Z69" s="258"/>
      <c r="AA69" s="258"/>
      <c r="AB69" s="258"/>
      <c r="AC69" s="258"/>
      <c r="AD69" s="258"/>
      <c r="AE69" s="259"/>
      <c r="AF69" s="38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7"/>
      <c r="BC69" s="32"/>
    </row>
    <row r="70" spans="1:55">
      <c r="A70" s="32"/>
      <c r="B70" s="254">
        <v>6</v>
      </c>
      <c r="C70" s="283"/>
      <c r="D70" s="284" t="s">
        <v>49</v>
      </c>
      <c r="E70" s="285"/>
      <c r="F70" s="285"/>
      <c r="G70" s="285"/>
      <c r="H70" s="285"/>
      <c r="I70" s="285"/>
      <c r="J70" s="285"/>
      <c r="K70" s="285"/>
      <c r="L70" s="286"/>
      <c r="M70" s="257" t="s">
        <v>31</v>
      </c>
      <c r="N70" s="258"/>
      <c r="O70" s="258"/>
      <c r="P70" s="258"/>
      <c r="Q70" s="258"/>
      <c r="R70" s="258"/>
      <c r="S70" s="258"/>
      <c r="T70" s="258"/>
      <c r="U70" s="258"/>
      <c r="V70" s="259"/>
      <c r="W70" s="257" t="s">
        <v>31</v>
      </c>
      <c r="X70" s="258"/>
      <c r="Y70" s="258"/>
      <c r="Z70" s="258"/>
      <c r="AA70" s="258"/>
      <c r="AB70" s="258"/>
      <c r="AC70" s="258"/>
      <c r="AD70" s="258"/>
      <c r="AE70" s="259"/>
      <c r="AF70" s="38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7"/>
      <c r="BC70" s="32"/>
    </row>
    <row r="71" spans="1:55">
      <c r="A71" s="32"/>
      <c r="B71" s="254">
        <v>7</v>
      </c>
      <c r="C71" s="256"/>
      <c r="D71" s="248" t="s">
        <v>50</v>
      </c>
      <c r="E71" s="249"/>
      <c r="F71" s="249"/>
      <c r="G71" s="249"/>
      <c r="H71" s="249"/>
      <c r="I71" s="249"/>
      <c r="J71" s="249"/>
      <c r="K71" s="249"/>
      <c r="L71" s="250"/>
      <c r="M71" s="257" t="s">
        <v>31</v>
      </c>
      <c r="N71" s="258"/>
      <c r="O71" s="258"/>
      <c r="P71" s="258"/>
      <c r="Q71" s="258"/>
      <c r="R71" s="258"/>
      <c r="S71" s="258"/>
      <c r="T71" s="258"/>
      <c r="U71" s="258"/>
      <c r="V71" s="259"/>
      <c r="W71" s="257" t="s">
        <v>31</v>
      </c>
      <c r="X71" s="258"/>
      <c r="Y71" s="258"/>
      <c r="Z71" s="258"/>
      <c r="AA71" s="258"/>
      <c r="AB71" s="258"/>
      <c r="AC71" s="258"/>
      <c r="AD71" s="258"/>
      <c r="AE71" s="259"/>
      <c r="AF71" s="38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7"/>
      <c r="BC71" s="32"/>
    </row>
    <row r="72" spans="1:55">
      <c r="A72" s="32"/>
      <c r="B72" s="52"/>
      <c r="C72" s="52"/>
      <c r="D72" s="59"/>
      <c r="E72" s="59"/>
      <c r="F72" s="59"/>
      <c r="G72" s="59"/>
      <c r="H72" s="59"/>
      <c r="I72" s="59"/>
      <c r="J72" s="59"/>
      <c r="K72" s="59"/>
      <c r="L72" s="59"/>
      <c r="M72" s="53"/>
      <c r="N72" s="53"/>
      <c r="O72" s="53"/>
      <c r="P72" s="53"/>
      <c r="Q72" s="53"/>
      <c r="R72" s="53"/>
      <c r="S72" s="53"/>
      <c r="T72" s="53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2"/>
    </row>
    <row r="73" spans="1:55">
      <c r="A73" s="32"/>
      <c r="B73" s="270" t="s">
        <v>51</v>
      </c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270"/>
      <c r="AI73" s="270"/>
      <c r="AJ73" s="270"/>
      <c r="AK73" s="270"/>
      <c r="AL73" s="270"/>
      <c r="AM73" s="270"/>
      <c r="AN73" s="270"/>
      <c r="AO73" s="270"/>
      <c r="AP73" s="270"/>
      <c r="AQ73" s="270"/>
      <c r="AR73" s="270"/>
      <c r="AS73" s="270"/>
      <c r="AT73" s="270"/>
      <c r="AU73" s="270"/>
      <c r="AV73" s="270"/>
      <c r="AW73" s="270"/>
      <c r="AX73" s="270"/>
      <c r="AY73" s="270"/>
      <c r="AZ73" s="270"/>
      <c r="BA73" s="270"/>
      <c r="BB73" s="270"/>
      <c r="BC73" s="32"/>
    </row>
    <row r="74" spans="1:55">
      <c r="A74" s="32"/>
      <c r="B74" s="270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V74" s="270"/>
      <c r="W74" s="270"/>
      <c r="X74" s="270"/>
      <c r="Y74" s="270"/>
      <c r="Z74" s="270"/>
      <c r="AA74" s="270"/>
      <c r="AB74" s="270"/>
      <c r="AC74" s="270"/>
      <c r="AD74" s="270"/>
      <c r="AE74" s="270"/>
      <c r="AF74" s="270"/>
      <c r="AG74" s="270"/>
      <c r="AH74" s="270"/>
      <c r="AI74" s="270"/>
      <c r="AJ74" s="270"/>
      <c r="AK74" s="270"/>
      <c r="AL74" s="270"/>
      <c r="AM74" s="270"/>
      <c r="AN74" s="270"/>
      <c r="AO74" s="270"/>
      <c r="AP74" s="270"/>
      <c r="AQ74" s="270"/>
      <c r="AR74" s="270"/>
      <c r="AS74" s="270"/>
      <c r="AT74" s="270"/>
      <c r="AU74" s="270"/>
      <c r="AV74" s="270"/>
      <c r="AW74" s="270"/>
      <c r="AX74" s="270"/>
      <c r="AY74" s="270"/>
      <c r="AZ74" s="270"/>
      <c r="BA74" s="270"/>
      <c r="BB74" s="270"/>
      <c r="BC74" s="32"/>
    </row>
    <row r="75" spans="1:55">
      <c r="A75" s="32"/>
      <c r="B75" s="31" t="s">
        <v>29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</row>
    <row r="76" spans="1:55">
      <c r="A76" s="32"/>
      <c r="B76" s="265" t="s">
        <v>17</v>
      </c>
      <c r="C76" s="266"/>
      <c r="D76" s="267" t="s">
        <v>28</v>
      </c>
      <c r="E76" s="268"/>
      <c r="F76" s="268"/>
      <c r="G76" s="268"/>
      <c r="H76" s="268"/>
      <c r="I76" s="269"/>
      <c r="J76" s="267" t="s">
        <v>27</v>
      </c>
      <c r="K76" s="268"/>
      <c r="L76" s="268"/>
      <c r="M76" s="268"/>
      <c r="N76" s="268"/>
      <c r="O76" s="269"/>
      <c r="P76" s="267" t="s">
        <v>32</v>
      </c>
      <c r="Q76" s="268"/>
      <c r="R76" s="268"/>
      <c r="S76" s="268"/>
      <c r="T76" s="268"/>
      <c r="U76" s="269"/>
      <c r="V76" s="267" t="s">
        <v>26</v>
      </c>
      <c r="W76" s="269"/>
      <c r="X76" s="267" t="s">
        <v>25</v>
      </c>
      <c r="Y76" s="268"/>
      <c r="Z76" s="269"/>
      <c r="AA76" s="267" t="s">
        <v>24</v>
      </c>
      <c r="AB76" s="268"/>
      <c r="AC76" s="269"/>
      <c r="AD76" s="267" t="s">
        <v>23</v>
      </c>
      <c r="AE76" s="268"/>
      <c r="AF76" s="269"/>
      <c r="AG76" s="267" t="s">
        <v>33</v>
      </c>
      <c r="AH76" s="269"/>
      <c r="AI76" s="267" t="s">
        <v>22</v>
      </c>
      <c r="AJ76" s="268"/>
      <c r="AK76" s="268"/>
      <c r="AL76" s="268"/>
      <c r="AM76" s="268"/>
      <c r="AN76" s="268"/>
      <c r="AO76" s="268"/>
      <c r="AP76" s="269"/>
      <c r="AQ76" s="271" t="s">
        <v>18</v>
      </c>
      <c r="AR76" s="272"/>
      <c r="AS76" s="272"/>
      <c r="AT76" s="272"/>
      <c r="AU76" s="272"/>
      <c r="AV76" s="272"/>
      <c r="AW76" s="272"/>
      <c r="AX76" s="272"/>
      <c r="AY76" s="272"/>
      <c r="AZ76" s="272"/>
      <c r="BA76" s="272"/>
      <c r="BB76" s="273"/>
      <c r="BC76" s="32"/>
    </row>
    <row r="77" spans="1:55">
      <c r="A77" s="32"/>
      <c r="B77" s="246">
        <v>1</v>
      </c>
      <c r="C77" s="247"/>
      <c r="D77" s="251" t="s">
        <v>59</v>
      </c>
      <c r="E77" s="252"/>
      <c r="F77" s="252"/>
      <c r="G77" s="252"/>
      <c r="H77" s="252"/>
      <c r="I77" s="253"/>
      <c r="J77" s="251" t="s">
        <v>31</v>
      </c>
      <c r="K77" s="252"/>
      <c r="L77" s="252"/>
      <c r="M77" s="252"/>
      <c r="N77" s="252"/>
      <c r="O77" s="253"/>
      <c r="P77" s="251" t="s">
        <v>60</v>
      </c>
      <c r="Q77" s="252"/>
      <c r="R77" s="252"/>
      <c r="S77" s="252"/>
      <c r="T77" s="252"/>
      <c r="U77" s="253"/>
      <c r="V77" s="246" t="s">
        <v>31</v>
      </c>
      <c r="W77" s="247"/>
      <c r="X77" s="246" t="s">
        <v>38</v>
      </c>
      <c r="Y77" s="278"/>
      <c r="Z77" s="247"/>
      <c r="AA77" s="246" t="s">
        <v>31</v>
      </c>
      <c r="AB77" s="278"/>
      <c r="AC77" s="247"/>
      <c r="AD77" s="246" t="s">
        <v>31</v>
      </c>
      <c r="AE77" s="278"/>
      <c r="AF77" s="247"/>
      <c r="AG77" s="246" t="s">
        <v>31</v>
      </c>
      <c r="AH77" s="247"/>
      <c r="AI77" s="243" t="s">
        <v>31</v>
      </c>
      <c r="AJ77" s="244"/>
      <c r="AK77" s="244"/>
      <c r="AL77" s="244"/>
      <c r="AM77" s="244"/>
      <c r="AN77" s="244"/>
      <c r="AO77" s="244"/>
      <c r="AP77" s="245"/>
      <c r="AQ77" s="68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5"/>
      <c r="BC77" s="32"/>
    </row>
    <row r="78" spans="1:55">
      <c r="A78" s="32"/>
      <c r="B78" s="56"/>
      <c r="C78" s="56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32"/>
    </row>
    <row r="79" spans="1:55">
      <c r="A79" s="32"/>
      <c r="B79" s="69" t="s">
        <v>36</v>
      </c>
      <c r="T79" s="57"/>
      <c r="U79" s="57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32"/>
    </row>
    <row r="80" spans="1:55">
      <c r="A80" s="32"/>
      <c r="B80" s="70" t="s">
        <v>61</v>
      </c>
      <c r="T80" s="57"/>
      <c r="U80" s="57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32"/>
    </row>
    <row r="81" spans="1:55">
      <c r="A81" s="32"/>
      <c r="B81" s="59" t="s">
        <v>62</v>
      </c>
      <c r="C81" s="56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32"/>
    </row>
    <row r="82" spans="1:55">
      <c r="A82" s="32"/>
      <c r="B82" s="56"/>
      <c r="C82" s="56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32"/>
    </row>
    <row r="83" spans="1:55">
      <c r="A83" s="32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</row>
    <row r="84" spans="1:55">
      <c r="A84" s="32"/>
      <c r="B84" s="270" t="s">
        <v>52</v>
      </c>
      <c r="C84" s="270"/>
      <c r="D84" s="270"/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  <c r="AA84" s="270"/>
      <c r="AB84" s="270"/>
      <c r="AC84" s="270"/>
      <c r="AD84" s="270"/>
      <c r="AE84" s="270"/>
      <c r="AF84" s="270"/>
      <c r="AG84" s="270"/>
      <c r="AH84" s="270"/>
      <c r="AI84" s="270"/>
      <c r="AJ84" s="270"/>
      <c r="AK84" s="270"/>
      <c r="AL84" s="270"/>
      <c r="AM84" s="270"/>
      <c r="AN84" s="270"/>
      <c r="AO84" s="270"/>
      <c r="AP84" s="270"/>
      <c r="AQ84" s="270"/>
      <c r="AR84" s="270"/>
      <c r="AS84" s="270"/>
      <c r="AT84" s="270"/>
      <c r="AU84" s="270"/>
      <c r="AV84" s="270"/>
      <c r="AW84" s="270"/>
      <c r="AX84" s="270"/>
      <c r="AY84" s="270"/>
      <c r="AZ84" s="270"/>
      <c r="BA84" s="270"/>
      <c r="BB84" s="270"/>
      <c r="BC84" s="32"/>
    </row>
    <row r="85" spans="1:55">
      <c r="A85" s="32"/>
      <c r="B85" s="270"/>
      <c r="C85" s="270"/>
      <c r="D85" s="270"/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  <c r="AA85" s="270"/>
      <c r="AB85" s="270"/>
      <c r="AC85" s="270"/>
      <c r="AD85" s="270"/>
      <c r="AE85" s="270"/>
      <c r="AF85" s="270"/>
      <c r="AG85" s="270"/>
      <c r="AH85" s="270"/>
      <c r="AI85" s="270"/>
      <c r="AJ85" s="270"/>
      <c r="AK85" s="270"/>
      <c r="AL85" s="270"/>
      <c r="AM85" s="270"/>
      <c r="AN85" s="270"/>
      <c r="AO85" s="270"/>
      <c r="AP85" s="270"/>
      <c r="AQ85" s="270"/>
      <c r="AR85" s="270"/>
      <c r="AS85" s="270"/>
      <c r="AT85" s="270"/>
      <c r="AU85" s="270"/>
      <c r="AV85" s="270"/>
      <c r="AW85" s="270"/>
      <c r="AX85" s="270"/>
      <c r="AY85" s="270"/>
      <c r="AZ85" s="270"/>
      <c r="BA85" s="270"/>
      <c r="BB85" s="270"/>
      <c r="BC85" s="32"/>
    </row>
    <row r="86" spans="1:55">
      <c r="A86" s="32"/>
      <c r="B86" s="31" t="s">
        <v>29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</row>
    <row r="87" spans="1:55">
      <c r="A87" s="32"/>
      <c r="B87" s="265" t="s">
        <v>17</v>
      </c>
      <c r="C87" s="266"/>
      <c r="D87" s="267" t="s">
        <v>28</v>
      </c>
      <c r="E87" s="268"/>
      <c r="F87" s="268"/>
      <c r="G87" s="268"/>
      <c r="H87" s="268"/>
      <c r="I87" s="269"/>
      <c r="J87" s="267" t="s">
        <v>27</v>
      </c>
      <c r="K87" s="268"/>
      <c r="L87" s="268"/>
      <c r="M87" s="268"/>
      <c r="N87" s="268"/>
      <c r="O87" s="269"/>
      <c r="P87" s="267" t="s">
        <v>32</v>
      </c>
      <c r="Q87" s="268"/>
      <c r="R87" s="268"/>
      <c r="S87" s="268"/>
      <c r="T87" s="268"/>
      <c r="U87" s="269"/>
      <c r="V87" s="267" t="s">
        <v>26</v>
      </c>
      <c r="W87" s="269"/>
      <c r="X87" s="267" t="s">
        <v>25</v>
      </c>
      <c r="Y87" s="268"/>
      <c r="Z87" s="269"/>
      <c r="AA87" s="267" t="s">
        <v>24</v>
      </c>
      <c r="AB87" s="268"/>
      <c r="AC87" s="269"/>
      <c r="AD87" s="267" t="s">
        <v>23</v>
      </c>
      <c r="AE87" s="268"/>
      <c r="AF87" s="269"/>
      <c r="AG87" s="267" t="s">
        <v>33</v>
      </c>
      <c r="AH87" s="269"/>
      <c r="AI87" s="267" t="s">
        <v>22</v>
      </c>
      <c r="AJ87" s="268"/>
      <c r="AK87" s="268"/>
      <c r="AL87" s="268"/>
      <c r="AM87" s="268"/>
      <c r="AN87" s="268"/>
      <c r="AO87" s="268"/>
      <c r="AP87" s="269"/>
      <c r="AQ87" s="271" t="s">
        <v>18</v>
      </c>
      <c r="AR87" s="272"/>
      <c r="AS87" s="272"/>
      <c r="AT87" s="272"/>
      <c r="AU87" s="272"/>
      <c r="AV87" s="272"/>
      <c r="AW87" s="272"/>
      <c r="AX87" s="272"/>
      <c r="AY87" s="272"/>
      <c r="AZ87" s="272"/>
      <c r="BA87" s="272"/>
      <c r="BB87" s="273"/>
      <c r="BC87" s="32"/>
    </row>
    <row r="88" spans="1:55">
      <c r="A88" s="32"/>
      <c r="B88" s="246">
        <v>1</v>
      </c>
      <c r="C88" s="247"/>
      <c r="D88" s="251" t="s">
        <v>63</v>
      </c>
      <c r="E88" s="252"/>
      <c r="F88" s="252"/>
      <c r="G88" s="252"/>
      <c r="H88" s="252"/>
      <c r="I88" s="253"/>
      <c r="J88" s="251" t="s">
        <v>31</v>
      </c>
      <c r="K88" s="252"/>
      <c r="L88" s="252"/>
      <c r="M88" s="252"/>
      <c r="N88" s="252"/>
      <c r="O88" s="253"/>
      <c r="P88" s="251" t="s">
        <v>60</v>
      </c>
      <c r="Q88" s="252"/>
      <c r="R88" s="252"/>
      <c r="S88" s="252"/>
      <c r="T88" s="252"/>
      <c r="U88" s="253"/>
      <c r="V88" s="246" t="s">
        <v>31</v>
      </c>
      <c r="W88" s="247"/>
      <c r="X88" s="246" t="s">
        <v>31</v>
      </c>
      <c r="Y88" s="278"/>
      <c r="Z88" s="247"/>
      <c r="AA88" s="246" t="s">
        <v>31</v>
      </c>
      <c r="AB88" s="278"/>
      <c r="AC88" s="247"/>
      <c r="AD88" s="246" t="s">
        <v>31</v>
      </c>
      <c r="AE88" s="278"/>
      <c r="AF88" s="247"/>
      <c r="AG88" s="246" t="s">
        <v>31</v>
      </c>
      <c r="AH88" s="247"/>
      <c r="AI88" s="243" t="s">
        <v>31</v>
      </c>
      <c r="AJ88" s="244"/>
      <c r="AK88" s="244"/>
      <c r="AL88" s="244"/>
      <c r="AM88" s="244"/>
      <c r="AN88" s="244"/>
      <c r="AO88" s="244"/>
      <c r="AP88" s="245"/>
      <c r="AQ88" s="68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5"/>
      <c r="BC88" s="32"/>
    </row>
    <row r="89" spans="1:55">
      <c r="A89" s="32"/>
      <c r="B89" s="52"/>
      <c r="C89" s="52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3"/>
      <c r="AJ89" s="53"/>
      <c r="AK89" s="53"/>
      <c r="AL89" s="53"/>
      <c r="AM89" s="53"/>
      <c r="AN89" s="53"/>
      <c r="AO89" s="53"/>
      <c r="AP89" s="53"/>
      <c r="AQ89" s="60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2"/>
      <c r="BC89" s="32"/>
    </row>
    <row r="90" spans="1:55">
      <c r="A90" s="32"/>
      <c r="B90" s="69" t="s">
        <v>36</v>
      </c>
      <c r="C90" s="52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3"/>
      <c r="AJ90" s="53"/>
      <c r="AK90" s="53"/>
      <c r="AL90" s="53"/>
      <c r="AM90" s="53"/>
      <c r="AN90" s="53"/>
      <c r="AO90" s="53"/>
      <c r="AP90" s="53"/>
      <c r="AQ90" s="60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2"/>
      <c r="BC90" s="32"/>
    </row>
    <row r="91" spans="1:55">
      <c r="A91" s="32"/>
      <c r="B91" s="70" t="s">
        <v>64</v>
      </c>
      <c r="C91" s="52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3"/>
      <c r="AJ91" s="53"/>
      <c r="AK91" s="53"/>
      <c r="AL91" s="53"/>
      <c r="AM91" s="53"/>
      <c r="AN91" s="53"/>
      <c r="AO91" s="53"/>
      <c r="AP91" s="53"/>
      <c r="AQ91" s="60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2"/>
      <c r="BC91" s="32"/>
    </row>
    <row r="92" spans="1:5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</row>
    <row r="93" spans="1:55">
      <c r="A93" s="32"/>
      <c r="B93" s="52"/>
      <c r="C93" s="52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</row>
    <row r="94" spans="1:55">
      <c r="B94" s="270" t="s">
        <v>53</v>
      </c>
      <c r="C94" s="270"/>
      <c r="D94" s="270"/>
      <c r="E94" s="270"/>
      <c r="F94" s="270"/>
      <c r="G94" s="270"/>
      <c r="H94" s="270"/>
      <c r="I94" s="270"/>
      <c r="J94" s="270"/>
      <c r="K94" s="270"/>
      <c r="L94" s="270"/>
      <c r="M94" s="270"/>
      <c r="N94" s="270"/>
      <c r="O94" s="270"/>
      <c r="P94" s="270"/>
      <c r="Q94" s="270"/>
      <c r="R94" s="270"/>
      <c r="S94" s="270"/>
      <c r="T94" s="270"/>
      <c r="U94" s="270"/>
      <c r="V94" s="270"/>
      <c r="W94" s="270"/>
      <c r="X94" s="270"/>
      <c r="Y94" s="270"/>
      <c r="Z94" s="270"/>
      <c r="AA94" s="270"/>
      <c r="AB94" s="270"/>
      <c r="AC94" s="270"/>
      <c r="AD94" s="270"/>
      <c r="AE94" s="270"/>
      <c r="AF94" s="270"/>
      <c r="AG94" s="270"/>
      <c r="AH94" s="270"/>
      <c r="AI94" s="270"/>
      <c r="AJ94" s="270"/>
      <c r="AK94" s="270"/>
      <c r="AL94" s="270"/>
      <c r="AM94" s="270"/>
      <c r="AN94" s="270"/>
      <c r="AO94" s="270"/>
      <c r="AP94" s="270"/>
      <c r="AQ94" s="270"/>
      <c r="AR94" s="270"/>
      <c r="AS94" s="270"/>
      <c r="AT94" s="270"/>
      <c r="AU94" s="270"/>
      <c r="AV94" s="270"/>
      <c r="AW94" s="270"/>
      <c r="AX94" s="270"/>
      <c r="AY94" s="270"/>
      <c r="AZ94" s="270"/>
      <c r="BA94" s="270"/>
      <c r="BB94" s="270"/>
    </row>
    <row r="95" spans="1:55">
      <c r="B95" s="270"/>
      <c r="C95" s="270"/>
      <c r="D95" s="270"/>
      <c r="E95" s="270"/>
      <c r="F95" s="270"/>
      <c r="G95" s="270"/>
      <c r="H95" s="270"/>
      <c r="I95" s="270"/>
      <c r="J95" s="270"/>
      <c r="K95" s="270"/>
      <c r="L95" s="270"/>
      <c r="M95" s="270"/>
      <c r="N95" s="270"/>
      <c r="O95" s="270"/>
      <c r="P95" s="270"/>
      <c r="Q95" s="270"/>
      <c r="R95" s="270"/>
      <c r="S95" s="270"/>
      <c r="T95" s="270"/>
      <c r="U95" s="270"/>
      <c r="V95" s="270"/>
      <c r="W95" s="270"/>
      <c r="X95" s="270"/>
      <c r="Y95" s="270"/>
      <c r="Z95" s="270"/>
      <c r="AA95" s="270"/>
      <c r="AB95" s="270"/>
      <c r="AC95" s="270"/>
      <c r="AD95" s="270"/>
      <c r="AE95" s="270"/>
      <c r="AF95" s="270"/>
      <c r="AG95" s="270"/>
      <c r="AH95" s="270"/>
      <c r="AI95" s="270"/>
      <c r="AJ95" s="270"/>
      <c r="AK95" s="270"/>
      <c r="AL95" s="270"/>
      <c r="AM95" s="270"/>
      <c r="AN95" s="270"/>
      <c r="AO95" s="270"/>
      <c r="AP95" s="270"/>
      <c r="AQ95" s="270"/>
      <c r="AR95" s="270"/>
      <c r="AS95" s="270"/>
      <c r="AT95" s="270"/>
      <c r="AU95" s="270"/>
      <c r="AV95" s="270"/>
      <c r="AW95" s="270"/>
      <c r="AX95" s="270"/>
      <c r="AY95" s="270"/>
      <c r="AZ95" s="270"/>
      <c r="BA95" s="270"/>
      <c r="BB95" s="270"/>
    </row>
    <row r="96" spans="1:55">
      <c r="B96" s="31" t="s">
        <v>29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</row>
    <row r="97" spans="1:54">
      <c r="B97" s="265" t="s">
        <v>17</v>
      </c>
      <c r="C97" s="266"/>
      <c r="D97" s="267" t="s">
        <v>28</v>
      </c>
      <c r="E97" s="268"/>
      <c r="F97" s="268"/>
      <c r="G97" s="268"/>
      <c r="H97" s="268"/>
      <c r="I97" s="269"/>
      <c r="J97" s="267" t="s">
        <v>27</v>
      </c>
      <c r="K97" s="268"/>
      <c r="L97" s="268"/>
      <c r="M97" s="268"/>
      <c r="N97" s="268"/>
      <c r="O97" s="269"/>
      <c r="P97" s="267" t="s">
        <v>32</v>
      </c>
      <c r="Q97" s="268"/>
      <c r="R97" s="268"/>
      <c r="S97" s="268"/>
      <c r="T97" s="268"/>
      <c r="U97" s="269"/>
      <c r="V97" s="267" t="s">
        <v>26</v>
      </c>
      <c r="W97" s="269"/>
      <c r="X97" s="267" t="s">
        <v>25</v>
      </c>
      <c r="Y97" s="268"/>
      <c r="Z97" s="269"/>
      <c r="AA97" s="267" t="s">
        <v>24</v>
      </c>
      <c r="AB97" s="268"/>
      <c r="AC97" s="269"/>
      <c r="AD97" s="267" t="s">
        <v>23</v>
      </c>
      <c r="AE97" s="268"/>
      <c r="AF97" s="269"/>
      <c r="AG97" s="267" t="s">
        <v>33</v>
      </c>
      <c r="AH97" s="269"/>
      <c r="AI97" s="267" t="s">
        <v>22</v>
      </c>
      <c r="AJ97" s="268"/>
      <c r="AK97" s="268"/>
      <c r="AL97" s="268"/>
      <c r="AM97" s="268"/>
      <c r="AN97" s="268"/>
      <c r="AO97" s="268"/>
      <c r="AP97" s="269"/>
      <c r="AQ97" s="271" t="s">
        <v>18</v>
      </c>
      <c r="AR97" s="272"/>
      <c r="AS97" s="272"/>
      <c r="AT97" s="272"/>
      <c r="AU97" s="272"/>
      <c r="AV97" s="272"/>
      <c r="AW97" s="272"/>
      <c r="AX97" s="272"/>
      <c r="AY97" s="272"/>
      <c r="AZ97" s="272"/>
      <c r="BA97" s="272"/>
      <c r="BB97" s="273"/>
    </row>
    <row r="98" spans="1:54">
      <c r="B98" s="246">
        <v>1</v>
      </c>
      <c r="C98" s="247"/>
      <c r="D98" s="248" t="s">
        <v>65</v>
      </c>
      <c r="E98" s="249"/>
      <c r="F98" s="249"/>
      <c r="G98" s="249"/>
      <c r="H98" s="249"/>
      <c r="I98" s="250"/>
      <c r="J98" s="251" t="s">
        <v>31</v>
      </c>
      <c r="K98" s="252"/>
      <c r="L98" s="252"/>
      <c r="M98" s="252"/>
      <c r="N98" s="252"/>
      <c r="O98" s="253"/>
      <c r="P98" s="251" t="s">
        <v>39</v>
      </c>
      <c r="Q98" s="252"/>
      <c r="R98" s="252"/>
      <c r="S98" s="252"/>
      <c r="T98" s="252"/>
      <c r="U98" s="253"/>
      <c r="V98" s="246" t="s">
        <v>31</v>
      </c>
      <c r="W98" s="247"/>
      <c r="X98" s="254" t="s">
        <v>31</v>
      </c>
      <c r="Y98" s="255"/>
      <c r="Z98" s="256"/>
      <c r="AA98" s="254" t="s">
        <v>31</v>
      </c>
      <c r="AB98" s="255"/>
      <c r="AC98" s="256"/>
      <c r="AD98" s="254" t="s">
        <v>31</v>
      </c>
      <c r="AE98" s="255"/>
      <c r="AF98" s="256"/>
      <c r="AG98" s="254" t="s">
        <v>31</v>
      </c>
      <c r="AH98" s="256"/>
      <c r="AI98" s="243" t="s">
        <v>82</v>
      </c>
      <c r="AJ98" s="244"/>
      <c r="AK98" s="244"/>
      <c r="AL98" s="244"/>
      <c r="AM98" s="244"/>
      <c r="AN98" s="244"/>
      <c r="AO98" s="244"/>
      <c r="AP98" s="245"/>
      <c r="AQ98" s="40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2"/>
    </row>
    <row r="99" spans="1:54">
      <c r="B99" s="246">
        <v>2</v>
      </c>
      <c r="C99" s="247"/>
      <c r="D99" s="248" t="s">
        <v>104</v>
      </c>
      <c r="E99" s="249"/>
      <c r="F99" s="249"/>
      <c r="G99" s="249"/>
      <c r="H99" s="249"/>
      <c r="I99" s="250"/>
      <c r="J99" s="251" t="s">
        <v>105</v>
      </c>
      <c r="K99" s="252"/>
      <c r="L99" s="252"/>
      <c r="M99" s="252"/>
      <c r="N99" s="252"/>
      <c r="O99" s="253"/>
      <c r="P99" s="251" t="s">
        <v>85</v>
      </c>
      <c r="Q99" s="252"/>
      <c r="R99" s="252"/>
      <c r="S99" s="252"/>
      <c r="T99" s="252"/>
      <c r="U99" s="253"/>
      <c r="V99" s="246" t="s">
        <v>86</v>
      </c>
      <c r="W99" s="247"/>
      <c r="X99" s="254" t="s">
        <v>31</v>
      </c>
      <c r="Y99" s="255"/>
      <c r="Z99" s="256"/>
      <c r="AA99" s="254" t="s">
        <v>31</v>
      </c>
      <c r="AB99" s="255"/>
      <c r="AC99" s="256"/>
      <c r="AD99" s="254" t="s">
        <v>31</v>
      </c>
      <c r="AE99" s="255"/>
      <c r="AF99" s="256"/>
      <c r="AG99" s="254" t="s">
        <v>31</v>
      </c>
      <c r="AH99" s="256"/>
      <c r="AI99" s="243"/>
      <c r="AJ99" s="244"/>
      <c r="AK99" s="244"/>
      <c r="AL99" s="244"/>
      <c r="AM99" s="244"/>
      <c r="AN99" s="244"/>
      <c r="AO99" s="244"/>
      <c r="AP99" s="245"/>
      <c r="AQ99" s="74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6"/>
    </row>
    <row r="100" spans="1:54">
      <c r="B100" s="246">
        <v>3</v>
      </c>
      <c r="C100" s="247"/>
      <c r="D100" s="248" t="s">
        <v>84</v>
      </c>
      <c r="E100" s="249"/>
      <c r="F100" s="249"/>
      <c r="G100" s="249"/>
      <c r="H100" s="249"/>
      <c r="I100" s="250"/>
      <c r="J100" s="251" t="s">
        <v>87</v>
      </c>
      <c r="K100" s="252"/>
      <c r="L100" s="252"/>
      <c r="M100" s="252"/>
      <c r="N100" s="252"/>
      <c r="O100" s="253"/>
      <c r="P100" s="251" t="s">
        <v>85</v>
      </c>
      <c r="Q100" s="252"/>
      <c r="R100" s="252"/>
      <c r="S100" s="252"/>
      <c r="T100" s="252"/>
      <c r="U100" s="253"/>
      <c r="V100" s="246" t="s">
        <v>86</v>
      </c>
      <c r="W100" s="247"/>
      <c r="X100" s="254" t="s">
        <v>31</v>
      </c>
      <c r="Y100" s="255"/>
      <c r="Z100" s="256"/>
      <c r="AA100" s="254" t="s">
        <v>31</v>
      </c>
      <c r="AB100" s="255"/>
      <c r="AC100" s="256"/>
      <c r="AD100" s="254" t="s">
        <v>31</v>
      </c>
      <c r="AE100" s="255"/>
      <c r="AF100" s="256"/>
      <c r="AG100" s="254" t="s">
        <v>31</v>
      </c>
      <c r="AH100" s="256"/>
      <c r="AI100" s="243"/>
      <c r="AJ100" s="244"/>
      <c r="AK100" s="244"/>
      <c r="AL100" s="244"/>
      <c r="AM100" s="244"/>
      <c r="AN100" s="244"/>
      <c r="AO100" s="244"/>
      <c r="AP100" s="245"/>
      <c r="AQ100" s="64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6"/>
    </row>
    <row r="101" spans="1:54">
      <c r="B101" s="246">
        <v>4</v>
      </c>
      <c r="C101" s="247"/>
      <c r="D101" s="248" t="s">
        <v>69</v>
      </c>
      <c r="E101" s="249"/>
      <c r="F101" s="249"/>
      <c r="G101" s="249"/>
      <c r="H101" s="249"/>
      <c r="I101" s="250"/>
      <c r="J101" s="251" t="s">
        <v>89</v>
      </c>
      <c r="K101" s="252"/>
      <c r="L101" s="252"/>
      <c r="M101" s="252"/>
      <c r="N101" s="252"/>
      <c r="O101" s="253"/>
      <c r="P101" s="251" t="s">
        <v>90</v>
      </c>
      <c r="Q101" s="252"/>
      <c r="R101" s="252"/>
      <c r="S101" s="252"/>
      <c r="T101" s="252"/>
      <c r="U101" s="253"/>
      <c r="V101" s="246" t="s">
        <v>86</v>
      </c>
      <c r="W101" s="247"/>
      <c r="X101" s="254" t="s">
        <v>31</v>
      </c>
      <c r="Y101" s="255"/>
      <c r="Z101" s="256"/>
      <c r="AA101" s="254" t="s">
        <v>31</v>
      </c>
      <c r="AB101" s="255"/>
      <c r="AC101" s="256"/>
      <c r="AD101" s="254" t="s">
        <v>31</v>
      </c>
      <c r="AE101" s="255"/>
      <c r="AF101" s="256"/>
      <c r="AG101" s="254" t="s">
        <v>31</v>
      </c>
      <c r="AH101" s="256"/>
      <c r="AI101" s="243"/>
      <c r="AJ101" s="244"/>
      <c r="AK101" s="244"/>
      <c r="AL101" s="244"/>
      <c r="AM101" s="244"/>
      <c r="AN101" s="244"/>
      <c r="AO101" s="244"/>
      <c r="AP101" s="245"/>
      <c r="AQ101" s="64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6"/>
    </row>
    <row r="102" spans="1:54">
      <c r="B102" s="246">
        <v>5</v>
      </c>
      <c r="C102" s="247"/>
      <c r="D102" s="248" t="s">
        <v>70</v>
      </c>
      <c r="E102" s="249"/>
      <c r="F102" s="249"/>
      <c r="G102" s="249"/>
      <c r="H102" s="249"/>
      <c r="I102" s="250"/>
      <c r="J102" s="251" t="s">
        <v>71</v>
      </c>
      <c r="K102" s="252"/>
      <c r="L102" s="252"/>
      <c r="M102" s="252"/>
      <c r="N102" s="252"/>
      <c r="O102" s="253"/>
      <c r="P102" s="251" t="s">
        <v>91</v>
      </c>
      <c r="Q102" s="252"/>
      <c r="R102" s="252"/>
      <c r="S102" s="252"/>
      <c r="T102" s="252"/>
      <c r="U102" s="253"/>
      <c r="V102" s="246" t="s">
        <v>86</v>
      </c>
      <c r="W102" s="247"/>
      <c r="X102" s="254" t="s">
        <v>31</v>
      </c>
      <c r="Y102" s="255"/>
      <c r="Z102" s="256"/>
      <c r="AA102" s="254" t="s">
        <v>31</v>
      </c>
      <c r="AB102" s="255"/>
      <c r="AC102" s="256"/>
      <c r="AD102" s="254" t="s">
        <v>31</v>
      </c>
      <c r="AE102" s="255"/>
      <c r="AF102" s="256"/>
      <c r="AG102" s="254" t="s">
        <v>31</v>
      </c>
      <c r="AH102" s="256"/>
      <c r="AI102" s="243"/>
      <c r="AJ102" s="244"/>
      <c r="AK102" s="244"/>
      <c r="AL102" s="244"/>
      <c r="AM102" s="244"/>
      <c r="AN102" s="244"/>
      <c r="AO102" s="244"/>
      <c r="AP102" s="245"/>
      <c r="AQ102" s="64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6"/>
    </row>
    <row r="103" spans="1:54">
      <c r="B103" s="246">
        <v>6</v>
      </c>
      <c r="C103" s="247"/>
      <c r="D103" s="248" t="s">
        <v>92</v>
      </c>
      <c r="E103" s="249"/>
      <c r="F103" s="249"/>
      <c r="G103" s="249"/>
      <c r="H103" s="249"/>
      <c r="I103" s="250"/>
      <c r="J103" s="251" t="s">
        <v>78</v>
      </c>
      <c r="K103" s="252"/>
      <c r="L103" s="252"/>
      <c r="M103" s="252"/>
      <c r="N103" s="252"/>
      <c r="O103" s="253"/>
      <c r="P103" s="251" t="s">
        <v>91</v>
      </c>
      <c r="Q103" s="252"/>
      <c r="R103" s="252"/>
      <c r="S103" s="252"/>
      <c r="T103" s="252"/>
      <c r="U103" s="253"/>
      <c r="V103" s="246" t="s">
        <v>86</v>
      </c>
      <c r="W103" s="247"/>
      <c r="X103" s="254" t="s">
        <v>31</v>
      </c>
      <c r="Y103" s="255"/>
      <c r="Z103" s="256"/>
      <c r="AA103" s="254" t="s">
        <v>31</v>
      </c>
      <c r="AB103" s="255"/>
      <c r="AC103" s="256"/>
      <c r="AD103" s="254" t="s">
        <v>31</v>
      </c>
      <c r="AE103" s="255"/>
      <c r="AF103" s="256"/>
      <c r="AG103" s="254" t="s">
        <v>31</v>
      </c>
      <c r="AH103" s="256"/>
      <c r="AI103" s="243"/>
      <c r="AJ103" s="244"/>
      <c r="AK103" s="244"/>
      <c r="AL103" s="244"/>
      <c r="AM103" s="244"/>
      <c r="AN103" s="244"/>
      <c r="AO103" s="244"/>
      <c r="AP103" s="245"/>
      <c r="AQ103" s="64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6"/>
    </row>
    <row r="105" spans="1:54" s="77" customFormat="1">
      <c r="A105" s="46"/>
      <c r="B105" s="69" t="s">
        <v>93</v>
      </c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</row>
    <row r="106" spans="1:54" s="77" customFormat="1">
      <c r="A106" s="46"/>
      <c r="B106" s="224" t="s">
        <v>94</v>
      </c>
      <c r="C106" s="225"/>
      <c r="D106" s="226" t="s">
        <v>28</v>
      </c>
      <c r="E106" s="227"/>
      <c r="F106" s="227"/>
      <c r="G106" s="227"/>
      <c r="H106" s="227"/>
      <c r="I106" s="228"/>
      <c r="J106" s="229" t="s">
        <v>95</v>
      </c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1"/>
      <c r="W106" s="229" t="s">
        <v>96</v>
      </c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1"/>
      <c r="AJ106" s="229" t="s">
        <v>97</v>
      </c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30"/>
      <c r="AW106" s="230"/>
      <c r="AX106" s="230"/>
      <c r="AY106" s="230"/>
      <c r="AZ106" s="230"/>
      <c r="BA106" s="230"/>
      <c r="BB106" s="231"/>
    </row>
    <row r="107" spans="1:54" s="77" customFormat="1">
      <c r="A107" s="46"/>
      <c r="B107" s="232">
        <v>1</v>
      </c>
      <c r="C107" s="233"/>
      <c r="D107" s="234" t="s">
        <v>99</v>
      </c>
      <c r="E107" s="235"/>
      <c r="F107" s="235"/>
      <c r="G107" s="235"/>
      <c r="H107" s="235"/>
      <c r="I107" s="236"/>
      <c r="J107" s="237" t="s">
        <v>100</v>
      </c>
      <c r="K107" s="238"/>
      <c r="L107" s="238"/>
      <c r="M107" s="238"/>
      <c r="N107" s="238"/>
      <c r="O107" s="238"/>
      <c r="P107" s="238"/>
      <c r="Q107" s="238"/>
      <c r="R107" s="238"/>
      <c r="S107" s="238"/>
      <c r="T107" s="238"/>
      <c r="U107" s="238"/>
      <c r="V107" s="239"/>
      <c r="W107" s="240" t="s">
        <v>98</v>
      </c>
      <c r="X107" s="241"/>
      <c r="Y107" s="241"/>
      <c r="Z107" s="241"/>
      <c r="AA107" s="241"/>
      <c r="AB107" s="241"/>
      <c r="AC107" s="241"/>
      <c r="AD107" s="241"/>
      <c r="AE107" s="241"/>
      <c r="AF107" s="241"/>
      <c r="AG107" s="241"/>
      <c r="AH107" s="241"/>
      <c r="AI107" s="242"/>
      <c r="AJ107" s="234" t="s">
        <v>101</v>
      </c>
      <c r="AK107" s="235"/>
      <c r="AL107" s="235"/>
      <c r="AM107" s="235"/>
      <c r="AN107" s="235"/>
      <c r="AO107" s="235"/>
      <c r="AP107" s="235"/>
      <c r="AQ107" s="235"/>
      <c r="AR107" s="235"/>
      <c r="AS107" s="235"/>
      <c r="AT107" s="235"/>
      <c r="AU107" s="235"/>
      <c r="AV107" s="235"/>
      <c r="AW107" s="235"/>
      <c r="AX107" s="235"/>
      <c r="AY107" s="235"/>
      <c r="AZ107" s="235"/>
      <c r="BA107" s="235"/>
      <c r="BB107" s="236"/>
    </row>
    <row r="108" spans="1:54" s="77" customFormat="1">
      <c r="A108" s="46"/>
      <c r="B108" s="78"/>
      <c r="C108" s="78"/>
      <c r="D108" s="79"/>
      <c r="E108" s="79"/>
      <c r="F108" s="79"/>
      <c r="G108" s="79"/>
      <c r="H108" s="79"/>
      <c r="I108" s="79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</row>
    <row r="110" spans="1:54">
      <c r="B110" s="71" t="s">
        <v>54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3"/>
    </row>
    <row r="111" spans="1:54">
      <c r="B111" s="274" t="s">
        <v>17</v>
      </c>
      <c r="C111" s="274"/>
      <c r="D111" s="274" t="s">
        <v>55</v>
      </c>
      <c r="E111" s="274"/>
      <c r="F111" s="274"/>
      <c r="G111" s="274"/>
      <c r="H111" s="274"/>
      <c r="I111" s="274"/>
      <c r="J111" s="274"/>
      <c r="K111" s="274"/>
      <c r="L111" s="274"/>
      <c r="M111" s="274" t="s">
        <v>56</v>
      </c>
      <c r="N111" s="274"/>
      <c r="O111" s="274"/>
      <c r="P111" s="274"/>
      <c r="Q111" s="274"/>
      <c r="R111" s="274"/>
      <c r="S111" s="274"/>
      <c r="T111" s="274"/>
      <c r="U111" s="274"/>
      <c r="V111" s="274"/>
      <c r="W111" s="274" t="s">
        <v>57</v>
      </c>
      <c r="X111" s="274"/>
      <c r="Y111" s="274"/>
      <c r="Z111" s="274"/>
      <c r="AA111" s="274"/>
      <c r="AB111" s="274"/>
      <c r="AC111" s="274"/>
      <c r="AD111" s="274"/>
      <c r="AE111" s="274"/>
      <c r="AF111" s="308" t="s">
        <v>58</v>
      </c>
      <c r="AG111" s="309"/>
      <c r="AH111" s="309"/>
      <c r="AI111" s="309"/>
      <c r="AJ111" s="309"/>
      <c r="AK111" s="309"/>
      <c r="AL111" s="309"/>
      <c r="AM111" s="309"/>
      <c r="AN111" s="309"/>
      <c r="AO111" s="309"/>
      <c r="AP111" s="309"/>
      <c r="AQ111" s="309"/>
      <c r="AR111" s="309"/>
      <c r="AS111" s="309"/>
      <c r="AT111" s="309"/>
      <c r="AU111" s="309"/>
      <c r="AV111" s="309"/>
      <c r="AW111" s="309"/>
      <c r="AX111" s="309"/>
      <c r="AY111" s="309"/>
      <c r="AZ111" s="309"/>
      <c r="BA111" s="309"/>
      <c r="BB111" s="310"/>
    </row>
    <row r="112" spans="1:54">
      <c r="B112" s="260">
        <v>1</v>
      </c>
      <c r="C112" s="260"/>
      <c r="D112" s="261" t="s">
        <v>66</v>
      </c>
      <c r="E112" s="262"/>
      <c r="F112" s="262"/>
      <c r="G112" s="262"/>
      <c r="H112" s="262"/>
      <c r="I112" s="262"/>
      <c r="J112" s="262"/>
      <c r="K112" s="262"/>
      <c r="L112" s="263"/>
      <c r="M112" s="261" t="s">
        <v>67</v>
      </c>
      <c r="N112" s="262"/>
      <c r="O112" s="262"/>
      <c r="P112" s="262"/>
      <c r="Q112" s="262"/>
      <c r="R112" s="262"/>
      <c r="S112" s="262"/>
      <c r="T112" s="262"/>
      <c r="U112" s="262"/>
      <c r="V112" s="263"/>
      <c r="W112" s="264" t="s">
        <v>68</v>
      </c>
      <c r="X112" s="264"/>
      <c r="Y112" s="264"/>
      <c r="Z112" s="264"/>
      <c r="AA112" s="264"/>
      <c r="AB112" s="264"/>
      <c r="AC112" s="264"/>
      <c r="AD112" s="264"/>
      <c r="AE112" s="264"/>
      <c r="AF112" s="275"/>
      <c r="AG112" s="276"/>
      <c r="AH112" s="276"/>
      <c r="AI112" s="276"/>
      <c r="AJ112" s="276"/>
      <c r="AK112" s="276"/>
      <c r="AL112" s="276"/>
      <c r="AM112" s="276"/>
      <c r="AN112" s="276"/>
      <c r="AO112" s="276"/>
      <c r="AP112" s="276"/>
      <c r="AQ112" s="276"/>
      <c r="AR112" s="276"/>
      <c r="AS112" s="276"/>
      <c r="AT112" s="276"/>
      <c r="AU112" s="276"/>
      <c r="AV112" s="276"/>
      <c r="AW112" s="276"/>
      <c r="AX112" s="276"/>
      <c r="AY112" s="276"/>
      <c r="AZ112" s="276"/>
      <c r="BA112" s="276"/>
      <c r="BB112" s="277"/>
    </row>
    <row r="113" spans="2:54">
      <c r="B113" s="260">
        <v>2</v>
      </c>
      <c r="C113" s="260"/>
      <c r="D113" s="261" t="s">
        <v>69</v>
      </c>
      <c r="E113" s="262"/>
      <c r="F113" s="262"/>
      <c r="G113" s="262"/>
      <c r="H113" s="262"/>
      <c r="I113" s="262"/>
      <c r="J113" s="262"/>
      <c r="K113" s="262"/>
      <c r="L113" s="263"/>
      <c r="M113" s="261" t="s">
        <v>67</v>
      </c>
      <c r="N113" s="262"/>
      <c r="O113" s="262"/>
      <c r="P113" s="262"/>
      <c r="Q113" s="262"/>
      <c r="R113" s="262"/>
      <c r="S113" s="262"/>
      <c r="T113" s="262"/>
      <c r="U113" s="262"/>
      <c r="V113" s="263"/>
      <c r="W113" s="264" t="s">
        <v>88</v>
      </c>
      <c r="X113" s="264"/>
      <c r="Y113" s="264"/>
      <c r="Z113" s="264"/>
      <c r="AA113" s="264"/>
      <c r="AB113" s="264"/>
      <c r="AC113" s="264"/>
      <c r="AD113" s="264"/>
      <c r="AE113" s="264"/>
      <c r="AF113" s="275" t="s">
        <v>81</v>
      </c>
      <c r="AG113" s="276"/>
      <c r="AH113" s="276"/>
      <c r="AI113" s="276"/>
      <c r="AJ113" s="276"/>
      <c r="AK113" s="276"/>
      <c r="AL113" s="276"/>
      <c r="AM113" s="276"/>
      <c r="AN113" s="276"/>
      <c r="AO113" s="276"/>
      <c r="AP113" s="276"/>
      <c r="AQ113" s="276"/>
      <c r="AR113" s="276"/>
      <c r="AS113" s="276"/>
      <c r="AT113" s="276"/>
      <c r="AU113" s="276"/>
      <c r="AV113" s="276"/>
      <c r="AW113" s="276"/>
      <c r="AX113" s="276"/>
      <c r="AY113" s="276"/>
      <c r="AZ113" s="276"/>
      <c r="BA113" s="276"/>
      <c r="BB113" s="277"/>
    </row>
    <row r="114" spans="2:54">
      <c r="B114" s="260">
        <v>3</v>
      </c>
      <c r="C114" s="260"/>
      <c r="D114" s="261" t="s">
        <v>70</v>
      </c>
      <c r="E114" s="262"/>
      <c r="F114" s="262"/>
      <c r="G114" s="262"/>
      <c r="H114" s="262"/>
      <c r="I114" s="262"/>
      <c r="J114" s="262"/>
      <c r="K114" s="262"/>
      <c r="L114" s="263"/>
      <c r="M114" s="261" t="s">
        <v>67</v>
      </c>
      <c r="N114" s="262"/>
      <c r="O114" s="262"/>
      <c r="P114" s="262"/>
      <c r="Q114" s="262"/>
      <c r="R114" s="262"/>
      <c r="S114" s="262"/>
      <c r="T114" s="262"/>
      <c r="U114" s="262"/>
      <c r="V114" s="263"/>
      <c r="W114" s="264" t="s">
        <v>71</v>
      </c>
      <c r="X114" s="264"/>
      <c r="Y114" s="264"/>
      <c r="Z114" s="264"/>
      <c r="AA114" s="264"/>
      <c r="AB114" s="264"/>
      <c r="AC114" s="264"/>
      <c r="AD114" s="264"/>
      <c r="AE114" s="264"/>
      <c r="AF114" s="275" t="s">
        <v>81</v>
      </c>
      <c r="AG114" s="276"/>
      <c r="AH114" s="276"/>
      <c r="AI114" s="276"/>
      <c r="AJ114" s="276"/>
      <c r="AK114" s="276"/>
      <c r="AL114" s="276"/>
      <c r="AM114" s="276"/>
      <c r="AN114" s="276"/>
      <c r="AO114" s="276"/>
      <c r="AP114" s="276"/>
      <c r="AQ114" s="276"/>
      <c r="AR114" s="276"/>
      <c r="AS114" s="276"/>
      <c r="AT114" s="276"/>
      <c r="AU114" s="276"/>
      <c r="AV114" s="276"/>
      <c r="AW114" s="276"/>
      <c r="AX114" s="276"/>
      <c r="AY114" s="276"/>
      <c r="AZ114" s="276"/>
      <c r="BA114" s="276"/>
      <c r="BB114" s="277"/>
    </row>
    <row r="115" spans="2:54">
      <c r="B115" s="260">
        <v>4</v>
      </c>
      <c r="C115" s="260"/>
      <c r="D115" s="261" t="s">
        <v>73</v>
      </c>
      <c r="E115" s="262"/>
      <c r="F115" s="262"/>
      <c r="G115" s="262"/>
      <c r="H115" s="262"/>
      <c r="I115" s="262"/>
      <c r="J115" s="262"/>
      <c r="K115" s="262"/>
      <c r="L115" s="263"/>
      <c r="M115" s="261" t="s">
        <v>72</v>
      </c>
      <c r="N115" s="262"/>
      <c r="O115" s="262"/>
      <c r="P115" s="262"/>
      <c r="Q115" s="262"/>
      <c r="R115" s="262"/>
      <c r="S115" s="262"/>
      <c r="T115" s="262"/>
      <c r="U115" s="262"/>
      <c r="V115" s="263"/>
      <c r="W115" s="264" t="s">
        <v>74</v>
      </c>
      <c r="X115" s="264"/>
      <c r="Y115" s="264"/>
      <c r="Z115" s="264"/>
      <c r="AA115" s="264"/>
      <c r="AB115" s="264"/>
      <c r="AC115" s="264"/>
      <c r="AD115" s="264"/>
      <c r="AE115" s="264"/>
      <c r="AF115" s="275"/>
      <c r="AG115" s="276"/>
      <c r="AH115" s="276"/>
      <c r="AI115" s="276"/>
      <c r="AJ115" s="276"/>
      <c r="AK115" s="276"/>
      <c r="AL115" s="276"/>
      <c r="AM115" s="276"/>
      <c r="AN115" s="276"/>
      <c r="AO115" s="276"/>
      <c r="AP115" s="276"/>
      <c r="AQ115" s="276"/>
      <c r="AR115" s="276"/>
      <c r="AS115" s="276"/>
      <c r="AT115" s="276"/>
      <c r="AU115" s="276"/>
      <c r="AV115" s="276"/>
      <c r="AW115" s="276"/>
      <c r="AX115" s="276"/>
      <c r="AY115" s="276"/>
      <c r="AZ115" s="276"/>
      <c r="BA115" s="276"/>
      <c r="BB115" s="277"/>
    </row>
    <row r="116" spans="2:54">
      <c r="B116" s="260">
        <v>5</v>
      </c>
      <c r="C116" s="260"/>
      <c r="D116" s="261" t="s">
        <v>75</v>
      </c>
      <c r="E116" s="262"/>
      <c r="F116" s="262"/>
      <c r="G116" s="262"/>
      <c r="H116" s="262"/>
      <c r="I116" s="262"/>
      <c r="J116" s="262"/>
      <c r="K116" s="262"/>
      <c r="L116" s="263"/>
      <c r="M116" s="261" t="s">
        <v>72</v>
      </c>
      <c r="N116" s="262"/>
      <c r="O116" s="262"/>
      <c r="P116" s="262"/>
      <c r="Q116" s="262"/>
      <c r="R116" s="262"/>
      <c r="S116" s="262"/>
      <c r="T116" s="262"/>
      <c r="U116" s="262"/>
      <c r="V116" s="263"/>
      <c r="W116" s="264" t="s">
        <v>76</v>
      </c>
      <c r="X116" s="264"/>
      <c r="Y116" s="264"/>
      <c r="Z116" s="264"/>
      <c r="AA116" s="264"/>
      <c r="AB116" s="264"/>
      <c r="AC116" s="264"/>
      <c r="AD116" s="264"/>
      <c r="AE116" s="264"/>
      <c r="AF116" s="275" t="s">
        <v>81</v>
      </c>
      <c r="AG116" s="276"/>
      <c r="AH116" s="276"/>
      <c r="AI116" s="276"/>
      <c r="AJ116" s="276"/>
      <c r="AK116" s="276"/>
      <c r="AL116" s="276"/>
      <c r="AM116" s="276"/>
      <c r="AN116" s="276"/>
      <c r="AO116" s="276"/>
      <c r="AP116" s="276"/>
      <c r="AQ116" s="276"/>
      <c r="AR116" s="276"/>
      <c r="AS116" s="276"/>
      <c r="AT116" s="276"/>
      <c r="AU116" s="276"/>
      <c r="AV116" s="276"/>
      <c r="AW116" s="276"/>
      <c r="AX116" s="276"/>
      <c r="AY116" s="276"/>
      <c r="AZ116" s="276"/>
      <c r="BA116" s="276"/>
      <c r="BB116" s="277"/>
    </row>
    <row r="117" spans="2:54">
      <c r="B117" s="260">
        <v>6</v>
      </c>
      <c r="C117" s="260"/>
      <c r="D117" s="261" t="s">
        <v>77</v>
      </c>
      <c r="E117" s="262"/>
      <c r="F117" s="262"/>
      <c r="G117" s="262"/>
      <c r="H117" s="262"/>
      <c r="I117" s="262"/>
      <c r="J117" s="262"/>
      <c r="K117" s="262"/>
      <c r="L117" s="263"/>
      <c r="M117" s="261" t="s">
        <v>72</v>
      </c>
      <c r="N117" s="262"/>
      <c r="O117" s="262"/>
      <c r="P117" s="262"/>
      <c r="Q117" s="262"/>
      <c r="R117" s="262"/>
      <c r="S117" s="262"/>
      <c r="T117" s="262"/>
      <c r="U117" s="262"/>
      <c r="V117" s="263"/>
      <c r="W117" s="264" t="s">
        <v>78</v>
      </c>
      <c r="X117" s="264"/>
      <c r="Y117" s="264"/>
      <c r="Z117" s="264"/>
      <c r="AA117" s="264"/>
      <c r="AB117" s="264"/>
      <c r="AC117" s="264"/>
      <c r="AD117" s="264"/>
      <c r="AE117" s="264"/>
      <c r="AF117" s="275" t="s">
        <v>81</v>
      </c>
      <c r="AG117" s="276"/>
      <c r="AH117" s="276"/>
      <c r="AI117" s="276"/>
      <c r="AJ117" s="276"/>
      <c r="AK117" s="276"/>
      <c r="AL117" s="276"/>
      <c r="AM117" s="276"/>
      <c r="AN117" s="276"/>
      <c r="AO117" s="276"/>
      <c r="AP117" s="276"/>
      <c r="AQ117" s="276"/>
      <c r="AR117" s="276"/>
      <c r="AS117" s="276"/>
      <c r="AT117" s="276"/>
      <c r="AU117" s="276"/>
      <c r="AV117" s="276"/>
      <c r="AW117" s="276"/>
      <c r="AX117" s="276"/>
      <c r="AY117" s="276"/>
      <c r="AZ117" s="276"/>
      <c r="BA117" s="276"/>
      <c r="BB117" s="277"/>
    </row>
    <row r="118" spans="2:54">
      <c r="B118" s="260">
        <v>7</v>
      </c>
      <c r="C118" s="260"/>
      <c r="D118" s="261" t="s">
        <v>79</v>
      </c>
      <c r="E118" s="262"/>
      <c r="F118" s="262"/>
      <c r="G118" s="262"/>
      <c r="H118" s="262"/>
      <c r="I118" s="262"/>
      <c r="J118" s="262"/>
      <c r="K118" s="262"/>
      <c r="L118" s="263"/>
      <c r="M118" s="261" t="s">
        <v>72</v>
      </c>
      <c r="N118" s="262"/>
      <c r="O118" s="262"/>
      <c r="P118" s="262"/>
      <c r="Q118" s="262"/>
      <c r="R118" s="262"/>
      <c r="S118" s="262"/>
      <c r="T118" s="262"/>
      <c r="U118" s="262"/>
      <c r="V118" s="263"/>
      <c r="W118" s="264" t="s">
        <v>80</v>
      </c>
      <c r="X118" s="264"/>
      <c r="Y118" s="264"/>
      <c r="Z118" s="264"/>
      <c r="AA118" s="264"/>
      <c r="AB118" s="264"/>
      <c r="AC118" s="264"/>
      <c r="AD118" s="264"/>
      <c r="AE118" s="264"/>
      <c r="AF118" s="275"/>
      <c r="AG118" s="276"/>
      <c r="AH118" s="276"/>
      <c r="AI118" s="276"/>
      <c r="AJ118" s="276"/>
      <c r="AK118" s="276"/>
      <c r="AL118" s="276"/>
      <c r="AM118" s="276"/>
      <c r="AN118" s="276"/>
      <c r="AO118" s="276"/>
      <c r="AP118" s="276"/>
      <c r="AQ118" s="276"/>
      <c r="AR118" s="276"/>
      <c r="AS118" s="276"/>
      <c r="AT118" s="276"/>
      <c r="AU118" s="276"/>
      <c r="AV118" s="276"/>
      <c r="AW118" s="276"/>
      <c r="AX118" s="276"/>
      <c r="AY118" s="276"/>
      <c r="AZ118" s="276"/>
      <c r="BA118" s="276"/>
      <c r="BB118" s="277"/>
    </row>
  </sheetData>
  <mergeCells count="214">
    <mergeCell ref="W115:AE115"/>
    <mergeCell ref="AF115:BB115"/>
    <mergeCell ref="B99:C99"/>
    <mergeCell ref="D99:I99"/>
    <mergeCell ref="J99:O99"/>
    <mergeCell ref="P99:U99"/>
    <mergeCell ref="V99:W99"/>
    <mergeCell ref="X99:Z99"/>
    <mergeCell ref="AA99:AC99"/>
    <mergeCell ref="AD99:AF99"/>
    <mergeCell ref="AG99:AH99"/>
    <mergeCell ref="AI99:AP99"/>
    <mergeCell ref="AF111:BB111"/>
    <mergeCell ref="D112:L112"/>
    <mergeCell ref="M112:V112"/>
    <mergeCell ref="W112:AE112"/>
    <mergeCell ref="B102:C102"/>
    <mergeCell ref="B103:C103"/>
    <mergeCell ref="D103:I103"/>
    <mergeCell ref="J103:O103"/>
    <mergeCell ref="P103:U103"/>
    <mergeCell ref="V103:W103"/>
    <mergeCell ref="X103:Z103"/>
    <mergeCell ref="M118:V118"/>
    <mergeCell ref="W118:AE118"/>
    <mergeCell ref="AF118:BB118"/>
    <mergeCell ref="B118:C118"/>
    <mergeCell ref="B117:C117"/>
    <mergeCell ref="B113:C113"/>
    <mergeCell ref="B112:C112"/>
    <mergeCell ref="AF112:BB112"/>
    <mergeCell ref="D113:L113"/>
    <mergeCell ref="M113:V113"/>
    <mergeCell ref="W113:AE113"/>
    <mergeCell ref="AF113:BB113"/>
    <mergeCell ref="B116:C116"/>
    <mergeCell ref="D116:L116"/>
    <mergeCell ref="M116:V116"/>
    <mergeCell ref="W116:AE116"/>
    <mergeCell ref="AF116:BB116"/>
    <mergeCell ref="D117:L117"/>
    <mergeCell ref="M117:V117"/>
    <mergeCell ref="W117:AE117"/>
    <mergeCell ref="AF117:BB117"/>
    <mergeCell ref="D114:L114"/>
    <mergeCell ref="M114:V114"/>
    <mergeCell ref="B115:C115"/>
    <mergeCell ref="B88:C88"/>
    <mergeCell ref="D88:I88"/>
    <mergeCell ref="J88:O88"/>
    <mergeCell ref="P88:U88"/>
    <mergeCell ref="V88:W88"/>
    <mergeCell ref="X88:Z88"/>
    <mergeCell ref="AA88:AC88"/>
    <mergeCell ref="AD88:AF88"/>
    <mergeCell ref="B114:C114"/>
    <mergeCell ref="B111:C111"/>
    <mergeCell ref="D111:L111"/>
    <mergeCell ref="J98:O98"/>
    <mergeCell ref="P98:U98"/>
    <mergeCell ref="V98:W98"/>
    <mergeCell ref="X98:Z98"/>
    <mergeCell ref="AA98:AC98"/>
    <mergeCell ref="AD98:AF98"/>
    <mergeCell ref="B98:C98"/>
    <mergeCell ref="AD97:AF97"/>
    <mergeCell ref="W114:AE114"/>
    <mergeCell ref="AF114:BB114"/>
    <mergeCell ref="D115:L115"/>
    <mergeCell ref="M115:V115"/>
    <mergeCell ref="B94:BB95"/>
    <mergeCell ref="B97:C97"/>
    <mergeCell ref="D97:I97"/>
    <mergeCell ref="J97:O97"/>
    <mergeCell ref="P97:U97"/>
    <mergeCell ref="V97:W97"/>
    <mergeCell ref="X97:Z97"/>
    <mergeCell ref="AA97:AC97"/>
    <mergeCell ref="D98:I98"/>
    <mergeCell ref="AI97:AP97"/>
    <mergeCell ref="AQ97:BB97"/>
    <mergeCell ref="AI98:AP98"/>
    <mergeCell ref="AG98:AH98"/>
    <mergeCell ref="AG97:AH97"/>
    <mergeCell ref="B68:C68"/>
    <mergeCell ref="B71:C71"/>
    <mergeCell ref="D71:L71"/>
    <mergeCell ref="M71:V71"/>
    <mergeCell ref="W71:AE71"/>
    <mergeCell ref="W64:AE64"/>
    <mergeCell ref="D61:L62"/>
    <mergeCell ref="M61:AE61"/>
    <mergeCell ref="M62:V62"/>
    <mergeCell ref="W62:AE62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F61:BB62"/>
    <mergeCell ref="B70:C70"/>
    <mergeCell ref="D70:L70"/>
    <mergeCell ref="M70:V70"/>
    <mergeCell ref="W70:AE70"/>
    <mergeCell ref="D68:L68"/>
    <mergeCell ref="M68:V68"/>
    <mergeCell ref="W68:AE68"/>
    <mergeCell ref="B69:C69"/>
    <mergeCell ref="D69:L69"/>
    <mergeCell ref="D65:L65"/>
    <mergeCell ref="M65:V65"/>
    <mergeCell ref="W65:AE65"/>
    <mergeCell ref="B61:C62"/>
    <mergeCell ref="B67:C67"/>
    <mergeCell ref="D67:L67"/>
    <mergeCell ref="M67:V67"/>
    <mergeCell ref="W67:AE67"/>
    <mergeCell ref="M69:V69"/>
    <mergeCell ref="W69:AE69"/>
    <mergeCell ref="B65:C65"/>
    <mergeCell ref="B64:C64"/>
    <mergeCell ref="D64:L64"/>
    <mergeCell ref="M64:V64"/>
    <mergeCell ref="AG76:AH76"/>
    <mergeCell ref="AI76:AP76"/>
    <mergeCell ref="X76:Z76"/>
    <mergeCell ref="AA77:AC77"/>
    <mergeCell ref="AD77:AF77"/>
    <mergeCell ref="AA76:AC76"/>
    <mergeCell ref="AG77:AH77"/>
    <mergeCell ref="AI77:AP77"/>
    <mergeCell ref="AD76:AF76"/>
    <mergeCell ref="X77:Z77"/>
    <mergeCell ref="AQ76:BB76"/>
    <mergeCell ref="AG88:AH88"/>
    <mergeCell ref="B84:BB85"/>
    <mergeCell ref="B87:C87"/>
    <mergeCell ref="D87:I87"/>
    <mergeCell ref="J87:O87"/>
    <mergeCell ref="P87:U87"/>
    <mergeCell ref="V87:W87"/>
    <mergeCell ref="X87:Z87"/>
    <mergeCell ref="AA87:AC87"/>
    <mergeCell ref="AD87:AF87"/>
    <mergeCell ref="AG87:AH87"/>
    <mergeCell ref="AI87:AP87"/>
    <mergeCell ref="D118:L118"/>
    <mergeCell ref="B76:C76"/>
    <mergeCell ref="D76:I76"/>
    <mergeCell ref="J76:O76"/>
    <mergeCell ref="P76:U76"/>
    <mergeCell ref="B77:C77"/>
    <mergeCell ref="D77:I77"/>
    <mergeCell ref="J77:O77"/>
    <mergeCell ref="P77:U77"/>
    <mergeCell ref="V77:W77"/>
    <mergeCell ref="V76:W76"/>
    <mergeCell ref="B73:BB74"/>
    <mergeCell ref="AQ87:BB87"/>
    <mergeCell ref="AI88:AP88"/>
    <mergeCell ref="M111:V111"/>
    <mergeCell ref="W111:AE111"/>
    <mergeCell ref="AA103:AC103"/>
    <mergeCell ref="AD103:AF103"/>
    <mergeCell ref="AG103:AH103"/>
    <mergeCell ref="AI103:AP103"/>
    <mergeCell ref="D102:I102"/>
    <mergeCell ref="J102:O102"/>
    <mergeCell ref="P102:U102"/>
    <mergeCell ref="V102:W102"/>
    <mergeCell ref="X102:Z102"/>
    <mergeCell ref="AA102:AC102"/>
    <mergeCell ref="AD102:AF102"/>
    <mergeCell ref="AG102:AH102"/>
    <mergeCell ref="AI102:AP102"/>
    <mergeCell ref="AI101:AP101"/>
    <mergeCell ref="B100:C100"/>
    <mergeCell ref="D100:I100"/>
    <mergeCell ref="J100:O100"/>
    <mergeCell ref="P100:U100"/>
    <mergeCell ref="V100:W100"/>
    <mergeCell ref="X100:Z100"/>
    <mergeCell ref="AA100:AC100"/>
    <mergeCell ref="AD100:AF100"/>
    <mergeCell ref="AG100:AH100"/>
    <mergeCell ref="AI100:AP100"/>
    <mergeCell ref="B101:C101"/>
    <mergeCell ref="D101:I101"/>
    <mergeCell ref="J101:O101"/>
    <mergeCell ref="P101:U101"/>
    <mergeCell ref="V101:W101"/>
    <mergeCell ref="X101:Z101"/>
    <mergeCell ref="AA101:AC101"/>
    <mergeCell ref="AD101:AF101"/>
    <mergeCell ref="AG101:AH101"/>
    <mergeCell ref="B106:C106"/>
    <mergeCell ref="D106:I106"/>
    <mergeCell ref="J106:V106"/>
    <mergeCell ref="W106:AI106"/>
    <mergeCell ref="AJ106:BB106"/>
    <mergeCell ref="B107:C107"/>
    <mergeCell ref="D107:I107"/>
    <mergeCell ref="J107:V107"/>
    <mergeCell ref="W107:AI107"/>
    <mergeCell ref="AJ107:BB107"/>
  </mergeCells>
  <phoneticPr fontId="1"/>
  <pageMargins left="0.23622047244094491" right="0.23622047244094491" top="0.55118110236220474" bottom="0.74803149606299213" header="0.31496062992125984" footer="0.31496062992125984"/>
  <pageSetup paperSize="9" scale="47" orientation="landscape" r:id="rId1"/>
  <headerFooter>
    <oddFooter>&amp;C&amp;8&amp;P / &amp;N ページ</oddFooter>
  </headerFooter>
  <rowBreaks count="1" manualBreakCount="1">
    <brk id="72" max="5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見積もり情報登録画面（管理者権限）</vt:lpstr>
      <vt:lpstr>'見積もり情報登録画面（管理者権限）'!Print_Area</vt:lpstr>
      <vt:lpstr>更新履歴!Print_Area</vt:lpstr>
      <vt:lpstr>'見積もり情報登録画面（管理者権限）'!Print_Titles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2019-11-07T02:01:10Z</dcterms:modified>
</cp:coreProperties>
</file>