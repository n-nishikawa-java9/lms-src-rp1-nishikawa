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061BE1B1-8CB9-4831-8D41-EFDEF1FB69E3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イベント処理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R2" i="4" l="1"/>
  <c r="J2" i="4"/>
  <c r="A2" i="4"/>
  <c r="R2" i="3"/>
  <c r="J2" i="3"/>
  <c r="A2" i="3"/>
  <c r="J2" i="2"/>
  <c r="A2" i="2"/>
  <c r="AA15" i="1"/>
  <c r="X15" i="1"/>
</calcChain>
</file>

<file path=xl/sharedStrings.xml><?xml version="1.0" encoding="utf-8"?>
<sst xmlns="http://schemas.openxmlformats.org/spreadsheetml/2006/main" count="186" uniqueCount="107">
  <si>
    <t>LMS学習管理システム</t>
  </si>
  <si>
    <t>利用規約画面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</si>
  <si>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</si>
  <si>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</si>
  <si>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</si>
  <si>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</si>
  <si>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</si>
  <si>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</si>
  <si>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</si>
  <si>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</si>
  <si>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</si>
  <si>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</si>
  <si>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</si>
  <si>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</si>
  <si>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</si>
  <si>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</si>
  <si>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</si>
  <si>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</si>
  <si>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</si>
  <si>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</si>
  <si>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</si>
  <si>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横串対応：DTO名修正</t>
  </si>
  <si>
    <t>上村</t>
  </si>
  <si>
    <t>横串対応：各イベントのパス追加</t>
  </si>
  <si>
    <t>画面詳細</t>
  </si>
  <si>
    <t>【変更管理対応】
 ・画面表示項目の「権限ごとの表示可否」に企業担当者、管理者、育成担当者追加</t>
  </si>
  <si>
    <t>画面イメージ</t>
  </si>
  <si>
    <t>エラーメッセージ</t>
  </si>
  <si>
    <t>画面表示項目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</si>
  <si>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</si>
  <si>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</si>
  <si>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</si>
  <si>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</si>
  <si>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</si>
  <si>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</si>
  <si>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</si>
  <si>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</si>
  <si>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</si>
  <si>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</si>
  <si>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</si>
  <si>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</si>
  <si>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</si>
  <si>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タイトル</t>
  </si>
  <si>
    <t>-</t>
  </si>
  <si>
    <t>○</t>
  </si>
  <si>
    <t>序文</t>
  </si>
  <si>
    <t>規約</t>
  </si>
  <si>
    <t>『次へ』ボタン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</si>
  <si>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</si>
  <si>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</si>
  <si>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</si>
  <si>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</si>
  <si>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</si>
  <si>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</si>
  <si>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</si>
  <si>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</si>
  <si>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</si>
  <si>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</si>
  <si>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</si>
  <si>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</si>
  <si>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securityFlg</t>
  </si>
  <si>
    <t>チェックボックス</t>
  </si>
  <si>
    <t>POST</t>
  </si>
  <si>
    <t>イベント名</t>
  </si>
  <si>
    <t>イベント内容</t>
  </si>
  <si>
    <t>初期表示</t>
  </si>
  <si>
    <t>①．利用規約画面へ遷移</t>
  </si>
  <si>
    <t>コントローラー：</t>
  </si>
  <si>
    <t>/user/agreeSecurity</t>
  </si>
  <si>
    <t>①．「同意します」のチェック確認</t>
  </si>
  <si>
    <t>/user/agreeSecurity/changePassword</t>
  </si>
  <si>
    <t>API</t>
  </si>
  <si>
    <t>ユーザーAPI．ユーザー取得（ユーザID）</t>
  </si>
  <si>
    <t>パラメータ</t>
  </si>
  <si>
    <t>ログイン情報DTO．ユーザID</t>
  </si>
  <si>
    <t>ユーザー．セキュリティ同意フラグ</t>
  </si>
  <si>
    <t>＝　1</t>
  </si>
  <si>
    <t>ユーザー．最終更新者</t>
  </si>
  <si>
    <t>＝　ログイン情報DTO．ユーザID</t>
  </si>
  <si>
    <t>ユーザー．最終更新日時</t>
  </si>
  <si>
    <t>＝　現在日時</t>
  </si>
  <si>
    <r>
      <rPr>
        <sz val="10"/>
        <color rgb="FF000000"/>
        <rFont val="ＭＳ Ｐゴシック"/>
        <family val="3"/>
        <charset val="1"/>
      </rPr>
      <t>ユーザーAPI．</t>
    </r>
    <r>
      <rPr>
        <sz val="10"/>
        <rFont val="ＭＳ Ｐゴシック"/>
        <family val="3"/>
        <charset val="1"/>
      </rPr>
      <t>セキュリティ同意フラグ更新</t>
    </r>
  </si>
  <si>
    <t>ログイン情報DTO．セキュリティ同意フラグ</t>
  </si>
  <si>
    <r>
      <rPr>
        <sz val="10"/>
        <rFont val="ＭＳ Ｐゴシック"/>
        <family val="3"/>
        <charset val="1"/>
      </rPr>
      <t>Ⅱ．</t>
    </r>
    <r>
      <rPr>
        <sz val="10"/>
        <rFont val="ＭＳ Ｐゴシック"/>
        <family val="3"/>
        <charset val="128"/>
      </rPr>
      <t>「同意します」のチェックが入っていない場合</t>
    </r>
    <r>
      <rPr>
        <sz val="10"/>
        <rFont val="ＭＳ Ｐゴシック"/>
        <family val="3"/>
        <charset val="1"/>
      </rPr>
      <t>、</t>
    </r>
  </si>
  <si>
    <t>処理を終了し、下記エラーメッセージを利用規約画面に表示</t>
  </si>
  <si>
    <t>メッセージID</t>
  </si>
  <si>
    <t>securityAgreeFlg</t>
  </si>
  <si>
    <t>なし</t>
  </si>
  <si>
    <t>②．パスワード変更画面へ遷移</t>
  </si>
  <si>
    <t>Ⅰ．「同意します」のチェックが入っている場合、下記通りユーザー情報を更新</t>
    <phoneticPr fontId="25"/>
  </si>
  <si>
    <t>ａ．下記APIを呼び出し、ユーザー情報を取得</t>
    <rPh sb="17" eb="19">
      <t>ジョウホウ</t>
    </rPh>
    <phoneticPr fontId="25"/>
  </si>
  <si>
    <r>
      <t>ｃ．</t>
    </r>
    <r>
      <rPr>
        <sz val="10"/>
        <rFont val="ＭＳ Ｐゴシック"/>
        <family val="3"/>
        <charset val="1"/>
      </rPr>
      <t>下記ＡＰＩを呼び出し、セキュリティ同意フラグを更新</t>
    </r>
    <phoneticPr fontId="25"/>
  </si>
  <si>
    <t>ｄ．ｃで更新できた場合、下記通りログイン情報DTOに設定し、セッションに保存</t>
    <phoneticPr fontId="25"/>
  </si>
  <si>
    <t>岡野</t>
    <rPh sb="0" eb="2">
      <t>オカノ</t>
    </rPh>
    <phoneticPr fontId="25"/>
  </si>
  <si>
    <t>【変更管理対応】
 ・画面イメージを変更管理取り込み内容のイメージに修正</t>
    <rPh sb="11" eb="13">
      <t>ガメン</t>
    </rPh>
    <rPh sb="18" eb="20">
      <t>ヘンコウ</t>
    </rPh>
    <rPh sb="20" eb="23">
      <t>カンリト</t>
    </rPh>
    <rPh sb="24" eb="25">
      <t>コ</t>
    </rPh>
    <rPh sb="26" eb="28">
      <t>ナイヨウ</t>
    </rPh>
    <rPh sb="34" eb="36">
      <t>シュウセイ</t>
    </rPh>
    <phoneticPr fontId="25"/>
  </si>
  <si>
    <t>体験型Java研修</t>
  </si>
  <si>
    <t>Task.13</t>
    <phoneticPr fontId="25"/>
  </si>
  <si>
    <t>定数クラス．削除フラグオフ</t>
    <rPh sb="0" eb="2">
      <t>テイスウ</t>
    </rPh>
    <phoneticPr fontId="25"/>
  </si>
  <si>
    <t>ｂ．aで取得したユーザーエンティティに対し、下記通り設定し直す</t>
    <phoneticPr fontId="25"/>
  </si>
  <si>
    <t>ユーザーエンティティ</t>
    <phoneticPr fontId="25"/>
  </si>
  <si>
    <t>「利用規約」</t>
    <rPh sb="1" eb="5">
      <t>リヨウキヤク</t>
    </rPh>
    <phoneticPr fontId="25"/>
  </si>
  <si>
    <t>この利用規約は、株式会社システムシェアード(以下、「当社」といいます。)がこのLMSで提供するサービス(以下、「本サービス」といいます。)の利用条件を定めるものです。
登録ユーザーの皆さま(以下、「ユーザー」といいます。)には、利用規約に従って、本サービスをご利用いただきます。</t>
    <phoneticPr fontId="25"/>
  </si>
  <si>
    <r>
      <t xml:space="preserve">スクロール表示
</t>
    </r>
    <r>
      <rPr>
        <sz val="9"/>
        <rFont val="ＭＳ Ｐゴシック"/>
        <family val="3"/>
        <charset val="128"/>
      </rPr>
      <t>第1条(ユーザーIDおよびパスワードの管理)
（以下省略）</t>
    </r>
    <rPh sb="5" eb="7">
      <t>ヒョウジ</t>
    </rPh>
    <rPh sb="32" eb="36">
      <t>イカショウリャク</t>
    </rPh>
    <phoneticPr fontId="25"/>
  </si>
  <si>
    <t>-</t>
    <phoneticPr fontId="25"/>
  </si>
  <si>
    <t>『次へ』ボタン押下</t>
    <phoneticPr fontId="25"/>
  </si>
  <si>
    <t>『同意します』チェックボックス</t>
    <phoneticPr fontId="25"/>
  </si>
  <si>
    <t>セキュリティ同意フラグ</t>
    <rPh sb="6" eb="8">
      <t>ドウイ</t>
    </rPh>
    <phoneticPr fontId="2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</si>
</sst>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[$-1030411]ggge&quot;年&quot;mm&quot;月&quot;dd&quot;日&quot;"/>
    <numFmt numFmtId="177" formatCode="&quot;第&quot;0.0&quot;版&quot;"/>
    <numFmt numFmtId="178" formatCode="yyyy&quot;年&quot;mm&quot;月&quot;dd&quot;日&quot;"/>
    <numFmt numFmtId="179" formatCode="yyyy/mm/dd"/>
    <numFmt numFmtId="180" formatCode="0.0\ "/>
    <numFmt numFmtId="181" formatCode="0.0_ "/>
  </numFmts>
  <fonts count="29" x14ac:knownFonts="1">
    <font>
      <sz val="11"/>
      <color rgb="FF333333"/>
      <name val="ＭＳ Ｐゴシック"/>
      <family val="3"/>
      <charset val="128"/>
    </font>
    <font>
      <sz val="11"/>
      <color rgb="FF333333"/>
      <name val="游ゴシック"/>
      <family val="3"/>
      <charset val="128"/>
    </font>
    <font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b/>
      <sz val="11"/>
      <color rgb="FF333333"/>
      <name val="ＭＳ Ｐゴシック"/>
      <family val="3"/>
      <charset val="1"/>
    </font>
    <font>
      <sz val="10"/>
      <color rgb="FF333333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rgb="FF000000"/>
      <name val="ＭＳ Ｐゴシック"/>
      <family val="2"/>
      <charset val="128"/>
    </font>
    <font>
      <b/>
      <sz val="11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sz val="10"/>
      <color rgb="FF333333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sz val="11"/>
      <name val="ＭＳ Ｐゴシック"/>
      <family val="3"/>
      <charset val="1"/>
    </font>
    <font>
      <sz val="6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9"/>
      <name val="ＭＳ Ｐゴシック"/>
      <family val="3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EEEEEE"/>
      </patternFill>
    </fill>
    <fill>
      <patternFill patternType="solid">
        <fgColor rgb="FFCCFFFF"/>
        <bgColor rgb="FFCCFFFF"/>
      </patternFill>
    </fill>
    <fill>
      <patternFill patternType="solid">
        <fgColor rgb="FFD9D9D9"/>
        <bgColor rgb="FFEEEEEE"/>
      </patternFill>
    </fill>
    <fill>
      <patternFill patternType="solid">
        <fgColor rgb="FFC0C0C0"/>
        <bgColor rgb="FFD9D9D9"/>
      </patternFill>
    </fill>
    <fill>
      <patternFill patternType="solid">
        <fgColor rgb="FFEEEEEE"/>
        <bgColor rgb="FFFFFFFF"/>
      </patternFill>
    </fill>
    <fill>
      <patternFill patternType="solid">
        <fgColor rgb="FFFFDAB9"/>
        <bgColor rgb="FFD9D9D9"/>
      </patternFill>
    </fill>
    <fill>
      <patternFill patternType="solid">
        <fgColor theme="0" tint="-0.14999847407452621"/>
        <bgColor rgb="FFD9D9D9"/>
      </patternFill>
    </fill>
  </fills>
  <borders count="46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</cellStyleXfs>
  <cellXfs count="17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4" fillId="2" borderId="0" xfId="0" applyFont="1" applyFill="1" applyAlignment="1"/>
    <xf numFmtId="176" fontId="4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77" fontId="4" fillId="2" borderId="0" xfId="0" applyNumberFormat="1" applyFont="1" applyFill="1" applyAlignment="1">
      <alignment horizontal="left"/>
    </xf>
    <xf numFmtId="178" fontId="4" fillId="2" borderId="0" xfId="0" applyNumberFormat="1" applyFont="1" applyFill="1" applyAlignment="1">
      <alignment horizontal="center"/>
    </xf>
    <xf numFmtId="0" fontId="5" fillId="2" borderId="0" xfId="0" applyFont="1" applyFill="1" applyAlignment="1"/>
    <xf numFmtId="0" fontId="6" fillId="2" borderId="0" xfId="0" applyFont="1" applyFill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/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9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2" borderId="0" xfId="0" applyFont="1" applyFill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6" borderId="33" xfId="0" applyFont="1" applyFill="1" applyBorder="1">
      <alignment vertical="center"/>
    </xf>
    <xf numFmtId="0" fontId="19" fillId="6" borderId="32" xfId="0" applyFont="1" applyFill="1" applyBorder="1">
      <alignment vertical="center"/>
    </xf>
    <xf numFmtId="0" fontId="19" fillId="6" borderId="34" xfId="0" applyFont="1" applyFill="1" applyBorder="1">
      <alignment vertical="center"/>
    </xf>
    <xf numFmtId="0" fontId="19" fillId="2" borderId="36" xfId="0" applyFont="1" applyFill="1" applyBorder="1">
      <alignment vertical="center"/>
    </xf>
    <xf numFmtId="0" fontId="20" fillId="2" borderId="37" xfId="0" applyFont="1" applyFill="1" applyBorder="1">
      <alignment vertical="center"/>
    </xf>
    <xf numFmtId="0" fontId="20" fillId="2" borderId="38" xfId="0" applyFont="1" applyFill="1" applyBorder="1">
      <alignment vertical="center"/>
    </xf>
    <xf numFmtId="0" fontId="8" fillId="0" borderId="0" xfId="0" applyFont="1">
      <alignment vertical="center"/>
    </xf>
    <xf numFmtId="0" fontId="19" fillId="2" borderId="37" xfId="0" applyFont="1" applyFill="1" applyBorder="1" applyAlignment="1">
      <alignment vertical="center" wrapText="1"/>
    </xf>
    <xf numFmtId="0" fontId="21" fillId="2" borderId="37" xfId="0" applyFont="1" applyFill="1" applyBorder="1" applyAlignment="1">
      <alignment vertical="center" wrapText="1"/>
    </xf>
    <xf numFmtId="0" fontId="14" fillId="2" borderId="36" xfId="0" applyFont="1" applyFill="1" applyBorder="1">
      <alignment vertical="center"/>
    </xf>
    <xf numFmtId="0" fontId="14" fillId="2" borderId="37" xfId="0" applyFont="1" applyFill="1" applyBorder="1">
      <alignment vertical="center"/>
    </xf>
    <xf numFmtId="0" fontId="14" fillId="2" borderId="38" xfId="0" applyFont="1" applyFill="1" applyBorder="1">
      <alignment vertical="center"/>
    </xf>
    <xf numFmtId="0" fontId="20" fillId="2" borderId="40" xfId="0" applyFont="1" applyFill="1" applyBorder="1">
      <alignment vertical="center"/>
    </xf>
    <xf numFmtId="0" fontId="20" fillId="2" borderId="0" xfId="0" applyFont="1" applyFill="1">
      <alignment vertical="center"/>
    </xf>
    <xf numFmtId="0" fontId="20" fillId="2" borderId="41" xfId="0" applyFont="1" applyFill="1" applyBorder="1">
      <alignment vertical="center"/>
    </xf>
    <xf numFmtId="0" fontId="19" fillId="2" borderId="0" xfId="0" applyFont="1" applyFill="1">
      <alignment vertical="center"/>
    </xf>
    <xf numFmtId="0" fontId="19" fillId="2" borderId="0" xfId="0" applyFont="1" applyFill="1" applyAlignment="1">
      <alignment vertical="center" wrapText="1"/>
    </xf>
    <xf numFmtId="0" fontId="21" fillId="2" borderId="0" xfId="0" applyFont="1" applyFill="1" applyAlignment="1">
      <alignment vertical="center" wrapText="1"/>
    </xf>
    <xf numFmtId="0" fontId="14" fillId="2" borderId="40" xfId="0" applyFont="1" applyFill="1" applyBorder="1">
      <alignment vertical="center"/>
    </xf>
    <xf numFmtId="0" fontId="14" fillId="2" borderId="0" xfId="0" applyFont="1" applyFill="1">
      <alignment vertical="center"/>
    </xf>
    <xf numFmtId="0" fontId="14" fillId="2" borderId="41" xfId="0" applyFont="1" applyFill="1" applyBorder="1">
      <alignment vertical="center"/>
    </xf>
    <xf numFmtId="0" fontId="19" fillId="2" borderId="40" xfId="0" applyFont="1" applyFill="1" applyBorder="1">
      <alignment vertical="center"/>
    </xf>
    <xf numFmtId="0" fontId="19" fillId="2" borderId="43" xfId="0" applyFont="1" applyFill="1" applyBorder="1">
      <alignment vertical="center"/>
    </xf>
    <xf numFmtId="0" fontId="20" fillId="2" borderId="44" xfId="0" applyFont="1" applyFill="1" applyBorder="1">
      <alignment vertical="center"/>
    </xf>
    <xf numFmtId="0" fontId="20" fillId="2" borderId="45" xfId="0" applyFont="1" applyFill="1" applyBorder="1">
      <alignment vertical="center"/>
    </xf>
    <xf numFmtId="0" fontId="19" fillId="2" borderId="44" xfId="0" applyFont="1" applyFill="1" applyBorder="1">
      <alignment vertical="center"/>
    </xf>
    <xf numFmtId="0" fontId="19" fillId="2" borderId="44" xfId="0" applyFont="1" applyFill="1" applyBorder="1" applyAlignment="1">
      <alignment vertical="center" wrapText="1"/>
    </xf>
    <xf numFmtId="0" fontId="21" fillId="2" borderId="44" xfId="0" applyFont="1" applyFill="1" applyBorder="1" applyAlignment="1">
      <alignment vertical="center" wrapText="1"/>
    </xf>
    <xf numFmtId="0" fontId="14" fillId="2" borderId="43" xfId="0" applyFont="1" applyFill="1" applyBorder="1">
      <alignment vertical="center"/>
    </xf>
    <xf numFmtId="0" fontId="14" fillId="2" borderId="44" xfId="0" applyFont="1" applyFill="1" applyBorder="1">
      <alignment vertical="center"/>
    </xf>
    <xf numFmtId="0" fontId="14" fillId="2" borderId="45" xfId="0" applyFont="1" applyFill="1" applyBorder="1">
      <alignment vertical="center"/>
    </xf>
    <xf numFmtId="0" fontId="8" fillId="2" borderId="40" xfId="0" applyFont="1" applyFill="1" applyBorder="1">
      <alignment vertical="center"/>
    </xf>
    <xf numFmtId="0" fontId="21" fillId="2" borderId="38" xfId="0" applyFont="1" applyFill="1" applyBorder="1" applyAlignment="1">
      <alignment vertical="center" wrapText="1"/>
    </xf>
    <xf numFmtId="0" fontId="22" fillId="2" borderId="36" xfId="0" applyFont="1" applyFill="1" applyBorder="1" applyAlignment="1">
      <alignment horizontal="left" vertical="center" wrapText="1"/>
    </xf>
    <xf numFmtId="0" fontId="22" fillId="2" borderId="37" xfId="0" applyFont="1" applyFill="1" applyBorder="1" applyAlignment="1">
      <alignment horizontal="left" vertical="center" wrapText="1"/>
    </xf>
    <xf numFmtId="0" fontId="23" fillId="2" borderId="37" xfId="0" applyFont="1" applyFill="1" applyBorder="1" applyAlignment="1">
      <alignment horizontal="left" vertical="center" wrapText="1"/>
    </xf>
    <xf numFmtId="0" fontId="23" fillId="2" borderId="38" xfId="0" applyFont="1" applyFill="1" applyBorder="1" applyAlignment="1">
      <alignment horizontal="left" vertical="center" wrapText="1"/>
    </xf>
    <xf numFmtId="0" fontId="21" fillId="2" borderId="0" xfId="0" applyFont="1" applyFill="1">
      <alignment vertical="center"/>
    </xf>
    <xf numFmtId="0" fontId="21" fillId="2" borderId="41" xfId="0" applyFont="1" applyFill="1" applyBorder="1">
      <alignment vertical="center"/>
    </xf>
    <xf numFmtId="0" fontId="22" fillId="2" borderId="40" xfId="0" applyFont="1" applyFill="1" applyBorder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 wrapText="1"/>
    </xf>
    <xf numFmtId="0" fontId="23" fillId="2" borderId="0" xfId="0" applyFont="1" applyFill="1" applyAlignment="1">
      <alignment horizontal="left" vertical="center" wrapText="1"/>
    </xf>
    <xf numFmtId="0" fontId="23" fillId="2" borderId="41" xfId="0" applyFont="1" applyFill="1" applyBorder="1" applyAlignment="1">
      <alignment horizontal="left" vertical="center" wrapText="1"/>
    </xf>
    <xf numFmtId="0" fontId="8" fillId="2" borderId="41" xfId="0" applyFont="1" applyFill="1" applyBorder="1">
      <alignment vertical="center"/>
    </xf>
    <xf numFmtId="0" fontId="8" fillId="2" borderId="0" xfId="0" applyFont="1" applyFill="1" applyAlignment="1">
      <alignment vertical="center" wrapText="1"/>
    </xf>
    <xf numFmtId="0" fontId="8" fillId="2" borderId="0" xfId="0" applyFont="1" applyFill="1">
      <alignment vertical="center"/>
    </xf>
    <xf numFmtId="0" fontId="8" fillId="7" borderId="32" xfId="0" applyFont="1" applyFill="1" applyBorder="1">
      <alignment vertical="center"/>
    </xf>
    <xf numFmtId="0" fontId="24" fillId="7" borderId="34" xfId="0" applyFont="1" applyFill="1" applyBorder="1">
      <alignment vertical="center"/>
    </xf>
    <xf numFmtId="0" fontId="8" fillId="0" borderId="32" xfId="0" applyFont="1" applyBorder="1">
      <alignment vertical="center"/>
    </xf>
    <xf numFmtId="0" fontId="8" fillId="0" borderId="34" xfId="0" applyFont="1" applyBorder="1">
      <alignment vertical="center"/>
    </xf>
    <xf numFmtId="0" fontId="8" fillId="2" borderId="34" xfId="0" applyFont="1" applyFill="1" applyBorder="1">
      <alignment vertical="center"/>
    </xf>
    <xf numFmtId="0" fontId="8" fillId="2" borderId="33" xfId="0" applyFont="1" applyFill="1" applyBorder="1">
      <alignment vertical="center"/>
    </xf>
    <xf numFmtId="0" fontId="8" fillId="7" borderId="32" xfId="0" applyFont="1" applyFill="1" applyBorder="1" applyAlignment="1">
      <alignment horizontal="left" vertical="center"/>
    </xf>
    <xf numFmtId="0" fontId="9" fillId="2" borderId="0" xfId="0" applyFont="1" applyFill="1">
      <alignment vertical="center"/>
    </xf>
    <xf numFmtId="0" fontId="19" fillId="0" borderId="32" xfId="0" applyFont="1" applyBorder="1">
      <alignment vertical="center"/>
    </xf>
    <xf numFmtId="0" fontId="8" fillId="6" borderId="32" xfId="0" applyFont="1" applyFill="1" applyBorder="1">
      <alignment vertical="center"/>
    </xf>
    <xf numFmtId="0" fontId="24" fillId="6" borderId="34" xfId="0" applyFont="1" applyFill="1" applyBorder="1">
      <alignment vertical="center"/>
    </xf>
    <xf numFmtId="0" fontId="9" fillId="0" borderId="43" xfId="0" applyFont="1" applyBorder="1">
      <alignment vertical="center"/>
    </xf>
    <xf numFmtId="0" fontId="21" fillId="2" borderId="44" xfId="0" applyFont="1" applyFill="1" applyBorder="1">
      <alignment vertical="center"/>
    </xf>
    <xf numFmtId="0" fontId="21" fillId="2" borderId="45" xfId="0" applyFont="1" applyFill="1" applyBorder="1">
      <alignment vertical="center"/>
    </xf>
    <xf numFmtId="0" fontId="22" fillId="2" borderId="43" xfId="0" applyFont="1" applyFill="1" applyBorder="1" applyAlignment="1">
      <alignment horizontal="left" vertical="center"/>
    </xf>
    <xf numFmtId="0" fontId="22" fillId="2" borderId="44" xfId="0" applyFont="1" applyFill="1" applyBorder="1" applyAlignment="1">
      <alignment horizontal="left" vertical="center"/>
    </xf>
    <xf numFmtId="0" fontId="22" fillId="2" borderId="44" xfId="0" applyFont="1" applyFill="1" applyBorder="1" applyAlignment="1">
      <alignment horizontal="left" vertical="center" wrapText="1"/>
    </xf>
    <xf numFmtId="0" fontId="23" fillId="2" borderId="44" xfId="0" applyFont="1" applyFill="1" applyBorder="1" applyAlignment="1">
      <alignment horizontal="left" vertical="center" wrapText="1"/>
    </xf>
    <xf numFmtId="0" fontId="23" fillId="2" borderId="45" xfId="0" applyFont="1" applyFill="1" applyBorder="1" applyAlignment="1">
      <alignment horizontal="left" vertical="center" wrapText="1"/>
    </xf>
    <xf numFmtId="0" fontId="23" fillId="0" borderId="0" xfId="0" applyFont="1">
      <alignment vertical="center"/>
    </xf>
    <xf numFmtId="0" fontId="26" fillId="4" borderId="9" xfId="0" applyFont="1" applyFill="1" applyBorder="1" applyAlignment="1">
      <alignment horizontal="center" vertical="center" wrapText="1"/>
    </xf>
    <xf numFmtId="0" fontId="26" fillId="5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5" borderId="9" xfId="0" applyFont="1" applyFill="1" applyBorder="1">
      <alignment vertical="center"/>
    </xf>
    <xf numFmtId="0" fontId="26" fillId="8" borderId="9" xfId="0" applyFont="1" applyFill="1" applyBorder="1" applyAlignment="1">
      <alignment horizontal="center" vertical="center" wrapText="1"/>
    </xf>
    <xf numFmtId="0" fontId="21" fillId="6" borderId="32" xfId="0" applyFont="1" applyFill="1" applyBorder="1">
      <alignment vertical="center"/>
    </xf>
    <xf numFmtId="0" fontId="7" fillId="2" borderId="9" xfId="0" applyFont="1" applyFill="1" applyBorder="1" applyAlignment="1">
      <alignment horizontal="center" vertical="center"/>
    </xf>
    <xf numFmtId="178" fontId="2" fillId="2" borderId="9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78" fontId="2" fillId="2" borderId="0" xfId="0" applyNumberFormat="1" applyFont="1" applyFill="1" applyAlignment="1">
      <alignment horizontal="center"/>
    </xf>
    <xf numFmtId="178" fontId="5" fillId="2" borderId="0" xfId="0" applyNumberFormat="1" applyFont="1" applyFill="1" applyAlignment="1">
      <alignment horizontal="center"/>
    </xf>
    <xf numFmtId="0" fontId="2" fillId="2" borderId="9" xfId="0" applyFont="1" applyFill="1" applyBorder="1" applyAlignment="1">
      <alignment horizontal="center"/>
    </xf>
    <xf numFmtId="178" fontId="4" fillId="2" borderId="9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shrinkToFit="1"/>
    </xf>
    <xf numFmtId="0" fontId="3" fillId="2" borderId="0" xfId="0" applyFont="1" applyFill="1" applyAlignment="1">
      <alignment horizontal="center"/>
    </xf>
    <xf numFmtId="176" fontId="4" fillId="2" borderId="0" xfId="0" applyNumberFormat="1" applyFont="1" applyFill="1" applyAlignment="1">
      <alignment horizontal="center"/>
    </xf>
    <xf numFmtId="180" fontId="2" fillId="0" borderId="16" xfId="0" applyNumberFormat="1" applyFont="1" applyBorder="1" applyAlignment="1">
      <alignment horizontal="center" vertical="center"/>
    </xf>
    <xf numFmtId="179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vertical="center" wrapText="1"/>
    </xf>
    <xf numFmtId="0" fontId="2" fillId="0" borderId="30" xfId="0" applyFont="1" applyBorder="1" applyAlignment="1">
      <alignment horizontal="center" vertical="center"/>
    </xf>
    <xf numFmtId="180" fontId="2" fillId="0" borderId="29" xfId="0" applyNumberFormat="1" applyFont="1" applyBorder="1" applyAlignment="1">
      <alignment horizontal="center" vertical="center"/>
    </xf>
    <xf numFmtId="179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9" xfId="4" applyBorder="1" applyAlignment="1">
      <alignment horizontal="center" vertical="center" wrapText="1"/>
    </xf>
    <xf numFmtId="0" fontId="2" fillId="0" borderId="9" xfId="4" applyBorder="1" applyAlignment="1">
      <alignment vertical="center" wrapText="1"/>
    </xf>
    <xf numFmtId="14" fontId="2" fillId="0" borderId="28" xfId="0" applyNumberFormat="1" applyFont="1" applyBorder="1" applyAlignment="1">
      <alignment horizontal="center" vertical="center"/>
    </xf>
    <xf numFmtId="179" fontId="2" fillId="0" borderId="9" xfId="4" applyNumberFormat="1" applyBorder="1" applyAlignment="1">
      <alignment horizontal="center" vertical="center"/>
    </xf>
    <xf numFmtId="0" fontId="2" fillId="0" borderId="28" xfId="4" applyBorder="1" applyAlignment="1">
      <alignment horizontal="center" vertical="center"/>
    </xf>
    <xf numFmtId="181" fontId="2" fillId="0" borderId="25" xfId="4" applyNumberFormat="1" applyBorder="1" applyAlignment="1">
      <alignment horizontal="center" vertical="center"/>
    </xf>
    <xf numFmtId="0" fontId="2" fillId="0" borderId="9" xfId="4" applyBorder="1" applyAlignment="1">
      <alignment horizontal="left" vertical="center" wrapText="1"/>
    </xf>
    <xf numFmtId="180" fontId="2" fillId="0" borderId="25" xfId="0" applyNumberFormat="1" applyFont="1" applyBorder="1" applyAlignment="1">
      <alignment horizontal="center" vertical="center"/>
    </xf>
    <xf numFmtId="179" fontId="2" fillId="0" borderId="26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vertical="center" wrapText="1"/>
    </xf>
    <xf numFmtId="0" fontId="2" fillId="0" borderId="27" xfId="0" applyFont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7" fillId="0" borderId="19" xfId="4" applyFont="1" applyBorder="1" applyAlignment="1">
      <alignment horizontal="center" vertical="center"/>
    </xf>
    <xf numFmtId="179" fontId="2" fillId="0" borderId="20" xfId="4" applyNumberFormat="1" applyBorder="1" applyAlignment="1">
      <alignment horizontal="center" vertical="center"/>
    </xf>
    <xf numFmtId="179" fontId="7" fillId="0" borderId="21" xfId="4" applyNumberFormat="1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9" xfId="1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/>
    </xf>
    <xf numFmtId="0" fontId="11" fillId="0" borderId="9" xfId="1" applyFont="1" applyBorder="1" applyAlignment="1">
      <alignment horizontal="left" vertical="center" wrapText="1"/>
    </xf>
    <xf numFmtId="0" fontId="26" fillId="4" borderId="9" xfId="0" applyFont="1" applyFill="1" applyBorder="1" applyAlignment="1">
      <alignment horizontal="center" vertical="center" wrapText="1"/>
    </xf>
    <xf numFmtId="0" fontId="28" fillId="4" borderId="9" xfId="0" applyFont="1" applyFill="1" applyBorder="1" applyAlignment="1">
      <alignment horizontal="center" vertical="center"/>
    </xf>
    <xf numFmtId="0" fontId="27" fillId="0" borderId="9" xfId="0" applyFont="1" applyBorder="1" applyAlignment="1">
      <alignment horizontal="left" vertical="center" wrapText="1"/>
    </xf>
    <xf numFmtId="0" fontId="27" fillId="0" borderId="9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top" wrapText="1"/>
    </xf>
    <xf numFmtId="0" fontId="11" fillId="4" borderId="9" xfId="0" applyFont="1" applyFill="1" applyBorder="1" applyAlignment="1">
      <alignment horizontal="center" vertical="center"/>
    </xf>
    <xf numFmtId="0" fontId="26" fillId="4" borderId="9" xfId="0" applyFont="1" applyFill="1" applyBorder="1" applyAlignment="1">
      <alignment horizontal="center" vertical="center" wrapText="1" shrinkToFit="1"/>
    </xf>
    <xf numFmtId="0" fontId="9" fillId="3" borderId="31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2" fillId="0" borderId="19" xfId="4" applyBorder="1" applyAlignment="1">
      <alignment horizontal="center" vertical="center"/>
    </xf>
    <xf numFmtId="179" fontId="2" fillId="0" borderId="21" xfId="4" applyNumberFormat="1" applyBorder="1" applyAlignment="1">
      <alignment horizontal="center" vertical="center"/>
    </xf>
    <xf numFmtId="0" fontId="14" fillId="0" borderId="39" xfId="0" applyFont="1" applyBorder="1" applyAlignment="1">
      <alignment horizontal="right" vertical="center"/>
    </xf>
    <xf numFmtId="0" fontId="14" fillId="0" borderId="42" xfId="0" applyFont="1" applyBorder="1" applyAlignment="1">
      <alignment horizontal="right" vertical="center"/>
    </xf>
    <xf numFmtId="0" fontId="14" fillId="0" borderId="39" xfId="0" applyFont="1" applyBorder="1" applyAlignment="1">
      <alignment horizontal="center" vertical="center"/>
    </xf>
    <xf numFmtId="0" fontId="8" fillId="7" borderId="32" xfId="0" applyFont="1" applyFill="1" applyBorder="1" applyAlignment="1">
      <alignment horizontal="left" vertical="center"/>
    </xf>
    <xf numFmtId="0" fontId="14" fillId="0" borderId="39" xfId="0" applyFont="1" applyBorder="1" applyAlignment="1">
      <alignment horizontal="left" vertical="center"/>
    </xf>
    <xf numFmtId="0" fontId="19" fillId="2" borderId="40" xfId="0" applyFont="1" applyFill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center"/>
    </xf>
    <xf numFmtId="0" fontId="14" fillId="0" borderId="42" xfId="0" applyFont="1" applyBorder="1" applyAlignment="1">
      <alignment horizontal="left" vertical="center"/>
    </xf>
  </cellXfs>
  <cellStyles count="5">
    <cellStyle name="標準" xfId="0" builtinId="0"/>
    <cellStyle name="標準 12" xfId="1" xr:uid="{00000000-0005-0000-0000-000006000000}"/>
    <cellStyle name="標準 2" xfId="2" xr:uid="{00000000-0005-0000-0000-000007000000}"/>
    <cellStyle name="標準 2 2 3" xfId="3" xr:uid="{00000000-0005-0000-0000-000008000000}"/>
    <cellStyle name="標準_開発計画_110720_v11" xfId="4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AB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59040</xdr:colOff>
      <xdr:row>0</xdr:row>
      <xdr:rowOff>14040</xdr:rowOff>
    </xdr:from>
    <xdr:to>
      <xdr:col>53</xdr:col>
      <xdr:colOff>19440</xdr:colOff>
      <xdr:row>0</xdr:row>
      <xdr:rowOff>57960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flipV="1">
          <a:off x="59040" y="14040"/>
          <a:ext cx="9888480" cy="43920"/>
        </a:xfrm>
        <a:prstGeom prst="line">
          <a:avLst/>
        </a:prstGeom>
        <a:ln w="10800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0</xdr:col>
      <xdr:colOff>0</xdr:colOff>
      <xdr:row>37</xdr:row>
      <xdr:rowOff>139680</xdr:rowOff>
    </xdr:from>
    <xdr:to>
      <xdr:col>52</xdr:col>
      <xdr:colOff>180720</xdr:colOff>
      <xdr:row>37</xdr:row>
      <xdr:rowOff>159120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6483960"/>
          <a:ext cx="9921600" cy="19440"/>
        </a:xfrm>
        <a:prstGeom prst="line">
          <a:avLst/>
        </a:prstGeom>
        <a:ln w="10800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65835</xdr:rowOff>
    </xdr:from>
    <xdr:to>
      <xdr:col>39</xdr:col>
      <xdr:colOff>12687</xdr:colOff>
      <xdr:row>35</xdr:row>
      <xdr:rowOff>0</xdr:rowOff>
    </xdr:to>
    <xdr:pic>
      <xdr:nvPicPr>
        <xdr:cNvPr id="4" name="画像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/>
        <a:srcRect l="12372" t="71356" r="31304" b="16531"/>
        <a:stretch/>
      </xdr:blipFill>
      <xdr:spPr>
        <a:xfrm>
          <a:off x="361950" y="5256960"/>
          <a:ext cx="6700185" cy="79141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2</xdr:col>
      <xdr:colOff>11430</xdr:colOff>
      <xdr:row>6</xdr:row>
      <xdr:rowOff>0</xdr:rowOff>
    </xdr:from>
    <xdr:to>
      <xdr:col>45</xdr:col>
      <xdr:colOff>0</xdr:colOff>
      <xdr:row>27</xdr:row>
      <xdr:rowOff>506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A5FE44C-F205-468B-8284-A2FF38712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" y="1076325"/>
          <a:ext cx="7770495" cy="3597146"/>
        </a:xfrm>
        <a:prstGeom prst="rect">
          <a:avLst/>
        </a:prstGeom>
        <a:ln w="9525"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22"/>
  <sheetViews>
    <sheetView tabSelected="1" view="pageBreakPreview" zoomScaleNormal="55" workbookViewId="0"/>
  </sheetViews>
  <sheetFormatPr defaultColWidth="11.6640625" defaultRowHeight="13.2" x14ac:dyDescent="0.2"/>
  <cols>
    <col min="1" max="53" width="2.6640625" style="1" customWidth="1"/>
    <col min="54" max="54" width="5.77734375" style="1" customWidth="1"/>
    <col min="55" max="55" width="5.5546875" style="1" customWidth="1"/>
    <col min="56" max="1024" width="11.6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 ht="19.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6"/>
      <c r="O8" s="111" t="s">
        <v>0</v>
      </c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7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 ht="19.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6"/>
      <c r="O9" s="111" t="s">
        <v>95</v>
      </c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7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ht="19.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6"/>
      <c r="S10" s="112" t="s">
        <v>1</v>
      </c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O10" s="7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 ht="19.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6"/>
      <c r="O11" s="111" t="s">
        <v>2</v>
      </c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7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8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10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11"/>
      <c r="Y13" s="2"/>
      <c r="Z13" s="2"/>
      <c r="AA13" s="113"/>
      <c r="AB13" s="113"/>
      <c r="AC13" s="113"/>
      <c r="AD13" s="113"/>
      <c r="AE13" s="113"/>
      <c r="AF13" s="113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11"/>
      <c r="Y14" s="2"/>
      <c r="Z14" s="2"/>
      <c r="AA14" s="12"/>
      <c r="AB14" s="12"/>
      <c r="AC14" s="12"/>
      <c r="AD14" s="12"/>
      <c r="AE14" s="12"/>
      <c r="AF14" s="1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3" t="str">
        <f>"第"&amp;TEXT(MAX(更新履歴!A8:I169),"#0.0")&amp;"版"</f>
        <v>第1.4版</v>
      </c>
      <c r="Y15" s="14"/>
      <c r="Z15" s="14"/>
      <c r="AA15" s="107">
        <f>MAX(更新履歴!J8:Q33)</f>
        <v>44593</v>
      </c>
      <c r="AB15" s="107"/>
      <c r="AC15" s="107"/>
      <c r="AD15" s="107"/>
      <c r="AE15" s="107"/>
      <c r="AF15" s="107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1"/>
      <c r="Y16" s="2"/>
      <c r="Z16" s="2"/>
      <c r="AA16" s="15"/>
      <c r="AB16" s="15"/>
      <c r="AC16" s="15"/>
      <c r="AD16" s="15"/>
      <c r="AE16" s="15"/>
      <c r="AF16" s="15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16"/>
      <c r="Y17" s="2"/>
      <c r="Z17" s="2"/>
      <c r="AA17" s="108"/>
      <c r="AB17" s="108"/>
      <c r="AC17" s="108"/>
      <c r="AD17" s="108"/>
      <c r="AE17" s="108"/>
      <c r="AF17" s="108"/>
      <c r="AG17" s="17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109" t="s">
        <v>3</v>
      </c>
      <c r="V18" s="109"/>
      <c r="W18" s="109"/>
      <c r="X18" s="109"/>
      <c r="Y18" s="109"/>
      <c r="Z18" s="110" t="s">
        <v>4</v>
      </c>
      <c r="AA18" s="110"/>
      <c r="AB18" s="110"/>
      <c r="AC18" s="110"/>
      <c r="AD18" s="110"/>
      <c r="AE18" s="109" t="s">
        <v>5</v>
      </c>
      <c r="AF18" s="109"/>
      <c r="AG18" s="109"/>
      <c r="AH18" s="109"/>
      <c r="AI18" s="109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104" t="s">
        <v>6</v>
      </c>
      <c r="V19" s="104"/>
      <c r="W19" s="104"/>
      <c r="X19" s="104"/>
      <c r="Y19" s="104"/>
      <c r="Z19" s="105"/>
      <c r="AA19" s="105"/>
      <c r="AB19" s="105"/>
      <c r="AC19" s="105"/>
      <c r="AD19" s="105"/>
      <c r="AE19" s="106"/>
      <c r="AF19" s="106"/>
      <c r="AG19" s="106"/>
      <c r="AH19" s="106"/>
      <c r="AI19" s="106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04"/>
      <c r="V20" s="104"/>
      <c r="W20" s="104"/>
      <c r="X20" s="104"/>
      <c r="Y20" s="104"/>
      <c r="Z20" s="105"/>
      <c r="AA20" s="105"/>
      <c r="AB20" s="105"/>
      <c r="AC20" s="105"/>
      <c r="AD20" s="105"/>
      <c r="AE20" s="106"/>
      <c r="AF20" s="106"/>
      <c r="AG20" s="106"/>
      <c r="AH20" s="106"/>
      <c r="AI20" s="106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04"/>
      <c r="V21" s="104"/>
      <c r="W21" s="104"/>
      <c r="X21" s="104"/>
      <c r="Y21" s="104"/>
      <c r="Z21" s="105"/>
      <c r="AA21" s="105"/>
      <c r="AB21" s="105"/>
      <c r="AC21" s="105"/>
      <c r="AD21" s="105"/>
      <c r="AE21" s="106"/>
      <c r="AF21" s="106"/>
      <c r="AG21" s="106"/>
      <c r="AH21" s="106"/>
      <c r="AI21" s="106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04"/>
      <c r="V22" s="104"/>
      <c r="W22" s="104"/>
      <c r="X22" s="104"/>
      <c r="Y22" s="104"/>
      <c r="Z22" s="105"/>
      <c r="AA22" s="105"/>
      <c r="AB22" s="105"/>
      <c r="AC22" s="105"/>
      <c r="AD22" s="105"/>
      <c r="AE22" s="106"/>
      <c r="AF22" s="106"/>
      <c r="AG22" s="106"/>
      <c r="AH22" s="106"/>
      <c r="AI22" s="106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</sheetData>
  <mergeCells count="13">
    <mergeCell ref="O8:AN8"/>
    <mergeCell ref="O9:AN9"/>
    <mergeCell ref="S10:AJ10"/>
    <mergeCell ref="O11:AN11"/>
    <mergeCell ref="AA13:AF13"/>
    <mergeCell ref="U19:Y22"/>
    <mergeCell ref="Z19:AD22"/>
    <mergeCell ref="AE19:AI22"/>
    <mergeCell ref="AA15:AF15"/>
    <mergeCell ref="AA17:AF17"/>
    <mergeCell ref="U18:Y18"/>
    <mergeCell ref="Z18:AD18"/>
    <mergeCell ref="AE18:AI18"/>
  </mergeCells>
  <phoneticPr fontId="25"/>
  <pageMargins left="0.78749999999999998" right="0.78749999999999998" top="1.0249999999999999" bottom="1.0249999999999999" header="0.78749999999999998" footer="0.78749999999999998"/>
  <pageSetup paperSize="9" scale="51" firstPageNumber="0" orientation="portrait" horizontalDpi="300" verticalDpi="300" r:id="rId1"/>
  <headerFooter>
    <oddHeader>&amp;C&amp;"Arial,標準"&amp;10&amp;A</oddHeader>
    <oddFooter>&amp;C&amp;"Arial,標準"&amp;10ページ &amp;P</oddFooter>
  </headerFooter>
  <colBreaks count="1" manualBreakCount="1">
    <brk id="5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C31"/>
  <sheetViews>
    <sheetView showGridLines="0" view="pageBreakPreview" zoomScaleNormal="55" workbookViewId="0">
      <selection sqref="A1:I1"/>
    </sheetView>
  </sheetViews>
  <sheetFormatPr defaultColWidth="11.6640625" defaultRowHeight="13.2" x14ac:dyDescent="0.2"/>
  <cols>
    <col min="1" max="55" width="2.6640625" customWidth="1"/>
  </cols>
  <sheetData>
    <row r="1" spans="1:55" ht="15" customHeight="1" x14ac:dyDescent="0.2">
      <c r="A1" s="148" t="s">
        <v>7</v>
      </c>
      <c r="B1" s="148"/>
      <c r="C1" s="148"/>
      <c r="D1" s="148"/>
      <c r="E1" s="148"/>
      <c r="F1" s="148"/>
      <c r="G1" s="148"/>
      <c r="H1" s="148"/>
      <c r="I1" s="148"/>
      <c r="J1" s="149" t="s">
        <v>8</v>
      </c>
      <c r="K1" s="149"/>
      <c r="L1" s="149"/>
      <c r="M1" s="149"/>
      <c r="N1" s="149"/>
      <c r="O1" s="149"/>
      <c r="P1" s="149"/>
      <c r="Q1" s="149"/>
      <c r="R1" s="150" t="s">
        <v>2</v>
      </c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1" t="s">
        <v>3</v>
      </c>
      <c r="AK1" s="151"/>
      <c r="AL1" s="151"/>
      <c r="AM1" s="151"/>
      <c r="AN1" s="151"/>
      <c r="AO1" s="140" t="s">
        <v>9</v>
      </c>
      <c r="AP1" s="140"/>
      <c r="AQ1" s="140"/>
      <c r="AR1" s="140"/>
      <c r="AS1" s="140"/>
      <c r="AT1" s="140" t="s">
        <v>10</v>
      </c>
      <c r="AU1" s="140"/>
      <c r="AV1" s="140"/>
      <c r="AW1" s="140"/>
      <c r="AX1" s="140"/>
      <c r="AY1" s="141" t="s">
        <v>11</v>
      </c>
      <c r="AZ1" s="141"/>
      <c r="BA1" s="141"/>
      <c r="BB1" s="141"/>
      <c r="BC1" s="141"/>
    </row>
    <row r="2" spans="1:55" ht="15.9" customHeight="1" x14ac:dyDescent="0.2">
      <c r="A2" s="142" t="str">
        <f>表紙!O9</f>
        <v>体験型Java研修</v>
      </c>
      <c r="B2" s="142"/>
      <c r="C2" s="142"/>
      <c r="D2" s="142"/>
      <c r="E2" s="142"/>
      <c r="F2" s="142"/>
      <c r="G2" s="142"/>
      <c r="H2" s="142"/>
      <c r="I2" s="142"/>
      <c r="J2" s="143" t="str">
        <f>表紙!O8</f>
        <v>LMS学習管理システム</v>
      </c>
      <c r="K2" s="143"/>
      <c r="L2" s="143"/>
      <c r="M2" s="143"/>
      <c r="N2" s="143"/>
      <c r="O2" s="143"/>
      <c r="P2" s="143"/>
      <c r="Q2" s="143"/>
      <c r="R2" s="144" t="s">
        <v>12</v>
      </c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5" t="s">
        <v>6</v>
      </c>
      <c r="AK2" s="145"/>
      <c r="AL2" s="145"/>
      <c r="AM2" s="145"/>
      <c r="AN2" s="145"/>
      <c r="AO2" s="146">
        <v>44287</v>
      </c>
      <c r="AP2" s="146"/>
      <c r="AQ2" s="146"/>
      <c r="AR2" s="146"/>
      <c r="AS2" s="146"/>
      <c r="AT2" s="145" t="s">
        <v>93</v>
      </c>
      <c r="AU2" s="145"/>
      <c r="AV2" s="145"/>
      <c r="AW2" s="145"/>
      <c r="AX2" s="145"/>
      <c r="AY2" s="147">
        <v>44593</v>
      </c>
      <c r="AZ2" s="147"/>
      <c r="BA2" s="147"/>
      <c r="BB2" s="147"/>
      <c r="BC2" s="147"/>
    </row>
    <row r="3" spans="1:55" x14ac:dyDescent="0.2">
      <c r="A3" s="142"/>
      <c r="B3" s="142"/>
      <c r="C3" s="142"/>
      <c r="D3" s="142"/>
      <c r="E3" s="142"/>
      <c r="F3" s="142"/>
      <c r="G3" s="142"/>
      <c r="H3" s="142"/>
      <c r="I3" s="142"/>
      <c r="J3" s="143"/>
      <c r="K3" s="143"/>
      <c r="L3" s="143"/>
      <c r="M3" s="143"/>
      <c r="N3" s="143"/>
      <c r="O3" s="143"/>
      <c r="P3" s="143"/>
      <c r="Q3" s="143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5"/>
      <c r="AK3" s="145"/>
      <c r="AL3" s="145"/>
      <c r="AM3" s="145"/>
      <c r="AN3" s="145"/>
      <c r="AO3" s="146"/>
      <c r="AP3" s="146"/>
      <c r="AQ3" s="146"/>
      <c r="AR3" s="146"/>
      <c r="AS3" s="146"/>
      <c r="AT3" s="145"/>
      <c r="AU3" s="145"/>
      <c r="AV3" s="145"/>
      <c r="AW3" s="145"/>
      <c r="AX3" s="145"/>
      <c r="AY3" s="147"/>
      <c r="AZ3" s="147"/>
      <c r="BA3" s="147"/>
      <c r="BB3" s="147"/>
      <c r="BC3" s="147"/>
    </row>
    <row r="4" spans="1:55" x14ac:dyDescent="0.1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19"/>
      <c r="AQ4" s="19"/>
      <c r="AR4" s="19"/>
      <c r="AS4" s="19"/>
      <c r="AT4" s="19"/>
      <c r="AU4" s="20"/>
      <c r="AV4" s="20"/>
      <c r="AW4" s="20"/>
      <c r="AX4" s="21"/>
      <c r="AY4" s="20"/>
      <c r="AZ4" s="20"/>
      <c r="BA4" s="21"/>
      <c r="BB4" s="21"/>
      <c r="BC4" s="18"/>
    </row>
    <row r="5" spans="1:55" x14ac:dyDescent="0.2">
      <c r="A5" s="137" t="s">
        <v>13</v>
      </c>
      <c r="B5" s="137"/>
      <c r="C5" s="137"/>
      <c r="D5" s="137"/>
      <c r="E5" s="137"/>
      <c r="F5" s="137"/>
      <c r="G5" s="137"/>
      <c r="H5" s="137"/>
      <c r="I5" s="137"/>
      <c r="J5" s="138" t="s">
        <v>14</v>
      </c>
      <c r="K5" s="138"/>
      <c r="L5" s="138"/>
      <c r="M5" s="138"/>
      <c r="N5" s="138"/>
      <c r="O5" s="138"/>
      <c r="P5" s="138"/>
      <c r="Q5" s="138"/>
      <c r="R5" s="138" t="s">
        <v>15</v>
      </c>
      <c r="S5" s="138"/>
      <c r="T5" s="138"/>
      <c r="U5" s="138"/>
      <c r="V5" s="138" t="s">
        <v>16</v>
      </c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9" t="s">
        <v>17</v>
      </c>
      <c r="AU5" s="139"/>
      <c r="AV5" s="139"/>
      <c r="AW5" s="139"/>
      <c r="AX5" s="139"/>
      <c r="AY5" s="139"/>
      <c r="AZ5" s="139"/>
      <c r="BA5" s="139"/>
      <c r="BB5" s="139"/>
      <c r="BC5" s="139"/>
    </row>
    <row r="6" spans="1:55" x14ac:dyDescent="0.2">
      <c r="A6" s="137"/>
      <c r="B6" s="137"/>
      <c r="C6" s="137"/>
      <c r="D6" s="137"/>
      <c r="E6" s="137"/>
      <c r="F6" s="137"/>
      <c r="G6" s="137"/>
      <c r="H6" s="137"/>
      <c r="I6" s="137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9"/>
      <c r="AU6" s="139"/>
      <c r="AV6" s="139"/>
      <c r="AW6" s="139"/>
      <c r="AX6" s="139"/>
      <c r="AY6" s="139"/>
      <c r="AZ6" s="139"/>
      <c r="BA6" s="139"/>
      <c r="BB6" s="139"/>
      <c r="BC6" s="139"/>
    </row>
    <row r="7" spans="1:55" x14ac:dyDescent="0.2">
      <c r="A7" s="137"/>
      <c r="B7" s="137"/>
      <c r="C7" s="137"/>
      <c r="D7" s="137"/>
      <c r="E7" s="137"/>
      <c r="F7" s="137"/>
      <c r="G7" s="137"/>
      <c r="H7" s="137"/>
      <c r="I7" s="137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9"/>
      <c r="AU7" s="139"/>
      <c r="AV7" s="139"/>
      <c r="AW7" s="139"/>
      <c r="AX7" s="139"/>
      <c r="AY7" s="139"/>
      <c r="AZ7" s="139"/>
      <c r="BA7" s="139"/>
      <c r="BB7" s="139"/>
      <c r="BC7" s="139"/>
    </row>
    <row r="8" spans="1:55" ht="15.9" customHeight="1" x14ac:dyDescent="0.2">
      <c r="A8" s="132">
        <v>1</v>
      </c>
      <c r="B8" s="132"/>
      <c r="C8" s="132"/>
      <c r="D8" s="132"/>
      <c r="E8" s="132"/>
      <c r="F8" s="132"/>
      <c r="G8" s="132"/>
      <c r="H8" s="132"/>
      <c r="I8" s="132"/>
      <c r="J8" s="133">
        <v>44287</v>
      </c>
      <c r="K8" s="133"/>
      <c r="L8" s="133"/>
      <c r="M8" s="133"/>
      <c r="N8" s="133"/>
      <c r="O8" s="133"/>
      <c r="P8" s="133"/>
      <c r="Q8" s="133"/>
      <c r="R8" s="134" t="s">
        <v>18</v>
      </c>
      <c r="S8" s="134"/>
      <c r="T8" s="134"/>
      <c r="U8" s="134"/>
      <c r="V8" s="135" t="s">
        <v>19</v>
      </c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6" t="s">
        <v>6</v>
      </c>
      <c r="AU8" s="136"/>
      <c r="AV8" s="136"/>
      <c r="AW8" s="136"/>
      <c r="AX8" s="136"/>
      <c r="AY8" s="136"/>
      <c r="AZ8" s="136"/>
      <c r="BA8" s="136"/>
      <c r="BB8" s="136"/>
      <c r="BC8" s="136"/>
    </row>
    <row r="9" spans="1:55" x14ac:dyDescent="0.2">
      <c r="A9" s="132"/>
      <c r="B9" s="132"/>
      <c r="C9" s="132"/>
      <c r="D9" s="132"/>
      <c r="E9" s="132"/>
      <c r="F9" s="132"/>
      <c r="G9" s="132"/>
      <c r="H9" s="132"/>
      <c r="I9" s="132"/>
      <c r="J9" s="133"/>
      <c r="K9" s="133"/>
      <c r="L9" s="133"/>
      <c r="M9" s="133"/>
      <c r="N9" s="133"/>
      <c r="O9" s="133"/>
      <c r="P9" s="133"/>
      <c r="Q9" s="133"/>
      <c r="R9" s="134"/>
      <c r="S9" s="134"/>
      <c r="T9" s="134"/>
      <c r="U9" s="134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6"/>
      <c r="AU9" s="136"/>
      <c r="AV9" s="136"/>
      <c r="AW9" s="136"/>
      <c r="AX9" s="136"/>
      <c r="AY9" s="136"/>
      <c r="AZ9" s="136"/>
      <c r="BA9" s="136"/>
      <c r="BB9" s="136"/>
      <c r="BC9" s="136"/>
    </row>
    <row r="10" spans="1:55" x14ac:dyDescent="0.2">
      <c r="A10" s="132"/>
      <c r="B10" s="132"/>
      <c r="C10" s="132"/>
      <c r="D10" s="132"/>
      <c r="E10" s="132"/>
      <c r="F10" s="132"/>
      <c r="G10" s="132"/>
      <c r="H10" s="132"/>
      <c r="I10" s="132"/>
      <c r="J10" s="133"/>
      <c r="K10" s="133"/>
      <c r="L10" s="133"/>
      <c r="M10" s="133"/>
      <c r="N10" s="133"/>
      <c r="O10" s="133"/>
      <c r="P10" s="133"/>
      <c r="Q10" s="133"/>
      <c r="R10" s="134"/>
      <c r="S10" s="134"/>
      <c r="T10" s="134"/>
      <c r="U10" s="134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</row>
    <row r="11" spans="1:55" ht="13.8" customHeight="1" x14ac:dyDescent="0.2">
      <c r="A11" s="130">
        <v>1.1000000000000001</v>
      </c>
      <c r="B11" s="130"/>
      <c r="C11" s="130"/>
      <c r="D11" s="130"/>
      <c r="E11" s="130"/>
      <c r="F11" s="130"/>
      <c r="G11" s="130"/>
      <c r="H11" s="130"/>
      <c r="I11" s="130"/>
      <c r="J11" s="128">
        <v>44292</v>
      </c>
      <c r="K11" s="128"/>
      <c r="L11" s="128"/>
      <c r="M11" s="128"/>
      <c r="N11" s="128"/>
      <c r="O11" s="128"/>
      <c r="P11" s="128"/>
      <c r="Q11" s="128"/>
      <c r="R11" s="125" t="s">
        <v>20</v>
      </c>
      <c r="S11" s="125"/>
      <c r="T11" s="125"/>
      <c r="U11" s="125"/>
      <c r="V11" s="131" t="s">
        <v>21</v>
      </c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29" t="s">
        <v>22</v>
      </c>
      <c r="AU11" s="129"/>
      <c r="AV11" s="129"/>
      <c r="AW11" s="129"/>
      <c r="AX11" s="129"/>
      <c r="AY11" s="129"/>
      <c r="AZ11" s="129"/>
      <c r="BA11" s="129"/>
      <c r="BB11" s="129"/>
      <c r="BC11" s="129"/>
    </row>
    <row r="12" spans="1:55" x14ac:dyDescent="0.2">
      <c r="A12" s="130"/>
      <c r="B12" s="130"/>
      <c r="C12" s="130"/>
      <c r="D12" s="130"/>
      <c r="E12" s="130"/>
      <c r="F12" s="130"/>
      <c r="G12" s="130"/>
      <c r="H12" s="130"/>
      <c r="I12" s="130"/>
      <c r="J12" s="128"/>
      <c r="K12" s="128"/>
      <c r="L12" s="128"/>
      <c r="M12" s="128"/>
      <c r="N12" s="128"/>
      <c r="O12" s="128"/>
      <c r="P12" s="128"/>
      <c r="Q12" s="128"/>
      <c r="R12" s="125"/>
      <c r="S12" s="125"/>
      <c r="T12" s="125"/>
      <c r="U12" s="125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</row>
    <row r="13" spans="1:55" x14ac:dyDescent="0.2">
      <c r="A13" s="130"/>
      <c r="B13" s="130"/>
      <c r="C13" s="130"/>
      <c r="D13" s="130"/>
      <c r="E13" s="130"/>
      <c r="F13" s="130"/>
      <c r="G13" s="130"/>
      <c r="H13" s="130"/>
      <c r="I13" s="130"/>
      <c r="J13" s="128"/>
      <c r="K13" s="128"/>
      <c r="L13" s="128"/>
      <c r="M13" s="128"/>
      <c r="N13" s="128"/>
      <c r="O13" s="128"/>
      <c r="P13" s="128"/>
      <c r="Q13" s="128"/>
      <c r="R13" s="125"/>
      <c r="S13" s="125"/>
      <c r="T13" s="125"/>
      <c r="U13" s="125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</row>
    <row r="14" spans="1:55" ht="13.8" customHeight="1" x14ac:dyDescent="0.2">
      <c r="A14" s="130">
        <v>1.2</v>
      </c>
      <c r="B14" s="130"/>
      <c r="C14" s="130"/>
      <c r="D14" s="130"/>
      <c r="E14" s="130"/>
      <c r="F14" s="130"/>
      <c r="G14" s="130"/>
      <c r="H14" s="130"/>
      <c r="I14" s="130"/>
      <c r="J14" s="128">
        <v>44293</v>
      </c>
      <c r="K14" s="128"/>
      <c r="L14" s="128"/>
      <c r="M14" s="128"/>
      <c r="N14" s="128"/>
      <c r="O14" s="128"/>
      <c r="P14" s="128"/>
      <c r="Q14" s="128"/>
      <c r="R14" s="125" t="s">
        <v>20</v>
      </c>
      <c r="S14" s="125"/>
      <c r="T14" s="125"/>
      <c r="U14" s="125"/>
      <c r="V14" s="131" t="s">
        <v>23</v>
      </c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1"/>
      <c r="AM14" s="131"/>
      <c r="AN14" s="131"/>
      <c r="AO14" s="131"/>
      <c r="AP14" s="131"/>
      <c r="AQ14" s="131"/>
      <c r="AR14" s="131"/>
      <c r="AS14" s="131"/>
      <c r="AT14" s="129" t="s">
        <v>22</v>
      </c>
      <c r="AU14" s="129"/>
      <c r="AV14" s="129"/>
      <c r="AW14" s="129"/>
      <c r="AX14" s="129"/>
      <c r="AY14" s="129"/>
      <c r="AZ14" s="129"/>
      <c r="BA14" s="129"/>
      <c r="BB14" s="129"/>
      <c r="BC14" s="129"/>
    </row>
    <row r="15" spans="1:55" x14ac:dyDescent="0.2">
      <c r="A15" s="130"/>
      <c r="B15" s="130"/>
      <c r="C15" s="130"/>
      <c r="D15" s="130"/>
      <c r="E15" s="130"/>
      <c r="F15" s="130"/>
      <c r="G15" s="130"/>
      <c r="H15" s="130"/>
      <c r="I15" s="130"/>
      <c r="J15" s="128"/>
      <c r="K15" s="128"/>
      <c r="L15" s="128"/>
      <c r="M15" s="128"/>
      <c r="N15" s="128"/>
      <c r="O15" s="128"/>
      <c r="P15" s="128"/>
      <c r="Q15" s="128"/>
      <c r="R15" s="125"/>
      <c r="S15" s="125"/>
      <c r="T15" s="125"/>
      <c r="U15" s="125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  <c r="AN15" s="131"/>
      <c r="AO15" s="131"/>
      <c r="AP15" s="131"/>
      <c r="AQ15" s="131"/>
      <c r="AR15" s="131"/>
      <c r="AS15" s="131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</row>
    <row r="16" spans="1:55" x14ac:dyDescent="0.2">
      <c r="A16" s="130"/>
      <c r="B16" s="130"/>
      <c r="C16" s="130"/>
      <c r="D16" s="130"/>
      <c r="E16" s="130"/>
      <c r="F16" s="130"/>
      <c r="G16" s="130"/>
      <c r="H16" s="130"/>
      <c r="I16" s="130"/>
      <c r="J16" s="128"/>
      <c r="K16" s="128"/>
      <c r="L16" s="128"/>
      <c r="M16" s="128"/>
      <c r="N16" s="128"/>
      <c r="O16" s="128"/>
      <c r="P16" s="128"/>
      <c r="Q16" s="128"/>
      <c r="R16" s="125"/>
      <c r="S16" s="125"/>
      <c r="T16" s="125"/>
      <c r="U16" s="125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</row>
    <row r="17" spans="1:55" ht="13.8" customHeight="1" x14ac:dyDescent="0.2">
      <c r="A17" s="119">
        <v>1.3</v>
      </c>
      <c r="B17" s="119"/>
      <c r="C17" s="119"/>
      <c r="D17" s="119"/>
      <c r="E17" s="119"/>
      <c r="F17" s="119"/>
      <c r="G17" s="119"/>
      <c r="H17" s="119"/>
      <c r="I17" s="119"/>
      <c r="J17" s="128">
        <v>44350</v>
      </c>
      <c r="K17" s="128"/>
      <c r="L17" s="128"/>
      <c r="M17" s="128"/>
      <c r="N17" s="128"/>
      <c r="O17" s="128"/>
      <c r="P17" s="128"/>
      <c r="Q17" s="128"/>
      <c r="R17" s="125" t="s">
        <v>24</v>
      </c>
      <c r="S17" s="125"/>
      <c r="T17" s="125"/>
      <c r="U17" s="125"/>
      <c r="V17" s="126" t="s">
        <v>25</v>
      </c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9" t="s">
        <v>6</v>
      </c>
      <c r="AU17" s="129"/>
      <c r="AV17" s="129"/>
      <c r="AW17" s="129"/>
      <c r="AX17" s="129"/>
      <c r="AY17" s="129"/>
      <c r="AZ17" s="129"/>
      <c r="BA17" s="129"/>
      <c r="BB17" s="129"/>
      <c r="BC17" s="129"/>
    </row>
    <row r="18" spans="1:55" x14ac:dyDescent="0.2">
      <c r="A18" s="119"/>
      <c r="B18" s="119"/>
      <c r="C18" s="119"/>
      <c r="D18" s="119"/>
      <c r="E18" s="119"/>
      <c r="F18" s="119"/>
      <c r="G18" s="119"/>
      <c r="H18" s="119"/>
      <c r="I18" s="119"/>
      <c r="J18" s="128"/>
      <c r="K18" s="128"/>
      <c r="L18" s="128"/>
      <c r="M18" s="128"/>
      <c r="N18" s="128"/>
      <c r="O18" s="128"/>
      <c r="P18" s="128"/>
      <c r="Q18" s="128"/>
      <c r="R18" s="125"/>
      <c r="S18" s="125"/>
      <c r="T18" s="125"/>
      <c r="U18" s="125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</row>
    <row r="19" spans="1:55" x14ac:dyDescent="0.2">
      <c r="A19" s="119"/>
      <c r="B19" s="119"/>
      <c r="C19" s="119"/>
      <c r="D19" s="119"/>
      <c r="E19" s="119"/>
      <c r="F19" s="119"/>
      <c r="G19" s="119"/>
      <c r="H19" s="119"/>
      <c r="I19" s="119"/>
      <c r="J19" s="128"/>
      <c r="K19" s="128"/>
      <c r="L19" s="128"/>
      <c r="M19" s="128"/>
      <c r="N19" s="128"/>
      <c r="O19" s="128"/>
      <c r="P19" s="128"/>
      <c r="Q19" s="128"/>
      <c r="R19" s="125"/>
      <c r="S19" s="125"/>
      <c r="T19" s="125"/>
      <c r="U19" s="125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</row>
    <row r="20" spans="1:55" x14ac:dyDescent="0.2">
      <c r="A20" s="119">
        <v>1.4</v>
      </c>
      <c r="B20" s="119"/>
      <c r="C20" s="119"/>
      <c r="D20" s="119"/>
      <c r="E20" s="119"/>
      <c r="F20" s="119"/>
      <c r="G20" s="119"/>
      <c r="H20" s="119"/>
      <c r="I20" s="119"/>
      <c r="J20" s="120">
        <v>44593</v>
      </c>
      <c r="K20" s="120"/>
      <c r="L20" s="120"/>
      <c r="M20" s="120"/>
      <c r="N20" s="120"/>
      <c r="O20" s="120"/>
      <c r="P20" s="120"/>
      <c r="Q20" s="120"/>
      <c r="R20" s="125" t="s">
        <v>24</v>
      </c>
      <c r="S20" s="125"/>
      <c r="T20" s="125"/>
      <c r="U20" s="125"/>
      <c r="V20" s="126" t="s">
        <v>94</v>
      </c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7" t="s">
        <v>93</v>
      </c>
      <c r="AU20" s="123"/>
      <c r="AV20" s="123"/>
      <c r="AW20" s="123"/>
      <c r="AX20" s="123"/>
      <c r="AY20" s="123"/>
      <c r="AZ20" s="123"/>
      <c r="BA20" s="123"/>
      <c r="BB20" s="123"/>
      <c r="BC20" s="123"/>
    </row>
    <row r="21" spans="1:55" x14ac:dyDescent="0.2">
      <c r="A21" s="119"/>
      <c r="B21" s="119"/>
      <c r="C21" s="119"/>
      <c r="D21" s="119"/>
      <c r="E21" s="119"/>
      <c r="F21" s="119"/>
      <c r="G21" s="119"/>
      <c r="H21" s="119"/>
      <c r="I21" s="119"/>
      <c r="J21" s="120"/>
      <c r="K21" s="120"/>
      <c r="L21" s="120"/>
      <c r="M21" s="120"/>
      <c r="N21" s="120"/>
      <c r="O21" s="120"/>
      <c r="P21" s="120"/>
      <c r="Q21" s="120"/>
      <c r="R21" s="125"/>
      <c r="S21" s="125"/>
      <c r="T21" s="125"/>
      <c r="U21" s="125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</row>
    <row r="22" spans="1:55" x14ac:dyDescent="0.2">
      <c r="A22" s="119"/>
      <c r="B22" s="119"/>
      <c r="C22" s="119"/>
      <c r="D22" s="119"/>
      <c r="E22" s="119"/>
      <c r="F22" s="119"/>
      <c r="G22" s="119"/>
      <c r="H22" s="119"/>
      <c r="I22" s="119"/>
      <c r="J22" s="120"/>
      <c r="K22" s="120"/>
      <c r="L22" s="120"/>
      <c r="M22" s="120"/>
      <c r="N22" s="120"/>
      <c r="O22" s="120"/>
      <c r="P22" s="120"/>
      <c r="Q22" s="120"/>
      <c r="R22" s="125"/>
      <c r="S22" s="125"/>
      <c r="T22" s="125"/>
      <c r="U22" s="125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</row>
    <row r="23" spans="1:55" x14ac:dyDescent="0.2">
      <c r="A23" s="119"/>
      <c r="B23" s="119"/>
      <c r="C23" s="119"/>
      <c r="D23" s="119"/>
      <c r="E23" s="119"/>
      <c r="F23" s="119"/>
      <c r="G23" s="119"/>
      <c r="H23" s="119"/>
      <c r="I23" s="119"/>
      <c r="J23" s="120"/>
      <c r="K23" s="120"/>
      <c r="L23" s="120"/>
      <c r="M23" s="120"/>
      <c r="N23" s="120"/>
      <c r="O23" s="120"/>
      <c r="P23" s="120"/>
      <c r="Q23" s="120"/>
      <c r="R23" s="124"/>
      <c r="S23" s="124"/>
      <c r="T23" s="124"/>
      <c r="U23" s="124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</row>
    <row r="24" spans="1:55" x14ac:dyDescent="0.2">
      <c r="A24" s="119"/>
      <c r="B24" s="119"/>
      <c r="C24" s="119"/>
      <c r="D24" s="119"/>
      <c r="E24" s="119"/>
      <c r="F24" s="119"/>
      <c r="G24" s="119"/>
      <c r="H24" s="119"/>
      <c r="I24" s="119"/>
      <c r="J24" s="120"/>
      <c r="K24" s="120"/>
      <c r="L24" s="120"/>
      <c r="M24" s="120"/>
      <c r="N24" s="120"/>
      <c r="O24" s="120"/>
      <c r="P24" s="120"/>
      <c r="Q24" s="120"/>
      <c r="R24" s="124"/>
      <c r="S24" s="124"/>
      <c r="T24" s="124"/>
      <c r="U24" s="124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</row>
    <row r="25" spans="1:55" x14ac:dyDescent="0.2">
      <c r="A25" s="119"/>
      <c r="B25" s="119"/>
      <c r="C25" s="119"/>
      <c r="D25" s="119"/>
      <c r="E25" s="119"/>
      <c r="F25" s="119"/>
      <c r="G25" s="119"/>
      <c r="H25" s="119"/>
      <c r="I25" s="119"/>
      <c r="J25" s="120"/>
      <c r="K25" s="120"/>
      <c r="L25" s="120"/>
      <c r="M25" s="120"/>
      <c r="N25" s="120"/>
      <c r="O25" s="120"/>
      <c r="P25" s="120"/>
      <c r="Q25" s="120"/>
      <c r="R25" s="124"/>
      <c r="S25" s="124"/>
      <c r="T25" s="124"/>
      <c r="U25" s="124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</row>
    <row r="26" spans="1:55" x14ac:dyDescent="0.2">
      <c r="A26" s="119"/>
      <c r="B26" s="119"/>
      <c r="C26" s="119"/>
      <c r="D26" s="119"/>
      <c r="E26" s="119"/>
      <c r="F26" s="119"/>
      <c r="G26" s="119"/>
      <c r="H26" s="119"/>
      <c r="I26" s="119"/>
      <c r="J26" s="120"/>
      <c r="K26" s="120"/>
      <c r="L26" s="120"/>
      <c r="M26" s="120"/>
      <c r="N26" s="120"/>
      <c r="O26" s="120"/>
      <c r="P26" s="120"/>
      <c r="Q26" s="120"/>
      <c r="R26" s="121"/>
      <c r="S26" s="121"/>
      <c r="T26" s="121"/>
      <c r="U26" s="121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3"/>
      <c r="AU26" s="123"/>
      <c r="AV26" s="123"/>
      <c r="AW26" s="123"/>
      <c r="AX26" s="123"/>
      <c r="AY26" s="123"/>
      <c r="AZ26" s="123"/>
      <c r="BA26" s="123"/>
      <c r="BB26" s="123"/>
      <c r="BC26" s="123"/>
    </row>
    <row r="27" spans="1:55" x14ac:dyDescent="0.2">
      <c r="A27" s="119"/>
      <c r="B27" s="119"/>
      <c r="C27" s="119"/>
      <c r="D27" s="119"/>
      <c r="E27" s="119"/>
      <c r="F27" s="119"/>
      <c r="G27" s="119"/>
      <c r="H27" s="119"/>
      <c r="I27" s="119"/>
      <c r="J27" s="120"/>
      <c r="K27" s="120"/>
      <c r="L27" s="120"/>
      <c r="M27" s="120"/>
      <c r="N27" s="120"/>
      <c r="O27" s="120"/>
      <c r="P27" s="120"/>
      <c r="Q27" s="120"/>
      <c r="R27" s="121"/>
      <c r="S27" s="121"/>
      <c r="T27" s="121"/>
      <c r="U27" s="121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</row>
    <row r="28" spans="1:55" x14ac:dyDescent="0.2">
      <c r="A28" s="119"/>
      <c r="B28" s="119"/>
      <c r="C28" s="119"/>
      <c r="D28" s="119"/>
      <c r="E28" s="119"/>
      <c r="F28" s="119"/>
      <c r="G28" s="119"/>
      <c r="H28" s="119"/>
      <c r="I28" s="119"/>
      <c r="J28" s="120"/>
      <c r="K28" s="120"/>
      <c r="L28" s="120"/>
      <c r="M28" s="120"/>
      <c r="N28" s="120"/>
      <c r="O28" s="120"/>
      <c r="P28" s="120"/>
      <c r="Q28" s="120"/>
      <c r="R28" s="121"/>
      <c r="S28" s="121"/>
      <c r="T28" s="121"/>
      <c r="U28" s="121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3"/>
      <c r="AU28" s="123"/>
      <c r="AV28" s="123"/>
      <c r="AW28" s="123"/>
      <c r="AX28" s="123"/>
      <c r="AY28" s="123"/>
      <c r="AZ28" s="123"/>
      <c r="BA28" s="123"/>
      <c r="BB28" s="123"/>
      <c r="BC28" s="123"/>
    </row>
    <row r="29" spans="1:55" x14ac:dyDescent="0.2">
      <c r="A29" s="114"/>
      <c r="B29" s="114"/>
      <c r="C29" s="114"/>
      <c r="D29" s="114"/>
      <c r="E29" s="114"/>
      <c r="F29" s="114"/>
      <c r="G29" s="114"/>
      <c r="H29" s="114"/>
      <c r="I29" s="114"/>
      <c r="J29" s="115"/>
      <c r="K29" s="115"/>
      <c r="L29" s="115"/>
      <c r="M29" s="115"/>
      <c r="N29" s="115"/>
      <c r="O29" s="115"/>
      <c r="P29" s="115"/>
      <c r="Q29" s="115"/>
      <c r="R29" s="116"/>
      <c r="S29" s="116"/>
      <c r="T29" s="116"/>
      <c r="U29" s="116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</row>
    <row r="30" spans="1:55" x14ac:dyDescent="0.2">
      <c r="A30" s="114"/>
      <c r="B30" s="114"/>
      <c r="C30" s="114"/>
      <c r="D30" s="114"/>
      <c r="E30" s="114"/>
      <c r="F30" s="114"/>
      <c r="G30" s="114"/>
      <c r="H30" s="114"/>
      <c r="I30" s="114"/>
      <c r="J30" s="115"/>
      <c r="K30" s="115"/>
      <c r="L30" s="115"/>
      <c r="M30" s="115"/>
      <c r="N30" s="115"/>
      <c r="O30" s="115"/>
      <c r="P30" s="115"/>
      <c r="Q30" s="115"/>
      <c r="R30" s="116"/>
      <c r="S30" s="116"/>
      <c r="T30" s="116"/>
      <c r="U30" s="116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</row>
    <row r="31" spans="1:55" x14ac:dyDescent="0.2">
      <c r="A31" s="114"/>
      <c r="B31" s="114"/>
      <c r="C31" s="114"/>
      <c r="D31" s="114"/>
      <c r="E31" s="114"/>
      <c r="F31" s="114"/>
      <c r="G31" s="114"/>
      <c r="H31" s="114"/>
      <c r="I31" s="114"/>
      <c r="J31" s="115"/>
      <c r="K31" s="115"/>
      <c r="L31" s="115"/>
      <c r="M31" s="115"/>
      <c r="N31" s="115"/>
      <c r="O31" s="115"/>
      <c r="P31" s="115"/>
      <c r="Q31" s="115"/>
      <c r="R31" s="116"/>
      <c r="S31" s="116"/>
      <c r="T31" s="116"/>
      <c r="U31" s="116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</row>
  </sheetData>
  <mergeCells count="59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</mergeCells>
  <phoneticPr fontId="25"/>
  <pageMargins left="0.25208333333333299" right="0.25208333333333299" top="1.0249999999999999" bottom="1.0249999999999999" header="0.78749999999999998" footer="0.78749999999999998"/>
  <pageSetup paperSize="77" scale="68" firstPageNumber="0" orientation="landscape" horizontalDpi="300" verticalDpi="300" r:id="rId1"/>
  <headerFooter>
    <oddHeader>&amp;C&amp;"Arial,標準"&amp;10&amp;A</oddHeader>
    <oddFooter>&amp;C&amp;"Arial,標準"&amp;10ページ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D51"/>
  <sheetViews>
    <sheetView showGridLines="0" view="pageBreakPreview" zoomScaleNormal="55" workbookViewId="0">
      <selection sqref="A1:I1"/>
    </sheetView>
  </sheetViews>
  <sheetFormatPr defaultColWidth="11.6640625" defaultRowHeight="13.2" x14ac:dyDescent="0.2"/>
  <cols>
    <col min="1" max="55" width="2.6640625" customWidth="1"/>
  </cols>
  <sheetData>
    <row r="1" spans="1:55" ht="15" customHeight="1" x14ac:dyDescent="0.2">
      <c r="A1" s="148" t="s">
        <v>7</v>
      </c>
      <c r="B1" s="148"/>
      <c r="C1" s="148"/>
      <c r="D1" s="148"/>
      <c r="E1" s="148"/>
      <c r="F1" s="148"/>
      <c r="G1" s="148"/>
      <c r="H1" s="148"/>
      <c r="I1" s="148"/>
      <c r="J1" s="149" t="s">
        <v>8</v>
      </c>
      <c r="K1" s="149"/>
      <c r="L1" s="149"/>
      <c r="M1" s="149"/>
      <c r="N1" s="149"/>
      <c r="O1" s="149"/>
      <c r="P1" s="149"/>
      <c r="Q1" s="149"/>
      <c r="R1" s="150" t="s">
        <v>2</v>
      </c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1" t="s">
        <v>3</v>
      </c>
      <c r="AK1" s="151"/>
      <c r="AL1" s="151"/>
      <c r="AM1" s="151"/>
      <c r="AN1" s="151"/>
      <c r="AO1" s="140" t="s">
        <v>9</v>
      </c>
      <c r="AP1" s="140"/>
      <c r="AQ1" s="140"/>
      <c r="AR1" s="140"/>
      <c r="AS1" s="140"/>
      <c r="AT1" s="140" t="s">
        <v>10</v>
      </c>
      <c r="AU1" s="140"/>
      <c r="AV1" s="140"/>
      <c r="AW1" s="140"/>
      <c r="AX1" s="140"/>
      <c r="AY1" s="166" t="s">
        <v>11</v>
      </c>
      <c r="AZ1" s="166"/>
      <c r="BA1" s="166"/>
      <c r="BB1" s="166"/>
      <c r="BC1" s="166"/>
    </row>
    <row r="2" spans="1:55" ht="15.9" customHeight="1" x14ac:dyDescent="0.2">
      <c r="A2" s="142" t="str">
        <f>表紙!O9</f>
        <v>体験型Java研修</v>
      </c>
      <c r="B2" s="142"/>
      <c r="C2" s="142"/>
      <c r="D2" s="142"/>
      <c r="E2" s="142"/>
      <c r="F2" s="142"/>
      <c r="G2" s="142"/>
      <c r="H2" s="142"/>
      <c r="I2" s="142"/>
      <c r="J2" s="143" t="str">
        <f>表紙!O8</f>
        <v>LMS学習管理システム</v>
      </c>
      <c r="K2" s="143"/>
      <c r="L2" s="143"/>
      <c r="M2" s="143"/>
      <c r="N2" s="143"/>
      <c r="O2" s="143"/>
      <c r="P2" s="143"/>
      <c r="Q2" s="143"/>
      <c r="R2" s="167" t="str">
        <f>表紙!S10</f>
        <v>利用規約画面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45" t="s">
        <v>6</v>
      </c>
      <c r="AK2" s="145"/>
      <c r="AL2" s="145"/>
      <c r="AM2" s="145"/>
      <c r="AN2" s="145"/>
      <c r="AO2" s="146">
        <v>44287</v>
      </c>
      <c r="AP2" s="146"/>
      <c r="AQ2" s="146"/>
      <c r="AR2" s="146"/>
      <c r="AS2" s="146"/>
      <c r="AT2" s="168" t="s">
        <v>93</v>
      </c>
      <c r="AU2" s="168"/>
      <c r="AV2" s="168"/>
      <c r="AW2" s="168"/>
      <c r="AX2" s="168"/>
      <c r="AY2" s="169">
        <v>44593</v>
      </c>
      <c r="AZ2" s="169"/>
      <c r="BA2" s="169"/>
      <c r="BB2" s="169"/>
      <c r="BC2" s="169"/>
    </row>
    <row r="3" spans="1:55" x14ac:dyDescent="0.2">
      <c r="A3" s="142"/>
      <c r="B3" s="142"/>
      <c r="C3" s="142"/>
      <c r="D3" s="142"/>
      <c r="E3" s="142"/>
      <c r="F3" s="142"/>
      <c r="G3" s="142"/>
      <c r="H3" s="142"/>
      <c r="I3" s="142"/>
      <c r="J3" s="143"/>
      <c r="K3" s="143"/>
      <c r="L3" s="143"/>
      <c r="M3" s="143"/>
      <c r="N3" s="143"/>
      <c r="O3" s="143"/>
      <c r="P3" s="143"/>
      <c r="Q3" s="143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45"/>
      <c r="AK3" s="145"/>
      <c r="AL3" s="145"/>
      <c r="AM3" s="145"/>
      <c r="AN3" s="145"/>
      <c r="AO3" s="146"/>
      <c r="AP3" s="146"/>
      <c r="AQ3" s="146"/>
      <c r="AR3" s="146"/>
      <c r="AS3" s="146"/>
      <c r="AT3" s="168"/>
      <c r="AU3" s="168"/>
      <c r="AV3" s="168"/>
      <c r="AW3" s="168"/>
      <c r="AX3" s="168"/>
      <c r="AY3" s="169"/>
      <c r="AZ3" s="169"/>
      <c r="BA3" s="169"/>
      <c r="BB3" s="169"/>
      <c r="BC3" s="169"/>
    </row>
    <row r="5" spans="1:55" x14ac:dyDescent="0.2">
      <c r="B5" s="22" t="s">
        <v>26</v>
      </c>
    </row>
    <row r="30" spans="2:2" x14ac:dyDescent="0.2">
      <c r="B30" s="23" t="s">
        <v>27</v>
      </c>
    </row>
    <row r="37" spans="1:56" x14ac:dyDescent="0.2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</row>
    <row r="38" spans="1:56" x14ac:dyDescent="0.2">
      <c r="A38" s="24"/>
      <c r="B38" s="25" t="s">
        <v>28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 t="s">
        <v>29</v>
      </c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</row>
    <row r="39" spans="1:56" ht="20.399999999999999" customHeight="1" x14ac:dyDescent="0.2">
      <c r="A39" s="24"/>
      <c r="B39" s="164" t="s">
        <v>30</v>
      </c>
      <c r="C39" s="164"/>
      <c r="D39" s="164" t="s">
        <v>31</v>
      </c>
      <c r="E39" s="164"/>
      <c r="F39" s="164"/>
      <c r="G39" s="164"/>
      <c r="H39" s="164"/>
      <c r="I39" s="164"/>
      <c r="J39" s="164"/>
      <c r="K39" s="164"/>
      <c r="L39" s="164"/>
      <c r="M39" s="164"/>
      <c r="N39" s="164" t="s">
        <v>32</v>
      </c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 t="s">
        <v>33</v>
      </c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164"/>
      <c r="AT39" s="164"/>
      <c r="AU39" s="164"/>
      <c r="AV39" s="164"/>
      <c r="AW39" s="164"/>
      <c r="AX39" s="165" t="s">
        <v>34</v>
      </c>
      <c r="AY39" s="165"/>
      <c r="AZ39" s="165"/>
      <c r="BA39" s="165"/>
      <c r="BB39" s="165"/>
    </row>
    <row r="40" spans="1:56" x14ac:dyDescent="0.2">
      <c r="A40" s="2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 t="s">
        <v>35</v>
      </c>
      <c r="O40" s="164"/>
      <c r="P40" s="164"/>
      <c r="Q40" s="164"/>
      <c r="R40" s="164"/>
      <c r="S40" s="164"/>
      <c r="T40" s="164"/>
      <c r="U40" s="164"/>
      <c r="V40" s="164" t="s">
        <v>36</v>
      </c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4"/>
      <c r="AX40" s="98" t="s">
        <v>37</v>
      </c>
      <c r="AY40" s="98" t="s">
        <v>38</v>
      </c>
      <c r="AZ40" s="102" t="s">
        <v>39</v>
      </c>
      <c r="BA40" s="102" t="s">
        <v>40</v>
      </c>
      <c r="BB40" s="99" t="s">
        <v>41</v>
      </c>
    </row>
    <row r="41" spans="1:56" ht="13.8" customHeight="1" x14ac:dyDescent="0.2">
      <c r="A41" s="24"/>
      <c r="B41" s="153">
        <v>1</v>
      </c>
      <c r="C41" s="153"/>
      <c r="D41" s="154" t="s">
        <v>42</v>
      </c>
      <c r="E41" s="154"/>
      <c r="F41" s="154"/>
      <c r="G41" s="154"/>
      <c r="H41" s="154"/>
      <c r="I41" s="154"/>
      <c r="J41" s="154"/>
      <c r="K41" s="154"/>
      <c r="L41" s="154"/>
      <c r="M41" s="154"/>
      <c r="N41" s="154" t="s">
        <v>43</v>
      </c>
      <c r="O41" s="154"/>
      <c r="P41" s="154"/>
      <c r="Q41" s="154"/>
      <c r="R41" s="154"/>
      <c r="S41" s="154"/>
      <c r="T41" s="154"/>
      <c r="U41" s="154"/>
      <c r="V41" s="162" t="s">
        <v>43</v>
      </c>
      <c r="W41" s="162"/>
      <c r="X41" s="162"/>
      <c r="Y41" s="162"/>
      <c r="Z41" s="162"/>
      <c r="AA41" s="162"/>
      <c r="AB41" s="162"/>
      <c r="AC41" s="162"/>
      <c r="AD41" s="162" t="s">
        <v>100</v>
      </c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00" t="s">
        <v>44</v>
      </c>
      <c r="AY41" s="100" t="s">
        <v>44</v>
      </c>
      <c r="AZ41" s="100" t="s">
        <v>44</v>
      </c>
      <c r="BA41" s="100" t="s">
        <v>103</v>
      </c>
      <c r="BB41" s="101"/>
    </row>
    <row r="42" spans="1:56" ht="61.2" customHeight="1" x14ac:dyDescent="0.2">
      <c r="A42" s="24"/>
      <c r="B42" s="153">
        <v>2</v>
      </c>
      <c r="C42" s="153"/>
      <c r="D42" s="154" t="s">
        <v>45</v>
      </c>
      <c r="E42" s="154"/>
      <c r="F42" s="154"/>
      <c r="G42" s="154"/>
      <c r="H42" s="154"/>
      <c r="I42" s="154"/>
      <c r="J42" s="154"/>
      <c r="K42" s="154"/>
      <c r="L42" s="154"/>
      <c r="M42" s="154"/>
      <c r="N42" s="154" t="s">
        <v>43</v>
      </c>
      <c r="O42" s="154"/>
      <c r="P42" s="154"/>
      <c r="Q42" s="154"/>
      <c r="R42" s="154"/>
      <c r="S42" s="154"/>
      <c r="T42" s="154"/>
      <c r="U42" s="154"/>
      <c r="V42" s="162" t="s">
        <v>43</v>
      </c>
      <c r="W42" s="162"/>
      <c r="X42" s="162"/>
      <c r="Y42" s="162"/>
      <c r="Z42" s="162"/>
      <c r="AA42" s="162"/>
      <c r="AB42" s="162"/>
      <c r="AC42" s="162"/>
      <c r="AD42" s="163" t="s">
        <v>101</v>
      </c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  <c r="AV42" s="163"/>
      <c r="AW42" s="163"/>
      <c r="AX42" s="100" t="s">
        <v>44</v>
      </c>
      <c r="AY42" s="100" t="s">
        <v>44</v>
      </c>
      <c r="AZ42" s="100" t="s">
        <v>44</v>
      </c>
      <c r="BA42" s="100" t="s">
        <v>103</v>
      </c>
      <c r="BB42" s="101"/>
    </row>
    <row r="43" spans="1:56" ht="32.4" customHeight="1" x14ac:dyDescent="0.2">
      <c r="A43" s="24"/>
      <c r="B43" s="153">
        <v>3</v>
      </c>
      <c r="C43" s="153"/>
      <c r="D43" s="154" t="s">
        <v>46</v>
      </c>
      <c r="E43" s="154"/>
      <c r="F43" s="154"/>
      <c r="G43" s="154"/>
      <c r="H43" s="154"/>
      <c r="I43" s="154"/>
      <c r="J43" s="154"/>
      <c r="K43" s="154"/>
      <c r="L43" s="154"/>
      <c r="M43" s="154"/>
      <c r="N43" s="154" t="s">
        <v>43</v>
      </c>
      <c r="O43" s="154"/>
      <c r="P43" s="154"/>
      <c r="Q43" s="154"/>
      <c r="R43" s="154"/>
      <c r="S43" s="154"/>
      <c r="T43" s="154"/>
      <c r="U43" s="154"/>
      <c r="V43" s="154" t="s">
        <v>43</v>
      </c>
      <c r="W43" s="154"/>
      <c r="X43" s="154"/>
      <c r="Y43" s="154"/>
      <c r="Z43" s="154"/>
      <c r="AA43" s="154"/>
      <c r="AB43" s="154"/>
      <c r="AC43" s="154"/>
      <c r="AD43" s="160" t="s">
        <v>102</v>
      </c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100" t="s">
        <v>44</v>
      </c>
      <c r="AY43" s="100" t="s">
        <v>44</v>
      </c>
      <c r="AZ43" s="100" t="s">
        <v>44</v>
      </c>
      <c r="BA43" s="100" t="s">
        <v>103</v>
      </c>
      <c r="BB43" s="101"/>
      <c r="BD43" s="97" t="s">
        <v>96</v>
      </c>
    </row>
    <row r="44" spans="1:56" x14ac:dyDescent="0.2">
      <c r="A44" s="24"/>
      <c r="B44" s="153">
        <v>4</v>
      </c>
      <c r="C44" s="153"/>
      <c r="D44" s="154" t="s">
        <v>105</v>
      </c>
      <c r="E44" s="154"/>
      <c r="F44" s="154"/>
      <c r="G44" s="154"/>
      <c r="H44" s="154"/>
      <c r="I44" s="154"/>
      <c r="J44" s="154"/>
      <c r="K44" s="154"/>
      <c r="L44" s="154"/>
      <c r="M44" s="154"/>
      <c r="N44" s="154" t="s">
        <v>43</v>
      </c>
      <c r="O44" s="154"/>
      <c r="P44" s="154"/>
      <c r="Q44" s="154"/>
      <c r="R44" s="154"/>
      <c r="S44" s="154"/>
      <c r="T44" s="154"/>
      <c r="U44" s="154"/>
      <c r="V44" s="154" t="s">
        <v>43</v>
      </c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  <c r="AK44" s="154"/>
      <c r="AL44" s="154"/>
      <c r="AM44" s="154"/>
      <c r="AN44" s="154"/>
      <c r="AO44" s="154"/>
      <c r="AP44" s="154"/>
      <c r="AQ44" s="154"/>
      <c r="AR44" s="154"/>
      <c r="AS44" s="154"/>
      <c r="AT44" s="154"/>
      <c r="AU44" s="154"/>
      <c r="AV44" s="154"/>
      <c r="AW44" s="154"/>
      <c r="AX44" s="100" t="s">
        <v>44</v>
      </c>
      <c r="AY44" s="100" t="s">
        <v>44</v>
      </c>
      <c r="AZ44" s="100" t="s">
        <v>44</v>
      </c>
      <c r="BA44" s="100" t="s">
        <v>103</v>
      </c>
      <c r="BB44" s="101"/>
    </row>
    <row r="45" spans="1:56" x14ac:dyDescent="0.2">
      <c r="A45" s="24"/>
      <c r="B45" s="153">
        <v>5</v>
      </c>
      <c r="C45" s="153"/>
      <c r="D45" s="154" t="s">
        <v>47</v>
      </c>
      <c r="E45" s="154"/>
      <c r="F45" s="154"/>
      <c r="G45" s="154"/>
      <c r="H45" s="154"/>
      <c r="I45" s="154"/>
      <c r="J45" s="154"/>
      <c r="K45" s="154"/>
      <c r="L45" s="154"/>
      <c r="M45" s="154"/>
      <c r="N45" s="154" t="s">
        <v>43</v>
      </c>
      <c r="O45" s="154"/>
      <c r="P45" s="154"/>
      <c r="Q45" s="154"/>
      <c r="R45" s="154"/>
      <c r="S45" s="154"/>
      <c r="T45" s="154"/>
      <c r="U45" s="154"/>
      <c r="V45" s="154" t="s">
        <v>43</v>
      </c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  <c r="AK45" s="154"/>
      <c r="AL45" s="154"/>
      <c r="AM45" s="154"/>
      <c r="AN45" s="154"/>
      <c r="AO45" s="154"/>
      <c r="AP45" s="154"/>
      <c r="AQ45" s="154"/>
      <c r="AR45" s="154"/>
      <c r="AS45" s="154"/>
      <c r="AT45" s="154"/>
      <c r="AU45" s="154"/>
      <c r="AV45" s="154"/>
      <c r="AW45" s="154"/>
      <c r="AX45" s="100" t="s">
        <v>44</v>
      </c>
      <c r="AY45" s="100" t="s">
        <v>44</v>
      </c>
      <c r="AZ45" s="100" t="s">
        <v>44</v>
      </c>
      <c r="BA45" s="100" t="s">
        <v>103</v>
      </c>
      <c r="BB45" s="101"/>
    </row>
    <row r="46" spans="1:56" x14ac:dyDescent="0.2">
      <c r="A46" s="24"/>
      <c r="B46" s="26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</row>
    <row r="47" spans="1:56" x14ac:dyDescent="0.2">
      <c r="A47" s="24"/>
      <c r="B47" s="25" t="s">
        <v>48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</row>
    <row r="48" spans="1:56" ht="13.8" customHeight="1" x14ac:dyDescent="0.2">
      <c r="A48" s="24"/>
      <c r="B48" s="159" t="s">
        <v>30</v>
      </c>
      <c r="C48" s="159"/>
      <c r="D48" s="159" t="s">
        <v>31</v>
      </c>
      <c r="E48" s="159"/>
      <c r="F48" s="159"/>
      <c r="G48" s="159"/>
      <c r="H48" s="159"/>
      <c r="I48" s="159"/>
      <c r="J48" s="159"/>
      <c r="K48" s="159"/>
      <c r="L48" s="159"/>
      <c r="M48" s="159"/>
      <c r="N48" s="159" t="s">
        <v>49</v>
      </c>
      <c r="O48" s="159"/>
      <c r="P48" s="159"/>
      <c r="Q48" s="159"/>
      <c r="R48" s="159"/>
      <c r="S48" s="159"/>
      <c r="T48" s="159"/>
      <c r="U48" s="159" t="s">
        <v>50</v>
      </c>
      <c r="V48" s="159"/>
      <c r="W48" s="159"/>
      <c r="X48" s="159"/>
      <c r="Y48" s="159"/>
      <c r="Z48" s="159"/>
      <c r="AA48" s="159"/>
      <c r="AB48" s="159" t="s">
        <v>51</v>
      </c>
      <c r="AC48" s="159"/>
      <c r="AD48" s="159" t="s">
        <v>52</v>
      </c>
      <c r="AE48" s="159"/>
      <c r="AF48" s="159" t="s">
        <v>53</v>
      </c>
      <c r="AG48" s="159"/>
      <c r="AH48" s="159" t="s">
        <v>54</v>
      </c>
      <c r="AI48" s="159"/>
      <c r="AJ48" s="159" t="s">
        <v>55</v>
      </c>
      <c r="AK48" s="159"/>
      <c r="AL48" s="159"/>
      <c r="AM48" s="159"/>
      <c r="AN48" s="158" t="s">
        <v>56</v>
      </c>
      <c r="AO48" s="158"/>
      <c r="AP48" s="159" t="s">
        <v>33</v>
      </c>
      <c r="AQ48" s="159"/>
      <c r="AR48" s="159"/>
      <c r="AS48" s="159"/>
      <c r="AT48" s="159"/>
      <c r="AU48" s="159"/>
      <c r="AV48" s="159"/>
      <c r="AW48" s="159"/>
      <c r="AX48" s="159"/>
      <c r="AY48" s="159"/>
    </row>
    <row r="49" spans="1:55" x14ac:dyDescent="0.2">
      <c r="A49" s="24"/>
      <c r="B49" s="159" t="s">
        <v>30</v>
      </c>
      <c r="C49" s="159"/>
      <c r="D49" s="159" t="s">
        <v>31</v>
      </c>
      <c r="E49" s="159"/>
      <c r="F49" s="159"/>
      <c r="G49" s="159"/>
      <c r="H49" s="159"/>
      <c r="I49" s="159"/>
      <c r="J49" s="159"/>
      <c r="K49" s="159"/>
      <c r="L49" s="159"/>
      <c r="M49" s="159"/>
      <c r="N49" s="159" t="s">
        <v>49</v>
      </c>
      <c r="O49" s="159"/>
      <c r="P49" s="159"/>
      <c r="Q49" s="159"/>
      <c r="R49" s="159"/>
      <c r="S49" s="159"/>
      <c r="T49" s="159"/>
      <c r="U49" s="159" t="s">
        <v>50</v>
      </c>
      <c r="V49" s="159"/>
      <c r="W49" s="159"/>
      <c r="X49" s="159"/>
      <c r="Y49" s="159"/>
      <c r="Z49" s="159"/>
      <c r="AA49" s="159"/>
      <c r="AB49" s="159" t="s">
        <v>57</v>
      </c>
      <c r="AC49" s="159"/>
      <c r="AD49" s="159" t="s">
        <v>52</v>
      </c>
      <c r="AE49" s="159"/>
      <c r="AF49" s="159" t="s">
        <v>53</v>
      </c>
      <c r="AG49" s="159"/>
      <c r="AH49" s="159" t="s">
        <v>54</v>
      </c>
      <c r="AI49" s="159"/>
      <c r="AJ49" s="159" t="s">
        <v>58</v>
      </c>
      <c r="AK49" s="159"/>
      <c r="AL49" s="159"/>
      <c r="AM49" s="159"/>
      <c r="AN49" s="158" t="s">
        <v>59</v>
      </c>
      <c r="AO49" s="158"/>
      <c r="AP49" s="159" t="s">
        <v>33</v>
      </c>
      <c r="AQ49" s="159"/>
      <c r="AR49" s="159"/>
      <c r="AS49" s="159"/>
      <c r="AT49" s="159"/>
      <c r="AU49" s="159"/>
      <c r="AV49" s="159"/>
      <c r="AW49" s="159"/>
      <c r="AX49" s="159"/>
      <c r="AY49" s="159"/>
    </row>
    <row r="50" spans="1:55" s="29" customFormat="1" x14ac:dyDescent="0.2">
      <c r="A50" s="28"/>
      <c r="B50" s="152" t="s">
        <v>104</v>
      </c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/>
      <c r="BA50"/>
      <c r="BB50"/>
      <c r="BC50" s="28"/>
    </row>
    <row r="51" spans="1:55" ht="13.8" customHeight="1" x14ac:dyDescent="0.2">
      <c r="A51" s="24"/>
      <c r="B51" s="153">
        <v>1</v>
      </c>
      <c r="C51" s="153"/>
      <c r="D51" s="154" t="s">
        <v>106</v>
      </c>
      <c r="E51" s="154"/>
      <c r="F51" s="154"/>
      <c r="G51" s="154"/>
      <c r="H51" s="154"/>
      <c r="I51" s="154"/>
      <c r="J51" s="154"/>
      <c r="K51" s="154"/>
      <c r="L51" s="154"/>
      <c r="M51" s="154"/>
      <c r="N51" s="154" t="s">
        <v>60</v>
      </c>
      <c r="O51" s="154"/>
      <c r="P51" s="154"/>
      <c r="Q51" s="154"/>
      <c r="R51" s="154"/>
      <c r="S51" s="154"/>
      <c r="T51" s="154"/>
      <c r="U51" s="154" t="s">
        <v>61</v>
      </c>
      <c r="V51" s="154"/>
      <c r="W51" s="154"/>
      <c r="X51" s="154"/>
      <c r="Y51" s="154"/>
      <c r="Z51" s="154"/>
      <c r="AA51" s="154"/>
      <c r="AB51" s="153" t="s">
        <v>43</v>
      </c>
      <c r="AC51" s="153"/>
      <c r="AD51" s="153" t="s">
        <v>43</v>
      </c>
      <c r="AE51" s="153"/>
      <c r="AF51" s="153" t="s">
        <v>43</v>
      </c>
      <c r="AG51" s="153"/>
      <c r="AH51" s="153" t="s">
        <v>43</v>
      </c>
      <c r="AI51" s="153"/>
      <c r="AJ51" s="155" t="s">
        <v>43</v>
      </c>
      <c r="AK51" s="155"/>
      <c r="AL51" s="155"/>
      <c r="AM51" s="155"/>
      <c r="AN51" s="156" t="s">
        <v>62</v>
      </c>
      <c r="AO51" s="156"/>
      <c r="AP51" s="157"/>
      <c r="AQ51" s="157"/>
      <c r="AR51" s="157"/>
      <c r="AS51" s="157"/>
      <c r="AT51" s="157"/>
      <c r="AU51" s="157"/>
      <c r="AV51" s="157"/>
      <c r="AW51" s="157"/>
      <c r="AX51" s="157"/>
      <c r="AY51" s="157"/>
    </row>
  </sheetData>
  <mergeCells count="70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39:C40"/>
    <mergeCell ref="D39:M40"/>
    <mergeCell ref="N39:AC39"/>
    <mergeCell ref="AD39:AW40"/>
    <mergeCell ref="AX39:BB39"/>
    <mergeCell ref="N40:U40"/>
    <mergeCell ref="V40:AC40"/>
    <mergeCell ref="B41:C41"/>
    <mergeCell ref="D41:M41"/>
    <mergeCell ref="N41:U41"/>
    <mergeCell ref="V41:AC41"/>
    <mergeCell ref="AD41:AW41"/>
    <mergeCell ref="B42:C42"/>
    <mergeCell ref="D42:M42"/>
    <mergeCell ref="N42:U42"/>
    <mergeCell ref="V42:AC42"/>
    <mergeCell ref="AD42:AW42"/>
    <mergeCell ref="B43:C43"/>
    <mergeCell ref="D43:M43"/>
    <mergeCell ref="N43:U43"/>
    <mergeCell ref="V43:AC43"/>
    <mergeCell ref="AD43:AW43"/>
    <mergeCell ref="B44:C44"/>
    <mergeCell ref="D44:M44"/>
    <mergeCell ref="N44:U44"/>
    <mergeCell ref="V44:AC44"/>
    <mergeCell ref="AD44:AW44"/>
    <mergeCell ref="B45:C45"/>
    <mergeCell ref="D45:M45"/>
    <mergeCell ref="N45:U45"/>
    <mergeCell ref="V45:AC45"/>
    <mergeCell ref="AD45:AW45"/>
    <mergeCell ref="B48:C49"/>
    <mergeCell ref="D48:M49"/>
    <mergeCell ref="N48:T49"/>
    <mergeCell ref="U48:AA49"/>
    <mergeCell ref="AB48:AM48"/>
    <mergeCell ref="AN48:AO49"/>
    <mergeCell ref="AP48:AY49"/>
    <mergeCell ref="AB49:AC49"/>
    <mergeCell ref="AD49:AE49"/>
    <mergeCell ref="AF49:AG49"/>
    <mergeCell ref="AH49:AI49"/>
    <mergeCell ref="AJ49:AM49"/>
    <mergeCell ref="B50:AY50"/>
    <mergeCell ref="B51:C51"/>
    <mergeCell ref="D51:M51"/>
    <mergeCell ref="N51:T51"/>
    <mergeCell ref="U51:AA51"/>
    <mergeCell ref="AB51:AC51"/>
    <mergeCell ref="AD51:AE51"/>
    <mergeCell ref="AF51:AG51"/>
    <mergeCell ref="AH51:AI51"/>
    <mergeCell ref="AJ51:AM51"/>
    <mergeCell ref="AN51:AO51"/>
    <mergeCell ref="AP51:AY51"/>
  </mergeCells>
  <phoneticPr fontId="25"/>
  <dataValidations count="1">
    <dataValidation type="list" operator="equal" allowBlank="1" showErrorMessage="1" sqref="AN51" xr:uid="{00000000-0002-0000-0200-000000000000}">
      <formula1>"-,POST,GET"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scale="53" firstPageNumber="0" orientation="portrait" horizontalDpi="300" verticalDpi="300" r:id="rId1"/>
  <headerFooter>
    <oddHeader>&amp;C&amp;"Arial,標準"&amp;10&amp;A</oddHeader>
    <oddFooter>&amp;C&amp;"Arial,標準"&amp;10ページ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C49"/>
  <sheetViews>
    <sheetView showGridLines="0" view="pageBreakPreview" zoomScaleNormal="55" workbookViewId="0">
      <selection sqref="A1:I1"/>
    </sheetView>
  </sheetViews>
  <sheetFormatPr defaultColWidth="11.6640625" defaultRowHeight="13.2" x14ac:dyDescent="0.2"/>
  <cols>
    <col min="1" max="55" width="2.6640625" customWidth="1"/>
  </cols>
  <sheetData>
    <row r="1" spans="1:55" ht="15" customHeight="1" x14ac:dyDescent="0.2">
      <c r="A1" s="148" t="s">
        <v>7</v>
      </c>
      <c r="B1" s="148"/>
      <c r="C1" s="148"/>
      <c r="D1" s="148"/>
      <c r="E1" s="148"/>
      <c r="F1" s="148"/>
      <c r="G1" s="148"/>
      <c r="H1" s="148"/>
      <c r="I1" s="148"/>
      <c r="J1" s="149" t="s">
        <v>8</v>
      </c>
      <c r="K1" s="149"/>
      <c r="L1" s="149"/>
      <c r="M1" s="149"/>
      <c r="N1" s="149"/>
      <c r="O1" s="149"/>
      <c r="P1" s="149"/>
      <c r="Q1" s="149"/>
      <c r="R1" s="150" t="s">
        <v>2</v>
      </c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1" t="s">
        <v>3</v>
      </c>
      <c r="AK1" s="151"/>
      <c r="AL1" s="151"/>
      <c r="AM1" s="151"/>
      <c r="AN1" s="151"/>
      <c r="AO1" s="140" t="s">
        <v>9</v>
      </c>
      <c r="AP1" s="140"/>
      <c r="AQ1" s="140"/>
      <c r="AR1" s="140"/>
      <c r="AS1" s="140"/>
      <c r="AT1" s="140" t="s">
        <v>10</v>
      </c>
      <c r="AU1" s="140"/>
      <c r="AV1" s="140"/>
      <c r="AW1" s="140"/>
      <c r="AX1" s="140"/>
      <c r="AY1" s="166" t="s">
        <v>11</v>
      </c>
      <c r="AZ1" s="166"/>
      <c r="BA1" s="166"/>
      <c r="BB1" s="166"/>
      <c r="BC1" s="166"/>
    </row>
    <row r="2" spans="1:55" ht="15.9" customHeight="1" x14ac:dyDescent="0.2">
      <c r="A2" s="142" t="str">
        <f>表紙!O9</f>
        <v>体験型Java研修</v>
      </c>
      <c r="B2" s="142"/>
      <c r="C2" s="142"/>
      <c r="D2" s="142"/>
      <c r="E2" s="142"/>
      <c r="F2" s="142"/>
      <c r="G2" s="142"/>
      <c r="H2" s="142"/>
      <c r="I2" s="142"/>
      <c r="J2" s="143" t="str">
        <f>表紙!O8</f>
        <v>LMS学習管理システム</v>
      </c>
      <c r="K2" s="143"/>
      <c r="L2" s="143"/>
      <c r="M2" s="143"/>
      <c r="N2" s="143"/>
      <c r="O2" s="143"/>
      <c r="P2" s="143"/>
      <c r="Q2" s="143"/>
      <c r="R2" s="167" t="str">
        <f>表紙!S10</f>
        <v>利用規約画面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45" t="s">
        <v>6</v>
      </c>
      <c r="AK2" s="145"/>
      <c r="AL2" s="145"/>
      <c r="AM2" s="145"/>
      <c r="AN2" s="145"/>
      <c r="AO2" s="146">
        <v>44287</v>
      </c>
      <c r="AP2" s="146"/>
      <c r="AQ2" s="146"/>
      <c r="AR2" s="146"/>
      <c r="AS2" s="146"/>
      <c r="AT2" s="145" t="s">
        <v>22</v>
      </c>
      <c r="AU2" s="145"/>
      <c r="AV2" s="145"/>
      <c r="AW2" s="145"/>
      <c r="AX2" s="145"/>
      <c r="AY2" s="147">
        <v>44293</v>
      </c>
      <c r="AZ2" s="147"/>
      <c r="BA2" s="147"/>
      <c r="BB2" s="147"/>
      <c r="BC2" s="147"/>
    </row>
    <row r="3" spans="1:55" x14ac:dyDescent="0.2">
      <c r="A3" s="142"/>
      <c r="B3" s="142"/>
      <c r="C3" s="142"/>
      <c r="D3" s="142"/>
      <c r="E3" s="142"/>
      <c r="F3" s="142"/>
      <c r="G3" s="142"/>
      <c r="H3" s="142"/>
      <c r="I3" s="142"/>
      <c r="J3" s="143"/>
      <c r="K3" s="143"/>
      <c r="L3" s="143"/>
      <c r="M3" s="143"/>
      <c r="N3" s="143"/>
      <c r="O3" s="143"/>
      <c r="P3" s="143"/>
      <c r="Q3" s="143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45"/>
      <c r="AK3" s="145"/>
      <c r="AL3" s="145"/>
      <c r="AM3" s="145"/>
      <c r="AN3" s="145"/>
      <c r="AO3" s="146"/>
      <c r="AP3" s="146"/>
      <c r="AQ3" s="146"/>
      <c r="AR3" s="146"/>
      <c r="AS3" s="146"/>
      <c r="AT3" s="145"/>
      <c r="AU3" s="145"/>
      <c r="AV3" s="145"/>
      <c r="AW3" s="145"/>
      <c r="AX3" s="145"/>
      <c r="AY3" s="147"/>
      <c r="AZ3" s="147"/>
      <c r="BA3" s="147"/>
      <c r="BB3" s="147"/>
      <c r="BC3" s="147"/>
    </row>
    <row r="5" spans="1:55" x14ac:dyDescent="0.2">
      <c r="B5" s="30" t="s">
        <v>20</v>
      </c>
    </row>
    <row r="7" spans="1:55" x14ac:dyDescent="0.2">
      <c r="B7" s="103" t="s">
        <v>30</v>
      </c>
      <c r="C7" s="31"/>
      <c r="D7" s="32" t="s">
        <v>63</v>
      </c>
      <c r="E7" s="33"/>
      <c r="F7" s="33"/>
      <c r="G7" s="33"/>
      <c r="H7" s="33"/>
      <c r="I7" s="33"/>
      <c r="J7" s="33"/>
      <c r="K7" s="33"/>
      <c r="L7" s="31"/>
      <c r="M7" s="32" t="s">
        <v>64</v>
      </c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1"/>
      <c r="AV7" s="33" t="s">
        <v>33</v>
      </c>
      <c r="AW7" s="33"/>
      <c r="AX7" s="33"/>
      <c r="AY7" s="33"/>
      <c r="AZ7" s="33"/>
      <c r="BA7" s="33"/>
      <c r="BB7" s="31"/>
    </row>
    <row r="8" spans="1:55" x14ac:dyDescent="0.2">
      <c r="B8" s="176">
        <v>1</v>
      </c>
      <c r="C8" s="176"/>
      <c r="D8" s="34" t="s">
        <v>65</v>
      </c>
      <c r="E8" s="35"/>
      <c r="F8" s="35"/>
      <c r="G8" s="35"/>
      <c r="H8" s="35"/>
      <c r="I8" s="35"/>
      <c r="J8" s="35"/>
      <c r="K8" s="35"/>
      <c r="L8" s="36"/>
      <c r="M8" s="37" t="s">
        <v>66</v>
      </c>
      <c r="N8" s="38"/>
      <c r="O8" s="38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40"/>
      <c r="AW8" s="41"/>
      <c r="AX8" s="41"/>
      <c r="AY8" s="41"/>
      <c r="AZ8" s="41"/>
      <c r="BA8" s="41"/>
      <c r="BB8" s="42"/>
      <c r="BC8" s="23"/>
    </row>
    <row r="9" spans="1:55" x14ac:dyDescent="0.2">
      <c r="B9" s="172"/>
      <c r="C9" s="172"/>
      <c r="D9" s="43"/>
      <c r="E9" s="44"/>
      <c r="F9" s="44"/>
      <c r="G9" s="44"/>
      <c r="H9" s="44"/>
      <c r="I9" s="44"/>
      <c r="J9" s="44"/>
      <c r="K9" s="44"/>
      <c r="L9" s="45"/>
      <c r="M9" s="46"/>
      <c r="N9" s="47"/>
      <c r="O9" s="47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9"/>
      <c r="AW9" s="50"/>
      <c r="AX9" s="50"/>
      <c r="AY9" s="50"/>
      <c r="AZ9" s="50"/>
      <c r="BA9" s="50"/>
      <c r="BB9" s="51"/>
      <c r="BC9" s="23"/>
    </row>
    <row r="10" spans="1:55" x14ac:dyDescent="0.2">
      <c r="B10" s="172"/>
      <c r="C10" s="172"/>
      <c r="D10" s="52" t="s">
        <v>67</v>
      </c>
      <c r="E10" s="44"/>
      <c r="F10" s="44"/>
      <c r="G10" s="44"/>
      <c r="H10" s="44"/>
      <c r="I10" s="44"/>
      <c r="J10" s="44"/>
      <c r="K10" s="44"/>
      <c r="L10" s="45"/>
      <c r="M10" s="46"/>
      <c r="N10" s="47"/>
      <c r="O10" s="47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9"/>
      <c r="AW10" s="50"/>
      <c r="AX10" s="50"/>
      <c r="AY10" s="50"/>
      <c r="AZ10" s="50"/>
      <c r="BA10" s="50"/>
      <c r="BB10" s="51"/>
      <c r="BC10" s="23"/>
    </row>
    <row r="11" spans="1:55" x14ac:dyDescent="0.2">
      <c r="B11" s="172"/>
      <c r="C11" s="172"/>
      <c r="D11" s="52" t="s">
        <v>68</v>
      </c>
      <c r="E11" s="44"/>
      <c r="F11" s="44"/>
      <c r="G11" s="44"/>
      <c r="H11" s="44"/>
      <c r="I11" s="44"/>
      <c r="J11" s="44"/>
      <c r="K11" s="44"/>
      <c r="L11" s="45"/>
      <c r="M11" s="46"/>
      <c r="N11" s="47"/>
      <c r="O11" s="47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9"/>
      <c r="AW11" s="50"/>
      <c r="AX11" s="50"/>
      <c r="AY11" s="50"/>
      <c r="AZ11" s="50"/>
      <c r="BA11" s="50"/>
      <c r="BB11" s="51"/>
      <c r="BC11" s="23"/>
    </row>
    <row r="12" spans="1:55" x14ac:dyDescent="0.2">
      <c r="B12" s="177"/>
      <c r="C12" s="177"/>
      <c r="D12" s="53"/>
      <c r="E12" s="54"/>
      <c r="F12" s="54"/>
      <c r="G12" s="54"/>
      <c r="H12" s="54"/>
      <c r="I12" s="54"/>
      <c r="J12" s="54"/>
      <c r="K12" s="54"/>
      <c r="L12" s="55"/>
      <c r="M12" s="56"/>
      <c r="N12" s="57"/>
      <c r="O12" s="57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9"/>
      <c r="AW12" s="60"/>
      <c r="AX12" s="60"/>
      <c r="AY12" s="60"/>
      <c r="AZ12" s="60"/>
      <c r="BA12" s="60"/>
      <c r="BB12" s="61"/>
      <c r="BC12" s="23"/>
    </row>
    <row r="13" spans="1:55" ht="12" customHeight="1" x14ac:dyDescent="0.2">
      <c r="B13" s="174">
        <v>2</v>
      </c>
      <c r="C13" s="174"/>
      <c r="D13" s="62" t="s">
        <v>104</v>
      </c>
      <c r="E13" s="44"/>
      <c r="F13" s="44"/>
      <c r="G13" s="44"/>
      <c r="H13" s="44"/>
      <c r="I13" s="44"/>
      <c r="J13" s="44"/>
      <c r="K13" s="44"/>
      <c r="L13" s="45"/>
      <c r="M13" s="34" t="s">
        <v>69</v>
      </c>
      <c r="N13" s="38"/>
      <c r="O13" s="38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63"/>
      <c r="AV13" s="64"/>
      <c r="AW13" s="65"/>
      <c r="AX13" s="65"/>
      <c r="AY13" s="66"/>
      <c r="AZ13" s="66"/>
      <c r="BA13" s="66"/>
      <c r="BB13" s="67"/>
      <c r="BC13" s="23"/>
    </row>
    <row r="14" spans="1:55" ht="12" customHeight="1" x14ac:dyDescent="0.2">
      <c r="B14" s="172"/>
      <c r="C14" s="172"/>
      <c r="D14" s="62"/>
      <c r="E14" s="44"/>
      <c r="F14" s="44"/>
      <c r="G14" s="44"/>
      <c r="H14" s="44"/>
      <c r="I14" s="44"/>
      <c r="J14" s="44"/>
      <c r="K14" s="44"/>
      <c r="L14" s="45"/>
      <c r="M14" s="52"/>
      <c r="N14" s="47"/>
      <c r="O14" s="46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9"/>
      <c r="AV14" s="70"/>
      <c r="AW14" s="71"/>
      <c r="AX14" s="72"/>
      <c r="AY14" s="73"/>
      <c r="AZ14" s="73"/>
      <c r="BA14" s="73"/>
      <c r="BB14" s="74"/>
      <c r="BC14" s="23"/>
    </row>
    <row r="15" spans="1:55" ht="12" customHeight="1" x14ac:dyDescent="0.2">
      <c r="B15" s="172"/>
      <c r="C15" s="172"/>
      <c r="D15" s="52" t="s">
        <v>67</v>
      </c>
      <c r="E15" s="44"/>
      <c r="F15" s="44"/>
      <c r="G15" s="44"/>
      <c r="H15" s="44"/>
      <c r="I15" s="44"/>
      <c r="J15" s="44"/>
      <c r="K15" s="44"/>
      <c r="L15" s="75"/>
      <c r="M15" s="62"/>
      <c r="N15" s="76"/>
      <c r="O15" s="77" t="s">
        <v>89</v>
      </c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68"/>
      <c r="AS15" s="68"/>
      <c r="AT15" s="68"/>
      <c r="AU15" s="69"/>
      <c r="AV15" s="70"/>
      <c r="AW15" s="71"/>
      <c r="AX15" s="72"/>
      <c r="AY15" s="73"/>
      <c r="AZ15" s="73"/>
      <c r="BA15" s="73"/>
      <c r="BB15" s="74"/>
      <c r="BC15" s="23"/>
    </row>
    <row r="16" spans="1:55" ht="12" customHeight="1" x14ac:dyDescent="0.2">
      <c r="B16" s="172"/>
      <c r="C16" s="172"/>
      <c r="D16" s="175" t="s">
        <v>70</v>
      </c>
      <c r="E16" s="175"/>
      <c r="F16" s="175"/>
      <c r="G16" s="175"/>
      <c r="H16" s="175"/>
      <c r="I16" s="175"/>
      <c r="J16" s="175"/>
      <c r="K16" s="175"/>
      <c r="L16" s="175"/>
      <c r="M16" s="62"/>
      <c r="N16" s="76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68"/>
      <c r="AS16" s="68"/>
      <c r="AT16" s="68"/>
      <c r="AU16" s="69"/>
      <c r="AV16" s="70"/>
      <c r="AW16" s="71"/>
      <c r="AX16" s="72"/>
      <c r="AY16" s="73"/>
      <c r="AZ16" s="73"/>
      <c r="BA16" s="73"/>
      <c r="BB16" s="74"/>
      <c r="BC16" s="23"/>
    </row>
    <row r="17" spans="2:55" ht="12" customHeight="1" x14ac:dyDescent="0.2">
      <c r="B17" s="172"/>
      <c r="C17" s="172"/>
      <c r="D17" s="175"/>
      <c r="E17" s="175"/>
      <c r="F17" s="175"/>
      <c r="G17" s="175"/>
      <c r="H17" s="175"/>
      <c r="I17" s="175"/>
      <c r="J17" s="175"/>
      <c r="K17" s="175"/>
      <c r="L17" s="175"/>
      <c r="M17" s="62"/>
      <c r="N17" s="76"/>
      <c r="O17" s="77"/>
      <c r="P17" s="77"/>
      <c r="Q17" s="77" t="s">
        <v>90</v>
      </c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68"/>
      <c r="AS17" s="68"/>
      <c r="AT17" s="68"/>
      <c r="AU17" s="69"/>
      <c r="AV17" s="70"/>
      <c r="AW17" s="71"/>
      <c r="AX17" s="72"/>
      <c r="AY17" s="73"/>
      <c r="AZ17" s="73"/>
      <c r="BA17" s="73"/>
      <c r="BB17" s="74"/>
      <c r="BC17" s="23"/>
    </row>
    <row r="18" spans="2:55" ht="12" customHeight="1" x14ac:dyDescent="0.2">
      <c r="B18" s="172"/>
      <c r="C18" s="172"/>
      <c r="D18" s="62"/>
      <c r="E18" s="44"/>
      <c r="F18" s="44"/>
      <c r="G18" s="44"/>
      <c r="H18" s="44"/>
      <c r="I18" s="44"/>
      <c r="J18" s="44"/>
      <c r="K18" s="44"/>
      <c r="L18" s="75"/>
      <c r="M18" s="62"/>
      <c r="N18" s="76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68"/>
      <c r="AS18" s="68"/>
      <c r="AT18" s="68"/>
      <c r="AU18" s="69"/>
      <c r="AV18" s="70"/>
      <c r="AW18" s="71"/>
      <c r="AX18" s="72"/>
      <c r="AY18" s="73"/>
      <c r="AZ18" s="73"/>
      <c r="BA18" s="73"/>
      <c r="BB18" s="74"/>
      <c r="BC18" s="23"/>
    </row>
    <row r="19" spans="2:55" ht="12" customHeight="1" x14ac:dyDescent="0.2">
      <c r="B19" s="172"/>
      <c r="C19" s="172"/>
      <c r="D19" s="62"/>
      <c r="E19" s="44"/>
      <c r="F19" s="44"/>
      <c r="G19" s="44"/>
      <c r="H19" s="44"/>
      <c r="I19" s="44"/>
      <c r="J19" s="44"/>
      <c r="K19" s="44"/>
      <c r="L19" s="75"/>
      <c r="M19" s="62"/>
      <c r="N19" s="76"/>
      <c r="O19" s="77"/>
      <c r="P19" s="77"/>
      <c r="Q19" s="77"/>
      <c r="R19" s="77"/>
      <c r="S19" s="78" t="s">
        <v>71</v>
      </c>
      <c r="T19" s="79"/>
      <c r="U19" s="79"/>
      <c r="V19" s="79"/>
      <c r="W19" s="80" t="s">
        <v>72</v>
      </c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2"/>
      <c r="AL19" s="82"/>
      <c r="AM19" s="82"/>
      <c r="AN19" s="82"/>
      <c r="AO19" s="82"/>
      <c r="AP19" s="82"/>
      <c r="AQ19" s="83"/>
      <c r="AR19" s="68"/>
      <c r="AS19" s="68"/>
      <c r="AT19" s="68"/>
      <c r="AU19" s="69"/>
      <c r="AV19" s="70"/>
      <c r="AW19" s="71"/>
      <c r="AX19" s="72"/>
      <c r="AY19" s="73"/>
      <c r="AZ19" s="73"/>
      <c r="BA19" s="73"/>
      <c r="BB19" s="74"/>
      <c r="BC19" s="23"/>
    </row>
    <row r="20" spans="2:55" ht="12" customHeight="1" x14ac:dyDescent="0.2">
      <c r="B20" s="172"/>
      <c r="C20" s="172"/>
      <c r="D20" s="62"/>
      <c r="E20" s="44"/>
      <c r="F20" s="44"/>
      <c r="G20" s="44"/>
      <c r="H20" s="44"/>
      <c r="I20" s="44"/>
      <c r="J20" s="44"/>
      <c r="K20" s="44"/>
      <c r="L20" s="75"/>
      <c r="M20" s="62"/>
      <c r="N20" s="76"/>
      <c r="O20" s="77"/>
      <c r="P20" s="77"/>
      <c r="Q20" s="77"/>
      <c r="R20" s="77"/>
      <c r="S20" s="173" t="s">
        <v>73</v>
      </c>
      <c r="T20" s="173"/>
      <c r="U20" s="173"/>
      <c r="V20" s="173"/>
      <c r="W20" s="80" t="s">
        <v>74</v>
      </c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2"/>
      <c r="AL20" s="82"/>
      <c r="AM20" s="82"/>
      <c r="AN20" s="82"/>
      <c r="AO20" s="82"/>
      <c r="AP20" s="82"/>
      <c r="AQ20" s="83"/>
      <c r="AR20" s="68"/>
      <c r="AS20" s="68"/>
      <c r="AT20" s="68"/>
      <c r="AU20" s="69"/>
      <c r="AV20" s="70"/>
      <c r="AW20" s="71"/>
      <c r="AX20" s="72"/>
      <c r="AY20" s="73"/>
      <c r="AZ20" s="73"/>
      <c r="BA20" s="73"/>
      <c r="BB20" s="74"/>
      <c r="BC20" s="23"/>
    </row>
    <row r="21" spans="2:55" ht="12" customHeight="1" x14ac:dyDescent="0.2">
      <c r="B21" s="172"/>
      <c r="C21" s="172"/>
      <c r="D21" s="62"/>
      <c r="E21" s="44"/>
      <c r="F21" s="44"/>
      <c r="G21" s="44"/>
      <c r="H21" s="44"/>
      <c r="I21" s="44"/>
      <c r="J21" s="44"/>
      <c r="K21" s="44"/>
      <c r="L21" s="75"/>
      <c r="M21" s="62"/>
      <c r="N21" s="76"/>
      <c r="O21" s="77"/>
      <c r="P21" s="77"/>
      <c r="Q21" s="77"/>
      <c r="R21" s="77"/>
      <c r="S21" s="173"/>
      <c r="T21" s="173"/>
      <c r="U21" s="173"/>
      <c r="V21" s="173"/>
      <c r="W21" s="80" t="s">
        <v>97</v>
      </c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2"/>
      <c r="AL21" s="82"/>
      <c r="AM21" s="82"/>
      <c r="AN21" s="82"/>
      <c r="AO21" s="82"/>
      <c r="AP21" s="82"/>
      <c r="AQ21" s="83"/>
      <c r="AR21" s="68"/>
      <c r="AS21" s="68"/>
      <c r="AT21" s="68"/>
      <c r="AU21" s="69"/>
      <c r="AV21" s="70"/>
      <c r="AW21" s="71"/>
      <c r="AX21" s="72"/>
      <c r="AY21" s="73"/>
      <c r="AZ21" s="73"/>
      <c r="BA21" s="73"/>
      <c r="BB21" s="74"/>
      <c r="BC21" s="23"/>
    </row>
    <row r="22" spans="2:55" ht="12" customHeight="1" x14ac:dyDescent="0.2">
      <c r="B22" s="172"/>
      <c r="C22" s="172"/>
      <c r="D22" s="62"/>
      <c r="E22" s="44"/>
      <c r="F22" s="44"/>
      <c r="G22" s="44"/>
      <c r="H22" s="44"/>
      <c r="I22" s="44"/>
      <c r="J22" s="44"/>
      <c r="K22" s="44"/>
      <c r="L22" s="75"/>
      <c r="M22" s="62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68"/>
      <c r="AS22" s="68"/>
      <c r="AT22" s="68"/>
      <c r="AU22" s="69"/>
      <c r="AV22" s="70"/>
      <c r="AW22" s="71"/>
      <c r="AX22" s="72"/>
      <c r="AY22" s="73"/>
      <c r="AZ22" s="73"/>
      <c r="BA22" s="73"/>
      <c r="BB22" s="74"/>
      <c r="BC22" s="23"/>
    </row>
    <row r="23" spans="2:55" ht="12" customHeight="1" x14ac:dyDescent="0.2">
      <c r="B23" s="172"/>
      <c r="C23" s="172"/>
      <c r="D23" s="62"/>
      <c r="E23" s="44"/>
      <c r="F23" s="44"/>
      <c r="G23" s="44"/>
      <c r="H23" s="44"/>
      <c r="I23" s="44"/>
      <c r="J23" s="44"/>
      <c r="K23" s="44"/>
      <c r="L23" s="75"/>
      <c r="M23" s="62"/>
      <c r="N23" s="76"/>
      <c r="O23" s="77"/>
      <c r="P23" s="77"/>
      <c r="Q23" s="77" t="s">
        <v>98</v>
      </c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68"/>
      <c r="AS23" s="68"/>
      <c r="AT23" s="68"/>
      <c r="AU23" s="69"/>
      <c r="AV23" s="70"/>
      <c r="AW23" s="71"/>
      <c r="AX23" s="72"/>
      <c r="AY23" s="73"/>
      <c r="AZ23" s="73"/>
      <c r="BA23" s="73"/>
      <c r="BB23" s="74"/>
      <c r="BC23" s="23"/>
    </row>
    <row r="24" spans="2:55" ht="12" customHeight="1" x14ac:dyDescent="0.2">
      <c r="B24" s="172"/>
      <c r="C24" s="172"/>
      <c r="D24" s="62"/>
      <c r="E24" s="44"/>
      <c r="F24" s="44"/>
      <c r="G24" s="44"/>
      <c r="H24" s="44"/>
      <c r="I24" s="44"/>
      <c r="J24" s="44"/>
      <c r="K24" s="44"/>
      <c r="L24" s="75"/>
      <c r="M24" s="62"/>
      <c r="N24" s="76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68"/>
      <c r="AS24" s="68"/>
      <c r="AT24" s="68"/>
      <c r="AU24" s="69"/>
      <c r="AV24" s="70"/>
      <c r="AW24" s="71"/>
      <c r="AX24" s="72"/>
      <c r="AY24" s="73"/>
      <c r="AZ24" s="73"/>
      <c r="BA24" s="73"/>
      <c r="BB24" s="74"/>
      <c r="BC24" s="23"/>
    </row>
    <row r="25" spans="2:55" ht="12" customHeight="1" x14ac:dyDescent="0.2">
      <c r="B25" s="172"/>
      <c r="C25" s="172"/>
      <c r="D25" s="62"/>
      <c r="E25" s="44"/>
      <c r="F25" s="44"/>
      <c r="G25" s="44"/>
      <c r="H25" s="44"/>
      <c r="I25" s="44"/>
      <c r="J25" s="44"/>
      <c r="K25" s="44"/>
      <c r="L25" s="75"/>
      <c r="M25" s="62"/>
      <c r="N25" s="76"/>
      <c r="O25" s="77"/>
      <c r="P25" s="77"/>
      <c r="Q25" s="77"/>
      <c r="R25" s="77"/>
      <c r="S25" s="37" t="s">
        <v>75</v>
      </c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85" t="s">
        <v>76</v>
      </c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68"/>
      <c r="AS25" s="68"/>
      <c r="AT25" s="68"/>
      <c r="AU25" s="69"/>
      <c r="AV25" s="70"/>
      <c r="AW25" s="71"/>
      <c r="AX25" s="72"/>
      <c r="AY25" s="73"/>
      <c r="AZ25" s="73"/>
      <c r="BA25" s="73"/>
      <c r="BB25" s="74"/>
      <c r="BC25" s="23"/>
    </row>
    <row r="26" spans="2:55" ht="12" customHeight="1" x14ac:dyDescent="0.2">
      <c r="B26" s="172"/>
      <c r="C26" s="172"/>
      <c r="D26" s="62"/>
      <c r="E26" s="44"/>
      <c r="F26" s="44"/>
      <c r="G26" s="44"/>
      <c r="H26" s="44"/>
      <c r="I26" s="44"/>
      <c r="J26" s="44"/>
      <c r="K26" s="44"/>
      <c r="L26" s="75"/>
      <c r="M26" s="62"/>
      <c r="N26" s="76"/>
      <c r="O26" s="77"/>
      <c r="P26" s="77"/>
      <c r="Q26" s="77"/>
      <c r="R26" s="77"/>
      <c r="S26" s="37" t="s">
        <v>77</v>
      </c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85" t="s">
        <v>78</v>
      </c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68"/>
      <c r="AS26" s="68"/>
      <c r="AT26" s="68"/>
      <c r="AU26" s="69"/>
      <c r="AV26" s="70"/>
      <c r="AW26" s="71"/>
      <c r="AX26" s="72"/>
      <c r="AY26" s="73"/>
      <c r="AZ26" s="73"/>
      <c r="BA26" s="73"/>
      <c r="BB26" s="74"/>
      <c r="BC26" s="23"/>
    </row>
    <row r="27" spans="2:55" ht="12" customHeight="1" x14ac:dyDescent="0.2">
      <c r="B27" s="172"/>
      <c r="C27" s="172"/>
      <c r="D27" s="62"/>
      <c r="E27" s="44"/>
      <c r="F27" s="44"/>
      <c r="G27" s="44"/>
      <c r="H27" s="44"/>
      <c r="I27" s="44"/>
      <c r="J27" s="44"/>
      <c r="K27" s="44"/>
      <c r="L27" s="75"/>
      <c r="M27" s="62"/>
      <c r="N27" s="76"/>
      <c r="O27" s="77"/>
      <c r="P27" s="77"/>
      <c r="Q27" s="77"/>
      <c r="R27" s="77"/>
      <c r="S27" s="37" t="s">
        <v>79</v>
      </c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85" t="s">
        <v>80</v>
      </c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68"/>
      <c r="AS27" s="68"/>
      <c r="AT27" s="68"/>
      <c r="AU27" s="69"/>
      <c r="AV27" s="70"/>
      <c r="AW27" s="71"/>
      <c r="AX27" s="72"/>
      <c r="AY27" s="73"/>
      <c r="AZ27" s="73"/>
      <c r="BA27" s="73"/>
      <c r="BB27" s="74"/>
      <c r="BC27" s="23"/>
    </row>
    <row r="28" spans="2:55" ht="12" customHeight="1" x14ac:dyDescent="0.2">
      <c r="B28" s="172"/>
      <c r="C28" s="172"/>
      <c r="D28" s="62"/>
      <c r="E28" s="44"/>
      <c r="F28" s="44"/>
      <c r="G28" s="44"/>
      <c r="H28" s="44"/>
      <c r="I28" s="44"/>
      <c r="J28" s="44"/>
      <c r="K28" s="44"/>
      <c r="L28" s="75"/>
      <c r="M28" s="62"/>
      <c r="N28" s="76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68"/>
      <c r="AS28" s="68"/>
      <c r="AT28" s="68"/>
      <c r="AU28" s="69"/>
      <c r="AV28" s="70"/>
      <c r="AW28" s="71"/>
      <c r="AX28" s="72"/>
      <c r="AY28" s="73"/>
      <c r="AZ28" s="73"/>
      <c r="BA28" s="73"/>
      <c r="BB28" s="74"/>
      <c r="BC28" s="23"/>
    </row>
    <row r="29" spans="2:55" ht="12" customHeight="1" x14ac:dyDescent="0.2">
      <c r="B29" s="172"/>
      <c r="C29" s="172"/>
      <c r="D29" s="62"/>
      <c r="E29" s="44"/>
      <c r="F29" s="44"/>
      <c r="G29" s="44"/>
      <c r="H29" s="44"/>
      <c r="I29" s="44"/>
      <c r="J29" s="44"/>
      <c r="K29" s="44"/>
      <c r="L29" s="75"/>
      <c r="M29" s="62"/>
      <c r="N29" s="76"/>
      <c r="O29" s="77"/>
      <c r="P29" s="77"/>
      <c r="Q29" s="85" t="s">
        <v>91</v>
      </c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68"/>
      <c r="AS29" s="68"/>
      <c r="AT29" s="68"/>
      <c r="AU29" s="69"/>
      <c r="AV29" s="70"/>
      <c r="AW29" s="71"/>
      <c r="AX29" s="72"/>
      <c r="AY29" s="73"/>
      <c r="AZ29" s="73"/>
      <c r="BA29" s="73"/>
      <c r="BB29" s="74"/>
      <c r="BC29" s="23"/>
    </row>
    <row r="30" spans="2:55" ht="12" customHeight="1" x14ac:dyDescent="0.2">
      <c r="B30" s="172"/>
      <c r="C30" s="172"/>
      <c r="D30" s="62"/>
      <c r="E30" s="44"/>
      <c r="F30" s="44"/>
      <c r="G30" s="44"/>
      <c r="H30" s="44"/>
      <c r="I30" s="44"/>
      <c r="J30" s="44"/>
      <c r="K30" s="44"/>
      <c r="L30" s="75"/>
      <c r="M30" s="62"/>
      <c r="N30" s="76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68"/>
      <c r="AS30" s="68"/>
      <c r="AT30" s="68"/>
      <c r="AU30" s="69"/>
      <c r="AV30" s="70"/>
      <c r="AW30" s="71"/>
      <c r="AX30" s="72"/>
      <c r="AY30" s="73"/>
      <c r="AZ30" s="73"/>
      <c r="BA30" s="73"/>
      <c r="BB30" s="74"/>
      <c r="BC30" s="23"/>
    </row>
    <row r="31" spans="2:55" ht="12" customHeight="1" x14ac:dyDescent="0.2">
      <c r="B31" s="172"/>
      <c r="C31" s="172"/>
      <c r="D31" s="62"/>
      <c r="E31" s="44"/>
      <c r="F31" s="44"/>
      <c r="G31" s="44"/>
      <c r="H31" s="44"/>
      <c r="I31" s="44"/>
      <c r="J31" s="44"/>
      <c r="K31" s="44"/>
      <c r="L31" s="75"/>
      <c r="M31" s="62"/>
      <c r="N31" s="76"/>
      <c r="O31" s="77"/>
      <c r="P31" s="77"/>
      <c r="Q31" s="77"/>
      <c r="R31" s="77"/>
      <c r="S31" s="78" t="s">
        <v>71</v>
      </c>
      <c r="T31" s="79"/>
      <c r="U31" s="79"/>
      <c r="V31" s="79"/>
      <c r="W31" s="86" t="s">
        <v>81</v>
      </c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2"/>
      <c r="AL31" s="82"/>
      <c r="AM31" s="82"/>
      <c r="AN31" s="82"/>
      <c r="AO31" s="82"/>
      <c r="AP31" s="82"/>
      <c r="AQ31" s="83"/>
      <c r="AR31" s="68"/>
      <c r="AS31" s="68"/>
      <c r="AT31" s="68"/>
      <c r="AU31" s="69"/>
      <c r="AV31" s="70"/>
      <c r="AW31" s="71"/>
      <c r="AX31" s="72"/>
      <c r="AY31" s="73"/>
      <c r="AZ31" s="73"/>
      <c r="BA31" s="73"/>
      <c r="BB31" s="74"/>
      <c r="BC31" s="23"/>
    </row>
    <row r="32" spans="2:55" ht="12" customHeight="1" x14ac:dyDescent="0.2">
      <c r="B32" s="172"/>
      <c r="C32" s="172"/>
      <c r="D32" s="62"/>
      <c r="E32" s="44"/>
      <c r="F32" s="44"/>
      <c r="G32" s="44"/>
      <c r="H32" s="44"/>
      <c r="I32" s="44"/>
      <c r="J32" s="44"/>
      <c r="K32" s="44"/>
      <c r="L32" s="75"/>
      <c r="M32" s="62"/>
      <c r="N32" s="76"/>
      <c r="O32" s="77"/>
      <c r="P32" s="77"/>
      <c r="Q32" s="77"/>
      <c r="R32" s="77"/>
      <c r="S32" s="84" t="s">
        <v>73</v>
      </c>
      <c r="T32" s="79"/>
      <c r="U32" s="79"/>
      <c r="V32" s="79"/>
      <c r="W32" s="80" t="s">
        <v>99</v>
      </c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2"/>
      <c r="AL32" s="82"/>
      <c r="AM32" s="82"/>
      <c r="AN32" s="82"/>
      <c r="AO32" s="82"/>
      <c r="AP32" s="82"/>
      <c r="AQ32" s="83"/>
      <c r="AR32" s="68"/>
      <c r="AS32" s="68"/>
      <c r="AT32" s="68"/>
      <c r="AU32" s="69"/>
      <c r="AV32" s="70"/>
      <c r="AW32" s="71"/>
      <c r="AX32" s="72"/>
      <c r="AY32" s="73"/>
      <c r="AZ32" s="73"/>
      <c r="BA32" s="73"/>
      <c r="BB32" s="74"/>
      <c r="BC32" s="23"/>
    </row>
    <row r="33" spans="2:55" ht="12" customHeight="1" x14ac:dyDescent="0.2">
      <c r="B33" s="172"/>
      <c r="C33" s="172"/>
      <c r="D33" s="62"/>
      <c r="E33" s="44"/>
      <c r="F33" s="44"/>
      <c r="G33" s="44"/>
      <c r="H33" s="44"/>
      <c r="I33" s="44"/>
      <c r="J33" s="44"/>
      <c r="K33" s="44"/>
      <c r="L33" s="75"/>
      <c r="M33" s="62"/>
      <c r="N33" s="76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68"/>
      <c r="AS33" s="68"/>
      <c r="AT33" s="68"/>
      <c r="AU33" s="69"/>
      <c r="AV33" s="70"/>
      <c r="AW33" s="71"/>
      <c r="AX33" s="72"/>
      <c r="AY33" s="73"/>
      <c r="AZ33" s="73"/>
      <c r="BA33" s="73"/>
      <c r="BB33" s="74"/>
      <c r="BC33" s="23"/>
    </row>
    <row r="34" spans="2:55" ht="12" customHeight="1" x14ac:dyDescent="0.2">
      <c r="B34" s="172"/>
      <c r="C34" s="172"/>
      <c r="D34" s="62"/>
      <c r="E34" s="44"/>
      <c r="F34" s="44"/>
      <c r="G34" s="44"/>
      <c r="H34" s="44"/>
      <c r="I34" s="44"/>
      <c r="J34" s="44"/>
      <c r="K34" s="44"/>
      <c r="L34" s="75"/>
      <c r="M34" s="62"/>
      <c r="N34" s="76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68"/>
      <c r="AS34" s="68"/>
      <c r="AT34" s="68"/>
      <c r="AU34" s="69"/>
      <c r="AV34" s="70"/>
      <c r="AW34" s="71"/>
      <c r="AX34" s="72"/>
      <c r="AY34" s="73"/>
      <c r="AZ34" s="73"/>
      <c r="BA34" s="73"/>
      <c r="BB34" s="74"/>
      <c r="BC34" s="23"/>
    </row>
    <row r="35" spans="2:55" ht="12" customHeight="1" x14ac:dyDescent="0.2">
      <c r="B35" s="172"/>
      <c r="C35" s="172"/>
      <c r="D35" s="62"/>
      <c r="E35" s="44"/>
      <c r="F35" s="44"/>
      <c r="G35" s="44"/>
      <c r="H35" s="44"/>
      <c r="I35" s="44"/>
      <c r="J35" s="44"/>
      <c r="K35" s="44"/>
      <c r="L35" s="75"/>
      <c r="M35" s="62"/>
      <c r="N35" s="76"/>
      <c r="O35" s="77"/>
      <c r="P35" s="77"/>
      <c r="Q35" s="77" t="s">
        <v>92</v>
      </c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68"/>
      <c r="AS35" s="68"/>
      <c r="AT35" s="68"/>
      <c r="AU35" s="69"/>
      <c r="AV35" s="70"/>
      <c r="AW35" s="71"/>
      <c r="AX35" s="72"/>
      <c r="AY35" s="73"/>
      <c r="AZ35" s="73"/>
      <c r="BA35" s="73"/>
      <c r="BB35" s="74"/>
      <c r="BC35" s="23"/>
    </row>
    <row r="36" spans="2:55" ht="12" customHeight="1" x14ac:dyDescent="0.2">
      <c r="B36" s="172"/>
      <c r="C36" s="172"/>
      <c r="D36" s="62"/>
      <c r="E36" s="44"/>
      <c r="F36" s="44"/>
      <c r="G36" s="44"/>
      <c r="H36" s="44"/>
      <c r="I36" s="44"/>
      <c r="J36" s="44"/>
      <c r="K36" s="44"/>
      <c r="L36" s="75"/>
      <c r="M36" s="62"/>
      <c r="N36" s="76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68"/>
      <c r="AS36" s="68"/>
      <c r="AT36" s="68"/>
      <c r="AU36" s="69"/>
      <c r="AV36" s="70"/>
      <c r="AW36" s="71"/>
      <c r="AX36" s="72"/>
      <c r="AY36" s="73"/>
      <c r="AZ36" s="73"/>
      <c r="BA36" s="73"/>
      <c r="BB36" s="74"/>
      <c r="BC36" s="23"/>
    </row>
    <row r="37" spans="2:55" ht="12" customHeight="1" x14ac:dyDescent="0.2">
      <c r="B37" s="172"/>
      <c r="C37" s="172"/>
      <c r="D37" s="62"/>
      <c r="E37" s="44"/>
      <c r="F37" s="44"/>
      <c r="G37" s="44"/>
      <c r="H37" s="44"/>
      <c r="I37" s="44"/>
      <c r="J37" s="44"/>
      <c r="K37" s="44"/>
      <c r="L37" s="75"/>
      <c r="M37" s="62"/>
      <c r="N37" s="76"/>
      <c r="O37" s="77"/>
      <c r="P37" s="77"/>
      <c r="Q37" s="77"/>
      <c r="R37" s="77"/>
      <c r="S37" s="77" t="s">
        <v>82</v>
      </c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85" t="s">
        <v>76</v>
      </c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68"/>
      <c r="AS37" s="68"/>
      <c r="AT37" s="68"/>
      <c r="AU37" s="69"/>
      <c r="AV37" s="70"/>
      <c r="AW37" s="71"/>
      <c r="AX37" s="72"/>
      <c r="AY37" s="73"/>
      <c r="AZ37" s="73"/>
      <c r="BA37" s="73"/>
      <c r="BB37" s="74"/>
      <c r="BC37" s="23"/>
    </row>
    <row r="38" spans="2:55" ht="12" customHeight="1" x14ac:dyDescent="0.2">
      <c r="B38" s="172"/>
      <c r="C38" s="172"/>
      <c r="D38" s="62"/>
      <c r="E38" s="44"/>
      <c r="F38" s="44"/>
      <c r="G38" s="44"/>
      <c r="H38" s="44"/>
      <c r="I38" s="44"/>
      <c r="J38" s="44"/>
      <c r="K38" s="44"/>
      <c r="L38" s="75"/>
      <c r="M38" s="62"/>
      <c r="N38" s="76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68"/>
      <c r="AS38" s="68"/>
      <c r="AT38" s="68"/>
      <c r="AU38" s="69"/>
      <c r="AV38" s="70"/>
      <c r="AW38" s="71"/>
      <c r="AX38" s="72"/>
      <c r="AY38" s="73"/>
      <c r="AZ38" s="73"/>
      <c r="BA38" s="73"/>
      <c r="BB38" s="74"/>
      <c r="BC38" s="23"/>
    </row>
    <row r="39" spans="2:55" ht="12" customHeight="1" x14ac:dyDescent="0.2">
      <c r="B39" s="172"/>
      <c r="C39" s="172"/>
      <c r="D39" s="62"/>
      <c r="E39" s="44"/>
      <c r="F39" s="44"/>
      <c r="G39" s="44"/>
      <c r="H39" s="44"/>
      <c r="I39" s="44"/>
      <c r="J39" s="44"/>
      <c r="K39" s="44"/>
      <c r="L39" s="75"/>
      <c r="M39" s="62"/>
      <c r="N39" s="76"/>
      <c r="O39" s="77" t="s">
        <v>83</v>
      </c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68"/>
      <c r="AS39" s="68"/>
      <c r="AT39" s="68"/>
      <c r="AU39" s="69"/>
      <c r="AV39" s="70"/>
      <c r="AW39" s="71"/>
      <c r="AX39" s="72"/>
      <c r="AY39" s="73"/>
      <c r="AZ39" s="73"/>
      <c r="BA39" s="73"/>
      <c r="BB39" s="74"/>
      <c r="BC39" s="23"/>
    </row>
    <row r="40" spans="2:55" ht="12" customHeight="1" x14ac:dyDescent="0.2">
      <c r="B40" s="172"/>
      <c r="C40" s="172"/>
      <c r="D40" s="62"/>
      <c r="E40" s="44"/>
      <c r="F40" s="44"/>
      <c r="G40" s="44"/>
      <c r="H40" s="44"/>
      <c r="I40" s="44"/>
      <c r="J40" s="44"/>
      <c r="K40" s="44"/>
      <c r="L40" s="75"/>
      <c r="M40" s="62"/>
      <c r="N40" s="76"/>
      <c r="O40" s="77"/>
      <c r="P40" s="85" t="s">
        <v>84</v>
      </c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68"/>
      <c r="AS40" s="68"/>
      <c r="AT40" s="68"/>
      <c r="AU40" s="69"/>
      <c r="AV40" s="70"/>
      <c r="AW40" s="71"/>
      <c r="AX40" s="72"/>
      <c r="AY40" s="73"/>
      <c r="AZ40" s="73"/>
      <c r="BA40" s="73"/>
      <c r="BB40" s="74"/>
      <c r="BC40" s="23"/>
    </row>
    <row r="41" spans="2:55" ht="12" customHeight="1" x14ac:dyDescent="0.2">
      <c r="B41" s="172"/>
      <c r="C41" s="172"/>
      <c r="D41" s="62"/>
      <c r="E41" s="44"/>
      <c r="F41" s="44"/>
      <c r="G41" s="44"/>
      <c r="H41" s="44"/>
      <c r="I41" s="44"/>
      <c r="J41" s="44"/>
      <c r="K41" s="44"/>
      <c r="L41" s="75"/>
      <c r="M41" s="62"/>
      <c r="N41" s="76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68"/>
      <c r="AS41" s="68"/>
      <c r="AT41" s="68"/>
      <c r="AU41" s="69"/>
      <c r="AV41" s="70"/>
      <c r="AW41" s="71"/>
      <c r="AX41" s="72"/>
      <c r="AY41" s="73"/>
      <c r="AZ41" s="73"/>
      <c r="BA41" s="73"/>
      <c r="BB41" s="74"/>
      <c r="BC41" s="23"/>
    </row>
    <row r="42" spans="2:55" ht="12" customHeight="1" x14ac:dyDescent="0.2">
      <c r="B42" s="172"/>
      <c r="C42" s="172"/>
      <c r="D42" s="62"/>
      <c r="E42" s="44"/>
      <c r="F42" s="44"/>
      <c r="G42" s="44"/>
      <c r="H42" s="44"/>
      <c r="I42" s="44"/>
      <c r="J42" s="44"/>
      <c r="K42" s="44"/>
      <c r="L42" s="75"/>
      <c r="M42" s="62"/>
      <c r="N42" s="76"/>
      <c r="O42" s="77"/>
      <c r="P42" s="77"/>
      <c r="Q42" s="87" t="s">
        <v>85</v>
      </c>
      <c r="R42" s="88"/>
      <c r="S42" s="88"/>
      <c r="T42" s="88"/>
      <c r="U42" s="80" t="s">
        <v>86</v>
      </c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2"/>
      <c r="AG42" s="82"/>
      <c r="AH42" s="82"/>
      <c r="AI42" s="82"/>
      <c r="AJ42" s="82"/>
      <c r="AK42" s="82"/>
      <c r="AL42" s="82"/>
      <c r="AM42" s="82"/>
      <c r="AN42" s="82"/>
      <c r="AO42" s="83"/>
      <c r="AP42" s="77"/>
      <c r="AQ42" s="77"/>
      <c r="AR42" s="68"/>
      <c r="AS42" s="68"/>
      <c r="AT42" s="68"/>
      <c r="AU42" s="69"/>
      <c r="AV42" s="70"/>
      <c r="AW42" s="71"/>
      <c r="AX42" s="72"/>
      <c r="AY42" s="73"/>
      <c r="AZ42" s="73"/>
      <c r="BA42" s="73"/>
      <c r="BB42" s="74"/>
      <c r="BC42" s="23"/>
    </row>
    <row r="43" spans="2:55" ht="12" customHeight="1" x14ac:dyDescent="0.2">
      <c r="B43" s="172"/>
      <c r="C43" s="172"/>
      <c r="D43" s="62"/>
      <c r="E43" s="44"/>
      <c r="F43" s="44"/>
      <c r="G43" s="44"/>
      <c r="H43" s="44"/>
      <c r="I43" s="44"/>
      <c r="J43" s="44"/>
      <c r="K43" s="44"/>
      <c r="L43" s="75"/>
      <c r="M43" s="62"/>
      <c r="N43" s="76"/>
      <c r="O43" s="77"/>
      <c r="P43" s="77"/>
      <c r="Q43" s="87" t="s">
        <v>73</v>
      </c>
      <c r="R43" s="88"/>
      <c r="S43" s="88"/>
      <c r="T43" s="88"/>
      <c r="U43" s="80" t="s">
        <v>87</v>
      </c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2"/>
      <c r="AG43" s="82"/>
      <c r="AH43" s="82"/>
      <c r="AI43" s="82"/>
      <c r="AJ43" s="82"/>
      <c r="AK43" s="82"/>
      <c r="AL43" s="82"/>
      <c r="AM43" s="82"/>
      <c r="AN43" s="82"/>
      <c r="AO43" s="83"/>
      <c r="AP43" s="77"/>
      <c r="AQ43" s="77"/>
      <c r="AR43" s="68"/>
      <c r="AS43" s="68"/>
      <c r="AT43" s="68"/>
      <c r="AU43" s="69"/>
      <c r="AV43" s="70"/>
      <c r="AW43" s="71"/>
      <c r="AX43" s="72"/>
      <c r="AY43" s="73"/>
      <c r="AZ43" s="73"/>
      <c r="BA43" s="73"/>
      <c r="BB43" s="74"/>
      <c r="BC43" s="23"/>
    </row>
    <row r="44" spans="2:55" ht="12" customHeight="1" x14ac:dyDescent="0.2">
      <c r="B44" s="172"/>
      <c r="C44" s="172"/>
      <c r="D44" s="62"/>
      <c r="E44" s="44"/>
      <c r="F44" s="44"/>
      <c r="G44" s="44"/>
      <c r="H44" s="44"/>
      <c r="I44" s="44"/>
      <c r="J44" s="44"/>
      <c r="K44" s="44"/>
      <c r="L44" s="75"/>
      <c r="M44" s="62"/>
      <c r="N44" s="76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68"/>
      <c r="AS44" s="68"/>
      <c r="AT44" s="68"/>
      <c r="AU44" s="69"/>
      <c r="AV44" s="70"/>
      <c r="AW44" s="71"/>
      <c r="AX44" s="72"/>
      <c r="AY44" s="73"/>
      <c r="AZ44" s="73"/>
      <c r="BA44" s="73"/>
      <c r="BB44" s="74"/>
      <c r="BC44" s="23"/>
    </row>
    <row r="45" spans="2:55" x14ac:dyDescent="0.2">
      <c r="B45" s="172"/>
      <c r="C45" s="172"/>
      <c r="D45" s="43"/>
      <c r="E45" s="44"/>
      <c r="F45" s="44"/>
      <c r="G45" s="44"/>
      <c r="H45" s="44"/>
      <c r="I45" s="44"/>
      <c r="J45" s="44"/>
      <c r="K45" s="44"/>
      <c r="L45" s="75"/>
      <c r="M45" s="62"/>
      <c r="N45" s="76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68"/>
      <c r="AS45" s="68"/>
      <c r="AT45" s="68"/>
      <c r="AU45" s="69"/>
      <c r="AV45" s="70"/>
      <c r="AW45" s="71"/>
      <c r="AX45" s="72"/>
      <c r="AY45" s="73"/>
      <c r="AZ45" s="73"/>
      <c r="BA45" s="73"/>
      <c r="BB45" s="74"/>
      <c r="BC45" s="23"/>
    </row>
    <row r="46" spans="2:55" x14ac:dyDescent="0.2">
      <c r="B46" s="172"/>
      <c r="C46" s="172"/>
      <c r="D46" s="49"/>
      <c r="E46" s="50"/>
      <c r="F46" s="50"/>
      <c r="G46" s="50"/>
      <c r="H46" s="50"/>
      <c r="I46" s="50"/>
      <c r="J46" s="50"/>
      <c r="K46" s="50"/>
      <c r="L46" s="75"/>
      <c r="M46" s="62" t="s">
        <v>88</v>
      </c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68"/>
      <c r="AS46" s="68"/>
      <c r="AT46" s="68"/>
      <c r="AU46" s="69"/>
      <c r="AV46" s="70"/>
      <c r="AW46" s="71"/>
      <c r="AX46" s="72"/>
      <c r="AY46" s="73"/>
      <c r="AZ46" s="73"/>
      <c r="BA46" s="73"/>
      <c r="BB46" s="74"/>
      <c r="BC46" s="23"/>
    </row>
    <row r="47" spans="2:55" x14ac:dyDescent="0.2">
      <c r="B47" s="170"/>
      <c r="C47" s="170"/>
      <c r="D47" s="49"/>
      <c r="E47" s="50"/>
      <c r="F47" s="50"/>
      <c r="G47" s="50"/>
      <c r="H47" s="50"/>
      <c r="I47" s="50"/>
      <c r="J47" s="50"/>
      <c r="K47" s="50"/>
      <c r="L47" s="75"/>
      <c r="M47" s="62"/>
      <c r="N47" s="76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68"/>
      <c r="AS47" s="68"/>
      <c r="AT47" s="68"/>
      <c r="AU47" s="69"/>
      <c r="AV47" s="70"/>
      <c r="AW47" s="71"/>
      <c r="AX47" s="72"/>
      <c r="AY47" s="73"/>
      <c r="AZ47" s="73"/>
      <c r="BA47" s="73"/>
      <c r="BB47" s="74"/>
    </row>
    <row r="48" spans="2:55" x14ac:dyDescent="0.2">
      <c r="B48" s="171"/>
      <c r="C48" s="171"/>
      <c r="D48" s="59"/>
      <c r="E48" s="60"/>
      <c r="F48" s="60"/>
      <c r="G48" s="60"/>
      <c r="H48" s="60"/>
      <c r="I48" s="60"/>
      <c r="J48" s="60"/>
      <c r="K48" s="60"/>
      <c r="L48" s="61"/>
      <c r="M48" s="89"/>
      <c r="N48" s="58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1"/>
      <c r="AV48" s="92"/>
      <c r="AW48" s="93"/>
      <c r="AX48" s="94"/>
      <c r="AY48" s="95"/>
      <c r="AZ48" s="95"/>
      <c r="BA48" s="95"/>
      <c r="BB48" s="96"/>
    </row>
    <row r="49" spans="13:50" x14ac:dyDescent="0.2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</row>
  </sheetData>
  <mergeCells count="57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D16:L17"/>
    <mergeCell ref="B17:C17"/>
    <mergeCell ref="B18:C18"/>
    <mergeCell ref="B19:C19"/>
    <mergeCell ref="B20:C20"/>
    <mergeCell ref="S20:V21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7:C47"/>
    <mergeCell ref="B48:C48"/>
    <mergeCell ref="B42:C42"/>
    <mergeCell ref="B43:C43"/>
    <mergeCell ref="B44:C44"/>
    <mergeCell ref="B45:C45"/>
    <mergeCell ref="B46:C46"/>
  </mergeCells>
  <phoneticPr fontId="25"/>
  <pageMargins left="0.78749999999999998" right="0.78749999999999998" top="1.0249999999999999" bottom="1.0249999999999999" header="0.78749999999999998" footer="0.78749999999999998"/>
  <pageSetup paperSize="9" scale="24" firstPageNumber="0" orientation="portrait" horizontalDpi="300" verticalDpi="300" r:id="rId1"/>
  <headerFooter>
    <oddHeader>&amp;C&amp;"Arial,標準"&amp;10&amp;A</oddHeader>
    <oddFooter>&amp;C&amp;"Arial,標準"&amp;10ページ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6842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更新履歴</vt:lpstr>
      <vt:lpstr>画面詳細</vt:lpstr>
      <vt:lpstr>イベント処理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 holy</cp:lastModifiedBy>
  <cp:revision>94</cp:revision>
  <dcterms:created xsi:type="dcterms:W3CDTF">2020-11-17T11:26:25Z</dcterms:created>
  <dcterms:modified xsi:type="dcterms:W3CDTF">2024-09-24T02:31:14Z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