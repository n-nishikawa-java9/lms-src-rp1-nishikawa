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C6A8EECE-BE82-4506-A243-D932AC7201C1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URL一覧" sheetId="3" r:id="rId3"/>
  </sheets>
  <definedNames>
    <definedName name="_xlnm.Print_Area" localSheetId="1">更新履歴!$A$1:$BL$46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10" i="3" l="1"/>
  <c r="A16" i="3"/>
  <c r="A44" i="3"/>
  <c r="A9" i="3"/>
  <c r="A82" i="3"/>
  <c r="A79" i="3"/>
  <c r="A71" i="3"/>
  <c r="A100" i="3"/>
  <c r="A99" i="3"/>
  <c r="A98" i="3"/>
  <c r="A97" i="3"/>
  <c r="A56" i="3"/>
  <c r="A55" i="3"/>
  <c r="A54" i="3"/>
  <c r="A53" i="3"/>
  <c r="A114" i="3"/>
  <c r="A113" i="3"/>
  <c r="A112" i="3"/>
  <c r="A111" i="3"/>
  <c r="A109" i="3"/>
  <c r="A108" i="3"/>
  <c r="A107" i="3"/>
  <c r="A106" i="3"/>
  <c r="A105" i="3"/>
  <c r="A104" i="3"/>
  <c r="A103" i="3"/>
  <c r="A102" i="3"/>
  <c r="A101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78" i="3"/>
  <c r="A81" i="3"/>
  <c r="A80" i="3"/>
  <c r="A77" i="3"/>
  <c r="A75" i="3"/>
  <c r="A74" i="3"/>
  <c r="A72" i="3"/>
  <c r="A76" i="3"/>
  <c r="A70" i="3"/>
  <c r="A73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2" i="3"/>
  <c r="A51" i="3"/>
  <c r="A50" i="3"/>
  <c r="A49" i="3"/>
  <c r="A48" i="3"/>
  <c r="A47" i="3"/>
  <c r="A46" i="3"/>
  <c r="A45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5" i="3"/>
  <c r="A14" i="3"/>
  <c r="A13" i="3"/>
  <c r="A12" i="3"/>
  <c r="A11" i="3"/>
  <c r="A10" i="3"/>
  <c r="A8" i="3"/>
  <c r="A7" i="3"/>
  <c r="K2" i="3"/>
  <c r="A2" i="3"/>
  <c r="U1" i="3"/>
  <c r="K2" i="2"/>
  <c r="A2" i="2"/>
  <c r="U1" i="2"/>
  <c r="AA15" i="1"/>
  <c r="X15" i="1"/>
</calcChain>
</file>

<file path=xl/sharedStrings.xml><?xml version="1.0" encoding="utf-8"?>
<sst xmlns="http://schemas.openxmlformats.org/spreadsheetml/2006/main" count="964" uniqueCount="296">
  <si>
    <t>LMS学習管理システム</t>
  </si>
  <si>
    <t>Javaリアルプロジェクト</t>
  </si>
  <si>
    <t>画面URL一覧</t>
  </si>
  <si>
    <t>作成者</t>
  </si>
  <si>
    <t>審査者</t>
  </si>
  <si>
    <t>承認者</t>
  </si>
  <si>
    <t>加藤</t>
  </si>
  <si>
    <t>プロジェクト名</t>
  </si>
  <si>
    <t>システム名</t>
  </si>
  <si>
    <t>作成日</t>
  </si>
  <si>
    <t>更新者</t>
  </si>
  <si>
    <t>更新日</t>
  </si>
  <si>
    <t>更新履歴</t>
  </si>
  <si>
    <t>堀井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</si>
  <si>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</si>
  <si>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</si>
  <si>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</si>
  <si>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</si>
  <si>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</si>
  <si>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</si>
  <si>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</si>
  <si>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管理者権限の一部画面を追加</t>
  </si>
  <si>
    <t>臼井</t>
  </si>
  <si>
    <r>
      <rPr>
        <sz val="11"/>
        <color rgb="FF000000"/>
        <rFont val="ＭＳ ゴシック"/>
        <family val="3"/>
        <charset val="128"/>
      </rPr>
      <t>・管理者権限の一部画面を追加2
・育成担当者欄記載
・</t>
    </r>
    <r>
      <rPr>
        <sz val="10"/>
        <color rgb="FF000000"/>
        <rFont val="ＭＳ Ｐゴシック"/>
        <family val="3"/>
        <charset val="128"/>
      </rPr>
      <t>勤怠情報変更⇒勤怠情報直接変更に修正</t>
    </r>
  </si>
  <si>
    <t>管理者権限のみの画面を削除</t>
  </si>
  <si>
    <t>解答用にすべての権限画面追記</t>
  </si>
  <si>
    <t>岡野</t>
  </si>
  <si>
    <t>要件追加対応</t>
  </si>
  <si>
    <t>No.</t>
  </si>
  <si>
    <t>分類</t>
  </si>
  <si>
    <t>画面名</t>
  </si>
  <si>
    <t>URL</t>
  </si>
  <si>
    <t>受講
生</t>
  </si>
  <si>
    <t>講師</t>
  </si>
  <si>
    <t>企業
担当</t>
  </si>
  <si>
    <t>育成
担当</t>
  </si>
  <si>
    <t>管理</t>
  </si>
  <si>
    <t>備考</t>
  </si>
  <si>
    <t>404</t>
  </si>
  <si>
    <t>-</t>
  </si>
  <si>
    <t>○</t>
  </si>
  <si>
    <t>エラー</t>
  </si>
  <si>
    <t>/error</t>
  </si>
  <si>
    <t>お知らせ</t>
  </si>
  <si>
    <t>×</t>
  </si>
  <si>
    <t>お知らせ履歴一覧</t>
  </si>
  <si>
    <t>/info/list</t>
  </si>
  <si>
    <t>改修</t>
  </si>
  <si>
    <t>改修履歴一覧</t>
  </si>
  <si>
    <t>/repair/list</t>
  </si>
  <si>
    <t>改修登録(登録・変更)</t>
  </si>
  <si>
    <t>/repair/regist</t>
  </si>
  <si>
    <t>会場</t>
  </si>
  <si>
    <t>会場一覧</t>
  </si>
  <si>
    <t>/place/list</t>
  </si>
  <si>
    <t>会場登録(登録・変更)</t>
  </si>
  <si>
    <t>/place/regist</t>
  </si>
  <si>
    <t>企業</t>
  </si>
  <si>
    <t>企業一覧</t>
  </si>
  <si>
    <t>/company/list</t>
  </si>
  <si>
    <t>企業登録</t>
  </si>
  <si>
    <t>/company/regist</t>
  </si>
  <si>
    <t>休暇</t>
  </si>
  <si>
    <t>休暇日一覧</t>
  </si>
  <si>
    <t>/holiday/list</t>
  </si>
  <si>
    <t>コース</t>
  </si>
  <si>
    <t>コース詳細</t>
  </si>
  <si>
    <t>/course/detail</t>
  </si>
  <si>
    <t>コース一覧</t>
  </si>
  <si>
    <t>/course/list</t>
  </si>
  <si>
    <t>コース登録</t>
  </si>
  <si>
    <t>/course/regist</t>
  </si>
  <si>
    <t>コース詳細登録</t>
  </si>
  <si>
    <t>/course/registDetail</t>
  </si>
  <si>
    <t>サポートセンター</t>
  </si>
  <si>
    <t>サポートセンター問い合わせ</t>
  </si>
  <si>
    <t>/support</t>
  </si>
  <si>
    <t>質問</t>
  </si>
  <si>
    <t>質問登録(登録・変更)</t>
  </si>
  <si>
    <t>/faq/regist</t>
  </si>
  <si>
    <t>よくある質問</t>
  </si>
  <si>
    <t>/faq</t>
  </si>
  <si>
    <t>よくある質問一覧</t>
  </si>
  <si>
    <t>/faq/categoryList</t>
  </si>
  <si>
    <t>ジャンル</t>
  </si>
  <si>
    <t>試験カテゴリー一覧</t>
  </si>
  <si>
    <t>/genre/list</t>
  </si>
  <si>
    <t>試験カテゴリー登録</t>
  </si>
  <si>
    <t>/genre/regist</t>
  </si>
  <si>
    <t>詳細試験カテゴリー登録</t>
  </si>
  <si>
    <t>/genre/detailRegist</t>
  </si>
  <si>
    <t>セクション</t>
  </si>
  <si>
    <t>セクション詳細</t>
  </si>
  <si>
    <t>/section/detail</t>
  </si>
  <si>
    <t>/section/registDetail</t>
  </si>
  <si>
    <t>チーム編成一覧</t>
  </si>
  <si>
    <t>パスワード</t>
  </si>
  <si>
    <t>パスワード変更</t>
  </si>
  <si>
    <t>/password/changePassword</t>
  </si>
  <si>
    <t>パスワード再発行</t>
  </si>
  <si>
    <t>/password/reissuePassword</t>
  </si>
  <si>
    <t>パスワード再設定</t>
  </si>
  <si>
    <t>/password/resetPassword</t>
  </si>
  <si>
    <t>パスワード再設定（パスワード変更）</t>
  </si>
  <si>
    <t>/password/changePassword/mailInput</t>
  </si>
  <si>
    <t>ファイル共有</t>
  </si>
  <si>
    <t>ファイル一覧</t>
  </si>
  <si>
    <t>/fileshare/list</t>
  </si>
  <si>
    <t>ヘルプ</t>
  </si>
  <si>
    <t>/help</t>
  </si>
  <si>
    <t>メール</t>
  </si>
  <si>
    <t>メールテンプレート選択</t>
  </si>
  <si>
    <t>テンプレート内容確認</t>
  </si>
  <si>
    <t>メール送信キュー一覧</t>
  </si>
  <si>
    <t>/mail/queList</t>
  </si>
  <si>
    <t>ユーザー</t>
  </si>
  <si>
    <t>利用規約</t>
  </si>
  <si>
    <t>/user/agreeSecurity</t>
  </si>
  <si>
    <t>ユーザー詳細</t>
  </si>
  <si>
    <t>/user/detail</t>
  </si>
  <si>
    <t>ユーザー一覧</t>
  </si>
  <si>
    <t>/user/list</t>
  </si>
  <si>
    <t>ユーザー一覧(受講生一覧)</t>
  </si>
  <si>
    <r>
      <rPr>
        <sz val="10"/>
        <rFont val="ＭＳ Ｐゴシック"/>
        <family val="3"/>
        <charset val="1"/>
      </rPr>
      <t>/user</t>
    </r>
    <r>
      <rPr>
        <sz val="10"/>
        <rFont val="ＭＳ Ｐゴシック"/>
        <family val="3"/>
        <charset val="128"/>
      </rPr>
      <t>/list</t>
    </r>
    <r>
      <rPr>
        <sz val="10"/>
        <rFont val="ＭＳ Ｐゴシック"/>
        <family val="3"/>
        <charset val="1"/>
      </rPr>
      <t>/student</t>
    </r>
  </si>
  <si>
    <t>ユーザー一覧(受講生以外のユーザー)</t>
  </si>
  <si>
    <r>
      <rPr>
        <sz val="10"/>
        <rFont val="ＭＳ Ｐゴシック"/>
        <family val="3"/>
        <charset val="1"/>
      </rPr>
      <t>/user</t>
    </r>
    <r>
      <rPr>
        <sz val="10"/>
        <rFont val="ＭＳ Ｐゴシック"/>
        <family val="3"/>
        <charset val="128"/>
      </rPr>
      <t>/list</t>
    </r>
    <r>
      <rPr>
        <sz val="10"/>
        <rFont val="ＭＳ Ｐゴシック"/>
        <family val="3"/>
        <charset val="1"/>
      </rPr>
      <t>/company</t>
    </r>
  </si>
  <si>
    <t>マイアカウント</t>
  </si>
  <si>
    <t>/user/myAccount</t>
  </si>
  <si>
    <t>受講生登録</t>
  </si>
  <si>
    <t>ユーザー登録メニュー</t>
  </si>
  <si>
    <t>/user/registMenu</t>
  </si>
  <si>
    <t>受講生変更</t>
  </si>
  <si>
    <t>/student/update</t>
  </si>
  <si>
    <t>ログイン</t>
  </si>
  <si>
    <t>/</t>
  </si>
  <si>
    <t>引継面談</t>
  </si>
  <si>
    <t>引継面談／会場見学 スケジュール一覧</t>
  </si>
  <si>
    <t>/takeOver/list</t>
  </si>
  <si>
    <t>引継面談／会場見学 時間予約（一覧）</t>
  </si>
  <si>
    <t>/takeOver/detail</t>
  </si>
  <si>
    <t>引継面談／会場見学 時間予約（登録・変更・削除）</t>
  </si>
  <si>
    <t>/takeOver/regist</t>
  </si>
  <si>
    <t>ダウンロード</t>
  </si>
  <si>
    <t>教材ダウンロード</t>
  </si>
  <si>
    <t>/download/teachingMaterialList</t>
  </si>
  <si>
    <t>勤怠</t>
  </si>
  <si>
    <t>勤怠一括登録</t>
  </si>
  <si>
    <t>/attendance/bulkRegist</t>
  </si>
  <si>
    <t>勤怠管理</t>
  </si>
  <si>
    <t>/attendance/detail</t>
  </si>
  <si>
    <t>勤怠管理（受講生名）</t>
  </si>
  <si>
    <t>/attendance/management</t>
  </si>
  <si>
    <t>勤怠情報確認（受講生一覧）</t>
  </si>
  <si>
    <t>/attendance/list</t>
  </si>
  <si>
    <t>勤怠管理直接変更</t>
  </si>
  <si>
    <t>/attendance/update</t>
  </si>
  <si>
    <t>勤怠情報変更（管理）</t>
  </si>
  <si>
    <t>/attendance/updateAdmin</t>
  </si>
  <si>
    <t>契約</t>
  </si>
  <si>
    <t>契約書確認(契約同意)</t>
  </si>
  <si>
    <t>/contract/agreement/regist</t>
  </si>
  <si>
    <t>過去契約一覧</t>
  </si>
  <si>
    <t>/contract/history/list</t>
  </si>
  <si>
    <t>契約確認</t>
  </si>
  <si>
    <t>/contract/history/detail</t>
  </si>
  <si>
    <t>試験</t>
  </si>
  <si>
    <t>試験回答確認</t>
  </si>
  <si>
    <t>/exam/answerCheck</t>
  </si>
  <si>
    <t>試験詳細</t>
  </si>
  <si>
    <t>/exam/detail</t>
  </si>
  <si>
    <t>試験一覧</t>
  </si>
  <si>
    <t>/exam/list</t>
  </si>
  <si>
    <t>試験問題</t>
  </si>
  <si>
    <t>/exam/question</t>
  </si>
  <si>
    <t>試験結果</t>
  </si>
  <si>
    <t>/exam/result</t>
  </si>
  <si>
    <t>試験結果詳細</t>
  </si>
  <si>
    <t>/exam/resultDetail</t>
  </si>
  <si>
    <t>試験結果一覧</t>
  </si>
  <si>
    <t>/exam/resultList</t>
  </si>
  <si>
    <t>試験開始</t>
  </si>
  <si>
    <t>/exam/start</t>
  </si>
  <si>
    <t>試験内容登録</t>
  </si>
  <si>
    <t>/exam/regist</t>
  </si>
  <si>
    <t>試験問題登録</t>
  </si>
  <si>
    <t>/exam/registDetail</t>
  </si>
  <si>
    <t>/exam/preview</t>
  </si>
  <si>
    <t>受講生</t>
  </si>
  <si>
    <t>/student/regist</t>
  </si>
  <si>
    <t>助成金</t>
  </si>
  <si>
    <t>企業情報</t>
  </si>
  <si>
    <t>/subsidy/company/detail</t>
  </si>
  <si>
    <t>企業情報編集</t>
  </si>
  <si>
    <t>/subsidy/company/update</t>
  </si>
  <si>
    <t>助成金書類ダウンロード出力対象選択</t>
  </si>
  <si>
    <t>/subsidy/downloaled/style</t>
  </si>
  <si>
    <t>助成金書類ダウンロード申請種別選択</t>
  </si>
  <si>
    <t>/subsidy/downloaled/type</t>
  </si>
  <si>
    <t>成果物</t>
  </si>
  <si>
    <t>成果物一覧</t>
  </si>
  <si>
    <t>/deliverables/list</t>
  </si>
  <si>
    <t>成果報告会</t>
  </si>
  <si>
    <t>成果報告会一覧</t>
  </si>
  <si>
    <t>/presentation/list</t>
  </si>
  <si>
    <t>成果報告予約状況詳細</t>
  </si>
  <si>
    <t>/presentation/reserveStatusDetail</t>
  </si>
  <si>
    <t>成果報告参加予約(新規予約)</t>
  </si>
  <si>
    <t>/presentation/reserveRegist</t>
  </si>
  <si>
    <t>成果報告参加予約(予約変更)</t>
  </si>
  <si>
    <t>/presentation/reserveUpdate</t>
  </si>
  <si>
    <t>/presentation/teamList</t>
  </si>
  <si>
    <t>/presentation/teamDetail</t>
  </si>
  <si>
    <t>チーム編成（チーム数入力）</t>
  </si>
  <si>
    <t>チーム編成</t>
  </si>
  <si>
    <t>/presentation/teamEdit</t>
  </si>
  <si>
    <t>スケジュール一覧</t>
  </si>
  <si>
    <t>動画</t>
  </si>
  <si>
    <t>動画視聴</t>
  </si>
  <si>
    <t>/movie</t>
  </si>
  <si>
    <t>動画一覧</t>
  </si>
  <si>
    <t>/movie/categoryList</t>
  </si>
  <si>
    <t>動画カテゴリー登録</t>
  </si>
  <si>
    <t>/movie/categoryRegist</t>
  </si>
  <si>
    <t>動画登録</t>
  </si>
  <si>
    <t>/movie/regist</t>
  </si>
  <si>
    <t>レポート</t>
  </si>
  <si>
    <t>レポート詳細</t>
  </si>
  <si>
    <t>/report/detail</t>
  </si>
  <si>
    <t>レポート一覧</t>
  </si>
  <si>
    <t>/report/list</t>
  </si>
  <si>
    <t>レポート登録</t>
  </si>
  <si>
    <t>/report/regist</t>
  </si>
  <si>
    <t>評価レポート</t>
  </si>
  <si>
    <t>評価レポート結果登録</t>
  </si>
  <si>
    <t>/evReport/result/regist</t>
  </si>
  <si>
    <t>評価レポート採点確認</t>
  </si>
  <si>
    <t>評価レポート一覧</t>
  </si>
  <si>
    <t>/evReport/list</t>
  </si>
  <si>
    <t>不正アクセス</t>
  </si>
  <si>
    <t>/illegal</t>
  </si>
  <si>
    <t>面談</t>
  </si>
  <si>
    <t>面談記録登録(変更)</t>
  </si>
  <si>
    <t>/meeting/regist</t>
  </si>
  <si>
    <t>ユーザー詳細(面談記録削除)</t>
  </si>
  <si>
    <t>/meeting/delete</t>
  </si>
  <si>
    <t>ユーザー詳細(面談記録ダウンロード)</t>
  </si>
  <si>
    <t>/meeting/download</t>
  </si>
  <si>
    <t>面談テンプレート</t>
  </si>
  <si>
    <t>面談テンプレートファイル一覧</t>
  </si>
  <si>
    <t>/meeting/fileList</t>
  </si>
  <si>
    <t>面談テンプレートファイル登録</t>
  </si>
  <si>
    <t>/meeting/fileRegist</t>
  </si>
  <si>
    <t>セクション詳細変更</t>
    <phoneticPr fontId="17"/>
  </si>
  <si>
    <t>引継面談／会場見学 実施日一覧</t>
    <phoneticPr fontId="17"/>
  </si>
  <si>
    <t>引継面談／会場見学 実施日登録（実施日時登録）</t>
    <phoneticPr fontId="17"/>
  </si>
  <si>
    <t>引継面談／会場見学 実施日登録（会場／企業選択）</t>
    <phoneticPr fontId="17"/>
  </si>
  <si>
    <t>引継面談／会場見学 実施日登録（日程登録）</t>
    <phoneticPr fontId="17"/>
  </si>
  <si>
    <t>/takeOver/selectDate</t>
    <phoneticPr fontId="17"/>
  </si>
  <si>
    <t>/takeOver/selectCompany</t>
    <phoneticPr fontId="17"/>
  </si>
  <si>
    <t>/takeOver/candidateList</t>
    <phoneticPr fontId="17"/>
  </si>
  <si>
    <t>/takeOver/registDate</t>
    <phoneticPr fontId="17"/>
  </si>
  <si>
    <r>
      <t>/presentation</t>
    </r>
    <r>
      <rPr>
        <sz val="10"/>
        <rFont val="ＭＳ Ｐゴシック"/>
        <family val="3"/>
        <charset val="128"/>
      </rPr>
      <t>/teamR</t>
    </r>
    <r>
      <rPr>
        <sz val="10"/>
        <rFont val="ＭＳ Ｐゴシック"/>
        <family val="3"/>
        <charset val="1"/>
      </rPr>
      <t>egist</t>
    </r>
    <phoneticPr fontId="17"/>
  </si>
  <si>
    <t>/presentation/candidateList</t>
    <phoneticPr fontId="17"/>
  </si>
  <si>
    <t>/presentation/registDate</t>
    <phoneticPr fontId="17"/>
  </si>
  <si>
    <t>/presentation/selectDate</t>
    <phoneticPr fontId="17"/>
  </si>
  <si>
    <t>/presentation/selectPlace</t>
    <phoneticPr fontId="17"/>
  </si>
  <si>
    <t>スケジュール登録</t>
    <phoneticPr fontId="17"/>
  </si>
  <si>
    <t>スケジュール登録（会場選択）</t>
    <phoneticPr fontId="17"/>
  </si>
  <si>
    <t>スケジュール登録（日程登録）</t>
    <phoneticPr fontId="17"/>
  </si>
  <si>
    <t>/evReport/score</t>
    <phoneticPr fontId="17"/>
  </si>
  <si>
    <t>試験プレビュー</t>
    <phoneticPr fontId="17"/>
  </si>
  <si>
    <t>試験回答状況</t>
    <rPh sb="2" eb="6">
      <t>カイトウジョウキョウ</t>
    </rPh>
    <phoneticPr fontId="17"/>
  </si>
  <si>
    <t>/exam/resultSummary</t>
    <phoneticPr fontId="17"/>
  </si>
  <si>
    <t>【助成金】画面名を他の設計書に合わせて修正</t>
    <phoneticPr fontId="17"/>
  </si>
  <si>
    <t>【引継面談／会場見学】画面名統一、新規URL追加</t>
    <phoneticPr fontId="17"/>
  </si>
  <si>
    <t>【コース・セクション】画面名の統一、新規画面追加</t>
    <phoneticPr fontId="17"/>
  </si>
  <si>
    <t>【契約】 契約確認画面のURLを追加</t>
    <phoneticPr fontId="17"/>
  </si>
  <si>
    <t>面談</t>
    <phoneticPr fontId="17"/>
  </si>
  <si>
    <t>【面談】削除用・変更用URLの修正</t>
    <phoneticPr fontId="17"/>
  </si>
  <si>
    <t>チーム編成詳細</t>
    <phoneticPr fontId="17"/>
  </si>
  <si>
    <t>お知らせ情報取得(JSON)</t>
    <phoneticPr fontId="17"/>
  </si>
  <si>
    <t>/info</t>
    <phoneticPr fontId="17"/>
  </si>
  <si>
    <t>/info/latest</t>
    <phoneticPr fontId="17"/>
  </si>
  <si>
    <t>お知らせ登録</t>
    <rPh sb="4" eb="6">
      <t>トウロク</t>
    </rPh>
    <phoneticPr fontId="17"/>
  </si>
  <si>
    <t>質問カテゴリー登録(登録・変更)</t>
    <phoneticPr fontId="17"/>
  </si>
  <si>
    <t>/info/regist</t>
    <phoneticPr fontId="17"/>
  </si>
  <si>
    <t>【おしらせ】画面名、URLを再整備</t>
    <rPh sb="14" eb="17">
      <t>サイセイビ</t>
    </rPh>
    <phoneticPr fontId="17"/>
  </si>
  <si>
    <t>/faq/categoryRegist</t>
    <phoneticPr fontId="17"/>
  </si>
  <si>
    <t>/mail/sendList</t>
    <phoneticPr fontId="17"/>
  </si>
  <si>
    <t>/mail/sendTemplateConfirm</t>
    <phoneticPr fontId="17"/>
  </si>
  <si>
    <t>メール送信コース一覧</t>
    <phoneticPr fontId="17"/>
  </si>
  <si>
    <t>/mail/sendCourseList</t>
    <phoneticPr fontId="17"/>
  </si>
  <si>
    <t>会場データインポート</t>
    <phoneticPr fontId="17"/>
  </si>
  <si>
    <t>/place/registPlaceCsv</t>
    <phoneticPr fontId="17"/>
  </si>
  <si>
    <t>評価レポート登録</t>
    <rPh sb="6" eb="8">
      <t>トウロク</t>
    </rPh>
    <phoneticPr fontId="17"/>
  </si>
  <si>
    <t>/evReport/regist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</si>
</sst>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1030411]ggge&quot;年&quot;mm&quot;月&quot;dd&quot;日&quot;"/>
    <numFmt numFmtId="177" formatCode="&quot;第&quot;0.0&quot;版&quot;"/>
    <numFmt numFmtId="178" formatCode="yyyy/mm/dd"/>
    <numFmt numFmtId="179" formatCode="yyyy&quot;年&quot;mm&quot;月&quot;dd&quot;日&quot;"/>
    <numFmt numFmtId="180" formatCode="0.0_ "/>
  </numFmts>
  <fonts count="18" x14ac:knownFonts="1">
    <font>
      <sz val="10"/>
      <name val="游ゴシック"/>
      <family val="2"/>
      <charset val="128"/>
    </font>
    <font>
      <sz val="11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0.5"/>
      <name val="ＭＳ Ｐゴシック"/>
      <family val="3"/>
      <charset val="1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11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Ｐゴシック"/>
      <family val="2"/>
      <charset val="128"/>
    </font>
    <font>
      <sz val="11"/>
      <color rgb="FF000000"/>
      <name val="ＭＳ 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name val="ＭＳ Ｐゴシック"/>
      <family val="3"/>
      <charset val="128"/>
    </font>
    <font>
      <sz val="6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FF"/>
        <bgColor rgb="FFCCFFCC"/>
      </patternFill>
    </fill>
    <fill>
      <patternFill patternType="solid">
        <fgColor rgb="FFDEE6EF"/>
        <bgColor rgb="FFCCFFFF"/>
      </patternFill>
    </fill>
  </fills>
  <borders count="4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>
      <alignment vertical="center"/>
    </xf>
    <xf numFmtId="0" fontId="1" fillId="0" borderId="0"/>
    <xf numFmtId="0" fontId="1" fillId="0" borderId="0"/>
  </cellStyleXfs>
  <cellXfs count="87">
    <xf numFmtId="0" fontId="0" fillId="0" borderId="0" xfId="0"/>
    <xf numFmtId="179" fontId="4" fillId="2" borderId="0" xfId="3" applyNumberFormat="1" applyFont="1" applyFill="1" applyAlignment="1">
      <alignment horizontal="center"/>
    </xf>
    <xf numFmtId="176" fontId="4" fillId="2" borderId="0" xfId="3" applyNumberFormat="1" applyFont="1" applyFill="1" applyAlignment="1">
      <alignment horizontal="center"/>
    </xf>
    <xf numFmtId="0" fontId="1" fillId="2" borderId="0" xfId="3" applyFill="1"/>
    <xf numFmtId="0" fontId="2" fillId="0" borderId="0" xfId="2">
      <alignment vertical="center"/>
    </xf>
    <xf numFmtId="0" fontId="1" fillId="2" borderId="1" xfId="3" applyFill="1" applyBorder="1"/>
    <xf numFmtId="0" fontId="1" fillId="2" borderId="2" xfId="3" applyFill="1" applyBorder="1"/>
    <xf numFmtId="0" fontId="1" fillId="2" borderId="3" xfId="3" applyFill="1" applyBorder="1"/>
    <xf numFmtId="0" fontId="1" fillId="2" borderId="4" xfId="3" applyFill="1" applyBorder="1"/>
    <xf numFmtId="0" fontId="1" fillId="2" borderId="5" xfId="3" applyFill="1" applyBorder="1"/>
    <xf numFmtId="0" fontId="1" fillId="2" borderId="6" xfId="3" applyFill="1" applyBorder="1"/>
    <xf numFmtId="0" fontId="1" fillId="2" borderId="7" xfId="3" applyFill="1" applyBorder="1"/>
    <xf numFmtId="0" fontId="1" fillId="2" borderId="8" xfId="3" applyFill="1" applyBorder="1"/>
    <xf numFmtId="0" fontId="4" fillId="2" borderId="0" xfId="3" applyFont="1" applyFill="1"/>
    <xf numFmtId="177" fontId="4" fillId="2" borderId="0" xfId="3" applyNumberFormat="1" applyFont="1" applyFill="1" applyAlignment="1">
      <alignment horizontal="left"/>
    </xf>
    <xf numFmtId="0" fontId="6" fillId="2" borderId="0" xfId="3" applyFont="1" applyFill="1"/>
    <xf numFmtId="179" fontId="1" fillId="2" borderId="10" xfId="3" applyNumberFormat="1" applyFill="1" applyBorder="1"/>
    <xf numFmtId="0" fontId="1" fillId="2" borderId="11" xfId="3" applyFill="1" applyBorder="1"/>
    <xf numFmtId="0" fontId="1" fillId="2" borderId="12" xfId="3" applyFill="1" applyBorder="1"/>
    <xf numFmtId="0" fontId="1" fillId="2" borderId="13" xfId="3" applyFill="1" applyBorder="1"/>
    <xf numFmtId="0" fontId="1" fillId="2" borderId="14" xfId="3" applyFill="1" applyBorder="1"/>
    <xf numFmtId="0" fontId="1" fillId="2" borderId="15" xfId="3" applyFill="1" applyBorder="1"/>
    <xf numFmtId="0" fontId="1" fillId="2" borderId="16" xfId="3" applyFill="1" applyBorder="1"/>
    <xf numFmtId="0" fontId="1" fillId="2" borderId="17" xfId="3" applyFill="1" applyBorder="1"/>
    <xf numFmtId="0" fontId="9" fillId="2" borderId="0" xfId="3" applyFont="1" applyFill="1"/>
    <xf numFmtId="0" fontId="1" fillId="2" borderId="0" xfId="3" applyFill="1" applyAlignment="1">
      <alignment horizontal="right"/>
    </xf>
    <xf numFmtId="0" fontId="10" fillId="2" borderId="0" xfId="3" applyFont="1" applyFill="1"/>
    <xf numFmtId="0" fontId="8" fillId="0" borderId="0" xfId="4" applyFont="1" applyAlignment="1">
      <alignment horizontal="left" vertical="center"/>
    </xf>
    <xf numFmtId="0" fontId="10" fillId="2" borderId="0" xfId="3" applyFont="1" applyFill="1" applyAlignment="1">
      <alignment horizontal="center" vertical="center"/>
    </xf>
    <xf numFmtId="0" fontId="10" fillId="2" borderId="0" xfId="3" applyFont="1" applyFill="1" applyAlignment="1">
      <alignment horizontal="center"/>
    </xf>
    <xf numFmtId="0" fontId="10" fillId="2" borderId="0" xfId="3" applyFont="1" applyFill="1" applyAlignment="1">
      <alignment vertical="center"/>
    </xf>
    <xf numFmtId="0" fontId="8" fillId="0" borderId="0" xfId="4" applyFont="1"/>
    <xf numFmtId="0" fontId="1" fillId="0" borderId="0" xfId="4"/>
    <xf numFmtId="0" fontId="15" fillId="0" borderId="0" xfId="0" applyFont="1"/>
    <xf numFmtId="0" fontId="15" fillId="0" borderId="42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3" fillId="2" borderId="0" xfId="3" applyFont="1" applyFill="1" applyAlignment="1">
      <alignment horizontal="center" shrinkToFit="1"/>
    </xf>
    <xf numFmtId="0" fontId="3" fillId="2" borderId="0" xfId="3" applyFont="1" applyFill="1" applyAlignment="1">
      <alignment horizontal="center"/>
    </xf>
    <xf numFmtId="176" fontId="4" fillId="2" borderId="0" xfId="3" applyNumberFormat="1" applyFont="1" applyFill="1" applyAlignment="1">
      <alignment horizontal="center"/>
    </xf>
    <xf numFmtId="178" fontId="5" fillId="2" borderId="0" xfId="3" applyNumberFormat="1" applyFont="1" applyFill="1" applyAlignment="1">
      <alignment horizontal="center"/>
    </xf>
    <xf numFmtId="0" fontId="1" fillId="2" borderId="0" xfId="3" applyFill="1" applyAlignment="1">
      <alignment horizontal="center" vertical="center"/>
    </xf>
    <xf numFmtId="179" fontId="4" fillId="2" borderId="0" xfId="3" applyNumberFormat="1" applyFont="1" applyFill="1" applyAlignment="1">
      <alignment horizontal="center"/>
    </xf>
    <xf numFmtId="0" fontId="1" fillId="2" borderId="9" xfId="3" applyFill="1" applyBorder="1" applyAlignment="1">
      <alignment horizontal="center"/>
    </xf>
    <xf numFmtId="179" fontId="7" fillId="2" borderId="9" xfId="3" applyNumberFormat="1" applyFont="1" applyFill="1" applyBorder="1" applyAlignment="1">
      <alignment horizontal="center"/>
    </xf>
    <xf numFmtId="0" fontId="8" fillId="2" borderId="9" xfId="3" applyFont="1" applyFill="1" applyBorder="1" applyAlignment="1">
      <alignment horizontal="center" vertical="center"/>
    </xf>
    <xf numFmtId="180" fontId="8" fillId="0" borderId="36" xfId="4" applyNumberFormat="1" applyFont="1" applyBorder="1" applyAlignment="1">
      <alignment horizontal="center" vertical="center"/>
    </xf>
    <xf numFmtId="178" fontId="8" fillId="0" borderId="9" xfId="4" applyNumberFormat="1" applyFont="1" applyBorder="1" applyAlignment="1">
      <alignment horizontal="center" vertical="center"/>
    </xf>
    <xf numFmtId="0" fontId="13" fillId="0" borderId="9" xfId="4" applyFont="1" applyBorder="1" applyAlignment="1">
      <alignment horizontal="center" vertical="center" wrapText="1"/>
    </xf>
    <xf numFmtId="0" fontId="8" fillId="0" borderId="9" xfId="4" applyFont="1" applyBorder="1" applyAlignment="1">
      <alignment vertical="center" wrapText="1"/>
    </xf>
    <xf numFmtId="0" fontId="8" fillId="0" borderId="37" xfId="4" applyFont="1" applyBorder="1" applyAlignment="1">
      <alignment horizontal="center" vertical="center"/>
    </xf>
    <xf numFmtId="0" fontId="1" fillId="3" borderId="22" xfId="4" applyFill="1" applyBorder="1" applyAlignment="1">
      <alignment horizontal="center" vertical="center"/>
    </xf>
    <xf numFmtId="0" fontId="1" fillId="3" borderId="23" xfId="4" applyFill="1" applyBorder="1" applyAlignment="1">
      <alignment horizontal="center" vertical="center"/>
    </xf>
    <xf numFmtId="0" fontId="1" fillId="0" borderId="24" xfId="4" applyBorder="1" applyAlignment="1">
      <alignment horizontal="center" vertical="center" wrapText="1"/>
    </xf>
    <xf numFmtId="0" fontId="1" fillId="0" borderId="25" xfId="4" applyBorder="1" applyAlignment="1">
      <alignment horizontal="center" vertical="center" wrapText="1"/>
    </xf>
    <xf numFmtId="0" fontId="11" fillId="0" borderId="26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178" fontId="1" fillId="0" borderId="28" xfId="4" applyNumberFormat="1" applyBorder="1" applyAlignment="1">
      <alignment horizontal="center" vertical="center"/>
    </xf>
    <xf numFmtId="0" fontId="12" fillId="0" borderId="28" xfId="4" applyFont="1" applyBorder="1" applyAlignment="1">
      <alignment horizontal="center" vertical="center"/>
    </xf>
    <xf numFmtId="178" fontId="1" fillId="0" borderId="29" xfId="4" applyNumberFormat="1" applyBorder="1" applyAlignment="1">
      <alignment horizontal="center" vertical="center"/>
    </xf>
    <xf numFmtId="0" fontId="1" fillId="3" borderId="18" xfId="4" applyFill="1" applyBorder="1" applyAlignment="1">
      <alignment horizontal="center" vertical="center"/>
    </xf>
    <xf numFmtId="0" fontId="1" fillId="3" borderId="19" xfId="4" applyFill="1" applyBorder="1" applyAlignment="1">
      <alignment horizontal="center" vertical="center"/>
    </xf>
    <xf numFmtId="0" fontId="1" fillId="3" borderId="20" xfId="4" applyFill="1" applyBorder="1" applyAlignment="1">
      <alignment horizontal="center" vertical="center" wrapText="1"/>
    </xf>
    <xf numFmtId="0" fontId="1" fillId="3" borderId="21" xfId="4" applyFill="1" applyBorder="1" applyAlignment="1">
      <alignment horizontal="center" vertical="center"/>
    </xf>
    <xf numFmtId="0" fontId="8" fillId="3" borderId="30" xfId="4" applyFont="1" applyFill="1" applyBorder="1" applyAlignment="1">
      <alignment horizontal="center" vertical="center"/>
    </xf>
    <xf numFmtId="0" fontId="8" fillId="3" borderId="31" xfId="4" applyFont="1" applyFill="1" applyBorder="1" applyAlignment="1">
      <alignment horizontal="center" vertical="center"/>
    </xf>
    <xf numFmtId="0" fontId="8" fillId="3" borderId="32" xfId="4" applyFont="1" applyFill="1" applyBorder="1" applyAlignment="1">
      <alignment horizontal="center" vertical="center"/>
    </xf>
    <xf numFmtId="180" fontId="8" fillId="0" borderId="33" xfId="4" applyNumberFormat="1" applyFont="1" applyBorder="1" applyAlignment="1">
      <alignment horizontal="center" vertical="center"/>
    </xf>
    <xf numFmtId="178" fontId="8" fillId="0" borderId="34" xfId="4" applyNumberFormat="1" applyFont="1" applyBorder="1" applyAlignment="1">
      <alignment horizontal="center" vertical="center"/>
    </xf>
    <xf numFmtId="0" fontId="8" fillId="0" borderId="34" xfId="4" applyFont="1" applyBorder="1" applyAlignment="1">
      <alignment horizontal="center" vertical="center"/>
    </xf>
    <xf numFmtId="0" fontId="8" fillId="0" borderId="34" xfId="4" applyFont="1" applyBorder="1" applyAlignment="1">
      <alignment vertical="center" wrapText="1"/>
    </xf>
    <xf numFmtId="0" fontId="8" fillId="0" borderId="35" xfId="4" applyFont="1" applyBorder="1" applyAlignment="1">
      <alignment horizontal="center" vertical="center"/>
    </xf>
    <xf numFmtId="0" fontId="13" fillId="0" borderId="9" xfId="4" applyFont="1" applyBorder="1" applyAlignment="1">
      <alignment vertical="center" wrapText="1"/>
    </xf>
    <xf numFmtId="0" fontId="8" fillId="0" borderId="9" xfId="4" applyFont="1" applyBorder="1" applyAlignment="1">
      <alignment horizontal="center" vertical="center" wrapText="1"/>
    </xf>
    <xf numFmtId="0" fontId="13" fillId="0" borderId="36" xfId="4" applyFont="1" applyBorder="1" applyAlignment="1">
      <alignment horizontal="center" vertical="center"/>
    </xf>
    <xf numFmtId="178" fontId="13" fillId="0" borderId="9" xfId="4" applyNumberFormat="1" applyFont="1" applyBorder="1" applyAlignment="1">
      <alignment horizontal="center" vertical="center"/>
    </xf>
    <xf numFmtId="0" fontId="13" fillId="0" borderId="37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/>
    </xf>
    <xf numFmtId="0" fontId="8" fillId="0" borderId="9" xfId="4" applyFont="1" applyBorder="1" applyAlignment="1">
      <alignment horizontal="left" vertical="center" wrapText="1"/>
    </xf>
    <xf numFmtId="0" fontId="15" fillId="0" borderId="41" xfId="0" applyFont="1" applyBorder="1" applyAlignment="1">
      <alignment horizontal="center" vertical="center"/>
    </xf>
    <xf numFmtId="0" fontId="15" fillId="0" borderId="41" xfId="0" applyFont="1" applyBorder="1" applyAlignment="1">
      <alignment horizontal="left" vertical="center"/>
    </xf>
    <xf numFmtId="0" fontId="1" fillId="0" borderId="41" xfId="1" applyBorder="1" applyAlignment="1">
      <alignment horizontal="center" vertical="center"/>
    </xf>
    <xf numFmtId="0" fontId="1" fillId="3" borderId="38" xfId="4" applyFill="1" applyBorder="1" applyAlignment="1">
      <alignment horizontal="center" vertical="center"/>
    </xf>
    <xf numFmtId="0" fontId="1" fillId="3" borderId="39" xfId="4" applyFill="1" applyBorder="1" applyAlignment="1">
      <alignment horizontal="center" vertical="center"/>
    </xf>
    <xf numFmtId="0" fontId="13" fillId="0" borderId="40" xfId="4" applyFont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/>
    </xf>
    <xf numFmtId="0" fontId="15" fillId="4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left" vertical="center" wrapText="1"/>
    </xf>
  </cellXfs>
  <cellStyles count="5">
    <cellStyle name="標準" xfId="0" builtinId="0"/>
    <cellStyle name="標準 2" xfId="1" xr:uid="{00000000-0005-0000-0000-000006000000}"/>
    <cellStyle name="標準 3" xfId="2" xr:uid="{00000000-0005-0000-0000-000007000000}"/>
    <cellStyle name="標準_開発計画_110720_v11" xfId="4" xr:uid="{00000000-0005-0000-0000-000009000000}"/>
    <cellStyle name="標準_朝日生命_バースデーキャンペーン_DB設計書_080415_社内_情報活用セミナー_Createテキストデータ設計書_081107-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E38"/>
  <sheetViews>
    <sheetView tabSelected="1" view="pageBreakPreview" zoomScaleNormal="100" workbookViewId="0"/>
  </sheetViews>
  <sheetFormatPr defaultColWidth="2.6640625" defaultRowHeight="18" x14ac:dyDescent="0.2"/>
  <cols>
    <col min="1" max="57" width="2.6640625" style="3"/>
    <col min="58" max="16384" width="2.6640625" style="4"/>
  </cols>
  <sheetData>
    <row r="7" spans="14:41" ht="12.75" customHeight="1" x14ac:dyDescent="0.2"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</row>
    <row r="8" spans="14:41" ht="19.2" x14ac:dyDescent="0.25">
      <c r="N8" s="8"/>
      <c r="O8" s="36" t="s">
        <v>0</v>
      </c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9"/>
    </row>
    <row r="9" spans="14:41" ht="19.2" x14ac:dyDescent="0.25">
      <c r="N9" s="8"/>
      <c r="O9" s="36" t="s">
        <v>1</v>
      </c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9"/>
    </row>
    <row r="10" spans="14:41" x14ac:dyDescent="0.2">
      <c r="N10" s="8"/>
      <c r="AO10" s="9"/>
    </row>
    <row r="11" spans="14:41" ht="19.2" x14ac:dyDescent="0.25">
      <c r="N11" s="8"/>
      <c r="S11" s="37" t="s">
        <v>2</v>
      </c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O11" s="9"/>
    </row>
    <row r="12" spans="14:41" ht="12.75" customHeight="1" x14ac:dyDescent="0.2"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</row>
    <row r="13" spans="14:41" ht="12.75" customHeight="1" x14ac:dyDescent="0.2">
      <c r="X13" s="13"/>
      <c r="AA13" s="38"/>
      <c r="AB13" s="38"/>
      <c r="AC13" s="38"/>
      <c r="AD13" s="38"/>
      <c r="AE13" s="38"/>
      <c r="AF13" s="38"/>
    </row>
    <row r="14" spans="14:41" ht="12.75" customHeight="1" x14ac:dyDescent="0.2">
      <c r="X14" s="13"/>
      <c r="AA14" s="2"/>
      <c r="AB14" s="2"/>
      <c r="AC14" s="2"/>
      <c r="AD14" s="2"/>
      <c r="AE14" s="2"/>
      <c r="AF14" s="2"/>
    </row>
    <row r="15" spans="14:41" ht="12.75" customHeight="1" x14ac:dyDescent="0.2">
      <c r="X15" s="3" t="str">
        <f>"第"&amp;TEXT(MAX(更新履歴!A8:J163),"#0.0")&amp;"版"</f>
        <v>第2.1版</v>
      </c>
      <c r="Y15" s="14"/>
      <c r="Z15" s="14"/>
      <c r="AA15" s="39">
        <f>MAX(更新履歴!K8:T34)</f>
        <v>45226</v>
      </c>
      <c r="AB15" s="39"/>
      <c r="AC15" s="39"/>
      <c r="AD15" s="39"/>
      <c r="AE15" s="39"/>
      <c r="AF15" s="39"/>
    </row>
    <row r="16" spans="14:41" ht="12.75" customHeight="1" x14ac:dyDescent="0.2">
      <c r="X16" s="13"/>
      <c r="AA16" s="1"/>
      <c r="AB16" s="1"/>
      <c r="AC16" s="1"/>
      <c r="AD16" s="1"/>
      <c r="AE16" s="1"/>
      <c r="AF16" s="1"/>
    </row>
    <row r="17" spans="21:35" ht="12.75" customHeight="1" x14ac:dyDescent="0.2">
      <c r="X17" s="13"/>
      <c r="AA17" s="41"/>
      <c r="AB17" s="41"/>
      <c r="AC17" s="41"/>
      <c r="AD17" s="41"/>
      <c r="AE17" s="41"/>
      <c r="AF17" s="41"/>
      <c r="AG17" s="15"/>
    </row>
    <row r="18" spans="21:35" ht="12.75" customHeight="1" x14ac:dyDescent="0.2">
      <c r="U18" s="42" t="s">
        <v>3</v>
      </c>
      <c r="V18" s="42"/>
      <c r="W18" s="42"/>
      <c r="X18" s="42"/>
      <c r="Y18" s="42"/>
      <c r="Z18" s="43" t="s">
        <v>4</v>
      </c>
      <c r="AA18" s="43"/>
      <c r="AB18" s="43"/>
      <c r="AC18" s="43"/>
      <c r="AD18" s="43"/>
      <c r="AE18" s="42" t="s">
        <v>5</v>
      </c>
      <c r="AF18" s="42"/>
      <c r="AG18" s="42"/>
      <c r="AH18" s="42"/>
      <c r="AI18" s="42"/>
    </row>
    <row r="19" spans="21:35" ht="12.75" customHeight="1" x14ac:dyDescent="0.2">
      <c r="U19" s="44" t="s">
        <v>6</v>
      </c>
      <c r="V19" s="44"/>
      <c r="W19" s="44"/>
      <c r="X19" s="44"/>
      <c r="Y19" s="44"/>
      <c r="Z19" s="16"/>
      <c r="AA19" s="17"/>
      <c r="AB19" s="17"/>
      <c r="AC19" s="17"/>
      <c r="AD19" s="18"/>
      <c r="AI19" s="19"/>
    </row>
    <row r="20" spans="21:35" ht="12.75" customHeight="1" x14ac:dyDescent="0.2">
      <c r="U20" s="44"/>
      <c r="V20" s="44"/>
      <c r="W20" s="44"/>
      <c r="X20" s="44"/>
      <c r="Y20" s="44"/>
      <c r="Z20" s="20"/>
      <c r="AD20" s="19"/>
      <c r="AI20" s="19"/>
    </row>
    <row r="21" spans="21:35" ht="12.75" customHeight="1" x14ac:dyDescent="0.2">
      <c r="U21" s="44"/>
      <c r="V21" s="44"/>
      <c r="W21" s="44"/>
      <c r="X21" s="44"/>
      <c r="Y21" s="44"/>
      <c r="Z21" s="20"/>
      <c r="AD21" s="19"/>
      <c r="AI21" s="19"/>
    </row>
    <row r="22" spans="21:35" ht="12.75" customHeight="1" x14ac:dyDescent="0.2">
      <c r="U22" s="44"/>
      <c r="V22" s="44"/>
      <c r="W22" s="44"/>
      <c r="X22" s="44"/>
      <c r="Y22" s="44"/>
      <c r="Z22" s="21"/>
      <c r="AA22" s="22"/>
      <c r="AB22" s="22"/>
      <c r="AC22" s="22"/>
      <c r="AD22" s="23"/>
      <c r="AE22" s="22"/>
      <c r="AF22" s="22"/>
      <c r="AG22" s="22"/>
      <c r="AH22" s="22"/>
      <c r="AI22" s="23"/>
    </row>
    <row r="32" spans="21:35" s="3" customFormat="1" ht="12.75" customHeight="1" x14ac:dyDescent="0.2"/>
    <row r="33" spans="1:54" ht="12.75" customHeight="1" x14ac:dyDescent="0.2"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</row>
    <row r="34" spans="1:54" ht="12.75" customHeight="1" x14ac:dyDescent="0.2"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</row>
    <row r="35" spans="1:54" ht="12.75" customHeight="1" x14ac:dyDescent="0.2"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</row>
    <row r="37" spans="1:54" ht="12.75" customHeight="1" x14ac:dyDescent="0.2">
      <c r="A37" s="24"/>
      <c r="BA37" s="25"/>
    </row>
    <row r="38" spans="1:54" ht="12.75" customHeight="1" x14ac:dyDescent="0.2">
      <c r="BB38" s="25"/>
    </row>
  </sheetData>
  <mergeCells count="12">
    <mergeCell ref="S33:AJ33"/>
    <mergeCell ref="S34:AJ35"/>
    <mergeCell ref="AA17:AF17"/>
    <mergeCell ref="U18:Y18"/>
    <mergeCell ref="Z18:AD18"/>
    <mergeCell ref="AE18:AI18"/>
    <mergeCell ref="U19:Y22"/>
    <mergeCell ref="O8:AN8"/>
    <mergeCell ref="O9:AN9"/>
    <mergeCell ref="S11:AJ11"/>
    <mergeCell ref="AA13:AF13"/>
    <mergeCell ref="AA15:AF15"/>
  </mergeCells>
  <phoneticPr fontId="17"/>
  <pageMargins left="0.7" right="0.7" top="0.75" bottom="0.75" header="0.511811023622047" footer="0.511811023622047"/>
  <pageSetup paperSize="9" scale="5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3"/>
  <sheetViews>
    <sheetView showGridLines="0" view="pageBreakPreview" zoomScaleNormal="100" workbookViewId="0">
      <selection sqref="A1:J1"/>
    </sheetView>
  </sheetViews>
  <sheetFormatPr defaultColWidth="2.6640625" defaultRowHeight="16.2" x14ac:dyDescent="0.4"/>
  <cols>
    <col min="1" max="64" width="2.5546875" style="26" customWidth="1"/>
  </cols>
  <sheetData>
    <row r="1" spans="1:64" s="27" customFormat="1" ht="15" customHeight="1" x14ac:dyDescent="0.4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59"/>
      <c r="K1" s="60" t="s">
        <v>8</v>
      </c>
      <c r="L1" s="60"/>
      <c r="M1" s="60"/>
      <c r="N1" s="60"/>
      <c r="O1" s="60"/>
      <c r="P1" s="60"/>
      <c r="Q1" s="60"/>
      <c r="R1" s="60"/>
      <c r="S1" s="60"/>
      <c r="T1" s="60"/>
      <c r="U1" s="61" t="str">
        <f>表紙!S11</f>
        <v>画面URL一覧</v>
      </c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2" t="s">
        <v>3</v>
      </c>
      <c r="AP1" s="62"/>
      <c r="AQ1" s="62"/>
      <c r="AR1" s="62"/>
      <c r="AS1" s="62"/>
      <c r="AT1" s="62"/>
      <c r="AU1" s="50" t="s">
        <v>9</v>
      </c>
      <c r="AV1" s="50"/>
      <c r="AW1" s="50"/>
      <c r="AX1" s="50"/>
      <c r="AY1" s="50"/>
      <c r="AZ1" s="50"/>
      <c r="BA1" s="50" t="s">
        <v>10</v>
      </c>
      <c r="BB1" s="50"/>
      <c r="BC1" s="50"/>
      <c r="BD1" s="50"/>
      <c r="BE1" s="50"/>
      <c r="BF1" s="50"/>
      <c r="BG1" s="51" t="s">
        <v>11</v>
      </c>
      <c r="BH1" s="51"/>
      <c r="BI1" s="51"/>
      <c r="BJ1" s="51"/>
      <c r="BK1" s="51"/>
      <c r="BL1" s="51"/>
    </row>
    <row r="2" spans="1:64" s="27" customFormat="1" ht="15" customHeight="1" x14ac:dyDescent="0.4">
      <c r="A2" s="52" t="str">
        <f>表紙!O9</f>
        <v>Javaリアルプロジェクト</v>
      </c>
      <c r="B2" s="52"/>
      <c r="C2" s="52"/>
      <c r="D2" s="52"/>
      <c r="E2" s="52"/>
      <c r="F2" s="52"/>
      <c r="G2" s="52"/>
      <c r="H2" s="52"/>
      <c r="I2" s="52"/>
      <c r="J2" s="52"/>
      <c r="K2" s="53" t="str">
        <f>表紙!O8</f>
        <v>LMS学習管理システム</v>
      </c>
      <c r="L2" s="53"/>
      <c r="M2" s="53"/>
      <c r="N2" s="53"/>
      <c r="O2" s="53"/>
      <c r="P2" s="53"/>
      <c r="Q2" s="53"/>
      <c r="R2" s="53"/>
      <c r="S2" s="53"/>
      <c r="T2" s="53"/>
      <c r="U2" s="54" t="s">
        <v>12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5" t="s">
        <v>6</v>
      </c>
      <c r="AP2" s="55"/>
      <c r="AQ2" s="55"/>
      <c r="AR2" s="55"/>
      <c r="AS2" s="55"/>
      <c r="AT2" s="55"/>
      <c r="AU2" s="56">
        <v>44265</v>
      </c>
      <c r="AV2" s="56"/>
      <c r="AW2" s="56"/>
      <c r="AX2" s="56"/>
      <c r="AY2" s="56"/>
      <c r="AZ2" s="56"/>
      <c r="BA2" s="57" t="s">
        <v>13</v>
      </c>
      <c r="BB2" s="57"/>
      <c r="BC2" s="57"/>
      <c r="BD2" s="57"/>
      <c r="BE2" s="57"/>
      <c r="BF2" s="57"/>
      <c r="BG2" s="58">
        <v>45315</v>
      </c>
      <c r="BH2" s="58"/>
      <c r="BI2" s="58"/>
      <c r="BJ2" s="58"/>
      <c r="BK2" s="58"/>
      <c r="BL2" s="58"/>
    </row>
    <row r="3" spans="1:64" s="27" customFormat="1" ht="15" customHeight="1" x14ac:dyDescent="0.4">
      <c r="A3" s="52"/>
      <c r="B3" s="52"/>
      <c r="C3" s="52"/>
      <c r="D3" s="52"/>
      <c r="E3" s="52"/>
      <c r="F3" s="52"/>
      <c r="G3" s="52"/>
      <c r="H3" s="52"/>
      <c r="I3" s="52"/>
      <c r="J3" s="52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5"/>
      <c r="AP3" s="55"/>
      <c r="AQ3" s="55"/>
      <c r="AR3" s="55"/>
      <c r="AS3" s="55"/>
      <c r="AT3" s="55"/>
      <c r="AU3" s="56"/>
      <c r="AV3" s="56"/>
      <c r="AW3" s="56"/>
      <c r="AX3" s="56"/>
      <c r="AY3" s="56"/>
      <c r="AZ3" s="56"/>
      <c r="BA3" s="57"/>
      <c r="BB3" s="57"/>
      <c r="BC3" s="57"/>
      <c r="BD3" s="57"/>
      <c r="BE3" s="57"/>
      <c r="BF3" s="57"/>
      <c r="BG3" s="58"/>
      <c r="BH3" s="58"/>
      <c r="BI3" s="58"/>
      <c r="BJ3" s="58"/>
      <c r="BK3" s="58"/>
      <c r="BL3" s="58"/>
    </row>
    <row r="4" spans="1:64" ht="13.5" customHeight="1" x14ac:dyDescent="0.4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9"/>
      <c r="N4" s="29"/>
      <c r="O4" s="29"/>
      <c r="P4" s="29"/>
      <c r="Q4" s="29"/>
      <c r="R4" s="29"/>
      <c r="T4" s="30"/>
      <c r="U4" s="30"/>
      <c r="V4" s="30"/>
      <c r="AV4" s="29"/>
      <c r="AW4" s="29"/>
      <c r="AX4" s="29"/>
      <c r="AY4" s="29"/>
      <c r="AZ4" s="29"/>
      <c r="BA4" s="29"/>
      <c r="BL4" s="28"/>
    </row>
    <row r="5" spans="1:64" s="31" customFormat="1" ht="14.25" customHeight="1" x14ac:dyDescent="0.2">
      <c r="A5" s="63" t="s">
        <v>14</v>
      </c>
      <c r="B5" s="63"/>
      <c r="C5" s="63"/>
      <c r="D5" s="63"/>
      <c r="E5" s="63"/>
      <c r="F5" s="63"/>
      <c r="G5" s="63"/>
      <c r="H5" s="63"/>
      <c r="I5" s="63"/>
      <c r="J5" s="63"/>
      <c r="K5" s="64" t="s">
        <v>15</v>
      </c>
      <c r="L5" s="64"/>
      <c r="M5" s="64"/>
      <c r="N5" s="64"/>
      <c r="O5" s="64"/>
      <c r="P5" s="64"/>
      <c r="Q5" s="64"/>
      <c r="R5" s="64"/>
      <c r="S5" s="64"/>
      <c r="T5" s="64"/>
      <c r="U5" s="64" t="s">
        <v>16</v>
      </c>
      <c r="V5" s="64"/>
      <c r="W5" s="64"/>
      <c r="X5" s="64"/>
      <c r="Y5" s="64" t="s">
        <v>17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5" t="s">
        <v>18</v>
      </c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</row>
    <row r="6" spans="1:64" s="32" customFormat="1" ht="14.25" customHeight="1" x14ac:dyDescent="0.2">
      <c r="A6" s="63"/>
      <c r="B6" s="63"/>
      <c r="C6" s="63"/>
      <c r="D6" s="63"/>
      <c r="E6" s="63"/>
      <c r="F6" s="63"/>
      <c r="G6" s="63"/>
      <c r="H6" s="63"/>
      <c r="I6" s="63"/>
      <c r="J6" s="63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s="32" customFormat="1" ht="14.25" customHeight="1" x14ac:dyDescent="0.2">
      <c r="A7" s="63"/>
      <c r="B7" s="63"/>
      <c r="C7" s="63"/>
      <c r="D7" s="63"/>
      <c r="E7" s="63"/>
      <c r="F7" s="63"/>
      <c r="G7" s="63"/>
      <c r="H7" s="63"/>
      <c r="I7" s="63"/>
      <c r="J7" s="63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spans="1:64" s="32" customFormat="1" ht="14.25" customHeight="1" x14ac:dyDescent="0.2">
      <c r="A8" s="66">
        <v>1</v>
      </c>
      <c r="B8" s="66"/>
      <c r="C8" s="66"/>
      <c r="D8" s="66"/>
      <c r="E8" s="66"/>
      <c r="F8" s="66"/>
      <c r="G8" s="66"/>
      <c r="H8" s="66"/>
      <c r="I8" s="66"/>
      <c r="J8" s="66"/>
      <c r="K8" s="67">
        <v>44265</v>
      </c>
      <c r="L8" s="67"/>
      <c r="M8" s="67"/>
      <c r="N8" s="67"/>
      <c r="O8" s="67"/>
      <c r="P8" s="67"/>
      <c r="Q8" s="67"/>
      <c r="R8" s="67"/>
      <c r="S8" s="67"/>
      <c r="T8" s="67"/>
      <c r="U8" s="68" t="s">
        <v>19</v>
      </c>
      <c r="V8" s="68"/>
      <c r="W8" s="68"/>
      <c r="X8" s="68"/>
      <c r="Y8" s="69" t="s">
        <v>20</v>
      </c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70" t="s">
        <v>6</v>
      </c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</row>
    <row r="9" spans="1:64" s="32" customFormat="1" ht="14.25" customHeight="1" x14ac:dyDescent="0.2">
      <c r="A9" s="66"/>
      <c r="B9" s="66"/>
      <c r="C9" s="66"/>
      <c r="D9" s="66"/>
      <c r="E9" s="66"/>
      <c r="F9" s="66"/>
      <c r="G9" s="66"/>
      <c r="H9" s="66"/>
      <c r="I9" s="66"/>
      <c r="J9" s="66"/>
      <c r="K9" s="67"/>
      <c r="L9" s="67"/>
      <c r="M9" s="67"/>
      <c r="N9" s="67"/>
      <c r="O9" s="67"/>
      <c r="P9" s="67"/>
      <c r="Q9" s="67"/>
      <c r="R9" s="67"/>
      <c r="S9" s="67"/>
      <c r="T9" s="67"/>
      <c r="U9" s="68"/>
      <c r="V9" s="68"/>
      <c r="W9" s="68"/>
      <c r="X9" s="68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</row>
    <row r="10" spans="1:64" s="32" customFormat="1" ht="14.25" customHeight="1" x14ac:dyDescent="0.2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8"/>
      <c r="V10" s="68"/>
      <c r="W10" s="68"/>
      <c r="X10" s="68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</row>
    <row r="11" spans="1:64" s="32" customFormat="1" ht="14.25" customHeight="1" x14ac:dyDescent="0.2">
      <c r="A11" s="45">
        <v>1.1000000000000001</v>
      </c>
      <c r="B11" s="45"/>
      <c r="C11" s="45"/>
      <c r="D11" s="45"/>
      <c r="E11" s="45"/>
      <c r="F11" s="45"/>
      <c r="G11" s="45"/>
      <c r="H11" s="45"/>
      <c r="I11" s="45"/>
      <c r="J11" s="45"/>
      <c r="K11" s="46">
        <v>44335</v>
      </c>
      <c r="L11" s="46"/>
      <c r="M11" s="46"/>
      <c r="N11" s="46"/>
      <c r="O11" s="46"/>
      <c r="P11" s="46"/>
      <c r="Q11" s="46"/>
      <c r="R11" s="46"/>
      <c r="S11" s="46"/>
      <c r="T11" s="46"/>
      <c r="U11" s="47" t="s">
        <v>2</v>
      </c>
      <c r="V11" s="47"/>
      <c r="W11" s="47"/>
      <c r="X11" s="47"/>
      <c r="Y11" s="71" t="s">
        <v>21</v>
      </c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0" t="s">
        <v>22</v>
      </c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</row>
    <row r="12" spans="1:64" s="32" customFormat="1" ht="14.25" customHeight="1" x14ac:dyDescent="0.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7"/>
      <c r="V12" s="47"/>
      <c r="W12" s="47"/>
      <c r="X12" s="47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</row>
    <row r="13" spans="1:64" s="32" customFormat="1" ht="14.25" customHeight="1" x14ac:dyDescent="0.2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7"/>
      <c r="V13" s="47"/>
      <c r="W13" s="47"/>
      <c r="X13" s="47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</row>
    <row r="14" spans="1:64" s="32" customFormat="1" ht="14.25" customHeight="1" x14ac:dyDescent="0.2">
      <c r="A14" s="45">
        <v>1.2</v>
      </c>
      <c r="B14" s="45"/>
      <c r="C14" s="45"/>
      <c r="D14" s="45"/>
      <c r="E14" s="45"/>
      <c r="F14" s="45"/>
      <c r="G14" s="45"/>
      <c r="H14" s="45"/>
      <c r="I14" s="45"/>
      <c r="J14" s="45"/>
      <c r="K14" s="46">
        <v>44351</v>
      </c>
      <c r="L14" s="46"/>
      <c r="M14" s="46"/>
      <c r="N14" s="46"/>
      <c r="O14" s="46"/>
      <c r="P14" s="46"/>
      <c r="Q14" s="46"/>
      <c r="R14" s="46"/>
      <c r="S14" s="46"/>
      <c r="T14" s="46"/>
      <c r="U14" s="47" t="s">
        <v>2</v>
      </c>
      <c r="V14" s="47"/>
      <c r="W14" s="47"/>
      <c r="X14" s="47"/>
      <c r="Y14" s="71" t="s">
        <v>23</v>
      </c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0" t="s">
        <v>22</v>
      </c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</row>
    <row r="15" spans="1:64" s="32" customFormat="1" ht="14.25" customHeight="1" x14ac:dyDescent="0.2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7"/>
      <c r="V15" s="47"/>
      <c r="W15" s="47"/>
      <c r="X15" s="47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</row>
    <row r="16" spans="1:64" s="32" customFormat="1" ht="12.75" customHeight="1" x14ac:dyDescent="0.2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7"/>
      <c r="V16" s="47"/>
      <c r="W16" s="47"/>
      <c r="X16" s="47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</row>
    <row r="17" spans="1:64" s="32" customFormat="1" ht="14.25" customHeight="1" x14ac:dyDescent="0.2">
      <c r="A17" s="45">
        <v>1.3</v>
      </c>
      <c r="B17" s="45"/>
      <c r="C17" s="45"/>
      <c r="D17" s="45"/>
      <c r="E17" s="45"/>
      <c r="F17" s="45"/>
      <c r="G17" s="45"/>
      <c r="H17" s="45"/>
      <c r="I17" s="45"/>
      <c r="J17" s="45"/>
      <c r="K17" s="46">
        <v>44363</v>
      </c>
      <c r="L17" s="46"/>
      <c r="M17" s="46"/>
      <c r="N17" s="46"/>
      <c r="O17" s="46"/>
      <c r="P17" s="46"/>
      <c r="Q17" s="46"/>
      <c r="R17" s="46"/>
      <c r="S17" s="46"/>
      <c r="T17" s="46"/>
      <c r="U17" s="47" t="s">
        <v>2</v>
      </c>
      <c r="V17" s="47"/>
      <c r="W17" s="47"/>
      <c r="X17" s="47"/>
      <c r="Y17" s="71" t="s">
        <v>24</v>
      </c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49" t="s">
        <v>22</v>
      </c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</row>
    <row r="18" spans="1:64" s="32" customFormat="1" ht="14.25" customHeight="1" x14ac:dyDescent="0.2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7"/>
      <c r="V18" s="47"/>
      <c r="W18" s="47"/>
      <c r="X18" s="47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</row>
    <row r="19" spans="1:64" s="32" customFormat="1" ht="14.25" customHeight="1" x14ac:dyDescent="0.2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/>
      <c r="V19" s="47"/>
      <c r="W19" s="47"/>
      <c r="X19" s="47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</row>
    <row r="20" spans="1:64" s="32" customFormat="1" ht="14.25" customHeight="1" x14ac:dyDescent="0.2">
      <c r="A20" s="45">
        <v>1.4</v>
      </c>
      <c r="B20" s="45"/>
      <c r="C20" s="45"/>
      <c r="D20" s="45"/>
      <c r="E20" s="45"/>
      <c r="F20" s="45"/>
      <c r="G20" s="45"/>
      <c r="H20" s="45"/>
      <c r="I20" s="45"/>
      <c r="J20" s="45"/>
      <c r="K20" s="46">
        <v>45002</v>
      </c>
      <c r="L20" s="46"/>
      <c r="M20" s="46"/>
      <c r="N20" s="46"/>
      <c r="O20" s="46"/>
      <c r="P20" s="46"/>
      <c r="Q20" s="46"/>
      <c r="R20" s="46"/>
      <c r="S20" s="46"/>
      <c r="T20" s="46"/>
      <c r="U20" s="72" t="s">
        <v>2</v>
      </c>
      <c r="V20" s="72"/>
      <c r="W20" s="72"/>
      <c r="X20" s="72"/>
      <c r="Y20" s="48" t="s">
        <v>25</v>
      </c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9" t="s">
        <v>26</v>
      </c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</row>
    <row r="21" spans="1:64" s="32" customFormat="1" ht="14.25" customHeight="1" x14ac:dyDescent="0.2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72"/>
      <c r="V21" s="72"/>
      <c r="W21" s="72"/>
      <c r="X21" s="72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</row>
    <row r="22" spans="1:64" s="32" customFormat="1" ht="14.25" customHeight="1" x14ac:dyDescent="0.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72"/>
      <c r="V22" s="72"/>
      <c r="W22" s="72"/>
      <c r="X22" s="72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</row>
    <row r="23" spans="1:64" s="32" customFormat="1" ht="14.25" customHeight="1" x14ac:dyDescent="0.2">
      <c r="A23" s="73">
        <v>1.5</v>
      </c>
      <c r="B23" s="73"/>
      <c r="C23" s="73"/>
      <c r="D23" s="73"/>
      <c r="E23" s="73"/>
      <c r="F23" s="73"/>
      <c r="G23" s="73"/>
      <c r="H23" s="73"/>
      <c r="I23" s="73"/>
      <c r="J23" s="73"/>
      <c r="K23" s="74">
        <v>45211</v>
      </c>
      <c r="L23" s="74"/>
      <c r="M23" s="74"/>
      <c r="N23" s="74"/>
      <c r="O23" s="74"/>
      <c r="P23" s="74"/>
      <c r="Q23" s="74"/>
      <c r="R23" s="74"/>
      <c r="S23" s="74"/>
      <c r="T23" s="74"/>
      <c r="U23" s="47" t="s">
        <v>2</v>
      </c>
      <c r="V23" s="47"/>
      <c r="W23" s="47"/>
      <c r="X23" s="47"/>
      <c r="Y23" s="71" t="s">
        <v>27</v>
      </c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5" t="s">
        <v>26</v>
      </c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</row>
    <row r="24" spans="1:64" s="32" customFormat="1" ht="14.25" customHeight="1" x14ac:dyDescent="0.2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47"/>
      <c r="V24" s="47"/>
      <c r="W24" s="47"/>
      <c r="X24" s="47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</row>
    <row r="25" spans="1:64" s="32" customFormat="1" ht="14.25" customHeight="1" x14ac:dyDescent="0.2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47"/>
      <c r="V25" s="47"/>
      <c r="W25" s="47"/>
      <c r="X25" s="47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</row>
    <row r="26" spans="1:64" s="32" customFormat="1" ht="14.25" customHeight="1" x14ac:dyDescent="0.2">
      <c r="A26" s="76">
        <v>1.6</v>
      </c>
      <c r="B26" s="76"/>
      <c r="C26" s="76"/>
      <c r="D26" s="76"/>
      <c r="E26" s="76"/>
      <c r="F26" s="76"/>
      <c r="G26" s="76"/>
      <c r="H26" s="76"/>
      <c r="I26" s="76"/>
      <c r="J26" s="76"/>
      <c r="K26" s="46">
        <v>45218</v>
      </c>
      <c r="L26" s="46"/>
      <c r="M26" s="46"/>
      <c r="N26" s="46"/>
      <c r="O26" s="46"/>
      <c r="P26" s="46"/>
      <c r="Q26" s="46"/>
      <c r="R26" s="46"/>
      <c r="S26" s="46"/>
      <c r="T26" s="46"/>
      <c r="U26" s="47" t="s">
        <v>2</v>
      </c>
      <c r="V26" s="47"/>
      <c r="W26" s="47"/>
      <c r="X26" s="47"/>
      <c r="Y26" s="77" t="s">
        <v>278</v>
      </c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49" t="s">
        <v>13</v>
      </c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</row>
    <row r="27" spans="1:64" s="32" customFormat="1" ht="14.25" customHeight="1" x14ac:dyDescent="0.2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7"/>
      <c r="V27" s="47"/>
      <c r="W27" s="47"/>
      <c r="X27" s="47"/>
      <c r="Y27" s="77"/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77"/>
      <c r="AX27" s="77"/>
      <c r="AY27" s="77"/>
      <c r="AZ27" s="77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</row>
    <row r="28" spans="1:64" s="32" customFormat="1" ht="14.25" customHeight="1" x14ac:dyDescent="0.2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7"/>
      <c r="V28" s="47"/>
      <c r="W28" s="47"/>
      <c r="X28" s="4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</row>
    <row r="29" spans="1:64" s="32" customFormat="1" ht="14.25" customHeight="1" x14ac:dyDescent="0.2">
      <c r="A29" s="76">
        <v>1.7</v>
      </c>
      <c r="B29" s="76"/>
      <c r="C29" s="76"/>
      <c r="D29" s="76"/>
      <c r="E29" s="76"/>
      <c r="F29" s="76"/>
      <c r="G29" s="76"/>
      <c r="H29" s="76"/>
      <c r="I29" s="76"/>
      <c r="J29" s="76"/>
      <c r="K29" s="46">
        <v>45222</v>
      </c>
      <c r="L29" s="46"/>
      <c r="M29" s="46"/>
      <c r="N29" s="46"/>
      <c r="O29" s="46"/>
      <c r="P29" s="46"/>
      <c r="Q29" s="46"/>
      <c r="R29" s="46"/>
      <c r="S29" s="46"/>
      <c r="T29" s="46"/>
      <c r="U29" s="47" t="s">
        <v>2</v>
      </c>
      <c r="V29" s="47"/>
      <c r="W29" s="47"/>
      <c r="X29" s="47"/>
      <c r="Y29" s="77" t="s">
        <v>276</v>
      </c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49" t="s">
        <v>13</v>
      </c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</row>
    <row r="30" spans="1:64" s="32" customFormat="1" ht="14.25" customHeight="1" x14ac:dyDescent="0.2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7"/>
      <c r="V30" s="47"/>
      <c r="W30" s="47"/>
      <c r="X30" s="4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</row>
    <row r="31" spans="1:64" s="32" customFormat="1" ht="14.25" customHeight="1" x14ac:dyDescent="0.2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  <c r="V31" s="47"/>
      <c r="W31" s="47"/>
      <c r="X31" s="4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</row>
    <row r="32" spans="1:64" s="32" customFormat="1" ht="14.25" customHeight="1" x14ac:dyDescent="0.2">
      <c r="A32" s="45">
        <v>1.8</v>
      </c>
      <c r="B32" s="45"/>
      <c r="C32" s="45"/>
      <c r="D32" s="45"/>
      <c r="E32" s="45"/>
      <c r="F32" s="45"/>
      <c r="G32" s="45"/>
      <c r="H32" s="45"/>
      <c r="I32" s="45"/>
      <c r="J32" s="45"/>
      <c r="K32" s="46">
        <v>45226</v>
      </c>
      <c r="L32" s="46"/>
      <c r="M32" s="46"/>
      <c r="N32" s="46"/>
      <c r="O32" s="46"/>
      <c r="P32" s="46"/>
      <c r="Q32" s="46"/>
      <c r="R32" s="46"/>
      <c r="S32" s="46"/>
      <c r="T32" s="46"/>
      <c r="U32" s="47" t="s">
        <v>2</v>
      </c>
      <c r="V32" s="47"/>
      <c r="W32" s="47"/>
      <c r="X32" s="47"/>
      <c r="Y32" s="48" t="s">
        <v>273</v>
      </c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9" t="s">
        <v>13</v>
      </c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</row>
    <row r="33" spans="1:64" s="32" customFormat="1" ht="14.25" customHeight="1" x14ac:dyDescent="0.2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7"/>
      <c r="V33" s="47"/>
      <c r="W33" s="47"/>
      <c r="X33" s="47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</row>
    <row r="34" spans="1:64" s="32" customFormat="1" ht="12.75" customHeight="1" x14ac:dyDescent="0.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7"/>
      <c r="V34" s="47"/>
      <c r="W34" s="47"/>
      <c r="X34" s="47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</row>
    <row r="35" spans="1:64" ht="15.75" customHeight="1" x14ac:dyDescent="0.4">
      <c r="A35" s="45">
        <v>1.9</v>
      </c>
      <c r="B35" s="45"/>
      <c r="C35" s="45"/>
      <c r="D35" s="45"/>
      <c r="E35" s="45"/>
      <c r="F35" s="45"/>
      <c r="G35" s="45"/>
      <c r="H35" s="45"/>
      <c r="I35" s="45"/>
      <c r="J35" s="45"/>
      <c r="K35" s="46">
        <v>45240</v>
      </c>
      <c r="L35" s="46"/>
      <c r="M35" s="46"/>
      <c r="N35" s="46"/>
      <c r="O35" s="46"/>
      <c r="P35" s="46"/>
      <c r="Q35" s="46"/>
      <c r="R35" s="46"/>
      <c r="S35" s="46"/>
      <c r="T35" s="46"/>
      <c r="U35" s="47" t="s">
        <v>2</v>
      </c>
      <c r="V35" s="47"/>
      <c r="W35" s="47"/>
      <c r="X35" s="47"/>
      <c r="Y35" s="48" t="s">
        <v>275</v>
      </c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9" t="s">
        <v>13</v>
      </c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</row>
    <row r="36" spans="1:64" x14ac:dyDescent="0.4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7"/>
      <c r="V36" s="47"/>
      <c r="W36" s="47"/>
      <c r="X36" s="47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</row>
    <row r="37" spans="1:64" x14ac:dyDescent="0.4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7"/>
      <c r="V37" s="47"/>
      <c r="W37" s="47"/>
      <c r="X37" s="47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</row>
    <row r="38" spans="1:64" ht="15.75" customHeight="1" x14ac:dyDescent="0.4">
      <c r="A38" s="45">
        <v>2</v>
      </c>
      <c r="B38" s="45"/>
      <c r="C38" s="45"/>
      <c r="D38" s="45"/>
      <c r="E38" s="45"/>
      <c r="F38" s="45"/>
      <c r="G38" s="45"/>
      <c r="H38" s="45"/>
      <c r="I38" s="45"/>
      <c r="J38" s="45"/>
      <c r="K38" s="46">
        <v>45257</v>
      </c>
      <c r="L38" s="46"/>
      <c r="M38" s="46"/>
      <c r="N38" s="46"/>
      <c r="O38" s="46"/>
      <c r="P38" s="46"/>
      <c r="Q38" s="46"/>
      <c r="R38" s="46"/>
      <c r="S38" s="46"/>
      <c r="T38" s="46"/>
      <c r="U38" s="47" t="s">
        <v>2</v>
      </c>
      <c r="V38" s="47"/>
      <c r="W38" s="47"/>
      <c r="X38" s="47"/>
      <c r="Y38" s="48" t="s">
        <v>274</v>
      </c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9" t="s">
        <v>13</v>
      </c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</row>
    <row r="39" spans="1:64" x14ac:dyDescent="0.4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7"/>
      <c r="V39" s="47"/>
      <c r="W39" s="47"/>
      <c r="X39" s="47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</row>
    <row r="40" spans="1:64" x14ac:dyDescent="0.4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7"/>
      <c r="V40" s="47"/>
      <c r="W40" s="47"/>
      <c r="X40" s="47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</row>
    <row r="41" spans="1:64" ht="15.75" customHeight="1" x14ac:dyDescent="0.4">
      <c r="A41" s="45">
        <v>2.1</v>
      </c>
      <c r="B41" s="45"/>
      <c r="C41" s="45"/>
      <c r="D41" s="45"/>
      <c r="E41" s="45"/>
      <c r="F41" s="45"/>
      <c r="G41" s="45"/>
      <c r="H41" s="45"/>
      <c r="I41" s="45"/>
      <c r="J41" s="45"/>
      <c r="K41" s="46">
        <v>45315</v>
      </c>
      <c r="L41" s="46"/>
      <c r="M41" s="46"/>
      <c r="N41" s="46"/>
      <c r="O41" s="46"/>
      <c r="P41" s="46"/>
      <c r="Q41" s="46"/>
      <c r="R41" s="46"/>
      <c r="S41" s="46"/>
      <c r="T41" s="46"/>
      <c r="U41" s="47" t="s">
        <v>2</v>
      </c>
      <c r="V41" s="47"/>
      <c r="W41" s="47"/>
      <c r="X41" s="47"/>
      <c r="Y41" s="48" t="s">
        <v>286</v>
      </c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9" t="s">
        <v>13</v>
      </c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</row>
    <row r="42" spans="1:64" x14ac:dyDescent="0.4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7"/>
      <c r="V42" s="47"/>
      <c r="W42" s="47"/>
      <c r="X42" s="47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</row>
    <row r="43" spans="1:64" x14ac:dyDescent="0.4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7"/>
      <c r="V43" s="47"/>
      <c r="W43" s="47"/>
      <c r="X43" s="47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</row>
  </sheetData>
  <mergeCells count="79">
    <mergeCell ref="A38:J40"/>
    <mergeCell ref="K38:T40"/>
    <mergeCell ref="U38:X40"/>
    <mergeCell ref="Y38:AZ40"/>
    <mergeCell ref="BA38:BL40"/>
    <mergeCell ref="A41:J43"/>
    <mergeCell ref="K41:T43"/>
    <mergeCell ref="U41:X43"/>
    <mergeCell ref="Y41:AZ43"/>
    <mergeCell ref="BA41:BL43"/>
    <mergeCell ref="A32:J34"/>
    <mergeCell ref="K32:T34"/>
    <mergeCell ref="U32:X34"/>
    <mergeCell ref="Y32:AZ34"/>
    <mergeCell ref="BA32:BL34"/>
    <mergeCell ref="A29:J31"/>
    <mergeCell ref="K29:T31"/>
    <mergeCell ref="U29:X31"/>
    <mergeCell ref="Y29:AZ31"/>
    <mergeCell ref="BA29:BL31"/>
    <mergeCell ref="A26:J28"/>
    <mergeCell ref="K26:T28"/>
    <mergeCell ref="U26:X28"/>
    <mergeCell ref="Y26:AZ28"/>
    <mergeCell ref="BA26:BL28"/>
    <mergeCell ref="A23:J25"/>
    <mergeCell ref="K23:T25"/>
    <mergeCell ref="U23:X25"/>
    <mergeCell ref="Y23:AZ25"/>
    <mergeCell ref="BA23:BL25"/>
    <mergeCell ref="A20:J22"/>
    <mergeCell ref="K20:T22"/>
    <mergeCell ref="U20:X22"/>
    <mergeCell ref="Y20:AZ22"/>
    <mergeCell ref="BA20:BL22"/>
    <mergeCell ref="A17:J19"/>
    <mergeCell ref="K17:T19"/>
    <mergeCell ref="U17:X19"/>
    <mergeCell ref="Y17:AZ19"/>
    <mergeCell ref="BA17:BL19"/>
    <mergeCell ref="A14:J16"/>
    <mergeCell ref="K14:T16"/>
    <mergeCell ref="U14:X16"/>
    <mergeCell ref="Y14:AZ16"/>
    <mergeCell ref="BA14:BL16"/>
    <mergeCell ref="A11:J13"/>
    <mergeCell ref="K11:T13"/>
    <mergeCell ref="U11:X13"/>
    <mergeCell ref="Y11:AZ13"/>
    <mergeCell ref="BA11:BL13"/>
    <mergeCell ref="A8:J10"/>
    <mergeCell ref="K8:T10"/>
    <mergeCell ref="U8:X10"/>
    <mergeCell ref="Y8:AZ10"/>
    <mergeCell ref="BA8:BL10"/>
    <mergeCell ref="A5:J7"/>
    <mergeCell ref="K5:T7"/>
    <mergeCell ref="U5:X7"/>
    <mergeCell ref="Y5:AZ7"/>
    <mergeCell ref="BA5:BL7"/>
    <mergeCell ref="BA1:BF1"/>
    <mergeCell ref="BG1:BL1"/>
    <mergeCell ref="A2:J3"/>
    <mergeCell ref="K2:T3"/>
    <mergeCell ref="U2:AN3"/>
    <mergeCell ref="AO2:AT3"/>
    <mergeCell ref="AU2:AZ3"/>
    <mergeCell ref="BA2:BF3"/>
    <mergeCell ref="BG2:BL3"/>
    <mergeCell ref="A1:J1"/>
    <mergeCell ref="K1:T1"/>
    <mergeCell ref="U1:AN1"/>
    <mergeCell ref="AO1:AT1"/>
    <mergeCell ref="AU1:AZ1"/>
    <mergeCell ref="A35:J37"/>
    <mergeCell ref="K35:T37"/>
    <mergeCell ref="U35:X37"/>
    <mergeCell ref="Y35:AZ37"/>
    <mergeCell ref="BA35:BL37"/>
  </mergeCells>
  <phoneticPr fontId="17"/>
  <pageMargins left="0.78749999999999998" right="0.78749999999999998" top="1.05277777777778" bottom="1.05277777777778" header="0.78749999999999998" footer="0.78749999999999998"/>
  <pageSetup paperSize="9" scale="52" orientation="portrait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17"/>
  <sheetViews>
    <sheetView showGridLines="0" view="pageBreakPreview" zoomScaleNormal="60" workbookViewId="0">
      <pane ySplit="6" topLeftCell="A54" activePane="bottomLeft" state="frozen"/>
      <selection pane="bottomLeft" sqref="A1:J1"/>
    </sheetView>
  </sheetViews>
  <sheetFormatPr defaultColWidth="2.5546875" defaultRowHeight="16.2" x14ac:dyDescent="0.4"/>
  <cols>
    <col min="1" max="1024" width="2.5546875" style="33"/>
  </cols>
  <sheetData>
    <row r="1" spans="1:64" ht="15.75" customHeight="1" x14ac:dyDescent="0.4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59"/>
      <c r="K1" s="60" t="s">
        <v>8</v>
      </c>
      <c r="L1" s="60"/>
      <c r="M1" s="60"/>
      <c r="N1" s="60"/>
      <c r="O1" s="60"/>
      <c r="P1" s="60"/>
      <c r="Q1" s="60"/>
      <c r="R1" s="60"/>
      <c r="S1" s="60"/>
      <c r="T1" s="60"/>
      <c r="U1" s="61" t="str">
        <f>表紙!S11</f>
        <v>画面URL一覧</v>
      </c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81" t="s">
        <v>3</v>
      </c>
      <c r="AP1" s="81"/>
      <c r="AQ1" s="81"/>
      <c r="AR1" s="81"/>
      <c r="AS1" s="81"/>
      <c r="AT1" s="81"/>
      <c r="AU1" s="50" t="s">
        <v>9</v>
      </c>
      <c r="AV1" s="50"/>
      <c r="AW1" s="50"/>
      <c r="AX1" s="50"/>
      <c r="AY1" s="50"/>
      <c r="AZ1" s="50"/>
      <c r="BA1" s="50" t="s">
        <v>10</v>
      </c>
      <c r="BB1" s="50"/>
      <c r="BC1" s="50"/>
      <c r="BD1" s="50"/>
      <c r="BE1" s="50"/>
      <c r="BF1" s="50"/>
      <c r="BG1" s="82" t="s">
        <v>11</v>
      </c>
      <c r="BH1" s="82"/>
      <c r="BI1" s="82"/>
      <c r="BJ1" s="82"/>
      <c r="BK1" s="82"/>
      <c r="BL1" s="82"/>
    </row>
    <row r="2" spans="1:64" ht="16.5" customHeight="1" x14ac:dyDescent="0.4">
      <c r="A2" s="52" t="str">
        <f>表紙!O9</f>
        <v>Javaリアルプロジェクト</v>
      </c>
      <c r="B2" s="52"/>
      <c r="C2" s="52"/>
      <c r="D2" s="52"/>
      <c r="E2" s="52"/>
      <c r="F2" s="52"/>
      <c r="G2" s="52"/>
      <c r="H2" s="52"/>
      <c r="I2" s="52"/>
      <c r="J2" s="52"/>
      <c r="K2" s="53" t="str">
        <f>表紙!O8</f>
        <v>LMS学習管理システム</v>
      </c>
      <c r="L2" s="53"/>
      <c r="M2" s="53"/>
      <c r="N2" s="53"/>
      <c r="O2" s="53"/>
      <c r="P2" s="53"/>
      <c r="Q2" s="53"/>
      <c r="R2" s="53"/>
      <c r="S2" s="53"/>
      <c r="T2" s="53"/>
      <c r="U2" s="54" t="s">
        <v>12</v>
      </c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83" t="s">
        <v>6</v>
      </c>
      <c r="AP2" s="83"/>
      <c r="AQ2" s="83"/>
      <c r="AR2" s="83"/>
      <c r="AS2" s="83"/>
      <c r="AT2" s="83"/>
      <c r="AU2" s="56">
        <v>44265</v>
      </c>
      <c r="AV2" s="56"/>
      <c r="AW2" s="56"/>
      <c r="AX2" s="56"/>
      <c r="AY2" s="56"/>
      <c r="AZ2" s="56"/>
      <c r="BA2" s="57" t="s">
        <v>13</v>
      </c>
      <c r="BB2" s="57"/>
      <c r="BC2" s="57"/>
      <c r="BD2" s="57"/>
      <c r="BE2" s="57"/>
      <c r="BF2" s="57"/>
      <c r="BG2" s="58">
        <v>45315</v>
      </c>
      <c r="BH2" s="58"/>
      <c r="BI2" s="58"/>
      <c r="BJ2" s="58"/>
      <c r="BK2" s="58"/>
      <c r="BL2" s="58"/>
    </row>
    <row r="3" spans="1:64" x14ac:dyDescent="0.4">
      <c r="A3" s="52"/>
      <c r="B3" s="52"/>
      <c r="C3" s="52"/>
      <c r="D3" s="52"/>
      <c r="E3" s="52"/>
      <c r="F3" s="52"/>
      <c r="G3" s="52"/>
      <c r="H3" s="52"/>
      <c r="I3" s="52"/>
      <c r="J3" s="52"/>
      <c r="K3" s="53"/>
      <c r="L3" s="53"/>
      <c r="M3" s="53"/>
      <c r="N3" s="53"/>
      <c r="O3" s="53"/>
      <c r="P3" s="53"/>
      <c r="Q3" s="53"/>
      <c r="R3" s="53"/>
      <c r="S3" s="53"/>
      <c r="T3" s="53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83"/>
      <c r="AP3" s="83"/>
      <c r="AQ3" s="83"/>
      <c r="AR3" s="83"/>
      <c r="AS3" s="83"/>
      <c r="AT3" s="83"/>
      <c r="AU3" s="56"/>
      <c r="AV3" s="56"/>
      <c r="AW3" s="56"/>
      <c r="AX3" s="56"/>
      <c r="AY3" s="56"/>
      <c r="AZ3" s="56"/>
      <c r="BA3" s="57"/>
      <c r="BB3" s="57"/>
      <c r="BC3" s="57"/>
      <c r="BD3" s="57"/>
      <c r="BE3" s="57"/>
      <c r="BF3" s="57"/>
      <c r="BG3" s="58"/>
      <c r="BH3" s="58"/>
      <c r="BI3" s="58"/>
      <c r="BJ3" s="58"/>
      <c r="BK3" s="58"/>
      <c r="BL3" s="58"/>
    </row>
    <row r="4" spans="1:64" ht="6" customHeight="1" x14ac:dyDescent="0.4"/>
    <row r="5" spans="1:64" ht="14.25" customHeight="1" x14ac:dyDescent="0.4">
      <c r="A5" s="84" t="s">
        <v>28</v>
      </c>
      <c r="B5" s="84"/>
      <c r="C5" s="84" t="s">
        <v>29</v>
      </c>
      <c r="D5" s="84"/>
      <c r="E5" s="84"/>
      <c r="F5" s="84"/>
      <c r="G5" s="84"/>
      <c r="H5" s="84"/>
      <c r="I5" s="84"/>
      <c r="J5" s="84"/>
      <c r="K5" s="84" t="s">
        <v>30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 t="s">
        <v>31</v>
      </c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5" t="s">
        <v>32</v>
      </c>
      <c r="AP5" s="85"/>
      <c r="AQ5" s="85"/>
      <c r="AR5" s="84" t="s">
        <v>33</v>
      </c>
      <c r="AS5" s="84"/>
      <c r="AT5" s="84"/>
      <c r="AU5" s="85" t="s">
        <v>34</v>
      </c>
      <c r="AV5" s="85"/>
      <c r="AW5" s="85"/>
      <c r="AX5" s="85" t="s">
        <v>35</v>
      </c>
      <c r="AY5" s="85"/>
      <c r="AZ5" s="85"/>
      <c r="BA5" s="84" t="s">
        <v>36</v>
      </c>
      <c r="BB5" s="84"/>
      <c r="BC5" s="84"/>
      <c r="BD5" s="84" t="s">
        <v>37</v>
      </c>
      <c r="BE5" s="84"/>
      <c r="BF5" s="84"/>
      <c r="BG5" s="84"/>
      <c r="BH5" s="84"/>
      <c r="BI5" s="84"/>
      <c r="BJ5" s="84"/>
      <c r="BK5" s="84"/>
      <c r="BL5" s="84"/>
    </row>
    <row r="6" spans="1:64" ht="14.25" customHeight="1" x14ac:dyDescent="0.4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5"/>
      <c r="AP6" s="85"/>
      <c r="AQ6" s="85"/>
      <c r="AR6" s="84"/>
      <c r="AS6" s="84"/>
      <c r="AT6" s="84"/>
      <c r="AU6" s="85"/>
      <c r="AV6" s="85"/>
      <c r="AW6" s="85"/>
      <c r="AX6" s="85"/>
      <c r="AY6" s="85"/>
      <c r="AZ6" s="85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s="33" customFormat="1" ht="13.2" x14ac:dyDescent="0.15">
      <c r="A7" s="78">
        <f t="shared" ref="A7:A38" si="0">ROW()-6</f>
        <v>1</v>
      </c>
      <c r="B7" s="78"/>
      <c r="C7" s="79" t="s">
        <v>38</v>
      </c>
      <c r="D7" s="79"/>
      <c r="E7" s="79"/>
      <c r="F7" s="79"/>
      <c r="G7" s="79"/>
      <c r="H7" s="79"/>
      <c r="I7" s="79"/>
      <c r="J7" s="79"/>
      <c r="K7" s="79" t="s">
        <v>38</v>
      </c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 t="s">
        <v>39</v>
      </c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80" t="s">
        <v>40</v>
      </c>
      <c r="AP7" s="80"/>
      <c r="AQ7" s="80"/>
      <c r="AR7" s="80" t="s">
        <v>40</v>
      </c>
      <c r="AS7" s="80"/>
      <c r="AT7" s="80"/>
      <c r="AU7" s="80" t="s">
        <v>40</v>
      </c>
      <c r="AV7" s="80"/>
      <c r="AW7" s="80"/>
      <c r="AX7" s="80" t="s">
        <v>40</v>
      </c>
      <c r="AY7" s="80"/>
      <c r="AZ7" s="80"/>
      <c r="BA7" s="80" t="s">
        <v>40</v>
      </c>
      <c r="BB7" s="80"/>
      <c r="BC7" s="80"/>
      <c r="BD7" s="34"/>
      <c r="BE7" s="34"/>
      <c r="BF7" s="34"/>
      <c r="BG7" s="34"/>
      <c r="BH7" s="34"/>
      <c r="BI7" s="34"/>
      <c r="BJ7" s="34"/>
      <c r="BK7" s="34"/>
      <c r="BL7" s="35"/>
    </row>
    <row r="8" spans="1:64" s="33" customFormat="1" ht="13.2" x14ac:dyDescent="0.15">
      <c r="A8" s="78">
        <f t="shared" si="0"/>
        <v>2</v>
      </c>
      <c r="B8" s="78"/>
      <c r="C8" s="79" t="s">
        <v>41</v>
      </c>
      <c r="D8" s="79"/>
      <c r="E8" s="79"/>
      <c r="F8" s="79"/>
      <c r="G8" s="79"/>
      <c r="H8" s="79"/>
      <c r="I8" s="79"/>
      <c r="J8" s="79"/>
      <c r="K8" s="79" t="s">
        <v>41</v>
      </c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 t="s">
        <v>42</v>
      </c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80" t="s">
        <v>40</v>
      </c>
      <c r="AP8" s="80"/>
      <c r="AQ8" s="80"/>
      <c r="AR8" s="80" t="s">
        <v>40</v>
      </c>
      <c r="AS8" s="80"/>
      <c r="AT8" s="80"/>
      <c r="AU8" s="80" t="s">
        <v>40</v>
      </c>
      <c r="AV8" s="80"/>
      <c r="AW8" s="80"/>
      <c r="AX8" s="80" t="s">
        <v>40</v>
      </c>
      <c r="AY8" s="80"/>
      <c r="AZ8" s="80"/>
      <c r="BA8" s="80" t="s">
        <v>40</v>
      </c>
      <c r="BB8" s="80"/>
      <c r="BC8" s="80"/>
      <c r="BD8" s="34"/>
      <c r="BE8" s="34"/>
      <c r="BF8" s="34"/>
      <c r="BG8" s="34"/>
      <c r="BH8" s="34"/>
      <c r="BI8" s="34"/>
      <c r="BJ8" s="34"/>
      <c r="BK8" s="34"/>
      <c r="BL8" s="35"/>
    </row>
    <row r="9" spans="1:64" s="33" customFormat="1" ht="13.2" x14ac:dyDescent="0.15">
      <c r="A9" s="78">
        <f t="shared" si="0"/>
        <v>3</v>
      </c>
      <c r="B9" s="78"/>
      <c r="C9" s="79" t="s">
        <v>43</v>
      </c>
      <c r="D9" s="79"/>
      <c r="E9" s="79"/>
      <c r="F9" s="79"/>
      <c r="G9" s="79"/>
      <c r="H9" s="79"/>
      <c r="I9" s="79"/>
      <c r="J9" s="79"/>
      <c r="K9" s="79" t="s">
        <v>280</v>
      </c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 t="s">
        <v>281</v>
      </c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80" t="s">
        <v>40</v>
      </c>
      <c r="AP9" s="80"/>
      <c r="AQ9" s="80"/>
      <c r="AR9" s="80" t="s">
        <v>40</v>
      </c>
      <c r="AS9" s="80"/>
      <c r="AT9" s="80"/>
      <c r="AU9" s="80" t="s">
        <v>40</v>
      </c>
      <c r="AV9" s="80"/>
      <c r="AW9" s="80"/>
      <c r="AX9" s="80" t="s">
        <v>40</v>
      </c>
      <c r="AY9" s="80"/>
      <c r="AZ9" s="80"/>
      <c r="BA9" s="80" t="s">
        <v>40</v>
      </c>
      <c r="BB9" s="80"/>
      <c r="BC9" s="80"/>
      <c r="BD9" s="34"/>
      <c r="BE9" s="34"/>
      <c r="BF9" s="34"/>
      <c r="BG9" s="34"/>
      <c r="BH9" s="34"/>
      <c r="BI9" s="34"/>
      <c r="BJ9" s="34"/>
      <c r="BK9" s="34"/>
      <c r="BL9" s="35"/>
    </row>
    <row r="10" spans="1:64" s="33" customFormat="1" ht="13.2" x14ac:dyDescent="0.15">
      <c r="A10" s="78">
        <f t="shared" si="0"/>
        <v>4</v>
      </c>
      <c r="B10" s="78"/>
      <c r="C10" s="79" t="s">
        <v>43</v>
      </c>
      <c r="D10" s="79"/>
      <c r="E10" s="79"/>
      <c r="F10" s="79"/>
      <c r="G10" s="79"/>
      <c r="H10" s="79"/>
      <c r="I10" s="79"/>
      <c r="J10" s="79"/>
      <c r="K10" s="79" t="s">
        <v>43</v>
      </c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 t="s">
        <v>282</v>
      </c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80" t="s">
        <v>44</v>
      </c>
      <c r="AP10" s="80"/>
      <c r="AQ10" s="80"/>
      <c r="AR10" s="80" t="s">
        <v>44</v>
      </c>
      <c r="AS10" s="80"/>
      <c r="AT10" s="80"/>
      <c r="AU10" s="80" t="s">
        <v>44</v>
      </c>
      <c r="AV10" s="80"/>
      <c r="AW10" s="80"/>
      <c r="AX10" s="80" t="s">
        <v>44</v>
      </c>
      <c r="AY10" s="80"/>
      <c r="AZ10" s="80"/>
      <c r="BA10" s="80" t="s">
        <v>40</v>
      </c>
      <c r="BB10" s="80"/>
      <c r="BC10" s="80"/>
      <c r="BD10" s="34"/>
      <c r="BE10" s="34"/>
      <c r="BF10" s="34"/>
      <c r="BG10" s="34"/>
      <c r="BH10" s="34"/>
      <c r="BI10" s="34"/>
      <c r="BJ10" s="34"/>
      <c r="BK10" s="34"/>
      <c r="BL10" s="35"/>
    </row>
    <row r="11" spans="1:64" s="33" customFormat="1" ht="13.2" x14ac:dyDescent="0.15">
      <c r="A11" s="78">
        <f t="shared" si="0"/>
        <v>5</v>
      </c>
      <c r="B11" s="78"/>
      <c r="C11" s="79" t="s">
        <v>43</v>
      </c>
      <c r="D11" s="79"/>
      <c r="E11" s="79"/>
      <c r="F11" s="79"/>
      <c r="G11" s="79"/>
      <c r="H11" s="79"/>
      <c r="I11" s="79"/>
      <c r="J11" s="79"/>
      <c r="K11" s="79" t="s">
        <v>283</v>
      </c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 t="s">
        <v>285</v>
      </c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80" t="s">
        <v>44</v>
      </c>
      <c r="AP11" s="80"/>
      <c r="AQ11" s="80"/>
      <c r="AR11" s="80" t="s">
        <v>44</v>
      </c>
      <c r="AS11" s="80"/>
      <c r="AT11" s="80"/>
      <c r="AU11" s="80" t="s">
        <v>44</v>
      </c>
      <c r="AV11" s="80"/>
      <c r="AW11" s="80"/>
      <c r="AX11" s="80" t="s">
        <v>44</v>
      </c>
      <c r="AY11" s="80"/>
      <c r="AZ11" s="80"/>
      <c r="BA11" s="80" t="s">
        <v>40</v>
      </c>
      <c r="BB11" s="80"/>
      <c r="BC11" s="80"/>
      <c r="BD11" s="34"/>
      <c r="BE11" s="34"/>
      <c r="BF11" s="34"/>
      <c r="BG11" s="34"/>
      <c r="BH11" s="34"/>
      <c r="BI11" s="34"/>
      <c r="BJ11" s="34"/>
      <c r="BK11" s="34"/>
      <c r="BL11" s="35"/>
    </row>
    <row r="12" spans="1:64" s="33" customFormat="1" ht="13.2" x14ac:dyDescent="0.15">
      <c r="A12" s="78">
        <f t="shared" si="0"/>
        <v>6</v>
      </c>
      <c r="B12" s="78"/>
      <c r="C12" s="79" t="s">
        <v>43</v>
      </c>
      <c r="D12" s="79"/>
      <c r="E12" s="79"/>
      <c r="F12" s="79"/>
      <c r="G12" s="79"/>
      <c r="H12" s="79"/>
      <c r="I12" s="79"/>
      <c r="J12" s="79"/>
      <c r="K12" s="79" t="s">
        <v>45</v>
      </c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 t="s">
        <v>46</v>
      </c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80" t="s">
        <v>44</v>
      </c>
      <c r="AP12" s="80"/>
      <c r="AQ12" s="80"/>
      <c r="AR12" s="80" t="s">
        <v>44</v>
      </c>
      <c r="AS12" s="80"/>
      <c r="AT12" s="80"/>
      <c r="AU12" s="80" t="s">
        <v>44</v>
      </c>
      <c r="AV12" s="80"/>
      <c r="AW12" s="80"/>
      <c r="AX12" s="80" t="s">
        <v>44</v>
      </c>
      <c r="AY12" s="80"/>
      <c r="AZ12" s="80"/>
      <c r="BA12" s="80" t="s">
        <v>40</v>
      </c>
      <c r="BB12" s="80"/>
      <c r="BC12" s="80"/>
      <c r="BD12" s="34"/>
      <c r="BE12" s="34"/>
      <c r="BF12" s="34"/>
      <c r="BG12" s="34"/>
      <c r="BH12" s="34"/>
      <c r="BI12" s="34"/>
      <c r="BJ12" s="34"/>
      <c r="BK12" s="34"/>
      <c r="BL12" s="35"/>
    </row>
    <row r="13" spans="1:64" s="33" customFormat="1" ht="13.2" x14ac:dyDescent="0.15">
      <c r="A13" s="78">
        <f t="shared" si="0"/>
        <v>7</v>
      </c>
      <c r="B13" s="78"/>
      <c r="C13" s="79" t="s">
        <v>47</v>
      </c>
      <c r="D13" s="79"/>
      <c r="E13" s="79"/>
      <c r="F13" s="79"/>
      <c r="G13" s="79"/>
      <c r="H13" s="79"/>
      <c r="I13" s="79"/>
      <c r="J13" s="79"/>
      <c r="K13" s="79" t="s">
        <v>48</v>
      </c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 t="s">
        <v>49</v>
      </c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80" t="s">
        <v>44</v>
      </c>
      <c r="AP13" s="80"/>
      <c r="AQ13" s="80"/>
      <c r="AR13" s="80" t="s">
        <v>44</v>
      </c>
      <c r="AS13" s="80"/>
      <c r="AT13" s="80"/>
      <c r="AU13" s="80" t="s">
        <v>44</v>
      </c>
      <c r="AV13" s="80"/>
      <c r="AW13" s="80"/>
      <c r="AX13" s="80" t="s">
        <v>44</v>
      </c>
      <c r="AY13" s="80"/>
      <c r="AZ13" s="80"/>
      <c r="BA13" s="80" t="s">
        <v>40</v>
      </c>
      <c r="BB13" s="80"/>
      <c r="BC13" s="80"/>
      <c r="BD13" s="34"/>
      <c r="BE13" s="34"/>
      <c r="BF13" s="34"/>
      <c r="BG13" s="34"/>
      <c r="BH13" s="34"/>
      <c r="BI13" s="34"/>
      <c r="BJ13" s="34"/>
      <c r="BK13" s="34"/>
      <c r="BL13" s="35"/>
    </row>
    <row r="14" spans="1:64" s="33" customFormat="1" ht="13.2" x14ac:dyDescent="0.15">
      <c r="A14" s="78">
        <f t="shared" si="0"/>
        <v>8</v>
      </c>
      <c r="B14" s="78"/>
      <c r="C14" s="79" t="s">
        <v>47</v>
      </c>
      <c r="D14" s="79"/>
      <c r="E14" s="79"/>
      <c r="F14" s="79"/>
      <c r="G14" s="79"/>
      <c r="H14" s="79"/>
      <c r="I14" s="79"/>
      <c r="J14" s="79"/>
      <c r="K14" s="79" t="s">
        <v>50</v>
      </c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 t="s">
        <v>51</v>
      </c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80" t="s">
        <v>44</v>
      </c>
      <c r="AP14" s="80"/>
      <c r="AQ14" s="80"/>
      <c r="AR14" s="80" t="s">
        <v>44</v>
      </c>
      <c r="AS14" s="80"/>
      <c r="AT14" s="80"/>
      <c r="AU14" s="80" t="s">
        <v>44</v>
      </c>
      <c r="AV14" s="80"/>
      <c r="AW14" s="80"/>
      <c r="AX14" s="80" t="s">
        <v>44</v>
      </c>
      <c r="AY14" s="80"/>
      <c r="AZ14" s="80"/>
      <c r="BA14" s="80" t="s">
        <v>40</v>
      </c>
      <c r="BB14" s="80"/>
      <c r="BC14" s="80"/>
      <c r="BD14" s="34"/>
      <c r="BE14" s="34"/>
      <c r="BF14" s="34"/>
      <c r="BG14" s="34"/>
      <c r="BH14" s="34"/>
      <c r="BI14" s="34"/>
      <c r="BJ14" s="34"/>
      <c r="BK14" s="34"/>
      <c r="BL14" s="35"/>
    </row>
    <row r="15" spans="1:64" s="33" customFormat="1" ht="13.2" x14ac:dyDescent="0.15">
      <c r="A15" s="78">
        <f t="shared" si="0"/>
        <v>9</v>
      </c>
      <c r="B15" s="78"/>
      <c r="C15" s="79" t="s">
        <v>52</v>
      </c>
      <c r="D15" s="79"/>
      <c r="E15" s="79"/>
      <c r="F15" s="79"/>
      <c r="G15" s="79"/>
      <c r="H15" s="79"/>
      <c r="I15" s="79"/>
      <c r="J15" s="79"/>
      <c r="K15" s="79" t="s">
        <v>53</v>
      </c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 t="s">
        <v>54</v>
      </c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80" t="s">
        <v>44</v>
      </c>
      <c r="AP15" s="80"/>
      <c r="AQ15" s="80"/>
      <c r="AR15" s="80" t="s">
        <v>44</v>
      </c>
      <c r="AS15" s="80"/>
      <c r="AT15" s="80"/>
      <c r="AU15" s="80" t="s">
        <v>44</v>
      </c>
      <c r="AV15" s="80"/>
      <c r="AW15" s="80"/>
      <c r="AX15" s="80" t="s">
        <v>44</v>
      </c>
      <c r="AY15" s="80"/>
      <c r="AZ15" s="80"/>
      <c r="BA15" s="80" t="s">
        <v>40</v>
      </c>
      <c r="BB15" s="80"/>
      <c r="BC15" s="80"/>
      <c r="BD15" s="34"/>
      <c r="BE15" s="34"/>
      <c r="BF15" s="34"/>
      <c r="BG15" s="34"/>
      <c r="BH15" s="34"/>
      <c r="BI15" s="34"/>
      <c r="BJ15" s="34"/>
      <c r="BK15" s="34"/>
      <c r="BL15" s="35"/>
    </row>
    <row r="16" spans="1:64" s="33" customFormat="1" ht="13.2" x14ac:dyDescent="0.15">
      <c r="A16" s="78">
        <f t="shared" si="0"/>
        <v>10</v>
      </c>
      <c r="B16" s="78"/>
      <c r="C16" s="79" t="s">
        <v>52</v>
      </c>
      <c r="D16" s="79"/>
      <c r="E16" s="79"/>
      <c r="F16" s="79"/>
      <c r="G16" s="79"/>
      <c r="H16" s="79"/>
      <c r="I16" s="79"/>
      <c r="J16" s="79"/>
      <c r="K16" s="79" t="s">
        <v>55</v>
      </c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 t="s">
        <v>56</v>
      </c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80" t="s">
        <v>44</v>
      </c>
      <c r="AP16" s="80"/>
      <c r="AQ16" s="80"/>
      <c r="AR16" s="80" t="s">
        <v>44</v>
      </c>
      <c r="AS16" s="80"/>
      <c r="AT16" s="80"/>
      <c r="AU16" s="80" t="s">
        <v>44</v>
      </c>
      <c r="AV16" s="80"/>
      <c r="AW16" s="80"/>
      <c r="AX16" s="80" t="s">
        <v>44</v>
      </c>
      <c r="AY16" s="80"/>
      <c r="AZ16" s="80"/>
      <c r="BA16" s="80" t="s">
        <v>40</v>
      </c>
      <c r="BB16" s="80"/>
      <c r="BC16" s="80"/>
      <c r="BD16" s="34"/>
      <c r="BE16" s="34"/>
      <c r="BF16" s="34"/>
      <c r="BG16" s="34"/>
      <c r="BH16" s="34"/>
      <c r="BI16" s="34"/>
      <c r="BJ16" s="34"/>
      <c r="BK16" s="34"/>
      <c r="BL16" s="35"/>
    </row>
    <row r="17" spans="1:64" s="33" customFormat="1" ht="13.2" x14ac:dyDescent="0.15">
      <c r="A17" s="78">
        <f t="shared" si="0"/>
        <v>11</v>
      </c>
      <c r="B17" s="78"/>
      <c r="C17" s="79" t="s">
        <v>52</v>
      </c>
      <c r="D17" s="79"/>
      <c r="E17" s="79"/>
      <c r="F17" s="79"/>
      <c r="G17" s="79"/>
      <c r="H17" s="79"/>
      <c r="I17" s="79"/>
      <c r="J17" s="79"/>
      <c r="K17" s="79" t="s">
        <v>292</v>
      </c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 t="s">
        <v>293</v>
      </c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80" t="s">
        <v>44</v>
      </c>
      <c r="AP17" s="80"/>
      <c r="AQ17" s="80"/>
      <c r="AR17" s="80" t="s">
        <v>44</v>
      </c>
      <c r="AS17" s="80"/>
      <c r="AT17" s="80"/>
      <c r="AU17" s="80" t="s">
        <v>44</v>
      </c>
      <c r="AV17" s="80"/>
      <c r="AW17" s="80"/>
      <c r="AX17" s="80" t="s">
        <v>44</v>
      </c>
      <c r="AY17" s="80"/>
      <c r="AZ17" s="80"/>
      <c r="BA17" s="80" t="s">
        <v>40</v>
      </c>
      <c r="BB17" s="80"/>
      <c r="BC17" s="80"/>
      <c r="BD17" s="34"/>
      <c r="BE17" s="34"/>
      <c r="BF17" s="34"/>
      <c r="BG17" s="34"/>
      <c r="BH17" s="34"/>
      <c r="BI17" s="34"/>
      <c r="BJ17" s="34"/>
      <c r="BK17" s="34"/>
      <c r="BL17" s="35"/>
    </row>
    <row r="18" spans="1:64" s="33" customFormat="1" ht="13.2" x14ac:dyDescent="0.15">
      <c r="A18" s="78">
        <f t="shared" si="0"/>
        <v>12</v>
      </c>
      <c r="B18" s="78"/>
      <c r="C18" s="79" t="s">
        <v>57</v>
      </c>
      <c r="D18" s="79"/>
      <c r="E18" s="79"/>
      <c r="F18" s="79"/>
      <c r="G18" s="79"/>
      <c r="H18" s="79"/>
      <c r="I18" s="79"/>
      <c r="J18" s="79"/>
      <c r="K18" s="79" t="s">
        <v>58</v>
      </c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 t="s">
        <v>59</v>
      </c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80" t="s">
        <v>44</v>
      </c>
      <c r="AP18" s="80"/>
      <c r="AQ18" s="80"/>
      <c r="AR18" s="80" t="s">
        <v>44</v>
      </c>
      <c r="AS18" s="80"/>
      <c r="AT18" s="80"/>
      <c r="AU18" s="80" t="s">
        <v>44</v>
      </c>
      <c r="AV18" s="80"/>
      <c r="AW18" s="80"/>
      <c r="AX18" s="80" t="s">
        <v>44</v>
      </c>
      <c r="AY18" s="80"/>
      <c r="AZ18" s="80"/>
      <c r="BA18" s="80" t="s">
        <v>40</v>
      </c>
      <c r="BB18" s="80"/>
      <c r="BC18" s="80"/>
      <c r="BD18" s="34"/>
      <c r="BE18" s="34"/>
      <c r="BF18" s="34"/>
      <c r="BG18" s="34"/>
      <c r="BH18" s="34"/>
      <c r="BI18" s="34"/>
      <c r="BJ18" s="34"/>
      <c r="BK18" s="34"/>
      <c r="BL18" s="35"/>
    </row>
    <row r="19" spans="1:64" s="33" customFormat="1" ht="13.2" x14ac:dyDescent="0.15">
      <c r="A19" s="78">
        <f t="shared" si="0"/>
        <v>13</v>
      </c>
      <c r="B19" s="78"/>
      <c r="C19" s="79" t="s">
        <v>57</v>
      </c>
      <c r="D19" s="79"/>
      <c r="E19" s="79"/>
      <c r="F19" s="79"/>
      <c r="G19" s="79"/>
      <c r="H19" s="79"/>
      <c r="I19" s="79"/>
      <c r="J19" s="79"/>
      <c r="K19" s="79" t="s">
        <v>60</v>
      </c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 t="s">
        <v>61</v>
      </c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80" t="s">
        <v>44</v>
      </c>
      <c r="AP19" s="80"/>
      <c r="AQ19" s="80"/>
      <c r="AR19" s="80" t="s">
        <v>44</v>
      </c>
      <c r="AS19" s="80"/>
      <c r="AT19" s="80"/>
      <c r="AU19" s="80" t="s">
        <v>44</v>
      </c>
      <c r="AV19" s="80"/>
      <c r="AW19" s="80"/>
      <c r="AX19" s="80" t="s">
        <v>44</v>
      </c>
      <c r="AY19" s="80"/>
      <c r="AZ19" s="80"/>
      <c r="BA19" s="80" t="s">
        <v>40</v>
      </c>
      <c r="BB19" s="80"/>
      <c r="BC19" s="80"/>
      <c r="BD19" s="34"/>
      <c r="BE19" s="34"/>
      <c r="BF19" s="34"/>
      <c r="BG19" s="34"/>
      <c r="BH19" s="34"/>
      <c r="BI19" s="34"/>
      <c r="BJ19" s="34"/>
      <c r="BK19" s="34"/>
      <c r="BL19" s="35"/>
    </row>
    <row r="20" spans="1:64" s="33" customFormat="1" ht="13.2" x14ac:dyDescent="0.15">
      <c r="A20" s="78">
        <f t="shared" si="0"/>
        <v>14</v>
      </c>
      <c r="B20" s="78"/>
      <c r="C20" s="79" t="s">
        <v>62</v>
      </c>
      <c r="D20" s="79"/>
      <c r="E20" s="79"/>
      <c r="F20" s="79"/>
      <c r="G20" s="79"/>
      <c r="H20" s="79"/>
      <c r="I20" s="79"/>
      <c r="J20" s="79"/>
      <c r="K20" s="79" t="s">
        <v>63</v>
      </c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 t="s">
        <v>64</v>
      </c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80" t="s">
        <v>44</v>
      </c>
      <c r="AP20" s="80"/>
      <c r="AQ20" s="80"/>
      <c r="AR20" s="80" t="s">
        <v>44</v>
      </c>
      <c r="AS20" s="80"/>
      <c r="AT20" s="80"/>
      <c r="AU20" s="80" t="s">
        <v>44</v>
      </c>
      <c r="AV20" s="80"/>
      <c r="AW20" s="80"/>
      <c r="AX20" s="80" t="s">
        <v>44</v>
      </c>
      <c r="AY20" s="80"/>
      <c r="AZ20" s="80"/>
      <c r="BA20" s="80" t="s">
        <v>40</v>
      </c>
      <c r="BB20" s="80"/>
      <c r="BC20" s="80"/>
      <c r="BD20" s="34"/>
      <c r="BE20" s="34"/>
      <c r="BF20" s="34"/>
      <c r="BG20" s="34"/>
      <c r="BH20" s="34"/>
      <c r="BI20" s="34"/>
      <c r="BJ20" s="34"/>
      <c r="BK20" s="34"/>
      <c r="BL20" s="35"/>
    </row>
    <row r="21" spans="1:64" s="33" customFormat="1" ht="13.2" x14ac:dyDescent="0.15">
      <c r="A21" s="78">
        <f t="shared" si="0"/>
        <v>15</v>
      </c>
      <c r="B21" s="78"/>
      <c r="C21" s="79" t="s">
        <v>65</v>
      </c>
      <c r="D21" s="79"/>
      <c r="E21" s="79"/>
      <c r="F21" s="79"/>
      <c r="G21" s="79"/>
      <c r="H21" s="79"/>
      <c r="I21" s="79"/>
      <c r="J21" s="79"/>
      <c r="K21" s="79" t="s">
        <v>66</v>
      </c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 t="s">
        <v>67</v>
      </c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80" t="s">
        <v>40</v>
      </c>
      <c r="AP21" s="80"/>
      <c r="AQ21" s="80"/>
      <c r="AR21" s="80" t="s">
        <v>40</v>
      </c>
      <c r="AS21" s="80"/>
      <c r="AT21" s="80"/>
      <c r="AU21" s="80" t="s">
        <v>44</v>
      </c>
      <c r="AV21" s="80"/>
      <c r="AW21" s="80"/>
      <c r="AX21" s="80" t="s">
        <v>44</v>
      </c>
      <c r="AY21" s="80"/>
      <c r="AZ21" s="80"/>
      <c r="BA21" s="80" t="s">
        <v>40</v>
      </c>
      <c r="BB21" s="80"/>
      <c r="BC21" s="80"/>
      <c r="BD21" s="34"/>
      <c r="BE21" s="34"/>
      <c r="BF21" s="34"/>
      <c r="BG21" s="34"/>
      <c r="BH21" s="34"/>
      <c r="BI21" s="34"/>
      <c r="BJ21" s="34"/>
      <c r="BK21" s="34"/>
      <c r="BL21" s="35"/>
    </row>
    <row r="22" spans="1:64" s="33" customFormat="1" ht="13.2" x14ac:dyDescent="0.15">
      <c r="A22" s="78">
        <f t="shared" si="0"/>
        <v>16</v>
      </c>
      <c r="B22" s="78"/>
      <c r="C22" s="79" t="s">
        <v>65</v>
      </c>
      <c r="D22" s="79"/>
      <c r="E22" s="79"/>
      <c r="F22" s="79"/>
      <c r="G22" s="79"/>
      <c r="H22" s="79"/>
      <c r="I22" s="79"/>
      <c r="J22" s="79"/>
      <c r="K22" s="79" t="s">
        <v>68</v>
      </c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 t="s">
        <v>69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80" t="s">
        <v>44</v>
      </c>
      <c r="AP22" s="80"/>
      <c r="AQ22" s="80"/>
      <c r="AR22" s="80" t="s">
        <v>40</v>
      </c>
      <c r="AS22" s="80"/>
      <c r="AT22" s="80"/>
      <c r="AU22" s="80" t="s">
        <v>44</v>
      </c>
      <c r="AV22" s="80"/>
      <c r="AW22" s="80"/>
      <c r="AX22" s="80" t="s">
        <v>44</v>
      </c>
      <c r="AY22" s="80"/>
      <c r="AZ22" s="80"/>
      <c r="BA22" s="80" t="s">
        <v>40</v>
      </c>
      <c r="BB22" s="80"/>
      <c r="BC22" s="80"/>
      <c r="BD22" s="34"/>
      <c r="BE22" s="34"/>
      <c r="BF22" s="34"/>
      <c r="BG22" s="34"/>
      <c r="BH22" s="34"/>
      <c r="BI22" s="34"/>
      <c r="BJ22" s="34"/>
      <c r="BK22" s="34"/>
      <c r="BL22" s="35"/>
    </row>
    <row r="23" spans="1:64" s="33" customFormat="1" ht="13.2" x14ac:dyDescent="0.15">
      <c r="A23" s="78">
        <f t="shared" si="0"/>
        <v>17</v>
      </c>
      <c r="B23" s="78"/>
      <c r="C23" s="79" t="s">
        <v>65</v>
      </c>
      <c r="D23" s="79"/>
      <c r="E23" s="79"/>
      <c r="F23" s="79"/>
      <c r="G23" s="79"/>
      <c r="H23" s="79"/>
      <c r="I23" s="79"/>
      <c r="J23" s="79"/>
      <c r="K23" s="79" t="s">
        <v>70</v>
      </c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 t="s">
        <v>71</v>
      </c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80" t="s">
        <v>44</v>
      </c>
      <c r="AP23" s="80"/>
      <c r="AQ23" s="80"/>
      <c r="AR23" s="80" t="s">
        <v>44</v>
      </c>
      <c r="AS23" s="80"/>
      <c r="AT23" s="80"/>
      <c r="AU23" s="80" t="s">
        <v>44</v>
      </c>
      <c r="AV23" s="80"/>
      <c r="AW23" s="80"/>
      <c r="AX23" s="80" t="s">
        <v>44</v>
      </c>
      <c r="AY23" s="80"/>
      <c r="AZ23" s="80"/>
      <c r="BA23" s="80" t="s">
        <v>40</v>
      </c>
      <c r="BB23" s="80"/>
      <c r="BC23" s="80"/>
      <c r="BD23" s="34"/>
      <c r="BE23" s="34"/>
      <c r="BF23" s="34"/>
      <c r="BG23" s="34"/>
      <c r="BH23" s="34"/>
      <c r="BI23" s="34"/>
      <c r="BJ23" s="34"/>
      <c r="BK23" s="34"/>
      <c r="BL23" s="35"/>
    </row>
    <row r="24" spans="1:64" s="33" customFormat="1" ht="13.2" x14ac:dyDescent="0.15">
      <c r="A24" s="78">
        <f t="shared" si="0"/>
        <v>18</v>
      </c>
      <c r="B24" s="78"/>
      <c r="C24" s="79" t="s">
        <v>65</v>
      </c>
      <c r="D24" s="79"/>
      <c r="E24" s="79"/>
      <c r="F24" s="79"/>
      <c r="G24" s="79"/>
      <c r="H24" s="79"/>
      <c r="I24" s="79"/>
      <c r="J24" s="79"/>
      <c r="K24" s="79" t="s">
        <v>72</v>
      </c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 t="s">
        <v>73</v>
      </c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80" t="s">
        <v>44</v>
      </c>
      <c r="AP24" s="80"/>
      <c r="AQ24" s="80"/>
      <c r="AR24" s="80" t="s">
        <v>44</v>
      </c>
      <c r="AS24" s="80"/>
      <c r="AT24" s="80"/>
      <c r="AU24" s="80" t="s">
        <v>44</v>
      </c>
      <c r="AV24" s="80"/>
      <c r="AW24" s="80"/>
      <c r="AX24" s="80" t="s">
        <v>44</v>
      </c>
      <c r="AY24" s="80"/>
      <c r="AZ24" s="80"/>
      <c r="BA24" s="80" t="s">
        <v>40</v>
      </c>
      <c r="BB24" s="80"/>
      <c r="BC24" s="80"/>
      <c r="BD24" s="34"/>
      <c r="BE24" s="34"/>
      <c r="BF24" s="34"/>
      <c r="BG24" s="34"/>
      <c r="BH24" s="34"/>
      <c r="BI24" s="34"/>
      <c r="BJ24" s="34"/>
      <c r="BK24" s="34"/>
      <c r="BL24" s="35"/>
    </row>
    <row r="25" spans="1:64" s="33" customFormat="1" ht="13.2" x14ac:dyDescent="0.15">
      <c r="A25" s="78">
        <f t="shared" si="0"/>
        <v>19</v>
      </c>
      <c r="B25" s="78"/>
      <c r="C25" s="79" t="s">
        <v>74</v>
      </c>
      <c r="D25" s="79"/>
      <c r="E25" s="79"/>
      <c r="F25" s="79"/>
      <c r="G25" s="79"/>
      <c r="H25" s="79"/>
      <c r="I25" s="79"/>
      <c r="J25" s="79"/>
      <c r="K25" s="79" t="s">
        <v>75</v>
      </c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 t="s">
        <v>76</v>
      </c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80" t="s">
        <v>40</v>
      </c>
      <c r="AP25" s="80"/>
      <c r="AQ25" s="80"/>
      <c r="AR25" s="80" t="s">
        <v>44</v>
      </c>
      <c r="AS25" s="80"/>
      <c r="AT25" s="80"/>
      <c r="AU25" s="80" t="s">
        <v>44</v>
      </c>
      <c r="AV25" s="80"/>
      <c r="AW25" s="80"/>
      <c r="AX25" s="80" t="s">
        <v>44</v>
      </c>
      <c r="AY25" s="80"/>
      <c r="AZ25" s="80"/>
      <c r="BA25" s="80" t="s">
        <v>44</v>
      </c>
      <c r="BB25" s="80"/>
      <c r="BC25" s="80"/>
      <c r="BD25" s="34"/>
      <c r="BE25" s="34"/>
      <c r="BF25" s="34"/>
      <c r="BG25" s="34"/>
      <c r="BH25" s="34"/>
      <c r="BI25" s="34"/>
      <c r="BJ25" s="34"/>
      <c r="BK25" s="34"/>
      <c r="BL25" s="35"/>
    </row>
    <row r="26" spans="1:64" s="33" customFormat="1" ht="13.2" x14ac:dyDescent="0.15">
      <c r="A26" s="78">
        <f t="shared" si="0"/>
        <v>20</v>
      </c>
      <c r="B26" s="78"/>
      <c r="C26" s="79" t="s">
        <v>77</v>
      </c>
      <c r="D26" s="79"/>
      <c r="E26" s="79"/>
      <c r="F26" s="79"/>
      <c r="G26" s="79"/>
      <c r="H26" s="79"/>
      <c r="I26" s="79"/>
      <c r="J26" s="79"/>
      <c r="K26" s="79" t="s">
        <v>284</v>
      </c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 t="s">
        <v>287</v>
      </c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80" t="s">
        <v>44</v>
      </c>
      <c r="AP26" s="80"/>
      <c r="AQ26" s="80"/>
      <c r="AR26" s="80" t="s">
        <v>44</v>
      </c>
      <c r="AS26" s="80"/>
      <c r="AT26" s="80"/>
      <c r="AU26" s="80" t="s">
        <v>44</v>
      </c>
      <c r="AV26" s="80"/>
      <c r="AW26" s="80"/>
      <c r="AX26" s="80" t="s">
        <v>44</v>
      </c>
      <c r="AY26" s="80"/>
      <c r="AZ26" s="80"/>
      <c r="BA26" s="80" t="s">
        <v>40</v>
      </c>
      <c r="BB26" s="80"/>
      <c r="BC26" s="80"/>
      <c r="BD26" s="34"/>
      <c r="BE26" s="34"/>
      <c r="BF26" s="34"/>
      <c r="BG26" s="34"/>
      <c r="BH26" s="34"/>
      <c r="BI26" s="34"/>
      <c r="BJ26" s="34"/>
      <c r="BK26" s="34"/>
      <c r="BL26" s="35"/>
    </row>
    <row r="27" spans="1:64" s="33" customFormat="1" ht="13.2" x14ac:dyDescent="0.15">
      <c r="A27" s="78">
        <f t="shared" si="0"/>
        <v>21</v>
      </c>
      <c r="B27" s="78"/>
      <c r="C27" s="79" t="s">
        <v>77</v>
      </c>
      <c r="D27" s="79"/>
      <c r="E27" s="79"/>
      <c r="F27" s="79"/>
      <c r="G27" s="79"/>
      <c r="H27" s="79"/>
      <c r="I27" s="79"/>
      <c r="J27" s="79"/>
      <c r="K27" s="79" t="s">
        <v>78</v>
      </c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 t="s">
        <v>79</v>
      </c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80" t="s">
        <v>44</v>
      </c>
      <c r="AP27" s="80"/>
      <c r="AQ27" s="80"/>
      <c r="AR27" s="80" t="s">
        <v>44</v>
      </c>
      <c r="AS27" s="80"/>
      <c r="AT27" s="80"/>
      <c r="AU27" s="80" t="s">
        <v>44</v>
      </c>
      <c r="AV27" s="80"/>
      <c r="AW27" s="80"/>
      <c r="AX27" s="80" t="s">
        <v>44</v>
      </c>
      <c r="AY27" s="80"/>
      <c r="AZ27" s="80"/>
      <c r="BA27" s="80" t="s">
        <v>40</v>
      </c>
      <c r="BB27" s="80"/>
      <c r="BC27" s="80"/>
      <c r="BD27" s="34"/>
      <c r="BE27" s="34"/>
      <c r="BF27" s="34"/>
      <c r="BG27" s="34"/>
      <c r="BH27" s="34"/>
      <c r="BI27" s="34"/>
      <c r="BJ27" s="34"/>
      <c r="BK27" s="34"/>
      <c r="BL27" s="35"/>
    </row>
    <row r="28" spans="1:64" s="33" customFormat="1" ht="13.2" x14ac:dyDescent="0.15">
      <c r="A28" s="78">
        <f t="shared" si="0"/>
        <v>22</v>
      </c>
      <c r="B28" s="78"/>
      <c r="C28" s="79" t="s">
        <v>77</v>
      </c>
      <c r="D28" s="79"/>
      <c r="E28" s="79"/>
      <c r="F28" s="79"/>
      <c r="G28" s="79"/>
      <c r="H28" s="79"/>
      <c r="I28" s="79"/>
      <c r="J28" s="79"/>
      <c r="K28" s="79" t="s">
        <v>80</v>
      </c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 t="s">
        <v>81</v>
      </c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80" t="s">
        <v>40</v>
      </c>
      <c r="AP28" s="80"/>
      <c r="AQ28" s="80"/>
      <c r="AR28" s="80" t="s">
        <v>40</v>
      </c>
      <c r="AS28" s="80"/>
      <c r="AT28" s="80"/>
      <c r="AU28" s="80" t="s">
        <v>40</v>
      </c>
      <c r="AV28" s="80"/>
      <c r="AW28" s="80"/>
      <c r="AX28" s="80" t="s">
        <v>40</v>
      </c>
      <c r="AY28" s="80"/>
      <c r="AZ28" s="80"/>
      <c r="BA28" s="80" t="s">
        <v>40</v>
      </c>
      <c r="BB28" s="80"/>
      <c r="BC28" s="80"/>
      <c r="BD28" s="34"/>
      <c r="BE28" s="34"/>
      <c r="BF28" s="34"/>
      <c r="BG28" s="34"/>
      <c r="BH28" s="34"/>
      <c r="BI28" s="34"/>
      <c r="BJ28" s="34"/>
      <c r="BK28" s="34"/>
      <c r="BL28" s="35"/>
    </row>
    <row r="29" spans="1:64" s="33" customFormat="1" ht="13.2" x14ac:dyDescent="0.15">
      <c r="A29" s="78">
        <f t="shared" si="0"/>
        <v>23</v>
      </c>
      <c r="B29" s="78"/>
      <c r="C29" s="79" t="s">
        <v>77</v>
      </c>
      <c r="D29" s="79"/>
      <c r="E29" s="79"/>
      <c r="F29" s="79"/>
      <c r="G29" s="79"/>
      <c r="H29" s="79"/>
      <c r="I29" s="79"/>
      <c r="J29" s="79"/>
      <c r="K29" s="79" t="s">
        <v>82</v>
      </c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 t="s">
        <v>83</v>
      </c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80" t="s">
        <v>44</v>
      </c>
      <c r="AP29" s="80"/>
      <c r="AQ29" s="80"/>
      <c r="AR29" s="80" t="s">
        <v>44</v>
      </c>
      <c r="AS29" s="80"/>
      <c r="AT29" s="80"/>
      <c r="AU29" s="80" t="s">
        <v>44</v>
      </c>
      <c r="AV29" s="80"/>
      <c r="AW29" s="80"/>
      <c r="AX29" s="80" t="s">
        <v>44</v>
      </c>
      <c r="AY29" s="80"/>
      <c r="AZ29" s="80"/>
      <c r="BA29" s="80" t="s">
        <v>40</v>
      </c>
      <c r="BB29" s="80"/>
      <c r="BC29" s="80"/>
      <c r="BD29" s="34"/>
      <c r="BE29" s="34"/>
      <c r="BF29" s="34"/>
      <c r="BG29" s="34"/>
      <c r="BH29" s="34"/>
      <c r="BI29" s="34"/>
      <c r="BJ29" s="34"/>
      <c r="BK29" s="34"/>
      <c r="BL29" s="35"/>
    </row>
    <row r="30" spans="1:64" s="33" customFormat="1" ht="13.2" x14ac:dyDescent="0.15">
      <c r="A30" s="78">
        <f t="shared" si="0"/>
        <v>24</v>
      </c>
      <c r="B30" s="78"/>
      <c r="C30" s="79" t="s">
        <v>84</v>
      </c>
      <c r="D30" s="79"/>
      <c r="E30" s="79"/>
      <c r="F30" s="79"/>
      <c r="G30" s="79"/>
      <c r="H30" s="79"/>
      <c r="I30" s="79"/>
      <c r="J30" s="79"/>
      <c r="K30" s="79" t="s">
        <v>85</v>
      </c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 t="s">
        <v>86</v>
      </c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80" t="s">
        <v>44</v>
      </c>
      <c r="AP30" s="80"/>
      <c r="AQ30" s="80"/>
      <c r="AR30" s="80" t="s">
        <v>44</v>
      </c>
      <c r="AS30" s="80"/>
      <c r="AT30" s="80"/>
      <c r="AU30" s="80" t="s">
        <v>44</v>
      </c>
      <c r="AV30" s="80"/>
      <c r="AW30" s="80"/>
      <c r="AX30" s="80" t="s">
        <v>44</v>
      </c>
      <c r="AY30" s="80"/>
      <c r="AZ30" s="80"/>
      <c r="BA30" s="80" t="s">
        <v>40</v>
      </c>
      <c r="BB30" s="80"/>
      <c r="BC30" s="80"/>
      <c r="BD30" s="34"/>
      <c r="BE30" s="34"/>
      <c r="BF30" s="34"/>
      <c r="BG30" s="34"/>
      <c r="BH30" s="34"/>
      <c r="BI30" s="34"/>
      <c r="BJ30" s="34"/>
      <c r="BK30" s="34"/>
      <c r="BL30" s="35"/>
    </row>
    <row r="31" spans="1:64" s="33" customFormat="1" ht="13.2" x14ac:dyDescent="0.15">
      <c r="A31" s="78">
        <f t="shared" si="0"/>
        <v>25</v>
      </c>
      <c r="B31" s="78"/>
      <c r="C31" s="79" t="s">
        <v>84</v>
      </c>
      <c r="D31" s="79"/>
      <c r="E31" s="79"/>
      <c r="F31" s="79"/>
      <c r="G31" s="79"/>
      <c r="H31" s="79"/>
      <c r="I31" s="79"/>
      <c r="J31" s="79"/>
      <c r="K31" s="79" t="s">
        <v>87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 t="s">
        <v>88</v>
      </c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80" t="s">
        <v>44</v>
      </c>
      <c r="AP31" s="80"/>
      <c r="AQ31" s="80"/>
      <c r="AR31" s="80" t="s">
        <v>44</v>
      </c>
      <c r="AS31" s="80"/>
      <c r="AT31" s="80"/>
      <c r="AU31" s="80" t="s">
        <v>44</v>
      </c>
      <c r="AV31" s="80"/>
      <c r="AW31" s="80"/>
      <c r="AX31" s="80" t="s">
        <v>44</v>
      </c>
      <c r="AY31" s="80"/>
      <c r="AZ31" s="80"/>
      <c r="BA31" s="80" t="s">
        <v>40</v>
      </c>
      <c r="BB31" s="80"/>
      <c r="BC31" s="80"/>
      <c r="BD31" s="34"/>
      <c r="BE31" s="34"/>
      <c r="BF31" s="34"/>
      <c r="BG31" s="34"/>
      <c r="BH31" s="34"/>
      <c r="BI31" s="34"/>
      <c r="BJ31" s="34"/>
      <c r="BK31" s="34"/>
      <c r="BL31" s="35"/>
    </row>
    <row r="32" spans="1:64" s="33" customFormat="1" ht="13.2" x14ac:dyDescent="0.15">
      <c r="A32" s="78">
        <f t="shared" si="0"/>
        <v>26</v>
      </c>
      <c r="B32" s="78"/>
      <c r="C32" s="79" t="s">
        <v>84</v>
      </c>
      <c r="D32" s="79"/>
      <c r="E32" s="79"/>
      <c r="F32" s="79"/>
      <c r="G32" s="79"/>
      <c r="H32" s="79"/>
      <c r="I32" s="79"/>
      <c r="J32" s="79"/>
      <c r="K32" s="79" t="s">
        <v>89</v>
      </c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 t="s">
        <v>90</v>
      </c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80" t="s">
        <v>44</v>
      </c>
      <c r="AP32" s="80"/>
      <c r="AQ32" s="80"/>
      <c r="AR32" s="80" t="s">
        <v>44</v>
      </c>
      <c r="AS32" s="80"/>
      <c r="AT32" s="80"/>
      <c r="AU32" s="80" t="s">
        <v>44</v>
      </c>
      <c r="AV32" s="80"/>
      <c r="AW32" s="80"/>
      <c r="AX32" s="80" t="s">
        <v>44</v>
      </c>
      <c r="AY32" s="80"/>
      <c r="AZ32" s="80"/>
      <c r="BA32" s="80" t="s">
        <v>40</v>
      </c>
      <c r="BB32" s="80"/>
      <c r="BC32" s="80"/>
      <c r="BD32" s="34"/>
      <c r="BE32" s="34"/>
      <c r="BF32" s="34"/>
      <c r="BG32" s="34"/>
      <c r="BH32" s="34"/>
      <c r="BI32" s="34"/>
      <c r="BJ32" s="34"/>
      <c r="BK32" s="34"/>
      <c r="BL32" s="35"/>
    </row>
    <row r="33" spans="1:64" s="33" customFormat="1" ht="13.2" x14ac:dyDescent="0.15">
      <c r="A33" s="78">
        <f t="shared" si="0"/>
        <v>27</v>
      </c>
      <c r="B33" s="78"/>
      <c r="C33" s="79" t="s">
        <v>91</v>
      </c>
      <c r="D33" s="79"/>
      <c r="E33" s="79"/>
      <c r="F33" s="79"/>
      <c r="G33" s="79"/>
      <c r="H33" s="79"/>
      <c r="I33" s="79"/>
      <c r="J33" s="79"/>
      <c r="K33" s="79" t="s">
        <v>92</v>
      </c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 t="s">
        <v>93</v>
      </c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80" t="s">
        <v>40</v>
      </c>
      <c r="AP33" s="80"/>
      <c r="AQ33" s="80"/>
      <c r="AR33" s="80" t="s">
        <v>40</v>
      </c>
      <c r="AS33" s="80"/>
      <c r="AT33" s="80"/>
      <c r="AU33" s="80" t="s">
        <v>44</v>
      </c>
      <c r="AV33" s="80"/>
      <c r="AW33" s="80"/>
      <c r="AX33" s="80" t="s">
        <v>44</v>
      </c>
      <c r="AY33" s="80"/>
      <c r="AZ33" s="80"/>
      <c r="BA33" s="80" t="s">
        <v>40</v>
      </c>
      <c r="BB33" s="80"/>
      <c r="BC33" s="80"/>
      <c r="BD33" s="34"/>
      <c r="BE33" s="34"/>
      <c r="BF33" s="34"/>
      <c r="BG33" s="34"/>
      <c r="BH33" s="34"/>
      <c r="BI33" s="34"/>
      <c r="BJ33" s="34"/>
      <c r="BK33" s="34"/>
      <c r="BL33" s="35"/>
    </row>
    <row r="34" spans="1:64" s="33" customFormat="1" ht="13.2" x14ac:dyDescent="0.15">
      <c r="A34" s="78">
        <f t="shared" si="0"/>
        <v>28</v>
      </c>
      <c r="B34" s="78"/>
      <c r="C34" s="79" t="s">
        <v>91</v>
      </c>
      <c r="D34" s="79"/>
      <c r="E34" s="79"/>
      <c r="F34" s="79"/>
      <c r="G34" s="79"/>
      <c r="H34" s="79"/>
      <c r="I34" s="79"/>
      <c r="J34" s="79"/>
      <c r="K34" s="79" t="s">
        <v>252</v>
      </c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 t="s">
        <v>94</v>
      </c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80" t="s">
        <v>44</v>
      </c>
      <c r="AP34" s="80"/>
      <c r="AQ34" s="80"/>
      <c r="AR34" s="80" t="s">
        <v>44</v>
      </c>
      <c r="AS34" s="80"/>
      <c r="AT34" s="80"/>
      <c r="AU34" s="80" t="s">
        <v>44</v>
      </c>
      <c r="AV34" s="80"/>
      <c r="AW34" s="80"/>
      <c r="AX34" s="80" t="s">
        <v>44</v>
      </c>
      <c r="AY34" s="80"/>
      <c r="AZ34" s="80"/>
      <c r="BA34" s="80" t="s">
        <v>40</v>
      </c>
      <c r="BB34" s="80"/>
      <c r="BC34" s="80"/>
      <c r="BD34" s="34"/>
      <c r="BE34" s="34"/>
      <c r="BF34" s="34"/>
      <c r="BG34" s="34"/>
      <c r="BH34" s="34"/>
      <c r="BI34" s="34"/>
      <c r="BJ34" s="34"/>
      <c r="BK34" s="34"/>
      <c r="BL34" s="35"/>
    </row>
    <row r="35" spans="1:64" s="33" customFormat="1" ht="13.2" x14ac:dyDescent="0.15">
      <c r="A35" s="78">
        <f t="shared" si="0"/>
        <v>29</v>
      </c>
      <c r="B35" s="78"/>
      <c r="C35" s="79" t="s">
        <v>96</v>
      </c>
      <c r="D35" s="79"/>
      <c r="E35" s="79"/>
      <c r="F35" s="79"/>
      <c r="G35" s="79"/>
      <c r="H35" s="79"/>
      <c r="I35" s="79"/>
      <c r="J35" s="79"/>
      <c r="K35" s="79" t="s">
        <v>97</v>
      </c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 t="s">
        <v>98</v>
      </c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80" t="s">
        <v>40</v>
      </c>
      <c r="AP35" s="80"/>
      <c r="AQ35" s="80"/>
      <c r="AR35" s="80" t="s">
        <v>40</v>
      </c>
      <c r="AS35" s="80"/>
      <c r="AT35" s="80"/>
      <c r="AU35" s="80" t="s">
        <v>40</v>
      </c>
      <c r="AV35" s="80"/>
      <c r="AW35" s="80"/>
      <c r="AX35" s="80" t="s">
        <v>40</v>
      </c>
      <c r="AY35" s="80"/>
      <c r="AZ35" s="80"/>
      <c r="BA35" s="80" t="s">
        <v>40</v>
      </c>
      <c r="BB35" s="80"/>
      <c r="BC35" s="80"/>
      <c r="BD35" s="34"/>
      <c r="BE35" s="34"/>
      <c r="BF35" s="34"/>
      <c r="BG35" s="34"/>
      <c r="BH35" s="34"/>
      <c r="BI35" s="34"/>
      <c r="BJ35" s="34"/>
      <c r="BK35" s="34"/>
      <c r="BL35" s="35"/>
    </row>
    <row r="36" spans="1:64" s="33" customFormat="1" ht="13.2" x14ac:dyDescent="0.15">
      <c r="A36" s="78">
        <f t="shared" si="0"/>
        <v>30</v>
      </c>
      <c r="B36" s="78"/>
      <c r="C36" s="79" t="s">
        <v>96</v>
      </c>
      <c r="D36" s="79"/>
      <c r="E36" s="79"/>
      <c r="F36" s="79"/>
      <c r="G36" s="79"/>
      <c r="H36" s="79"/>
      <c r="I36" s="79"/>
      <c r="J36" s="79"/>
      <c r="K36" s="79" t="s">
        <v>99</v>
      </c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 t="s">
        <v>100</v>
      </c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80" t="s">
        <v>44</v>
      </c>
      <c r="AP36" s="80"/>
      <c r="AQ36" s="80"/>
      <c r="AR36" s="80" t="s">
        <v>40</v>
      </c>
      <c r="AS36" s="80"/>
      <c r="AT36" s="80"/>
      <c r="AU36" s="80" t="s">
        <v>44</v>
      </c>
      <c r="AV36" s="80"/>
      <c r="AW36" s="80"/>
      <c r="AX36" s="80" t="s">
        <v>44</v>
      </c>
      <c r="AY36" s="80"/>
      <c r="AZ36" s="80"/>
      <c r="BA36" s="80" t="s">
        <v>40</v>
      </c>
      <c r="BB36" s="80"/>
      <c r="BC36" s="80"/>
      <c r="BD36" s="34"/>
      <c r="BE36" s="34"/>
      <c r="BF36" s="34"/>
      <c r="BG36" s="34"/>
      <c r="BH36" s="34"/>
      <c r="BI36" s="34"/>
      <c r="BJ36" s="34"/>
      <c r="BK36" s="34"/>
      <c r="BL36" s="35"/>
    </row>
    <row r="37" spans="1:64" s="33" customFormat="1" ht="13.2" x14ac:dyDescent="0.15">
      <c r="A37" s="78">
        <f t="shared" si="0"/>
        <v>31</v>
      </c>
      <c r="B37" s="78"/>
      <c r="C37" s="79" t="s">
        <v>96</v>
      </c>
      <c r="D37" s="79"/>
      <c r="E37" s="79"/>
      <c r="F37" s="79"/>
      <c r="G37" s="79"/>
      <c r="H37" s="79"/>
      <c r="I37" s="79"/>
      <c r="J37" s="79"/>
      <c r="K37" s="79" t="s">
        <v>101</v>
      </c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 t="s">
        <v>102</v>
      </c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80" t="s">
        <v>40</v>
      </c>
      <c r="AP37" s="80"/>
      <c r="AQ37" s="80"/>
      <c r="AR37" s="80" t="s">
        <v>40</v>
      </c>
      <c r="AS37" s="80"/>
      <c r="AT37" s="80"/>
      <c r="AU37" s="80" t="s">
        <v>40</v>
      </c>
      <c r="AV37" s="80"/>
      <c r="AW37" s="80"/>
      <c r="AX37" s="80" t="s">
        <v>40</v>
      </c>
      <c r="AY37" s="80"/>
      <c r="AZ37" s="80"/>
      <c r="BA37" s="80" t="s">
        <v>40</v>
      </c>
      <c r="BB37" s="80"/>
      <c r="BC37" s="80"/>
      <c r="BD37" s="34"/>
      <c r="BE37" s="34"/>
      <c r="BF37" s="34"/>
      <c r="BG37" s="34"/>
      <c r="BH37" s="34"/>
      <c r="BI37" s="34"/>
      <c r="BJ37" s="34"/>
      <c r="BK37" s="34"/>
      <c r="BL37" s="35"/>
    </row>
    <row r="38" spans="1:64" s="33" customFormat="1" ht="13.2" x14ac:dyDescent="0.15">
      <c r="A38" s="78">
        <f t="shared" si="0"/>
        <v>32</v>
      </c>
      <c r="B38" s="78"/>
      <c r="C38" s="79" t="s">
        <v>96</v>
      </c>
      <c r="D38" s="79"/>
      <c r="E38" s="79"/>
      <c r="F38" s="79"/>
      <c r="G38" s="79"/>
      <c r="H38" s="79"/>
      <c r="I38" s="79"/>
      <c r="J38" s="79"/>
      <c r="K38" s="79" t="s">
        <v>103</v>
      </c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 t="s">
        <v>104</v>
      </c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80" t="s">
        <v>40</v>
      </c>
      <c r="AP38" s="80"/>
      <c r="AQ38" s="80"/>
      <c r="AR38" s="80" t="s">
        <v>40</v>
      </c>
      <c r="AS38" s="80"/>
      <c r="AT38" s="80"/>
      <c r="AU38" s="80" t="s">
        <v>40</v>
      </c>
      <c r="AV38" s="80"/>
      <c r="AW38" s="80"/>
      <c r="AX38" s="80" t="s">
        <v>40</v>
      </c>
      <c r="AY38" s="80"/>
      <c r="AZ38" s="80"/>
      <c r="BA38" s="80" t="s">
        <v>40</v>
      </c>
      <c r="BB38" s="80"/>
      <c r="BC38" s="80"/>
      <c r="BD38" s="34"/>
      <c r="BE38" s="34"/>
      <c r="BF38" s="34"/>
      <c r="BG38" s="34"/>
      <c r="BH38" s="34"/>
      <c r="BI38" s="34"/>
      <c r="BJ38" s="34"/>
      <c r="BK38" s="34"/>
      <c r="BL38" s="35"/>
    </row>
    <row r="39" spans="1:64" s="33" customFormat="1" ht="13.2" x14ac:dyDescent="0.15">
      <c r="A39" s="78">
        <f t="shared" ref="A39:A76" si="1">ROW()-6</f>
        <v>33</v>
      </c>
      <c r="B39" s="78"/>
      <c r="C39" s="79" t="s">
        <v>105</v>
      </c>
      <c r="D39" s="79"/>
      <c r="E39" s="79"/>
      <c r="F39" s="79"/>
      <c r="G39" s="79"/>
      <c r="H39" s="79"/>
      <c r="I39" s="79"/>
      <c r="J39" s="79"/>
      <c r="K39" s="79" t="s">
        <v>106</v>
      </c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 t="s">
        <v>107</v>
      </c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80" t="s">
        <v>40</v>
      </c>
      <c r="AP39" s="80"/>
      <c r="AQ39" s="80"/>
      <c r="AR39" s="80" t="s">
        <v>40</v>
      </c>
      <c r="AS39" s="80"/>
      <c r="AT39" s="80"/>
      <c r="AU39" s="80" t="s">
        <v>40</v>
      </c>
      <c r="AV39" s="80"/>
      <c r="AW39" s="80"/>
      <c r="AX39" s="80" t="s">
        <v>44</v>
      </c>
      <c r="AY39" s="80"/>
      <c r="AZ39" s="80"/>
      <c r="BA39" s="80" t="s">
        <v>40</v>
      </c>
      <c r="BB39" s="80"/>
      <c r="BC39" s="80"/>
      <c r="BD39" s="34"/>
      <c r="BE39" s="34"/>
      <c r="BF39" s="34"/>
      <c r="BG39" s="34"/>
      <c r="BH39" s="34"/>
      <c r="BI39" s="34"/>
      <c r="BJ39" s="34"/>
      <c r="BK39" s="34"/>
      <c r="BL39" s="35"/>
    </row>
    <row r="40" spans="1:64" s="33" customFormat="1" ht="13.2" x14ac:dyDescent="0.15">
      <c r="A40" s="78">
        <f t="shared" si="1"/>
        <v>34</v>
      </c>
      <c r="B40" s="78"/>
      <c r="C40" s="79" t="s">
        <v>108</v>
      </c>
      <c r="D40" s="79"/>
      <c r="E40" s="79"/>
      <c r="F40" s="79"/>
      <c r="G40" s="79"/>
      <c r="H40" s="79"/>
      <c r="I40" s="79"/>
      <c r="J40" s="79"/>
      <c r="K40" s="79" t="s">
        <v>108</v>
      </c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 t="s">
        <v>109</v>
      </c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80" t="s">
        <v>40</v>
      </c>
      <c r="AP40" s="80"/>
      <c r="AQ40" s="80"/>
      <c r="AR40" s="80" t="s">
        <v>40</v>
      </c>
      <c r="AS40" s="80"/>
      <c r="AT40" s="80"/>
      <c r="AU40" s="80" t="s">
        <v>40</v>
      </c>
      <c r="AV40" s="80"/>
      <c r="AW40" s="80"/>
      <c r="AX40" s="80" t="s">
        <v>40</v>
      </c>
      <c r="AY40" s="80"/>
      <c r="AZ40" s="80"/>
      <c r="BA40" s="80" t="s">
        <v>40</v>
      </c>
      <c r="BB40" s="80"/>
      <c r="BC40" s="80"/>
      <c r="BD40" s="34"/>
      <c r="BE40" s="34"/>
      <c r="BF40" s="34"/>
      <c r="BG40" s="34"/>
      <c r="BH40" s="34"/>
      <c r="BI40" s="34"/>
      <c r="BJ40" s="34"/>
      <c r="BK40" s="34"/>
      <c r="BL40" s="35"/>
    </row>
    <row r="41" spans="1:64" s="33" customFormat="1" ht="13.2" x14ac:dyDescent="0.15">
      <c r="A41" s="78">
        <f t="shared" si="1"/>
        <v>35</v>
      </c>
      <c r="B41" s="78"/>
      <c r="C41" s="79" t="s">
        <v>110</v>
      </c>
      <c r="D41" s="79"/>
      <c r="E41" s="79"/>
      <c r="F41" s="79"/>
      <c r="G41" s="79"/>
      <c r="H41" s="79"/>
      <c r="I41" s="79"/>
      <c r="J41" s="79"/>
      <c r="K41" s="79" t="s">
        <v>111</v>
      </c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 t="s">
        <v>288</v>
      </c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80" t="s">
        <v>44</v>
      </c>
      <c r="AP41" s="80"/>
      <c r="AQ41" s="80"/>
      <c r="AR41" s="80" t="s">
        <v>44</v>
      </c>
      <c r="AS41" s="80"/>
      <c r="AT41" s="80"/>
      <c r="AU41" s="80" t="s">
        <v>44</v>
      </c>
      <c r="AV41" s="80"/>
      <c r="AW41" s="80"/>
      <c r="AX41" s="80" t="s">
        <v>44</v>
      </c>
      <c r="AY41" s="80"/>
      <c r="AZ41" s="80"/>
      <c r="BA41" s="80" t="s">
        <v>40</v>
      </c>
      <c r="BB41" s="80"/>
      <c r="BC41" s="80"/>
      <c r="BD41" s="34"/>
      <c r="BE41" s="34"/>
      <c r="BF41" s="34"/>
      <c r="BG41" s="34"/>
      <c r="BH41" s="34"/>
      <c r="BI41" s="34"/>
      <c r="BJ41" s="34"/>
      <c r="BK41" s="34"/>
      <c r="BL41" s="35"/>
    </row>
    <row r="42" spans="1:64" s="33" customFormat="1" ht="13.2" x14ac:dyDescent="0.15">
      <c r="A42" s="78">
        <f t="shared" si="1"/>
        <v>36</v>
      </c>
      <c r="B42" s="78"/>
      <c r="C42" s="79" t="s">
        <v>110</v>
      </c>
      <c r="D42" s="79"/>
      <c r="E42" s="79"/>
      <c r="F42" s="79"/>
      <c r="G42" s="79"/>
      <c r="H42" s="79"/>
      <c r="I42" s="79"/>
      <c r="J42" s="79"/>
      <c r="K42" s="79" t="s">
        <v>112</v>
      </c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 t="s">
        <v>289</v>
      </c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80" t="s">
        <v>44</v>
      </c>
      <c r="AP42" s="80"/>
      <c r="AQ42" s="80"/>
      <c r="AR42" s="80" t="s">
        <v>44</v>
      </c>
      <c r="AS42" s="80"/>
      <c r="AT42" s="80"/>
      <c r="AU42" s="80" t="s">
        <v>44</v>
      </c>
      <c r="AV42" s="80"/>
      <c r="AW42" s="80"/>
      <c r="AX42" s="80" t="s">
        <v>44</v>
      </c>
      <c r="AY42" s="80"/>
      <c r="AZ42" s="80"/>
      <c r="BA42" s="80" t="s">
        <v>40</v>
      </c>
      <c r="BB42" s="80"/>
      <c r="BC42" s="80"/>
      <c r="BD42" s="34"/>
      <c r="BE42" s="34"/>
      <c r="BF42" s="34"/>
      <c r="BG42" s="34"/>
      <c r="BH42" s="34"/>
      <c r="BI42" s="34"/>
      <c r="BJ42" s="34"/>
      <c r="BK42" s="34"/>
      <c r="BL42" s="35"/>
    </row>
    <row r="43" spans="1:64" s="33" customFormat="1" ht="13.2" x14ac:dyDescent="0.15">
      <c r="A43" s="78">
        <f t="shared" si="1"/>
        <v>37</v>
      </c>
      <c r="B43" s="78"/>
      <c r="C43" s="79" t="s">
        <v>110</v>
      </c>
      <c r="D43" s="79"/>
      <c r="E43" s="79"/>
      <c r="F43" s="79"/>
      <c r="G43" s="79"/>
      <c r="H43" s="79"/>
      <c r="I43" s="79"/>
      <c r="J43" s="79"/>
      <c r="K43" s="79" t="s">
        <v>290</v>
      </c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 t="s">
        <v>291</v>
      </c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80" t="s">
        <v>44</v>
      </c>
      <c r="AP43" s="80"/>
      <c r="AQ43" s="80"/>
      <c r="AR43" s="80" t="s">
        <v>44</v>
      </c>
      <c r="AS43" s="80"/>
      <c r="AT43" s="80"/>
      <c r="AU43" s="80" t="s">
        <v>44</v>
      </c>
      <c r="AV43" s="80"/>
      <c r="AW43" s="80"/>
      <c r="AX43" s="80" t="s">
        <v>44</v>
      </c>
      <c r="AY43" s="80"/>
      <c r="AZ43" s="80"/>
      <c r="BA43" s="80" t="s">
        <v>40</v>
      </c>
      <c r="BB43" s="80"/>
      <c r="BC43" s="80"/>
      <c r="BD43" s="34"/>
      <c r="BE43" s="34"/>
      <c r="BF43" s="34"/>
      <c r="BG43" s="34"/>
      <c r="BH43" s="34"/>
      <c r="BI43" s="34"/>
      <c r="BJ43" s="34"/>
      <c r="BK43" s="34"/>
      <c r="BL43" s="35"/>
    </row>
    <row r="44" spans="1:64" s="33" customFormat="1" ht="13.2" x14ac:dyDescent="0.15">
      <c r="A44" s="78">
        <f t="shared" si="1"/>
        <v>38</v>
      </c>
      <c r="B44" s="78"/>
      <c r="C44" s="79" t="s">
        <v>110</v>
      </c>
      <c r="D44" s="79"/>
      <c r="E44" s="79"/>
      <c r="F44" s="79"/>
      <c r="G44" s="79"/>
      <c r="H44" s="79"/>
      <c r="I44" s="79"/>
      <c r="J44" s="79"/>
      <c r="K44" s="79" t="s">
        <v>113</v>
      </c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 t="s">
        <v>114</v>
      </c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80" t="s">
        <v>44</v>
      </c>
      <c r="AP44" s="80"/>
      <c r="AQ44" s="80"/>
      <c r="AR44" s="80" t="s">
        <v>44</v>
      </c>
      <c r="AS44" s="80"/>
      <c r="AT44" s="80"/>
      <c r="AU44" s="80" t="s">
        <v>44</v>
      </c>
      <c r="AV44" s="80"/>
      <c r="AW44" s="80"/>
      <c r="AX44" s="80" t="s">
        <v>44</v>
      </c>
      <c r="AY44" s="80"/>
      <c r="AZ44" s="80"/>
      <c r="BA44" s="80" t="s">
        <v>40</v>
      </c>
      <c r="BB44" s="80"/>
      <c r="BC44" s="80"/>
      <c r="BD44" s="34"/>
      <c r="BE44" s="34"/>
      <c r="BF44" s="34"/>
      <c r="BG44" s="34"/>
      <c r="BH44" s="34"/>
      <c r="BI44" s="34"/>
      <c r="BJ44" s="34"/>
      <c r="BK44" s="34"/>
      <c r="BL44" s="35"/>
    </row>
    <row r="45" spans="1:64" s="33" customFormat="1" ht="13.2" x14ac:dyDescent="0.15">
      <c r="A45" s="78">
        <f t="shared" si="1"/>
        <v>39</v>
      </c>
      <c r="B45" s="78"/>
      <c r="C45" s="79" t="s">
        <v>115</v>
      </c>
      <c r="D45" s="79"/>
      <c r="E45" s="79"/>
      <c r="F45" s="79"/>
      <c r="G45" s="79"/>
      <c r="H45" s="79"/>
      <c r="I45" s="79"/>
      <c r="J45" s="79"/>
      <c r="K45" s="79" t="s">
        <v>116</v>
      </c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 t="s">
        <v>117</v>
      </c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80" t="s">
        <v>40</v>
      </c>
      <c r="AP45" s="80"/>
      <c r="AQ45" s="80"/>
      <c r="AR45" s="80" t="s">
        <v>40</v>
      </c>
      <c r="AS45" s="80"/>
      <c r="AT45" s="80"/>
      <c r="AU45" s="80" t="s">
        <v>40</v>
      </c>
      <c r="AV45" s="80"/>
      <c r="AW45" s="80"/>
      <c r="AX45" s="80" t="s">
        <v>40</v>
      </c>
      <c r="AY45" s="80"/>
      <c r="AZ45" s="80"/>
      <c r="BA45" s="80" t="s">
        <v>44</v>
      </c>
      <c r="BB45" s="80"/>
      <c r="BC45" s="80"/>
      <c r="BD45" s="34"/>
      <c r="BE45" s="34"/>
      <c r="BF45" s="34"/>
      <c r="BG45" s="34"/>
      <c r="BH45" s="34"/>
      <c r="BI45" s="34"/>
      <c r="BJ45" s="34"/>
      <c r="BK45" s="34"/>
      <c r="BL45" s="35"/>
    </row>
    <row r="46" spans="1:64" s="33" customFormat="1" ht="13.2" x14ac:dyDescent="0.15">
      <c r="A46" s="78">
        <f t="shared" si="1"/>
        <v>40</v>
      </c>
      <c r="B46" s="78"/>
      <c r="C46" s="79" t="s">
        <v>115</v>
      </c>
      <c r="D46" s="79"/>
      <c r="E46" s="79"/>
      <c r="F46" s="79"/>
      <c r="G46" s="79"/>
      <c r="H46" s="79"/>
      <c r="I46" s="79"/>
      <c r="J46" s="79"/>
      <c r="K46" s="79" t="s">
        <v>118</v>
      </c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 t="s">
        <v>119</v>
      </c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80" t="s">
        <v>40</v>
      </c>
      <c r="AP46" s="80"/>
      <c r="AQ46" s="80"/>
      <c r="AR46" s="80" t="s">
        <v>40</v>
      </c>
      <c r="AS46" s="80"/>
      <c r="AT46" s="80"/>
      <c r="AU46" s="80" t="s">
        <v>40</v>
      </c>
      <c r="AV46" s="80"/>
      <c r="AW46" s="80"/>
      <c r="AX46" s="80" t="s">
        <v>40</v>
      </c>
      <c r="AY46" s="80"/>
      <c r="AZ46" s="80"/>
      <c r="BA46" s="80" t="s">
        <v>40</v>
      </c>
      <c r="BB46" s="80"/>
      <c r="BC46" s="80"/>
      <c r="BD46" s="34"/>
      <c r="BE46" s="34"/>
      <c r="BF46" s="34"/>
      <c r="BG46" s="34"/>
      <c r="BH46" s="34"/>
      <c r="BI46" s="34"/>
      <c r="BJ46" s="34"/>
      <c r="BK46" s="34"/>
      <c r="BL46" s="35"/>
    </row>
    <row r="47" spans="1:64" s="33" customFormat="1" ht="13.2" x14ac:dyDescent="0.15">
      <c r="A47" s="78">
        <f t="shared" si="1"/>
        <v>41</v>
      </c>
      <c r="B47" s="78"/>
      <c r="C47" s="79" t="s">
        <v>115</v>
      </c>
      <c r="D47" s="79"/>
      <c r="E47" s="79"/>
      <c r="F47" s="79"/>
      <c r="G47" s="79"/>
      <c r="H47" s="79"/>
      <c r="I47" s="79"/>
      <c r="J47" s="79"/>
      <c r="K47" s="79" t="s">
        <v>120</v>
      </c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 t="s">
        <v>121</v>
      </c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80" t="s">
        <v>44</v>
      </c>
      <c r="AP47" s="80"/>
      <c r="AQ47" s="80"/>
      <c r="AR47" s="80" t="s">
        <v>40</v>
      </c>
      <c r="AS47" s="80"/>
      <c r="AT47" s="80"/>
      <c r="AU47" s="80" t="s">
        <v>40</v>
      </c>
      <c r="AV47" s="80"/>
      <c r="AW47" s="80"/>
      <c r="AX47" s="80" t="s">
        <v>40</v>
      </c>
      <c r="AY47" s="80"/>
      <c r="AZ47" s="80"/>
      <c r="BA47" s="80" t="s">
        <v>40</v>
      </c>
      <c r="BB47" s="80"/>
      <c r="BC47" s="80"/>
      <c r="BD47" s="34"/>
      <c r="BE47" s="34"/>
      <c r="BF47" s="34"/>
      <c r="BG47" s="34"/>
      <c r="BH47" s="34"/>
      <c r="BI47" s="34"/>
      <c r="BJ47" s="34"/>
      <c r="BK47" s="34"/>
      <c r="BL47" s="35"/>
    </row>
    <row r="48" spans="1:64" x14ac:dyDescent="0.4">
      <c r="A48" s="78">
        <f t="shared" si="1"/>
        <v>42</v>
      </c>
      <c r="B48" s="78"/>
      <c r="C48" s="79" t="s">
        <v>115</v>
      </c>
      <c r="D48" s="79"/>
      <c r="E48" s="79"/>
      <c r="F48" s="79"/>
      <c r="G48" s="79"/>
      <c r="H48" s="79"/>
      <c r="I48" s="79"/>
      <c r="J48" s="79"/>
      <c r="K48" s="79" t="s">
        <v>122</v>
      </c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 t="s">
        <v>123</v>
      </c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80" t="s">
        <v>44</v>
      </c>
      <c r="AP48" s="80"/>
      <c r="AQ48" s="80"/>
      <c r="AR48" s="80" t="s">
        <v>44</v>
      </c>
      <c r="AS48" s="80"/>
      <c r="AT48" s="80"/>
      <c r="AU48" s="80" t="s">
        <v>40</v>
      </c>
      <c r="AV48" s="80"/>
      <c r="AW48" s="80"/>
      <c r="AX48" s="80" t="s">
        <v>44</v>
      </c>
      <c r="AY48" s="80"/>
      <c r="AZ48" s="80"/>
      <c r="BA48" s="80" t="s">
        <v>44</v>
      </c>
      <c r="BB48" s="80"/>
      <c r="BC48" s="80"/>
      <c r="BD48" s="34"/>
      <c r="BE48" s="34"/>
      <c r="BF48" s="34"/>
      <c r="BG48" s="34"/>
      <c r="BH48" s="34"/>
      <c r="BI48" s="34"/>
      <c r="BJ48" s="34"/>
      <c r="BK48" s="34"/>
      <c r="BL48" s="35"/>
    </row>
    <row r="49" spans="1:64" x14ac:dyDescent="0.4">
      <c r="A49" s="78">
        <f t="shared" si="1"/>
        <v>43</v>
      </c>
      <c r="B49" s="78"/>
      <c r="C49" s="79" t="s">
        <v>115</v>
      </c>
      <c r="D49" s="79"/>
      <c r="E49" s="79"/>
      <c r="F49" s="79"/>
      <c r="G49" s="79"/>
      <c r="H49" s="79"/>
      <c r="I49" s="79"/>
      <c r="J49" s="79"/>
      <c r="K49" s="79" t="s">
        <v>124</v>
      </c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 t="s">
        <v>125</v>
      </c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80" t="s">
        <v>44</v>
      </c>
      <c r="AP49" s="80"/>
      <c r="AQ49" s="80"/>
      <c r="AR49" s="80" t="s">
        <v>44</v>
      </c>
      <c r="AS49" s="80"/>
      <c r="AT49" s="80"/>
      <c r="AU49" s="80" t="s">
        <v>40</v>
      </c>
      <c r="AV49" s="80"/>
      <c r="AW49" s="80"/>
      <c r="AX49" s="80" t="s">
        <v>44</v>
      </c>
      <c r="AY49" s="80"/>
      <c r="AZ49" s="80"/>
      <c r="BA49" s="80" t="s">
        <v>44</v>
      </c>
      <c r="BB49" s="80"/>
      <c r="BC49" s="80"/>
      <c r="BD49" s="34"/>
      <c r="BE49" s="34"/>
      <c r="BF49" s="34"/>
      <c r="BG49" s="34"/>
      <c r="BH49" s="34"/>
      <c r="BI49" s="34"/>
      <c r="BJ49" s="34"/>
      <c r="BK49" s="34"/>
      <c r="BL49" s="35"/>
    </row>
    <row r="50" spans="1:64" s="33" customFormat="1" ht="13.2" x14ac:dyDescent="0.15">
      <c r="A50" s="78">
        <f t="shared" si="1"/>
        <v>44</v>
      </c>
      <c r="B50" s="78"/>
      <c r="C50" s="79" t="s">
        <v>115</v>
      </c>
      <c r="D50" s="79"/>
      <c r="E50" s="79"/>
      <c r="F50" s="79"/>
      <c r="G50" s="79"/>
      <c r="H50" s="79"/>
      <c r="I50" s="79"/>
      <c r="J50" s="79"/>
      <c r="K50" s="79" t="s">
        <v>126</v>
      </c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 t="s">
        <v>127</v>
      </c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80" t="s">
        <v>44</v>
      </c>
      <c r="AP50" s="80"/>
      <c r="AQ50" s="80"/>
      <c r="AR50" s="80" t="s">
        <v>40</v>
      </c>
      <c r="AS50" s="80"/>
      <c r="AT50" s="80"/>
      <c r="AU50" s="80" t="s">
        <v>40</v>
      </c>
      <c r="AV50" s="80"/>
      <c r="AW50" s="80"/>
      <c r="AX50" s="80" t="s">
        <v>40</v>
      </c>
      <c r="AY50" s="80"/>
      <c r="AZ50" s="80"/>
      <c r="BA50" s="80" t="s">
        <v>44</v>
      </c>
      <c r="BB50" s="80"/>
      <c r="BC50" s="80"/>
      <c r="BD50" s="34"/>
      <c r="BE50" s="34"/>
      <c r="BF50" s="34"/>
      <c r="BG50" s="34"/>
      <c r="BH50" s="34"/>
      <c r="BI50" s="34"/>
      <c r="BJ50" s="34"/>
      <c r="BK50" s="34"/>
      <c r="BL50" s="35"/>
    </row>
    <row r="51" spans="1:64" s="33" customFormat="1" ht="13.2" x14ac:dyDescent="0.15">
      <c r="A51" s="78">
        <f t="shared" si="1"/>
        <v>45</v>
      </c>
      <c r="B51" s="78"/>
      <c r="C51" s="79" t="s">
        <v>115</v>
      </c>
      <c r="D51" s="79"/>
      <c r="E51" s="79"/>
      <c r="F51" s="79"/>
      <c r="G51" s="79"/>
      <c r="H51" s="79"/>
      <c r="I51" s="79"/>
      <c r="J51" s="79"/>
      <c r="K51" s="79" t="s">
        <v>129</v>
      </c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 t="s">
        <v>130</v>
      </c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80" t="s">
        <v>44</v>
      </c>
      <c r="AP51" s="80"/>
      <c r="AQ51" s="80"/>
      <c r="AR51" s="80" t="s">
        <v>44</v>
      </c>
      <c r="AS51" s="80"/>
      <c r="AT51" s="80"/>
      <c r="AU51" s="80" t="s">
        <v>40</v>
      </c>
      <c r="AV51" s="80"/>
      <c r="AW51" s="80"/>
      <c r="AX51" s="80" t="s">
        <v>40</v>
      </c>
      <c r="AY51" s="80"/>
      <c r="AZ51" s="80"/>
      <c r="BA51" s="80" t="s">
        <v>40</v>
      </c>
      <c r="BB51" s="80"/>
      <c r="BC51" s="80"/>
      <c r="BD51" s="34"/>
      <c r="BE51" s="34"/>
      <c r="BF51" s="34"/>
      <c r="BG51" s="34"/>
      <c r="BH51" s="34"/>
      <c r="BI51" s="34"/>
      <c r="BJ51" s="34"/>
      <c r="BK51" s="34"/>
      <c r="BL51" s="35"/>
    </row>
    <row r="52" spans="1:64" s="33" customFormat="1" ht="13.2" x14ac:dyDescent="0.15">
      <c r="A52" s="78">
        <f t="shared" si="1"/>
        <v>46</v>
      </c>
      <c r="B52" s="78"/>
      <c r="C52" s="79" t="s">
        <v>133</v>
      </c>
      <c r="D52" s="79"/>
      <c r="E52" s="79"/>
      <c r="F52" s="79"/>
      <c r="G52" s="79"/>
      <c r="H52" s="79"/>
      <c r="I52" s="79"/>
      <c r="J52" s="79"/>
      <c r="K52" s="79" t="s">
        <v>133</v>
      </c>
      <c r="L52" s="79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 t="s">
        <v>134</v>
      </c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80" t="s">
        <v>40</v>
      </c>
      <c r="AP52" s="80"/>
      <c r="AQ52" s="80"/>
      <c r="AR52" s="80" t="s">
        <v>40</v>
      </c>
      <c r="AS52" s="80"/>
      <c r="AT52" s="80"/>
      <c r="AU52" s="80" t="s">
        <v>40</v>
      </c>
      <c r="AV52" s="80"/>
      <c r="AW52" s="80"/>
      <c r="AX52" s="80" t="s">
        <v>40</v>
      </c>
      <c r="AY52" s="80"/>
      <c r="AZ52" s="80"/>
      <c r="BA52" s="80" t="s">
        <v>40</v>
      </c>
      <c r="BB52" s="80"/>
      <c r="BC52" s="80"/>
      <c r="BD52" s="34"/>
      <c r="BE52" s="34"/>
      <c r="BF52" s="34"/>
      <c r="BG52" s="34"/>
      <c r="BH52" s="34"/>
      <c r="BI52" s="34"/>
      <c r="BJ52" s="34"/>
      <c r="BK52" s="34"/>
      <c r="BL52" s="35"/>
    </row>
    <row r="53" spans="1:64" s="33" customFormat="1" ht="13.2" x14ac:dyDescent="0.15">
      <c r="A53" s="78">
        <f t="shared" si="1"/>
        <v>47</v>
      </c>
      <c r="B53" s="78"/>
      <c r="C53" s="79" t="s">
        <v>135</v>
      </c>
      <c r="D53" s="79"/>
      <c r="E53" s="79"/>
      <c r="F53" s="79"/>
      <c r="G53" s="79"/>
      <c r="H53" s="79"/>
      <c r="I53" s="79"/>
      <c r="J53" s="79"/>
      <c r="K53" s="79" t="s">
        <v>136</v>
      </c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 t="s">
        <v>137</v>
      </c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80" t="s">
        <v>44</v>
      </c>
      <c r="AP53" s="80"/>
      <c r="AQ53" s="80"/>
      <c r="AR53" s="80" t="s">
        <v>40</v>
      </c>
      <c r="AS53" s="80"/>
      <c r="AT53" s="80"/>
      <c r="AU53" s="80" t="s">
        <v>40</v>
      </c>
      <c r="AV53" s="80"/>
      <c r="AW53" s="80"/>
      <c r="AX53" s="80" t="s">
        <v>40</v>
      </c>
      <c r="AY53" s="80"/>
      <c r="AZ53" s="80"/>
      <c r="BA53" s="80" t="s">
        <v>40</v>
      </c>
      <c r="BB53" s="80"/>
      <c r="BC53" s="80"/>
      <c r="BD53" s="34"/>
      <c r="BE53" s="34"/>
      <c r="BF53" s="34"/>
      <c r="BG53" s="34"/>
      <c r="BH53" s="34"/>
      <c r="BI53" s="34"/>
      <c r="BJ53" s="34"/>
      <c r="BK53" s="34"/>
      <c r="BL53" s="35"/>
    </row>
    <row r="54" spans="1:64" s="33" customFormat="1" ht="13.2" x14ac:dyDescent="0.15">
      <c r="A54" s="78">
        <f t="shared" si="1"/>
        <v>48</v>
      </c>
      <c r="B54" s="78"/>
      <c r="C54" s="79" t="s">
        <v>135</v>
      </c>
      <c r="D54" s="79"/>
      <c r="E54" s="79"/>
      <c r="F54" s="79"/>
      <c r="G54" s="79"/>
      <c r="H54" s="79"/>
      <c r="I54" s="79"/>
      <c r="J54" s="79"/>
      <c r="K54" s="79" t="s">
        <v>138</v>
      </c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 t="s">
        <v>139</v>
      </c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80" t="s">
        <v>44</v>
      </c>
      <c r="AP54" s="80"/>
      <c r="AQ54" s="80"/>
      <c r="AR54" s="80" t="s">
        <v>40</v>
      </c>
      <c r="AS54" s="80"/>
      <c r="AT54" s="80"/>
      <c r="AU54" s="80" t="s">
        <v>40</v>
      </c>
      <c r="AV54" s="80"/>
      <c r="AW54" s="80"/>
      <c r="AX54" s="80" t="s">
        <v>40</v>
      </c>
      <c r="AY54" s="80"/>
      <c r="AZ54" s="80"/>
      <c r="BA54" s="80" t="s">
        <v>40</v>
      </c>
      <c r="BB54" s="80"/>
      <c r="BC54" s="80"/>
      <c r="BD54" s="34"/>
      <c r="BE54" s="34"/>
      <c r="BF54" s="34"/>
      <c r="BG54" s="34"/>
      <c r="BH54" s="34"/>
      <c r="BI54" s="34"/>
      <c r="BJ54" s="34"/>
      <c r="BK54" s="34"/>
      <c r="BL54" s="35"/>
    </row>
    <row r="55" spans="1:64" s="33" customFormat="1" ht="13.2" x14ac:dyDescent="0.15">
      <c r="A55" s="78">
        <f t="shared" si="1"/>
        <v>49</v>
      </c>
      <c r="B55" s="78"/>
      <c r="C55" s="79" t="s">
        <v>135</v>
      </c>
      <c r="D55" s="79"/>
      <c r="E55" s="79"/>
      <c r="F55" s="79"/>
      <c r="G55" s="79"/>
      <c r="H55" s="79"/>
      <c r="I55" s="79"/>
      <c r="J55" s="79"/>
      <c r="K55" s="79" t="s">
        <v>140</v>
      </c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 t="s">
        <v>141</v>
      </c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80" t="s">
        <v>44</v>
      </c>
      <c r="AP55" s="80"/>
      <c r="AQ55" s="80"/>
      <c r="AR55" s="80" t="s">
        <v>44</v>
      </c>
      <c r="AS55" s="80"/>
      <c r="AT55" s="80"/>
      <c r="AU55" s="80" t="s">
        <v>40</v>
      </c>
      <c r="AV55" s="80"/>
      <c r="AW55" s="80"/>
      <c r="AX55" s="80" t="s">
        <v>40</v>
      </c>
      <c r="AY55" s="80"/>
      <c r="AZ55" s="80"/>
      <c r="BA55" s="80" t="s">
        <v>40</v>
      </c>
      <c r="BB55" s="80"/>
      <c r="BC55" s="80"/>
      <c r="BD55" s="34"/>
      <c r="BE55" s="34"/>
      <c r="BF55" s="34"/>
      <c r="BG55" s="34"/>
      <c r="BH55" s="34"/>
      <c r="BI55" s="34"/>
      <c r="BJ55" s="34"/>
      <c r="BK55" s="34"/>
      <c r="BL55" s="35"/>
    </row>
    <row r="56" spans="1:64" s="33" customFormat="1" ht="13.2" x14ac:dyDescent="0.15">
      <c r="A56" s="78">
        <f t="shared" si="1"/>
        <v>50</v>
      </c>
      <c r="B56" s="78"/>
      <c r="C56" s="79" t="s">
        <v>135</v>
      </c>
      <c r="D56" s="79"/>
      <c r="E56" s="79"/>
      <c r="F56" s="79"/>
      <c r="G56" s="79"/>
      <c r="H56" s="79"/>
      <c r="I56" s="79"/>
      <c r="J56" s="79"/>
      <c r="K56" s="79" t="s">
        <v>253</v>
      </c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 t="s">
        <v>259</v>
      </c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80" t="s">
        <v>44</v>
      </c>
      <c r="AP56" s="80"/>
      <c r="AQ56" s="80"/>
      <c r="AR56" s="80" t="s">
        <v>44</v>
      </c>
      <c r="AS56" s="80"/>
      <c r="AT56" s="80"/>
      <c r="AU56" s="80" t="s">
        <v>44</v>
      </c>
      <c r="AV56" s="80"/>
      <c r="AW56" s="80"/>
      <c r="AX56" s="80" t="s">
        <v>44</v>
      </c>
      <c r="AY56" s="80"/>
      <c r="AZ56" s="80"/>
      <c r="BA56" s="80" t="s">
        <v>40</v>
      </c>
      <c r="BB56" s="80"/>
      <c r="BC56" s="80"/>
      <c r="BD56" s="34"/>
      <c r="BE56" s="34"/>
      <c r="BF56" s="34"/>
      <c r="BG56" s="34"/>
      <c r="BH56" s="34"/>
      <c r="BI56" s="34"/>
      <c r="BJ56" s="34"/>
      <c r="BK56" s="34"/>
      <c r="BL56" s="35"/>
    </row>
    <row r="57" spans="1:64" s="33" customFormat="1" ht="13.2" x14ac:dyDescent="0.15">
      <c r="A57" s="78">
        <f t="shared" si="1"/>
        <v>51</v>
      </c>
      <c r="B57" s="78"/>
      <c r="C57" s="79" t="s">
        <v>135</v>
      </c>
      <c r="D57" s="79"/>
      <c r="E57" s="79"/>
      <c r="F57" s="79"/>
      <c r="G57" s="79"/>
      <c r="H57" s="79"/>
      <c r="I57" s="79"/>
      <c r="J57" s="79"/>
      <c r="K57" s="79" t="s">
        <v>254</v>
      </c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 t="s">
        <v>260</v>
      </c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80" t="s">
        <v>44</v>
      </c>
      <c r="AP57" s="80"/>
      <c r="AQ57" s="80"/>
      <c r="AR57" s="80" t="s">
        <v>44</v>
      </c>
      <c r="AS57" s="80"/>
      <c r="AT57" s="80"/>
      <c r="AU57" s="80" t="s">
        <v>44</v>
      </c>
      <c r="AV57" s="80"/>
      <c r="AW57" s="80"/>
      <c r="AX57" s="80" t="s">
        <v>44</v>
      </c>
      <c r="AY57" s="80"/>
      <c r="AZ57" s="80"/>
      <c r="BA57" s="80" t="s">
        <v>40</v>
      </c>
      <c r="BB57" s="80"/>
      <c r="BC57" s="80"/>
      <c r="BD57" s="34"/>
      <c r="BE57" s="34"/>
      <c r="BF57" s="34"/>
      <c r="BG57" s="34"/>
      <c r="BH57" s="34"/>
      <c r="BI57" s="34"/>
      <c r="BJ57" s="34"/>
      <c r="BK57" s="34"/>
      <c r="BL57" s="35"/>
    </row>
    <row r="58" spans="1:64" s="33" customFormat="1" ht="13.2" x14ac:dyDescent="0.15">
      <c r="A58" s="78">
        <f t="shared" si="1"/>
        <v>52</v>
      </c>
      <c r="B58" s="78"/>
      <c r="C58" s="79" t="s">
        <v>135</v>
      </c>
      <c r="D58" s="79"/>
      <c r="E58" s="79"/>
      <c r="F58" s="79"/>
      <c r="G58" s="79"/>
      <c r="H58" s="79"/>
      <c r="I58" s="79"/>
      <c r="J58" s="79"/>
      <c r="K58" s="79" t="s">
        <v>255</v>
      </c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 t="s">
        <v>258</v>
      </c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80" t="s">
        <v>44</v>
      </c>
      <c r="AP58" s="80"/>
      <c r="AQ58" s="80"/>
      <c r="AR58" s="80" t="s">
        <v>44</v>
      </c>
      <c r="AS58" s="80"/>
      <c r="AT58" s="80"/>
      <c r="AU58" s="80" t="s">
        <v>44</v>
      </c>
      <c r="AV58" s="80"/>
      <c r="AW58" s="80"/>
      <c r="AX58" s="80" t="s">
        <v>44</v>
      </c>
      <c r="AY58" s="80"/>
      <c r="AZ58" s="80"/>
      <c r="BA58" s="80" t="s">
        <v>40</v>
      </c>
      <c r="BB58" s="80"/>
      <c r="BC58" s="80"/>
      <c r="BD58" s="34"/>
      <c r="BE58" s="34"/>
      <c r="BF58" s="34"/>
      <c r="BG58" s="34"/>
      <c r="BH58" s="34"/>
      <c r="BI58" s="34"/>
      <c r="BJ58" s="34"/>
      <c r="BK58" s="34"/>
      <c r="BL58" s="35"/>
    </row>
    <row r="59" spans="1:64" s="33" customFormat="1" ht="13.2" x14ac:dyDescent="0.15">
      <c r="A59" s="78">
        <f t="shared" si="1"/>
        <v>53</v>
      </c>
      <c r="B59" s="78"/>
      <c r="C59" s="79" t="s">
        <v>135</v>
      </c>
      <c r="D59" s="79"/>
      <c r="E59" s="79"/>
      <c r="F59" s="79"/>
      <c r="G59" s="79"/>
      <c r="H59" s="79"/>
      <c r="I59" s="79"/>
      <c r="J59" s="79"/>
      <c r="K59" s="79" t="s">
        <v>256</v>
      </c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 t="s">
        <v>257</v>
      </c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80" t="s">
        <v>44</v>
      </c>
      <c r="AP59" s="80"/>
      <c r="AQ59" s="80"/>
      <c r="AR59" s="80" t="s">
        <v>44</v>
      </c>
      <c r="AS59" s="80"/>
      <c r="AT59" s="80"/>
      <c r="AU59" s="80" t="s">
        <v>44</v>
      </c>
      <c r="AV59" s="80"/>
      <c r="AW59" s="80"/>
      <c r="AX59" s="80" t="s">
        <v>44</v>
      </c>
      <c r="AY59" s="80"/>
      <c r="AZ59" s="80"/>
      <c r="BA59" s="80" t="s">
        <v>40</v>
      </c>
      <c r="BB59" s="80"/>
      <c r="BC59" s="80"/>
      <c r="BD59" s="34"/>
      <c r="BE59" s="34"/>
      <c r="BF59" s="34"/>
      <c r="BG59" s="34"/>
      <c r="BH59" s="34"/>
      <c r="BI59" s="34"/>
      <c r="BJ59" s="34"/>
      <c r="BK59" s="34"/>
      <c r="BL59" s="35"/>
    </row>
    <row r="60" spans="1:64" s="33" customFormat="1" ht="13.2" x14ac:dyDescent="0.15">
      <c r="A60" s="78">
        <f t="shared" si="1"/>
        <v>54</v>
      </c>
      <c r="B60" s="78"/>
      <c r="C60" s="79" t="s">
        <v>142</v>
      </c>
      <c r="D60" s="79"/>
      <c r="E60" s="79"/>
      <c r="F60" s="79"/>
      <c r="G60" s="79"/>
      <c r="H60" s="79"/>
      <c r="I60" s="79"/>
      <c r="J60" s="79"/>
      <c r="K60" s="79" t="s">
        <v>143</v>
      </c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 t="s">
        <v>144</v>
      </c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80" t="s">
        <v>40</v>
      </c>
      <c r="AP60" s="80"/>
      <c r="AQ60" s="80"/>
      <c r="AR60" s="80" t="s">
        <v>44</v>
      </c>
      <c r="AS60" s="80"/>
      <c r="AT60" s="80"/>
      <c r="AU60" s="80" t="s">
        <v>44</v>
      </c>
      <c r="AV60" s="80"/>
      <c r="AW60" s="80"/>
      <c r="AX60" s="80" t="s">
        <v>44</v>
      </c>
      <c r="AY60" s="80"/>
      <c r="AZ60" s="80"/>
      <c r="BA60" s="80" t="s">
        <v>40</v>
      </c>
      <c r="BB60" s="80"/>
      <c r="BC60" s="80"/>
      <c r="BD60" s="34"/>
      <c r="BE60" s="34"/>
      <c r="BF60" s="34"/>
      <c r="BG60" s="34"/>
      <c r="BH60" s="34"/>
      <c r="BI60" s="34"/>
      <c r="BJ60" s="34"/>
      <c r="BK60" s="34"/>
      <c r="BL60" s="35"/>
    </row>
    <row r="61" spans="1:64" s="33" customFormat="1" ht="13.2" x14ac:dyDescent="0.15">
      <c r="A61" s="78">
        <f t="shared" si="1"/>
        <v>55</v>
      </c>
      <c r="B61" s="78"/>
      <c r="C61" s="79" t="s">
        <v>145</v>
      </c>
      <c r="D61" s="79"/>
      <c r="E61" s="79"/>
      <c r="F61" s="79"/>
      <c r="G61" s="79"/>
      <c r="H61" s="79"/>
      <c r="I61" s="79"/>
      <c r="J61" s="79"/>
      <c r="K61" s="79" t="s">
        <v>146</v>
      </c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 t="s">
        <v>147</v>
      </c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80" t="s">
        <v>44</v>
      </c>
      <c r="AP61" s="80"/>
      <c r="AQ61" s="80"/>
      <c r="AR61" s="80" t="s">
        <v>40</v>
      </c>
      <c r="AS61" s="80"/>
      <c r="AT61" s="80"/>
      <c r="AU61" s="80" t="s">
        <v>44</v>
      </c>
      <c r="AV61" s="80"/>
      <c r="AW61" s="80"/>
      <c r="AX61" s="80" t="s">
        <v>44</v>
      </c>
      <c r="AY61" s="80"/>
      <c r="AZ61" s="80"/>
      <c r="BA61" s="80" t="s">
        <v>40</v>
      </c>
      <c r="BB61" s="80"/>
      <c r="BC61" s="80"/>
      <c r="BD61" s="34"/>
      <c r="BE61" s="34"/>
      <c r="BF61" s="34"/>
      <c r="BG61" s="34"/>
      <c r="BH61" s="34"/>
      <c r="BI61" s="34"/>
      <c r="BJ61" s="34"/>
      <c r="BK61" s="34"/>
      <c r="BL61" s="35"/>
    </row>
    <row r="62" spans="1:64" s="33" customFormat="1" ht="13.2" x14ac:dyDescent="0.15">
      <c r="A62" s="78">
        <f t="shared" si="1"/>
        <v>56</v>
      </c>
      <c r="B62" s="78"/>
      <c r="C62" s="79" t="s">
        <v>145</v>
      </c>
      <c r="D62" s="79"/>
      <c r="E62" s="79"/>
      <c r="F62" s="79"/>
      <c r="G62" s="79"/>
      <c r="H62" s="79"/>
      <c r="I62" s="79"/>
      <c r="J62" s="79"/>
      <c r="K62" s="79" t="s">
        <v>148</v>
      </c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 t="s">
        <v>149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80" t="s">
        <v>40</v>
      </c>
      <c r="AP62" s="80"/>
      <c r="AQ62" s="80"/>
      <c r="AR62" s="80" t="s">
        <v>44</v>
      </c>
      <c r="AS62" s="80"/>
      <c r="AT62" s="80"/>
      <c r="AU62" s="80" t="s">
        <v>40</v>
      </c>
      <c r="AV62" s="80"/>
      <c r="AW62" s="80"/>
      <c r="AX62" s="80" t="s">
        <v>40</v>
      </c>
      <c r="AY62" s="80"/>
      <c r="AZ62" s="80"/>
      <c r="BA62" s="80" t="s">
        <v>44</v>
      </c>
      <c r="BB62" s="80"/>
      <c r="BC62" s="80"/>
      <c r="BD62" s="34"/>
      <c r="BE62" s="34"/>
      <c r="BF62" s="34"/>
      <c r="BG62" s="34"/>
      <c r="BH62" s="34"/>
      <c r="BI62" s="34"/>
      <c r="BJ62" s="34"/>
      <c r="BK62" s="34"/>
      <c r="BL62" s="35"/>
    </row>
    <row r="63" spans="1:64" x14ac:dyDescent="0.4">
      <c r="A63" s="78">
        <f t="shared" si="1"/>
        <v>57</v>
      </c>
      <c r="B63" s="78"/>
      <c r="C63" s="79" t="s">
        <v>145</v>
      </c>
      <c r="D63" s="79"/>
      <c r="E63" s="79"/>
      <c r="F63" s="79"/>
      <c r="G63" s="79"/>
      <c r="H63" s="79"/>
      <c r="I63" s="79"/>
      <c r="J63" s="79"/>
      <c r="K63" s="79" t="s">
        <v>150</v>
      </c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 t="s">
        <v>151</v>
      </c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80" t="s">
        <v>44</v>
      </c>
      <c r="AP63" s="80"/>
      <c r="AQ63" s="80"/>
      <c r="AR63" s="80" t="s">
        <v>40</v>
      </c>
      <c r="AS63" s="80"/>
      <c r="AT63" s="80"/>
      <c r="AU63" s="80" t="s">
        <v>44</v>
      </c>
      <c r="AV63" s="80"/>
      <c r="AW63" s="80"/>
      <c r="AX63" s="80" t="s">
        <v>44</v>
      </c>
      <c r="AY63" s="80"/>
      <c r="AZ63" s="80"/>
      <c r="BA63" s="80" t="s">
        <v>44</v>
      </c>
      <c r="BB63" s="80"/>
      <c r="BC63" s="80"/>
      <c r="BD63" s="34"/>
      <c r="BE63" s="34"/>
      <c r="BF63" s="34"/>
      <c r="BG63" s="34"/>
      <c r="BH63" s="34"/>
      <c r="BI63" s="34"/>
      <c r="BJ63" s="34"/>
      <c r="BK63" s="34"/>
      <c r="BL63" s="35"/>
    </row>
    <row r="64" spans="1:64" s="33" customFormat="1" ht="13.2" x14ac:dyDescent="0.15">
      <c r="A64" s="78">
        <f t="shared" si="1"/>
        <v>58</v>
      </c>
      <c r="B64" s="78"/>
      <c r="C64" s="79" t="s">
        <v>145</v>
      </c>
      <c r="D64" s="79"/>
      <c r="E64" s="79"/>
      <c r="F64" s="79"/>
      <c r="G64" s="79"/>
      <c r="H64" s="79"/>
      <c r="I64" s="79"/>
      <c r="J64" s="79"/>
      <c r="K64" s="79" t="s">
        <v>152</v>
      </c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 t="s">
        <v>153</v>
      </c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80" t="s">
        <v>44</v>
      </c>
      <c r="AP64" s="80"/>
      <c r="AQ64" s="80"/>
      <c r="AR64" s="80" t="s">
        <v>40</v>
      </c>
      <c r="AS64" s="80"/>
      <c r="AT64" s="80"/>
      <c r="AU64" s="80" t="s">
        <v>40</v>
      </c>
      <c r="AV64" s="80"/>
      <c r="AW64" s="80"/>
      <c r="AX64" s="80" t="s">
        <v>40</v>
      </c>
      <c r="AY64" s="80"/>
      <c r="AZ64" s="80"/>
      <c r="BA64" s="80" t="s">
        <v>40</v>
      </c>
      <c r="BB64" s="80"/>
      <c r="BC64" s="80"/>
      <c r="BD64" s="34"/>
      <c r="BE64" s="34"/>
      <c r="BF64" s="34"/>
      <c r="BG64" s="34"/>
      <c r="BH64" s="34"/>
      <c r="BI64" s="34"/>
      <c r="BJ64" s="34"/>
      <c r="BK64" s="34"/>
      <c r="BL64" s="35"/>
    </row>
    <row r="65" spans="1:64" s="33" customFormat="1" ht="13.2" x14ac:dyDescent="0.15">
      <c r="A65" s="78">
        <f t="shared" si="1"/>
        <v>59</v>
      </c>
      <c r="B65" s="78"/>
      <c r="C65" s="79" t="s">
        <v>145</v>
      </c>
      <c r="D65" s="79"/>
      <c r="E65" s="79"/>
      <c r="F65" s="79"/>
      <c r="G65" s="79"/>
      <c r="H65" s="79"/>
      <c r="I65" s="79"/>
      <c r="J65" s="79"/>
      <c r="K65" s="79" t="s">
        <v>154</v>
      </c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 t="s">
        <v>155</v>
      </c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80" t="s">
        <v>40</v>
      </c>
      <c r="AP65" s="80"/>
      <c r="AQ65" s="80"/>
      <c r="AR65" s="80" t="s">
        <v>40</v>
      </c>
      <c r="AS65" s="80"/>
      <c r="AT65" s="80"/>
      <c r="AU65" s="80" t="s">
        <v>44</v>
      </c>
      <c r="AV65" s="80"/>
      <c r="AW65" s="80"/>
      <c r="AX65" s="80" t="s">
        <v>44</v>
      </c>
      <c r="AY65" s="80"/>
      <c r="AZ65" s="80"/>
      <c r="BA65" s="80" t="s">
        <v>40</v>
      </c>
      <c r="BB65" s="80"/>
      <c r="BC65" s="80"/>
      <c r="BD65" s="34"/>
      <c r="BE65" s="34"/>
      <c r="BF65" s="34"/>
      <c r="BG65" s="34"/>
      <c r="BH65" s="34"/>
      <c r="BI65" s="34"/>
      <c r="BJ65" s="34"/>
      <c r="BK65" s="34"/>
      <c r="BL65" s="35"/>
    </row>
    <row r="66" spans="1:64" s="33" customFormat="1" ht="13.2" x14ac:dyDescent="0.15">
      <c r="A66" s="78">
        <f t="shared" si="1"/>
        <v>60</v>
      </c>
      <c r="B66" s="78"/>
      <c r="C66" s="79" t="s">
        <v>145</v>
      </c>
      <c r="D66" s="79"/>
      <c r="E66" s="79"/>
      <c r="F66" s="79"/>
      <c r="G66" s="79"/>
      <c r="H66" s="79"/>
      <c r="I66" s="79"/>
      <c r="J66" s="79"/>
      <c r="K66" s="79" t="s">
        <v>156</v>
      </c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 t="s">
        <v>157</v>
      </c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80" t="s">
        <v>44</v>
      </c>
      <c r="AP66" s="80"/>
      <c r="AQ66" s="80"/>
      <c r="AR66" s="80" t="s">
        <v>40</v>
      </c>
      <c r="AS66" s="80"/>
      <c r="AT66" s="80"/>
      <c r="AU66" s="80" t="s">
        <v>44</v>
      </c>
      <c r="AV66" s="80"/>
      <c r="AW66" s="80"/>
      <c r="AX66" s="80" t="s">
        <v>44</v>
      </c>
      <c r="AY66" s="80"/>
      <c r="AZ66" s="80"/>
      <c r="BA66" s="80" t="s">
        <v>44</v>
      </c>
      <c r="BB66" s="80"/>
      <c r="BC66" s="80"/>
      <c r="BD66" s="34"/>
      <c r="BE66" s="34"/>
      <c r="BF66" s="34"/>
      <c r="BG66" s="34"/>
      <c r="BH66" s="34"/>
      <c r="BI66" s="34"/>
      <c r="BJ66" s="34"/>
      <c r="BK66" s="34"/>
      <c r="BL66" s="35"/>
    </row>
    <row r="67" spans="1:64" s="33" customFormat="1" ht="13.2" x14ac:dyDescent="0.15">
      <c r="A67" s="78">
        <f t="shared" si="1"/>
        <v>61</v>
      </c>
      <c r="B67" s="78"/>
      <c r="C67" s="79" t="s">
        <v>158</v>
      </c>
      <c r="D67" s="79"/>
      <c r="E67" s="79"/>
      <c r="F67" s="79"/>
      <c r="G67" s="79"/>
      <c r="H67" s="79"/>
      <c r="I67" s="79"/>
      <c r="J67" s="79"/>
      <c r="K67" s="79" t="s">
        <v>159</v>
      </c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 t="s">
        <v>160</v>
      </c>
      <c r="AB67" s="79"/>
      <c r="AC67" s="79"/>
      <c r="AD67" s="79"/>
      <c r="AE67" s="79"/>
      <c r="AF67" s="79"/>
      <c r="AG67" s="79"/>
      <c r="AH67" s="79"/>
      <c r="AI67" s="79"/>
      <c r="AJ67" s="79"/>
      <c r="AK67" s="79"/>
      <c r="AL67" s="79"/>
      <c r="AM67" s="79"/>
      <c r="AN67" s="79"/>
      <c r="AO67" s="80" t="s">
        <v>44</v>
      </c>
      <c r="AP67" s="80"/>
      <c r="AQ67" s="80"/>
      <c r="AR67" s="80" t="s">
        <v>44</v>
      </c>
      <c r="AS67" s="80"/>
      <c r="AT67" s="80"/>
      <c r="AU67" s="80" t="s">
        <v>40</v>
      </c>
      <c r="AV67" s="80"/>
      <c r="AW67" s="80"/>
      <c r="AX67" s="80" t="s">
        <v>44</v>
      </c>
      <c r="AY67" s="80"/>
      <c r="AZ67" s="80"/>
      <c r="BA67" s="80" t="s">
        <v>44</v>
      </c>
      <c r="BB67" s="80"/>
      <c r="BC67" s="80"/>
      <c r="BD67" s="34"/>
      <c r="BE67" s="34"/>
      <c r="BF67" s="34"/>
      <c r="BG67" s="34"/>
      <c r="BH67" s="34"/>
      <c r="BI67" s="34"/>
      <c r="BJ67" s="34"/>
      <c r="BK67" s="34"/>
      <c r="BL67" s="35"/>
    </row>
    <row r="68" spans="1:64" s="33" customFormat="1" ht="13.2" x14ac:dyDescent="0.15">
      <c r="A68" s="78">
        <f t="shared" si="1"/>
        <v>62</v>
      </c>
      <c r="B68" s="78"/>
      <c r="C68" s="79" t="s">
        <v>158</v>
      </c>
      <c r="D68" s="79"/>
      <c r="E68" s="79"/>
      <c r="F68" s="79"/>
      <c r="G68" s="79"/>
      <c r="H68" s="79"/>
      <c r="I68" s="79"/>
      <c r="J68" s="79"/>
      <c r="K68" s="79" t="s">
        <v>161</v>
      </c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 t="s">
        <v>162</v>
      </c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80" t="s">
        <v>44</v>
      </c>
      <c r="AP68" s="80"/>
      <c r="AQ68" s="80"/>
      <c r="AR68" s="80" t="s">
        <v>44</v>
      </c>
      <c r="AS68" s="80"/>
      <c r="AT68" s="80"/>
      <c r="AU68" s="80" t="s">
        <v>40</v>
      </c>
      <c r="AV68" s="80"/>
      <c r="AW68" s="80"/>
      <c r="AX68" s="80" t="s">
        <v>44</v>
      </c>
      <c r="AY68" s="80"/>
      <c r="AZ68" s="80"/>
      <c r="BA68" s="80" t="s">
        <v>40</v>
      </c>
      <c r="BB68" s="80"/>
      <c r="BC68" s="80"/>
      <c r="BD68" s="34"/>
      <c r="BE68" s="34"/>
      <c r="BF68" s="34"/>
      <c r="BG68" s="34"/>
      <c r="BH68" s="34"/>
      <c r="BI68" s="34"/>
      <c r="BJ68" s="34"/>
      <c r="BK68" s="34"/>
      <c r="BL68" s="35"/>
    </row>
    <row r="69" spans="1:64" s="33" customFormat="1" ht="13.2" x14ac:dyDescent="0.15">
      <c r="A69" s="78">
        <f t="shared" si="1"/>
        <v>63</v>
      </c>
      <c r="B69" s="78"/>
      <c r="C69" s="79" t="s">
        <v>158</v>
      </c>
      <c r="D69" s="79"/>
      <c r="E69" s="79"/>
      <c r="F69" s="79"/>
      <c r="G69" s="79"/>
      <c r="H69" s="79"/>
      <c r="I69" s="79"/>
      <c r="J69" s="79"/>
      <c r="K69" s="79" t="s">
        <v>163</v>
      </c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 t="s">
        <v>164</v>
      </c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80" t="s">
        <v>44</v>
      </c>
      <c r="AP69" s="80"/>
      <c r="AQ69" s="80"/>
      <c r="AR69" s="80" t="s">
        <v>44</v>
      </c>
      <c r="AS69" s="80"/>
      <c r="AT69" s="80"/>
      <c r="AU69" s="80" t="s">
        <v>40</v>
      </c>
      <c r="AV69" s="80"/>
      <c r="AW69" s="80"/>
      <c r="AX69" s="80" t="s">
        <v>44</v>
      </c>
      <c r="AY69" s="80"/>
      <c r="AZ69" s="80"/>
      <c r="BA69" s="80" t="s">
        <v>40</v>
      </c>
      <c r="BB69" s="80"/>
      <c r="BC69" s="80"/>
      <c r="BD69" s="34"/>
      <c r="BE69" s="34"/>
      <c r="BF69" s="34"/>
      <c r="BG69" s="34"/>
      <c r="BH69" s="34"/>
      <c r="BI69" s="34"/>
      <c r="BJ69" s="34"/>
      <c r="BK69" s="34"/>
      <c r="BL69" s="35"/>
    </row>
    <row r="70" spans="1:64" s="33" customFormat="1" ht="15.75" customHeight="1" x14ac:dyDescent="0.15">
      <c r="A70" s="78">
        <f t="shared" si="1"/>
        <v>64</v>
      </c>
      <c r="B70" s="78"/>
      <c r="C70" s="79" t="s">
        <v>165</v>
      </c>
      <c r="D70" s="79"/>
      <c r="E70" s="79"/>
      <c r="F70" s="79"/>
      <c r="G70" s="79"/>
      <c r="H70" s="79"/>
      <c r="I70" s="79"/>
      <c r="J70" s="79"/>
      <c r="K70" s="79" t="s">
        <v>168</v>
      </c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 t="s">
        <v>169</v>
      </c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80" t="s">
        <v>40</v>
      </c>
      <c r="AP70" s="80"/>
      <c r="AQ70" s="80"/>
      <c r="AR70" s="80" t="s">
        <v>40</v>
      </c>
      <c r="AS70" s="80"/>
      <c r="AT70" s="80"/>
      <c r="AU70" s="80" t="s">
        <v>40</v>
      </c>
      <c r="AV70" s="80"/>
      <c r="AW70" s="80"/>
      <c r="AX70" s="80" t="s">
        <v>40</v>
      </c>
      <c r="AY70" s="80"/>
      <c r="AZ70" s="80"/>
      <c r="BA70" s="80" t="s">
        <v>40</v>
      </c>
      <c r="BB70" s="80"/>
      <c r="BC70" s="80"/>
      <c r="BD70" s="34"/>
      <c r="BE70" s="34"/>
      <c r="BF70" s="34"/>
      <c r="BG70" s="34"/>
      <c r="BH70" s="34"/>
      <c r="BI70" s="34"/>
      <c r="BJ70" s="34"/>
      <c r="BK70" s="34"/>
      <c r="BL70" s="35"/>
    </row>
    <row r="71" spans="1:64" x14ac:dyDescent="0.4">
      <c r="A71" s="78">
        <f t="shared" si="1"/>
        <v>65</v>
      </c>
      <c r="B71" s="78"/>
      <c r="C71" s="79" t="s">
        <v>165</v>
      </c>
      <c r="D71" s="79"/>
      <c r="E71" s="79"/>
      <c r="F71" s="79"/>
      <c r="G71" s="79"/>
      <c r="H71" s="79"/>
      <c r="I71" s="79"/>
      <c r="J71" s="79"/>
      <c r="K71" s="79" t="s">
        <v>180</v>
      </c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 t="s">
        <v>181</v>
      </c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80" t="s">
        <v>40</v>
      </c>
      <c r="AP71" s="80"/>
      <c r="AQ71" s="80"/>
      <c r="AR71" s="80" t="s">
        <v>44</v>
      </c>
      <c r="AS71" s="80"/>
      <c r="AT71" s="80"/>
      <c r="AU71" s="80" t="s">
        <v>44</v>
      </c>
      <c r="AV71" s="80"/>
      <c r="AW71" s="80"/>
      <c r="AX71" s="80" t="s">
        <v>44</v>
      </c>
      <c r="AY71" s="80"/>
      <c r="AZ71" s="80"/>
      <c r="BA71" s="80" t="s">
        <v>40</v>
      </c>
      <c r="BB71" s="80"/>
      <c r="BC71" s="80"/>
      <c r="BD71" s="34"/>
      <c r="BE71" s="34"/>
      <c r="BF71" s="34"/>
      <c r="BG71" s="34"/>
      <c r="BH71" s="34"/>
      <c r="BI71" s="34"/>
      <c r="BJ71" s="34"/>
      <c r="BK71" s="34"/>
      <c r="BL71" s="35"/>
    </row>
    <row r="72" spans="1:64" s="33" customFormat="1" ht="15.75" customHeight="1" x14ac:dyDescent="0.15">
      <c r="A72" s="78">
        <f t="shared" si="1"/>
        <v>66</v>
      </c>
      <c r="B72" s="78"/>
      <c r="C72" s="79" t="s">
        <v>165</v>
      </c>
      <c r="D72" s="79"/>
      <c r="E72" s="79"/>
      <c r="F72" s="79"/>
      <c r="G72" s="79"/>
      <c r="H72" s="79"/>
      <c r="I72" s="79"/>
      <c r="J72" s="79"/>
      <c r="K72" s="79" t="s">
        <v>172</v>
      </c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 t="s">
        <v>173</v>
      </c>
      <c r="AB72" s="79"/>
      <c r="AC72" s="79"/>
      <c r="AD72" s="79"/>
      <c r="AE72" s="79"/>
      <c r="AF72" s="79"/>
      <c r="AG72" s="79"/>
      <c r="AH72" s="79"/>
      <c r="AI72" s="79"/>
      <c r="AJ72" s="79"/>
      <c r="AK72" s="79"/>
      <c r="AL72" s="79"/>
      <c r="AM72" s="79"/>
      <c r="AN72" s="79"/>
      <c r="AO72" s="80" t="s">
        <v>40</v>
      </c>
      <c r="AP72" s="80"/>
      <c r="AQ72" s="80"/>
      <c r="AR72" s="80" t="s">
        <v>44</v>
      </c>
      <c r="AS72" s="80"/>
      <c r="AT72" s="80"/>
      <c r="AU72" s="80" t="s">
        <v>44</v>
      </c>
      <c r="AV72" s="80"/>
      <c r="AW72" s="80"/>
      <c r="AX72" s="80" t="s">
        <v>44</v>
      </c>
      <c r="AY72" s="80"/>
      <c r="AZ72" s="80"/>
      <c r="BA72" s="80" t="s">
        <v>40</v>
      </c>
      <c r="BB72" s="80"/>
      <c r="BC72" s="80"/>
      <c r="BD72" s="34"/>
      <c r="BE72" s="34"/>
      <c r="BF72" s="34"/>
      <c r="BG72" s="34"/>
      <c r="BH72" s="34"/>
      <c r="BI72" s="34"/>
      <c r="BJ72" s="34"/>
      <c r="BK72" s="34"/>
      <c r="BL72" s="35"/>
    </row>
    <row r="73" spans="1:64" s="33" customFormat="1" ht="13.2" x14ac:dyDescent="0.15">
      <c r="A73" s="78">
        <f t="shared" si="1"/>
        <v>67</v>
      </c>
      <c r="B73" s="78"/>
      <c r="C73" s="79" t="s">
        <v>165</v>
      </c>
      <c r="D73" s="79"/>
      <c r="E73" s="79"/>
      <c r="F73" s="79"/>
      <c r="G73" s="79"/>
      <c r="H73" s="79"/>
      <c r="I73" s="79"/>
      <c r="J73" s="79"/>
      <c r="K73" s="79" t="s">
        <v>166</v>
      </c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 t="s">
        <v>167</v>
      </c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80" t="s">
        <v>40</v>
      </c>
      <c r="AP73" s="80"/>
      <c r="AQ73" s="80"/>
      <c r="AR73" s="80" t="s">
        <v>44</v>
      </c>
      <c r="AS73" s="80"/>
      <c r="AT73" s="80"/>
      <c r="AU73" s="80" t="s">
        <v>44</v>
      </c>
      <c r="AV73" s="80"/>
      <c r="AW73" s="80"/>
      <c r="AX73" s="80" t="s">
        <v>44</v>
      </c>
      <c r="AY73" s="80"/>
      <c r="AZ73" s="80"/>
      <c r="BA73" s="80" t="s">
        <v>40</v>
      </c>
      <c r="BB73" s="80"/>
      <c r="BC73" s="80"/>
      <c r="BD73" s="34"/>
      <c r="BE73" s="34"/>
      <c r="BF73" s="34"/>
      <c r="BG73" s="34"/>
      <c r="BH73" s="34"/>
      <c r="BI73" s="34"/>
      <c r="BJ73" s="34"/>
      <c r="BK73" s="34"/>
      <c r="BL73" s="35"/>
    </row>
    <row r="74" spans="1:64" x14ac:dyDescent="0.4">
      <c r="A74" s="78">
        <f t="shared" ref="A74:A114" si="2">ROW()-6</f>
        <v>68</v>
      </c>
      <c r="B74" s="78"/>
      <c r="C74" s="79" t="s">
        <v>165</v>
      </c>
      <c r="D74" s="79"/>
      <c r="E74" s="79"/>
      <c r="F74" s="79"/>
      <c r="G74" s="79"/>
      <c r="H74" s="79"/>
      <c r="I74" s="79"/>
      <c r="J74" s="79"/>
      <c r="K74" s="79" t="s">
        <v>174</v>
      </c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 t="s">
        <v>175</v>
      </c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80" t="s">
        <v>40</v>
      </c>
      <c r="AP74" s="80"/>
      <c r="AQ74" s="80"/>
      <c r="AR74" s="80" t="s">
        <v>44</v>
      </c>
      <c r="AS74" s="80"/>
      <c r="AT74" s="80"/>
      <c r="AU74" s="80" t="s">
        <v>44</v>
      </c>
      <c r="AV74" s="80"/>
      <c r="AW74" s="80"/>
      <c r="AX74" s="80" t="s">
        <v>44</v>
      </c>
      <c r="AY74" s="80"/>
      <c r="AZ74" s="80"/>
      <c r="BA74" s="80" t="s">
        <v>40</v>
      </c>
      <c r="BB74" s="80"/>
      <c r="BC74" s="80"/>
      <c r="BD74" s="34"/>
      <c r="BE74" s="34"/>
      <c r="BF74" s="34"/>
      <c r="BG74" s="34"/>
      <c r="BH74" s="34"/>
      <c r="BI74" s="34"/>
      <c r="BJ74" s="34"/>
      <c r="BK74" s="34"/>
      <c r="BL74" s="35"/>
    </row>
    <row r="75" spans="1:64" x14ac:dyDescent="0.4">
      <c r="A75" s="78">
        <f t="shared" si="2"/>
        <v>69</v>
      </c>
      <c r="B75" s="78"/>
      <c r="C75" s="79" t="s">
        <v>165</v>
      </c>
      <c r="D75" s="79"/>
      <c r="E75" s="79"/>
      <c r="F75" s="79"/>
      <c r="G75" s="79"/>
      <c r="H75" s="79"/>
      <c r="I75" s="79"/>
      <c r="J75" s="79"/>
      <c r="K75" s="79" t="s">
        <v>176</v>
      </c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 t="s">
        <v>177</v>
      </c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80" t="s">
        <v>40</v>
      </c>
      <c r="AP75" s="80"/>
      <c r="AQ75" s="80"/>
      <c r="AR75" s="80" t="s">
        <v>40</v>
      </c>
      <c r="AS75" s="80"/>
      <c r="AT75" s="80"/>
      <c r="AU75" s="80" t="s">
        <v>40</v>
      </c>
      <c r="AV75" s="80"/>
      <c r="AW75" s="80"/>
      <c r="AX75" s="80" t="s">
        <v>40</v>
      </c>
      <c r="AY75" s="80"/>
      <c r="AZ75" s="80"/>
      <c r="BA75" s="80" t="s">
        <v>40</v>
      </c>
      <c r="BB75" s="80"/>
      <c r="BC75" s="80"/>
      <c r="BD75" s="34"/>
      <c r="BE75" s="34"/>
      <c r="BF75" s="34"/>
      <c r="BG75" s="34"/>
      <c r="BH75" s="34"/>
      <c r="BI75" s="34"/>
      <c r="BJ75" s="34"/>
      <c r="BK75" s="34"/>
      <c r="BL75" s="35"/>
    </row>
    <row r="76" spans="1:64" s="33" customFormat="1" ht="15.75" customHeight="1" x14ac:dyDescent="0.15">
      <c r="A76" s="78">
        <f t="shared" si="1"/>
        <v>70</v>
      </c>
      <c r="B76" s="78"/>
      <c r="C76" s="79" t="s">
        <v>165</v>
      </c>
      <c r="D76" s="79"/>
      <c r="E76" s="79"/>
      <c r="F76" s="79"/>
      <c r="G76" s="79"/>
      <c r="H76" s="79"/>
      <c r="I76" s="79"/>
      <c r="J76" s="79"/>
      <c r="K76" s="79" t="s">
        <v>170</v>
      </c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 t="s">
        <v>171</v>
      </c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80" t="s">
        <v>44</v>
      </c>
      <c r="AP76" s="80"/>
      <c r="AQ76" s="80"/>
      <c r="AR76" s="80" t="s">
        <v>40</v>
      </c>
      <c r="AS76" s="80"/>
      <c r="AT76" s="80"/>
      <c r="AU76" s="80" t="s">
        <v>40</v>
      </c>
      <c r="AV76" s="80"/>
      <c r="AW76" s="80"/>
      <c r="AX76" s="80" t="s">
        <v>40</v>
      </c>
      <c r="AY76" s="80"/>
      <c r="AZ76" s="80"/>
      <c r="BA76" s="80" t="s">
        <v>40</v>
      </c>
      <c r="BB76" s="80"/>
      <c r="BC76" s="80"/>
      <c r="BD76" s="34"/>
      <c r="BE76" s="34"/>
      <c r="BF76" s="34"/>
      <c r="BG76" s="34"/>
      <c r="BH76" s="34"/>
      <c r="BI76" s="34"/>
      <c r="BJ76" s="34"/>
      <c r="BK76" s="34"/>
      <c r="BL76" s="35"/>
    </row>
    <row r="77" spans="1:64" x14ac:dyDescent="0.4">
      <c r="A77" s="78">
        <f t="shared" si="2"/>
        <v>71</v>
      </c>
      <c r="B77" s="78"/>
      <c r="C77" s="79" t="s">
        <v>165</v>
      </c>
      <c r="D77" s="79"/>
      <c r="E77" s="79"/>
      <c r="F77" s="79"/>
      <c r="G77" s="79"/>
      <c r="H77" s="79"/>
      <c r="I77" s="79"/>
      <c r="J77" s="79"/>
      <c r="K77" s="79" t="s">
        <v>178</v>
      </c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 t="s">
        <v>179</v>
      </c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80" t="s">
        <v>44</v>
      </c>
      <c r="AP77" s="80"/>
      <c r="AQ77" s="80"/>
      <c r="AR77" s="80" t="s">
        <v>40</v>
      </c>
      <c r="AS77" s="80"/>
      <c r="AT77" s="80"/>
      <c r="AU77" s="80" t="s">
        <v>40</v>
      </c>
      <c r="AV77" s="80"/>
      <c r="AW77" s="80"/>
      <c r="AX77" s="80" t="s">
        <v>40</v>
      </c>
      <c r="AY77" s="80"/>
      <c r="AZ77" s="80"/>
      <c r="BA77" s="80" t="s">
        <v>40</v>
      </c>
      <c r="BB77" s="80"/>
      <c r="BC77" s="80"/>
      <c r="BD77" s="34"/>
      <c r="BE77" s="34"/>
      <c r="BF77" s="34"/>
      <c r="BG77" s="34"/>
      <c r="BH77" s="34"/>
      <c r="BI77" s="34"/>
      <c r="BJ77" s="34"/>
      <c r="BK77" s="34"/>
      <c r="BL77" s="35"/>
    </row>
    <row r="78" spans="1:64" x14ac:dyDescent="0.4">
      <c r="A78" s="78">
        <f t="shared" si="2"/>
        <v>72</v>
      </c>
      <c r="B78" s="78"/>
      <c r="C78" s="79" t="s">
        <v>165</v>
      </c>
      <c r="D78" s="79"/>
      <c r="E78" s="79"/>
      <c r="F78" s="79"/>
      <c r="G78" s="79"/>
      <c r="H78" s="79"/>
      <c r="I78" s="79"/>
      <c r="J78" s="79"/>
      <c r="K78" s="79" t="s">
        <v>270</v>
      </c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 t="s">
        <v>186</v>
      </c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80" t="s">
        <v>44</v>
      </c>
      <c r="AP78" s="80"/>
      <c r="AQ78" s="80"/>
      <c r="AR78" s="80" t="s">
        <v>40</v>
      </c>
      <c r="AS78" s="80"/>
      <c r="AT78" s="80"/>
      <c r="AU78" s="80" t="s">
        <v>44</v>
      </c>
      <c r="AV78" s="80"/>
      <c r="AW78" s="80"/>
      <c r="AX78" s="80" t="s">
        <v>44</v>
      </c>
      <c r="AY78" s="80"/>
      <c r="AZ78" s="80"/>
      <c r="BA78" s="80" t="s">
        <v>40</v>
      </c>
      <c r="BB78" s="80"/>
      <c r="BC78" s="80"/>
      <c r="BD78" s="34"/>
      <c r="BE78" s="34"/>
      <c r="BF78" s="34"/>
      <c r="BG78" s="34"/>
      <c r="BH78" s="34"/>
      <c r="BI78" s="34"/>
      <c r="BJ78" s="34"/>
      <c r="BK78" s="34"/>
      <c r="BL78" s="35"/>
    </row>
    <row r="79" spans="1:64" x14ac:dyDescent="0.4">
      <c r="A79" s="78">
        <f t="shared" si="2"/>
        <v>73</v>
      </c>
      <c r="B79" s="78"/>
      <c r="C79" s="79" t="s">
        <v>165</v>
      </c>
      <c r="D79" s="79"/>
      <c r="E79" s="79"/>
      <c r="F79" s="79"/>
      <c r="G79" s="79"/>
      <c r="H79" s="79"/>
      <c r="I79" s="79"/>
      <c r="J79" s="79"/>
      <c r="K79" s="79" t="s">
        <v>271</v>
      </c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 t="s">
        <v>272</v>
      </c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80" t="s">
        <v>44</v>
      </c>
      <c r="AP79" s="80"/>
      <c r="AQ79" s="80"/>
      <c r="AR79" s="80" t="s">
        <v>40</v>
      </c>
      <c r="AS79" s="80"/>
      <c r="AT79" s="80"/>
      <c r="AU79" s="80" t="s">
        <v>44</v>
      </c>
      <c r="AV79" s="80"/>
      <c r="AW79" s="80"/>
      <c r="AX79" s="80" t="s">
        <v>44</v>
      </c>
      <c r="AY79" s="80"/>
      <c r="AZ79" s="80"/>
      <c r="BA79" s="80" t="s">
        <v>40</v>
      </c>
      <c r="BB79" s="80"/>
      <c r="BC79" s="80"/>
      <c r="BD79" s="34"/>
      <c r="BE79" s="34"/>
      <c r="BF79" s="34"/>
      <c r="BG79" s="34"/>
      <c r="BH79" s="34"/>
      <c r="BI79" s="34"/>
      <c r="BJ79" s="34"/>
      <c r="BK79" s="34"/>
      <c r="BL79" s="35"/>
    </row>
    <row r="80" spans="1:64" x14ac:dyDescent="0.4">
      <c r="A80" s="78">
        <f t="shared" si="2"/>
        <v>74</v>
      </c>
      <c r="B80" s="78"/>
      <c r="C80" s="79" t="s">
        <v>165</v>
      </c>
      <c r="D80" s="79"/>
      <c r="E80" s="79"/>
      <c r="F80" s="79"/>
      <c r="G80" s="79"/>
      <c r="H80" s="79"/>
      <c r="I80" s="79"/>
      <c r="J80" s="79"/>
      <c r="K80" s="79" t="s">
        <v>182</v>
      </c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 t="s">
        <v>183</v>
      </c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80" t="s">
        <v>44</v>
      </c>
      <c r="AP80" s="80"/>
      <c r="AQ80" s="80"/>
      <c r="AR80" s="80" t="s">
        <v>44</v>
      </c>
      <c r="AS80" s="80"/>
      <c r="AT80" s="80"/>
      <c r="AU80" s="80" t="s">
        <v>44</v>
      </c>
      <c r="AV80" s="80"/>
      <c r="AW80" s="80"/>
      <c r="AX80" s="80" t="s">
        <v>44</v>
      </c>
      <c r="AY80" s="80"/>
      <c r="AZ80" s="80"/>
      <c r="BA80" s="80" t="s">
        <v>40</v>
      </c>
      <c r="BB80" s="80"/>
      <c r="BC80" s="80"/>
      <c r="BD80" s="34"/>
      <c r="BE80" s="34"/>
      <c r="BF80" s="34"/>
      <c r="BG80" s="34"/>
      <c r="BH80" s="34"/>
      <c r="BI80" s="34"/>
      <c r="BJ80" s="34"/>
      <c r="BK80" s="34"/>
      <c r="BL80" s="35"/>
    </row>
    <row r="81" spans="1:64" x14ac:dyDescent="0.4">
      <c r="A81" s="78">
        <f t="shared" si="2"/>
        <v>75</v>
      </c>
      <c r="B81" s="78"/>
      <c r="C81" s="79" t="s">
        <v>165</v>
      </c>
      <c r="D81" s="79"/>
      <c r="E81" s="79"/>
      <c r="F81" s="79"/>
      <c r="G81" s="79"/>
      <c r="H81" s="79"/>
      <c r="I81" s="79"/>
      <c r="J81" s="79"/>
      <c r="K81" s="79" t="s">
        <v>184</v>
      </c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 t="s">
        <v>185</v>
      </c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80" t="s">
        <v>44</v>
      </c>
      <c r="AP81" s="80"/>
      <c r="AQ81" s="80"/>
      <c r="AR81" s="80" t="s">
        <v>44</v>
      </c>
      <c r="AS81" s="80"/>
      <c r="AT81" s="80"/>
      <c r="AU81" s="80" t="s">
        <v>44</v>
      </c>
      <c r="AV81" s="80"/>
      <c r="AW81" s="80"/>
      <c r="AX81" s="80" t="s">
        <v>44</v>
      </c>
      <c r="AY81" s="80"/>
      <c r="AZ81" s="80"/>
      <c r="BA81" s="80" t="s">
        <v>40</v>
      </c>
      <c r="BB81" s="80"/>
      <c r="BC81" s="80"/>
      <c r="BD81" s="34"/>
      <c r="BE81" s="34"/>
      <c r="BF81" s="34"/>
      <c r="BG81" s="34"/>
      <c r="BH81" s="34"/>
      <c r="BI81" s="34"/>
      <c r="BJ81" s="34"/>
      <c r="BK81" s="34"/>
      <c r="BL81" s="35"/>
    </row>
    <row r="82" spans="1:64" x14ac:dyDescent="0.4">
      <c r="A82" s="78">
        <f t="shared" si="2"/>
        <v>76</v>
      </c>
      <c r="B82" s="78"/>
      <c r="C82" s="79" t="s">
        <v>187</v>
      </c>
      <c r="D82" s="79"/>
      <c r="E82" s="79"/>
      <c r="F82" s="79"/>
      <c r="G82" s="79"/>
      <c r="H82" s="79"/>
      <c r="I82" s="79"/>
      <c r="J82" s="79"/>
      <c r="K82" s="79" t="s">
        <v>128</v>
      </c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 t="s">
        <v>188</v>
      </c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80" t="s">
        <v>44</v>
      </c>
      <c r="AP82" s="80"/>
      <c r="AQ82" s="80"/>
      <c r="AR82" s="80" t="s">
        <v>44</v>
      </c>
      <c r="AS82" s="80"/>
      <c r="AT82" s="80"/>
      <c r="AU82" s="80" t="s">
        <v>40</v>
      </c>
      <c r="AV82" s="80"/>
      <c r="AW82" s="80"/>
      <c r="AX82" s="80" t="s">
        <v>44</v>
      </c>
      <c r="AY82" s="80"/>
      <c r="AZ82" s="80"/>
      <c r="BA82" s="80" t="s">
        <v>40</v>
      </c>
      <c r="BB82" s="80"/>
      <c r="BC82" s="80"/>
      <c r="BD82" s="34"/>
      <c r="BE82" s="34"/>
      <c r="BF82" s="34"/>
      <c r="BG82" s="34"/>
      <c r="BH82" s="34"/>
      <c r="BI82" s="34"/>
      <c r="BJ82" s="34"/>
      <c r="BK82" s="34"/>
      <c r="BL82" s="35"/>
    </row>
    <row r="83" spans="1:64" x14ac:dyDescent="0.4">
      <c r="A83" s="78">
        <f t="shared" si="2"/>
        <v>77</v>
      </c>
      <c r="B83" s="78"/>
      <c r="C83" s="79" t="s">
        <v>187</v>
      </c>
      <c r="D83" s="79"/>
      <c r="E83" s="79"/>
      <c r="F83" s="79"/>
      <c r="G83" s="79"/>
      <c r="H83" s="79"/>
      <c r="I83" s="79"/>
      <c r="J83" s="79"/>
      <c r="K83" s="79" t="s">
        <v>131</v>
      </c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 t="s">
        <v>132</v>
      </c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80" t="s">
        <v>44</v>
      </c>
      <c r="AP83" s="80"/>
      <c r="AQ83" s="80"/>
      <c r="AR83" s="80" t="s">
        <v>44</v>
      </c>
      <c r="AS83" s="80"/>
      <c r="AT83" s="80"/>
      <c r="AU83" s="80" t="s">
        <v>40</v>
      </c>
      <c r="AV83" s="80"/>
      <c r="AW83" s="80"/>
      <c r="AX83" s="80" t="s">
        <v>44</v>
      </c>
      <c r="AY83" s="80"/>
      <c r="AZ83" s="80"/>
      <c r="BA83" s="80" t="s">
        <v>40</v>
      </c>
      <c r="BB83" s="80"/>
      <c r="BC83" s="80"/>
      <c r="BD83" s="34"/>
      <c r="BE83" s="34"/>
      <c r="BF83" s="34"/>
      <c r="BG83" s="34"/>
      <c r="BH83" s="34"/>
      <c r="BI83" s="34"/>
      <c r="BJ83" s="34"/>
      <c r="BK83" s="34"/>
      <c r="BL83" s="35"/>
    </row>
    <row r="84" spans="1:64" x14ac:dyDescent="0.4">
      <c r="A84" s="78">
        <f t="shared" si="2"/>
        <v>78</v>
      </c>
      <c r="B84" s="78"/>
      <c r="C84" s="79" t="s">
        <v>189</v>
      </c>
      <c r="D84" s="79"/>
      <c r="E84" s="79"/>
      <c r="F84" s="79"/>
      <c r="G84" s="79"/>
      <c r="H84" s="79"/>
      <c r="I84" s="79"/>
      <c r="J84" s="79"/>
      <c r="K84" s="79" t="s">
        <v>190</v>
      </c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 t="s">
        <v>191</v>
      </c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80" t="s">
        <v>44</v>
      </c>
      <c r="AP84" s="80"/>
      <c r="AQ84" s="80"/>
      <c r="AR84" s="80" t="s">
        <v>44</v>
      </c>
      <c r="AS84" s="80"/>
      <c r="AT84" s="80"/>
      <c r="AU84" s="80" t="s">
        <v>40</v>
      </c>
      <c r="AV84" s="80"/>
      <c r="AW84" s="80"/>
      <c r="AX84" s="80" t="s">
        <v>44</v>
      </c>
      <c r="AY84" s="80"/>
      <c r="AZ84" s="80"/>
      <c r="BA84" s="80" t="s">
        <v>40</v>
      </c>
      <c r="BB84" s="80"/>
      <c r="BC84" s="80"/>
      <c r="BD84" s="34"/>
      <c r="BE84" s="34"/>
      <c r="BF84" s="34"/>
      <c r="BG84" s="34"/>
      <c r="BH84" s="34"/>
      <c r="BI84" s="34"/>
      <c r="BJ84" s="34"/>
      <c r="BK84" s="34"/>
      <c r="BL84" s="35"/>
    </row>
    <row r="85" spans="1:64" x14ac:dyDescent="0.4">
      <c r="A85" s="78">
        <f t="shared" si="2"/>
        <v>79</v>
      </c>
      <c r="B85" s="78"/>
      <c r="C85" s="79" t="s">
        <v>189</v>
      </c>
      <c r="D85" s="79"/>
      <c r="E85" s="79"/>
      <c r="F85" s="79"/>
      <c r="G85" s="79"/>
      <c r="H85" s="79"/>
      <c r="I85" s="79"/>
      <c r="J85" s="79"/>
      <c r="K85" s="79" t="s">
        <v>192</v>
      </c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 t="s">
        <v>193</v>
      </c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80" t="s">
        <v>44</v>
      </c>
      <c r="AP85" s="80"/>
      <c r="AQ85" s="80"/>
      <c r="AR85" s="80" t="s">
        <v>44</v>
      </c>
      <c r="AS85" s="80"/>
      <c r="AT85" s="80"/>
      <c r="AU85" s="80" t="s">
        <v>40</v>
      </c>
      <c r="AV85" s="80"/>
      <c r="AW85" s="80"/>
      <c r="AX85" s="80" t="s">
        <v>44</v>
      </c>
      <c r="AY85" s="80"/>
      <c r="AZ85" s="80"/>
      <c r="BA85" s="80" t="s">
        <v>40</v>
      </c>
      <c r="BB85" s="80"/>
      <c r="BC85" s="80"/>
      <c r="BD85" s="34"/>
      <c r="BE85" s="34"/>
      <c r="BF85" s="34"/>
      <c r="BG85" s="34"/>
      <c r="BH85" s="34"/>
      <c r="BI85" s="34"/>
      <c r="BJ85" s="34"/>
      <c r="BK85" s="34"/>
      <c r="BL85" s="35"/>
    </row>
    <row r="86" spans="1:64" x14ac:dyDescent="0.4">
      <c r="A86" s="78">
        <f t="shared" si="2"/>
        <v>80</v>
      </c>
      <c r="B86" s="78"/>
      <c r="C86" s="79" t="s">
        <v>189</v>
      </c>
      <c r="D86" s="79"/>
      <c r="E86" s="79"/>
      <c r="F86" s="79"/>
      <c r="G86" s="79"/>
      <c r="H86" s="79"/>
      <c r="I86" s="79"/>
      <c r="J86" s="79"/>
      <c r="K86" s="79" t="s">
        <v>194</v>
      </c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 t="s">
        <v>195</v>
      </c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80" t="s">
        <v>44</v>
      </c>
      <c r="AP86" s="80"/>
      <c r="AQ86" s="80"/>
      <c r="AR86" s="80" t="s">
        <v>44</v>
      </c>
      <c r="AS86" s="80"/>
      <c r="AT86" s="80"/>
      <c r="AU86" s="80" t="s">
        <v>40</v>
      </c>
      <c r="AV86" s="80"/>
      <c r="AW86" s="80"/>
      <c r="AX86" s="80" t="s">
        <v>44</v>
      </c>
      <c r="AY86" s="80"/>
      <c r="AZ86" s="80"/>
      <c r="BA86" s="80" t="s">
        <v>40</v>
      </c>
      <c r="BB86" s="80"/>
      <c r="BC86" s="80"/>
      <c r="BD86" s="34"/>
      <c r="BE86" s="34"/>
      <c r="BF86" s="34"/>
      <c r="BG86" s="34"/>
      <c r="BH86" s="34"/>
      <c r="BI86" s="34"/>
      <c r="BJ86" s="34"/>
      <c r="BK86" s="34"/>
      <c r="BL86" s="35"/>
    </row>
    <row r="87" spans="1:64" x14ac:dyDescent="0.4">
      <c r="A87" s="78">
        <f t="shared" si="2"/>
        <v>81</v>
      </c>
      <c r="B87" s="78"/>
      <c r="C87" s="79" t="s">
        <v>189</v>
      </c>
      <c r="D87" s="79"/>
      <c r="E87" s="79"/>
      <c r="F87" s="79"/>
      <c r="G87" s="79"/>
      <c r="H87" s="79"/>
      <c r="I87" s="79"/>
      <c r="J87" s="79"/>
      <c r="K87" s="79" t="s">
        <v>196</v>
      </c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 t="s">
        <v>197</v>
      </c>
      <c r="AB87" s="79"/>
      <c r="AC87" s="79"/>
      <c r="AD87" s="79"/>
      <c r="AE87" s="79"/>
      <c r="AF87" s="79"/>
      <c r="AG87" s="79"/>
      <c r="AH87" s="79"/>
      <c r="AI87" s="79"/>
      <c r="AJ87" s="79"/>
      <c r="AK87" s="79"/>
      <c r="AL87" s="79"/>
      <c r="AM87" s="79"/>
      <c r="AN87" s="79"/>
      <c r="AO87" s="80" t="s">
        <v>44</v>
      </c>
      <c r="AP87" s="80"/>
      <c r="AQ87" s="80"/>
      <c r="AR87" s="80" t="s">
        <v>44</v>
      </c>
      <c r="AS87" s="80"/>
      <c r="AT87" s="80"/>
      <c r="AU87" s="80" t="s">
        <v>40</v>
      </c>
      <c r="AV87" s="80"/>
      <c r="AW87" s="80"/>
      <c r="AX87" s="80" t="s">
        <v>44</v>
      </c>
      <c r="AY87" s="80"/>
      <c r="AZ87" s="80"/>
      <c r="BA87" s="80" t="s">
        <v>40</v>
      </c>
      <c r="BB87" s="80"/>
      <c r="BC87" s="80"/>
      <c r="BD87" s="34"/>
      <c r="BE87" s="34"/>
      <c r="BF87" s="34"/>
      <c r="BG87" s="34"/>
      <c r="BH87" s="34"/>
      <c r="BI87" s="34"/>
      <c r="BJ87" s="34"/>
      <c r="BK87" s="34"/>
      <c r="BL87" s="35"/>
    </row>
    <row r="88" spans="1:64" x14ac:dyDescent="0.4">
      <c r="A88" s="78">
        <f t="shared" si="2"/>
        <v>82</v>
      </c>
      <c r="B88" s="78"/>
      <c r="C88" s="79" t="s">
        <v>198</v>
      </c>
      <c r="D88" s="79"/>
      <c r="E88" s="79"/>
      <c r="F88" s="79"/>
      <c r="G88" s="79"/>
      <c r="H88" s="79"/>
      <c r="I88" s="79"/>
      <c r="J88" s="79"/>
      <c r="K88" s="79" t="s">
        <v>199</v>
      </c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 t="s">
        <v>200</v>
      </c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80" t="s">
        <v>44</v>
      </c>
      <c r="AP88" s="80"/>
      <c r="AQ88" s="80"/>
      <c r="AR88" s="80" t="s">
        <v>40</v>
      </c>
      <c r="AS88" s="80"/>
      <c r="AT88" s="80"/>
      <c r="AU88" s="80" t="s">
        <v>44</v>
      </c>
      <c r="AV88" s="80"/>
      <c r="AW88" s="80"/>
      <c r="AX88" s="80" t="s">
        <v>44</v>
      </c>
      <c r="AY88" s="80"/>
      <c r="AZ88" s="80"/>
      <c r="BA88" s="80" t="s">
        <v>40</v>
      </c>
      <c r="BB88" s="80"/>
      <c r="BC88" s="80"/>
      <c r="BD88" s="34"/>
      <c r="BE88" s="34"/>
      <c r="BF88" s="34"/>
      <c r="BG88" s="34"/>
      <c r="BH88" s="34"/>
      <c r="BI88" s="34"/>
      <c r="BJ88" s="34"/>
      <c r="BK88" s="34"/>
      <c r="BL88" s="35"/>
    </row>
    <row r="89" spans="1:64" x14ac:dyDescent="0.4">
      <c r="A89" s="78">
        <f t="shared" si="2"/>
        <v>83</v>
      </c>
      <c r="B89" s="78"/>
      <c r="C89" s="79" t="s">
        <v>201</v>
      </c>
      <c r="D89" s="79"/>
      <c r="E89" s="79"/>
      <c r="F89" s="79"/>
      <c r="G89" s="79"/>
      <c r="H89" s="79"/>
      <c r="I89" s="79"/>
      <c r="J89" s="79"/>
      <c r="K89" s="79" t="s">
        <v>202</v>
      </c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 t="s">
        <v>203</v>
      </c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80" t="s">
        <v>44</v>
      </c>
      <c r="AP89" s="80"/>
      <c r="AQ89" s="80"/>
      <c r="AR89" s="80" t="s">
        <v>40</v>
      </c>
      <c r="AS89" s="80"/>
      <c r="AT89" s="80"/>
      <c r="AU89" s="80" t="s">
        <v>40</v>
      </c>
      <c r="AV89" s="80"/>
      <c r="AW89" s="80"/>
      <c r="AX89" s="80" t="s">
        <v>44</v>
      </c>
      <c r="AY89" s="80"/>
      <c r="AZ89" s="80"/>
      <c r="BA89" s="80" t="s">
        <v>40</v>
      </c>
      <c r="BB89" s="80"/>
      <c r="BC89" s="80"/>
      <c r="BD89" s="34"/>
      <c r="BE89" s="34"/>
      <c r="BF89" s="34"/>
      <c r="BG89" s="34"/>
      <c r="BH89" s="34"/>
      <c r="BI89" s="34"/>
      <c r="BJ89" s="34"/>
      <c r="BK89" s="34"/>
      <c r="BL89" s="35"/>
    </row>
    <row r="90" spans="1:64" ht="15.75" customHeight="1" x14ac:dyDescent="0.4">
      <c r="A90" s="78">
        <f t="shared" si="2"/>
        <v>84</v>
      </c>
      <c r="B90" s="78"/>
      <c r="C90" s="79" t="s">
        <v>201</v>
      </c>
      <c r="D90" s="79"/>
      <c r="E90" s="79"/>
      <c r="F90" s="79"/>
      <c r="G90" s="79"/>
      <c r="H90" s="79"/>
      <c r="I90" s="79"/>
      <c r="J90" s="79"/>
      <c r="K90" s="79" t="s">
        <v>204</v>
      </c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86" t="s">
        <v>205</v>
      </c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0" t="s">
        <v>44</v>
      </c>
      <c r="AP90" s="80"/>
      <c r="AQ90" s="80"/>
      <c r="AR90" s="80" t="s">
        <v>40</v>
      </c>
      <c r="AS90" s="80"/>
      <c r="AT90" s="80"/>
      <c r="AU90" s="80" t="s">
        <v>44</v>
      </c>
      <c r="AV90" s="80"/>
      <c r="AW90" s="80"/>
      <c r="AX90" s="80" t="s">
        <v>44</v>
      </c>
      <c r="AY90" s="80"/>
      <c r="AZ90" s="80"/>
      <c r="BA90" s="80" t="s">
        <v>40</v>
      </c>
      <c r="BB90" s="80"/>
      <c r="BC90" s="80"/>
      <c r="BD90" s="34"/>
      <c r="BE90" s="34"/>
      <c r="BF90" s="34"/>
      <c r="BG90" s="34"/>
      <c r="BH90" s="34"/>
      <c r="BI90" s="34"/>
      <c r="BJ90" s="34"/>
      <c r="BK90" s="34"/>
      <c r="BL90" s="35"/>
    </row>
    <row r="91" spans="1:64" x14ac:dyDescent="0.4">
      <c r="A91" s="78">
        <f t="shared" si="2"/>
        <v>85</v>
      </c>
      <c r="B91" s="78"/>
      <c r="C91" s="79" t="s">
        <v>201</v>
      </c>
      <c r="D91" s="79"/>
      <c r="E91" s="79"/>
      <c r="F91" s="79"/>
      <c r="G91" s="79"/>
      <c r="H91" s="79"/>
      <c r="I91" s="79"/>
      <c r="J91" s="79"/>
      <c r="K91" s="79" t="s">
        <v>206</v>
      </c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 t="s">
        <v>207</v>
      </c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80" t="s">
        <v>44</v>
      </c>
      <c r="AP91" s="80"/>
      <c r="AQ91" s="80"/>
      <c r="AR91" s="80" t="s">
        <v>44</v>
      </c>
      <c r="AS91" s="80"/>
      <c r="AT91" s="80"/>
      <c r="AU91" s="80" t="s">
        <v>40</v>
      </c>
      <c r="AV91" s="80"/>
      <c r="AW91" s="80"/>
      <c r="AX91" s="80" t="s">
        <v>44</v>
      </c>
      <c r="AY91" s="80"/>
      <c r="AZ91" s="80"/>
      <c r="BA91" s="80" t="s">
        <v>40</v>
      </c>
      <c r="BB91" s="80"/>
      <c r="BC91" s="80"/>
      <c r="BD91" s="34"/>
      <c r="BE91" s="34"/>
      <c r="BF91" s="34"/>
      <c r="BG91" s="34"/>
      <c r="BH91" s="34"/>
      <c r="BI91" s="34"/>
      <c r="BJ91" s="34"/>
      <c r="BK91" s="34"/>
      <c r="BL91" s="35"/>
    </row>
    <row r="92" spans="1:64" x14ac:dyDescent="0.4">
      <c r="A92" s="78">
        <f t="shared" si="2"/>
        <v>86</v>
      </c>
      <c r="B92" s="78"/>
      <c r="C92" s="79" t="s">
        <v>201</v>
      </c>
      <c r="D92" s="79"/>
      <c r="E92" s="79"/>
      <c r="F92" s="79"/>
      <c r="G92" s="79"/>
      <c r="H92" s="79"/>
      <c r="I92" s="79"/>
      <c r="J92" s="79"/>
      <c r="K92" s="79" t="s">
        <v>208</v>
      </c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 t="s">
        <v>209</v>
      </c>
      <c r="AB92" s="79"/>
      <c r="AC92" s="79"/>
      <c r="AD92" s="79"/>
      <c r="AE92" s="79"/>
      <c r="AF92" s="79"/>
      <c r="AG92" s="79"/>
      <c r="AH92" s="79"/>
      <c r="AI92" s="79"/>
      <c r="AJ92" s="79"/>
      <c r="AK92" s="79"/>
      <c r="AL92" s="79"/>
      <c r="AM92" s="79"/>
      <c r="AN92" s="79"/>
      <c r="AO92" s="80" t="s">
        <v>44</v>
      </c>
      <c r="AP92" s="80"/>
      <c r="AQ92" s="80"/>
      <c r="AR92" s="80" t="s">
        <v>44</v>
      </c>
      <c r="AS92" s="80"/>
      <c r="AT92" s="80"/>
      <c r="AU92" s="80" t="s">
        <v>40</v>
      </c>
      <c r="AV92" s="80"/>
      <c r="AW92" s="80"/>
      <c r="AX92" s="80" t="s">
        <v>44</v>
      </c>
      <c r="AY92" s="80"/>
      <c r="AZ92" s="80"/>
      <c r="BA92" s="80" t="s">
        <v>40</v>
      </c>
      <c r="BB92" s="80"/>
      <c r="BC92" s="80"/>
      <c r="BD92" s="34"/>
      <c r="BE92" s="34"/>
      <c r="BF92" s="34"/>
      <c r="BG92" s="34"/>
      <c r="BH92" s="34"/>
      <c r="BI92" s="34"/>
      <c r="BJ92" s="34"/>
      <c r="BK92" s="34"/>
      <c r="BL92" s="35"/>
    </row>
    <row r="93" spans="1:64" x14ac:dyDescent="0.4">
      <c r="A93" s="78">
        <f t="shared" si="2"/>
        <v>87</v>
      </c>
      <c r="B93" s="78"/>
      <c r="C93" s="79" t="s">
        <v>201</v>
      </c>
      <c r="D93" s="79"/>
      <c r="E93" s="79"/>
      <c r="F93" s="79"/>
      <c r="G93" s="79"/>
      <c r="H93" s="79"/>
      <c r="I93" s="79"/>
      <c r="J93" s="79"/>
      <c r="K93" s="79" t="s">
        <v>95</v>
      </c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 t="s">
        <v>210</v>
      </c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80" t="s">
        <v>44</v>
      </c>
      <c r="AP93" s="80"/>
      <c r="AQ93" s="80"/>
      <c r="AR93" s="80" t="s">
        <v>40</v>
      </c>
      <c r="AS93" s="80"/>
      <c r="AT93" s="80"/>
      <c r="AU93" s="80" t="s">
        <v>44</v>
      </c>
      <c r="AV93" s="80"/>
      <c r="AW93" s="80"/>
      <c r="AX93" s="80" t="s">
        <v>44</v>
      </c>
      <c r="AY93" s="80"/>
      <c r="AZ93" s="80"/>
      <c r="BA93" s="80" t="s">
        <v>40</v>
      </c>
      <c r="BB93" s="80"/>
      <c r="BC93" s="80"/>
      <c r="BD93" s="34"/>
      <c r="BE93" s="34"/>
      <c r="BF93" s="34"/>
      <c r="BG93" s="34"/>
      <c r="BH93" s="34"/>
      <c r="BI93" s="34"/>
      <c r="BJ93" s="34"/>
      <c r="BK93" s="34"/>
      <c r="BL93" s="35"/>
    </row>
    <row r="94" spans="1:64" x14ac:dyDescent="0.4">
      <c r="A94" s="78">
        <f t="shared" si="2"/>
        <v>88</v>
      </c>
      <c r="B94" s="78"/>
      <c r="C94" s="79" t="s">
        <v>201</v>
      </c>
      <c r="D94" s="79"/>
      <c r="E94" s="79"/>
      <c r="F94" s="79"/>
      <c r="G94" s="79"/>
      <c r="H94" s="79"/>
      <c r="I94" s="79"/>
      <c r="J94" s="79"/>
      <c r="K94" s="79" t="s">
        <v>279</v>
      </c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 t="s">
        <v>211</v>
      </c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80" t="s">
        <v>44</v>
      </c>
      <c r="AP94" s="80"/>
      <c r="AQ94" s="80"/>
      <c r="AR94" s="80" t="s">
        <v>40</v>
      </c>
      <c r="AS94" s="80"/>
      <c r="AT94" s="80"/>
      <c r="AU94" s="80" t="s">
        <v>40</v>
      </c>
      <c r="AV94" s="80"/>
      <c r="AW94" s="80"/>
      <c r="AX94" s="80" t="s">
        <v>40</v>
      </c>
      <c r="AY94" s="80"/>
      <c r="AZ94" s="80"/>
      <c r="BA94" s="80" t="s">
        <v>40</v>
      </c>
      <c r="BB94" s="80"/>
      <c r="BC94" s="80"/>
      <c r="BD94" s="34"/>
      <c r="BE94" s="34"/>
      <c r="BF94" s="34"/>
      <c r="BG94" s="34"/>
      <c r="BH94" s="34"/>
      <c r="BI94" s="34"/>
      <c r="BJ94" s="34"/>
      <c r="BK94" s="34"/>
      <c r="BL94" s="35"/>
    </row>
    <row r="95" spans="1:64" x14ac:dyDescent="0.4">
      <c r="A95" s="78">
        <f t="shared" si="2"/>
        <v>89</v>
      </c>
      <c r="B95" s="78"/>
      <c r="C95" s="79" t="s">
        <v>201</v>
      </c>
      <c r="D95" s="79"/>
      <c r="E95" s="79"/>
      <c r="F95" s="79"/>
      <c r="G95" s="79"/>
      <c r="H95" s="79"/>
      <c r="I95" s="79"/>
      <c r="J95" s="79"/>
      <c r="K95" s="79" t="s">
        <v>212</v>
      </c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 t="s">
        <v>261</v>
      </c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80" t="s">
        <v>44</v>
      </c>
      <c r="AP95" s="80"/>
      <c r="AQ95" s="80"/>
      <c r="AR95" s="80" t="s">
        <v>40</v>
      </c>
      <c r="AS95" s="80"/>
      <c r="AT95" s="80"/>
      <c r="AU95" s="80" t="s">
        <v>44</v>
      </c>
      <c r="AV95" s="80"/>
      <c r="AW95" s="80"/>
      <c r="AX95" s="80" t="s">
        <v>44</v>
      </c>
      <c r="AY95" s="80"/>
      <c r="AZ95" s="80"/>
      <c r="BA95" s="80" t="s">
        <v>40</v>
      </c>
      <c r="BB95" s="80"/>
      <c r="BC95" s="80"/>
      <c r="BD95" s="34"/>
      <c r="BE95" s="34"/>
      <c r="BF95" s="34"/>
      <c r="BG95" s="34"/>
      <c r="BH95" s="34"/>
      <c r="BI95" s="34"/>
      <c r="BJ95" s="34"/>
      <c r="BK95" s="34"/>
      <c r="BL95" s="35"/>
    </row>
    <row r="96" spans="1:64" x14ac:dyDescent="0.4">
      <c r="A96" s="78">
        <f t="shared" si="2"/>
        <v>90</v>
      </c>
      <c r="B96" s="78"/>
      <c r="C96" s="79" t="s">
        <v>201</v>
      </c>
      <c r="D96" s="79"/>
      <c r="E96" s="79"/>
      <c r="F96" s="79"/>
      <c r="G96" s="79"/>
      <c r="H96" s="79"/>
      <c r="I96" s="79"/>
      <c r="J96" s="79"/>
      <c r="K96" s="79" t="s">
        <v>213</v>
      </c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 t="s">
        <v>214</v>
      </c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80" t="s">
        <v>44</v>
      </c>
      <c r="AP96" s="80"/>
      <c r="AQ96" s="80"/>
      <c r="AR96" s="80" t="s">
        <v>40</v>
      </c>
      <c r="AS96" s="80"/>
      <c r="AT96" s="80"/>
      <c r="AU96" s="80" t="s">
        <v>44</v>
      </c>
      <c r="AV96" s="80"/>
      <c r="AW96" s="80"/>
      <c r="AX96" s="80" t="s">
        <v>44</v>
      </c>
      <c r="AY96" s="80"/>
      <c r="AZ96" s="80"/>
      <c r="BA96" s="80" t="s">
        <v>40</v>
      </c>
      <c r="BB96" s="80"/>
      <c r="BC96" s="80"/>
      <c r="BD96" s="34"/>
      <c r="BE96" s="34"/>
      <c r="BF96" s="34"/>
      <c r="BG96" s="34"/>
      <c r="BH96" s="34"/>
      <c r="BI96" s="34"/>
      <c r="BJ96" s="34"/>
      <c r="BK96" s="34"/>
      <c r="BL96" s="35"/>
    </row>
    <row r="97" spans="1:64" s="33" customFormat="1" ht="13.2" x14ac:dyDescent="0.15">
      <c r="A97" s="78">
        <f t="shared" si="2"/>
        <v>91</v>
      </c>
      <c r="B97" s="78"/>
      <c r="C97" s="79" t="s">
        <v>201</v>
      </c>
      <c r="D97" s="79"/>
      <c r="E97" s="79"/>
      <c r="F97" s="79"/>
      <c r="G97" s="79"/>
      <c r="H97" s="79"/>
      <c r="I97" s="79"/>
      <c r="J97" s="79"/>
      <c r="K97" s="79" t="s">
        <v>215</v>
      </c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 t="s">
        <v>262</v>
      </c>
      <c r="AB97" s="79"/>
      <c r="AC97" s="79"/>
      <c r="AD97" s="79"/>
      <c r="AE97" s="79"/>
      <c r="AF97" s="79"/>
      <c r="AG97" s="79"/>
      <c r="AH97" s="79"/>
      <c r="AI97" s="79"/>
      <c r="AJ97" s="79"/>
      <c r="AK97" s="79"/>
      <c r="AL97" s="79"/>
      <c r="AM97" s="79"/>
      <c r="AN97" s="79"/>
      <c r="AO97" s="80" t="s">
        <v>44</v>
      </c>
      <c r="AP97" s="80"/>
      <c r="AQ97" s="80"/>
      <c r="AR97" s="80" t="s">
        <v>44</v>
      </c>
      <c r="AS97" s="80"/>
      <c r="AT97" s="80"/>
      <c r="AU97" s="80" t="s">
        <v>44</v>
      </c>
      <c r="AV97" s="80"/>
      <c r="AW97" s="80"/>
      <c r="AX97" s="80" t="s">
        <v>44</v>
      </c>
      <c r="AY97" s="80"/>
      <c r="AZ97" s="80"/>
      <c r="BA97" s="80" t="s">
        <v>40</v>
      </c>
      <c r="BB97" s="80"/>
      <c r="BC97" s="80"/>
      <c r="BD97" s="34"/>
      <c r="BE97" s="34"/>
      <c r="BF97" s="34"/>
      <c r="BG97" s="34"/>
      <c r="BH97" s="34"/>
      <c r="BI97" s="34"/>
      <c r="BJ97" s="34"/>
      <c r="BK97" s="34"/>
      <c r="BL97" s="35"/>
    </row>
    <row r="98" spans="1:64" s="33" customFormat="1" ht="13.2" x14ac:dyDescent="0.15">
      <c r="A98" s="78">
        <f t="shared" si="2"/>
        <v>92</v>
      </c>
      <c r="B98" s="78"/>
      <c r="C98" s="79" t="s">
        <v>201</v>
      </c>
      <c r="D98" s="79"/>
      <c r="E98" s="79"/>
      <c r="F98" s="79"/>
      <c r="G98" s="79"/>
      <c r="H98" s="79"/>
      <c r="I98" s="79"/>
      <c r="J98" s="79"/>
      <c r="K98" s="79" t="s">
        <v>266</v>
      </c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 t="s">
        <v>263</v>
      </c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80" t="s">
        <v>44</v>
      </c>
      <c r="AP98" s="80"/>
      <c r="AQ98" s="80"/>
      <c r="AR98" s="80" t="s">
        <v>44</v>
      </c>
      <c r="AS98" s="80"/>
      <c r="AT98" s="80"/>
      <c r="AU98" s="80" t="s">
        <v>44</v>
      </c>
      <c r="AV98" s="80"/>
      <c r="AW98" s="80"/>
      <c r="AX98" s="80" t="s">
        <v>44</v>
      </c>
      <c r="AY98" s="80"/>
      <c r="AZ98" s="80"/>
      <c r="BA98" s="80" t="s">
        <v>40</v>
      </c>
      <c r="BB98" s="80"/>
      <c r="BC98" s="80"/>
      <c r="BD98" s="34"/>
      <c r="BE98" s="34"/>
      <c r="BF98" s="34"/>
      <c r="BG98" s="34"/>
      <c r="BH98" s="34"/>
      <c r="BI98" s="34"/>
      <c r="BJ98" s="34"/>
      <c r="BK98" s="34"/>
      <c r="BL98" s="35"/>
    </row>
    <row r="99" spans="1:64" s="33" customFormat="1" ht="13.2" x14ac:dyDescent="0.15">
      <c r="A99" s="78">
        <f t="shared" si="2"/>
        <v>93</v>
      </c>
      <c r="B99" s="78"/>
      <c r="C99" s="79" t="s">
        <v>201</v>
      </c>
      <c r="D99" s="79"/>
      <c r="E99" s="79"/>
      <c r="F99" s="79"/>
      <c r="G99" s="79"/>
      <c r="H99" s="79"/>
      <c r="I99" s="79"/>
      <c r="J99" s="79"/>
      <c r="K99" s="79" t="s">
        <v>267</v>
      </c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 t="s">
        <v>265</v>
      </c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80" t="s">
        <v>44</v>
      </c>
      <c r="AP99" s="80"/>
      <c r="AQ99" s="80"/>
      <c r="AR99" s="80" t="s">
        <v>44</v>
      </c>
      <c r="AS99" s="80"/>
      <c r="AT99" s="80"/>
      <c r="AU99" s="80" t="s">
        <v>44</v>
      </c>
      <c r="AV99" s="80"/>
      <c r="AW99" s="80"/>
      <c r="AX99" s="80" t="s">
        <v>44</v>
      </c>
      <c r="AY99" s="80"/>
      <c r="AZ99" s="80"/>
      <c r="BA99" s="80" t="s">
        <v>40</v>
      </c>
      <c r="BB99" s="80"/>
      <c r="BC99" s="80"/>
      <c r="BD99" s="34"/>
      <c r="BE99" s="34"/>
      <c r="BF99" s="34"/>
      <c r="BG99" s="34"/>
      <c r="BH99" s="34"/>
      <c r="BI99" s="34"/>
      <c r="BJ99" s="34"/>
      <c r="BK99" s="34"/>
      <c r="BL99" s="35"/>
    </row>
    <row r="100" spans="1:64" s="33" customFormat="1" ht="13.2" x14ac:dyDescent="0.15">
      <c r="A100" s="78">
        <f t="shared" si="2"/>
        <v>94</v>
      </c>
      <c r="B100" s="78"/>
      <c r="C100" s="79" t="s">
        <v>201</v>
      </c>
      <c r="D100" s="79"/>
      <c r="E100" s="79"/>
      <c r="F100" s="79"/>
      <c r="G100" s="79"/>
      <c r="H100" s="79"/>
      <c r="I100" s="79"/>
      <c r="J100" s="79"/>
      <c r="K100" s="79" t="s">
        <v>268</v>
      </c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 t="s">
        <v>264</v>
      </c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80" t="s">
        <v>44</v>
      </c>
      <c r="AP100" s="80"/>
      <c r="AQ100" s="80"/>
      <c r="AR100" s="80" t="s">
        <v>44</v>
      </c>
      <c r="AS100" s="80"/>
      <c r="AT100" s="80"/>
      <c r="AU100" s="80" t="s">
        <v>44</v>
      </c>
      <c r="AV100" s="80"/>
      <c r="AW100" s="80"/>
      <c r="AX100" s="80" t="s">
        <v>44</v>
      </c>
      <c r="AY100" s="80"/>
      <c r="AZ100" s="80"/>
      <c r="BA100" s="80" t="s">
        <v>40</v>
      </c>
      <c r="BB100" s="80"/>
      <c r="BC100" s="80"/>
      <c r="BD100" s="34"/>
      <c r="BE100" s="34"/>
      <c r="BF100" s="34"/>
      <c r="BG100" s="34"/>
      <c r="BH100" s="34"/>
      <c r="BI100" s="34"/>
      <c r="BJ100" s="34"/>
      <c r="BK100" s="34"/>
      <c r="BL100" s="35"/>
    </row>
    <row r="101" spans="1:64" x14ac:dyDescent="0.4">
      <c r="A101" s="78">
        <f t="shared" si="2"/>
        <v>95</v>
      </c>
      <c r="B101" s="78"/>
      <c r="C101" s="79" t="s">
        <v>216</v>
      </c>
      <c r="D101" s="79"/>
      <c r="E101" s="79"/>
      <c r="F101" s="79"/>
      <c r="G101" s="79"/>
      <c r="H101" s="79"/>
      <c r="I101" s="79"/>
      <c r="J101" s="79"/>
      <c r="K101" s="79" t="s">
        <v>217</v>
      </c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 t="s">
        <v>218</v>
      </c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80" t="s">
        <v>40</v>
      </c>
      <c r="AP101" s="80"/>
      <c r="AQ101" s="80"/>
      <c r="AR101" s="80" t="s">
        <v>40</v>
      </c>
      <c r="AS101" s="80"/>
      <c r="AT101" s="80"/>
      <c r="AU101" s="80" t="s">
        <v>44</v>
      </c>
      <c r="AV101" s="80"/>
      <c r="AW101" s="80"/>
      <c r="AX101" s="80" t="s">
        <v>44</v>
      </c>
      <c r="AY101" s="80"/>
      <c r="AZ101" s="80"/>
      <c r="BA101" s="80" t="s">
        <v>40</v>
      </c>
      <c r="BB101" s="80"/>
      <c r="BC101" s="80"/>
      <c r="BD101" s="34"/>
      <c r="BE101" s="34"/>
      <c r="BF101" s="34"/>
      <c r="BG101" s="34"/>
      <c r="BH101" s="34"/>
      <c r="BI101" s="34"/>
      <c r="BJ101" s="34"/>
      <c r="BK101" s="34"/>
      <c r="BL101" s="35"/>
    </row>
    <row r="102" spans="1:64" x14ac:dyDescent="0.4">
      <c r="A102" s="78">
        <f t="shared" si="2"/>
        <v>96</v>
      </c>
      <c r="B102" s="78"/>
      <c r="C102" s="79" t="s">
        <v>216</v>
      </c>
      <c r="D102" s="79"/>
      <c r="E102" s="79"/>
      <c r="F102" s="79"/>
      <c r="G102" s="79"/>
      <c r="H102" s="79"/>
      <c r="I102" s="79"/>
      <c r="J102" s="79"/>
      <c r="K102" s="79" t="s">
        <v>219</v>
      </c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 t="s">
        <v>220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9"/>
      <c r="AN102" s="79"/>
      <c r="AO102" s="80" t="s">
        <v>44</v>
      </c>
      <c r="AP102" s="80"/>
      <c r="AQ102" s="80"/>
      <c r="AR102" s="80" t="s">
        <v>44</v>
      </c>
      <c r="AS102" s="80"/>
      <c r="AT102" s="80"/>
      <c r="AU102" s="80" t="s">
        <v>44</v>
      </c>
      <c r="AV102" s="80"/>
      <c r="AW102" s="80"/>
      <c r="AX102" s="80" t="s">
        <v>44</v>
      </c>
      <c r="AY102" s="80"/>
      <c r="AZ102" s="80"/>
      <c r="BA102" s="80" t="s">
        <v>40</v>
      </c>
      <c r="BB102" s="80"/>
      <c r="BC102" s="80"/>
      <c r="BD102" s="34"/>
      <c r="BE102" s="34"/>
      <c r="BF102" s="34"/>
      <c r="BG102" s="34"/>
      <c r="BH102" s="34"/>
      <c r="BI102" s="34"/>
      <c r="BJ102" s="34"/>
      <c r="BK102" s="34"/>
      <c r="BL102" s="35"/>
    </row>
    <row r="103" spans="1:64" x14ac:dyDescent="0.4">
      <c r="A103" s="78">
        <f t="shared" si="2"/>
        <v>97</v>
      </c>
      <c r="B103" s="78"/>
      <c r="C103" s="79" t="s">
        <v>216</v>
      </c>
      <c r="D103" s="79"/>
      <c r="E103" s="79"/>
      <c r="F103" s="79"/>
      <c r="G103" s="79"/>
      <c r="H103" s="79"/>
      <c r="I103" s="79"/>
      <c r="J103" s="79"/>
      <c r="K103" s="79" t="s">
        <v>221</v>
      </c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 t="s">
        <v>222</v>
      </c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80" t="s">
        <v>44</v>
      </c>
      <c r="AP103" s="80"/>
      <c r="AQ103" s="80"/>
      <c r="AR103" s="80" t="s">
        <v>44</v>
      </c>
      <c r="AS103" s="80"/>
      <c r="AT103" s="80"/>
      <c r="AU103" s="80" t="s">
        <v>44</v>
      </c>
      <c r="AV103" s="80"/>
      <c r="AW103" s="80"/>
      <c r="AX103" s="80" t="s">
        <v>44</v>
      </c>
      <c r="AY103" s="80"/>
      <c r="AZ103" s="80"/>
      <c r="BA103" s="80" t="s">
        <v>40</v>
      </c>
      <c r="BB103" s="80"/>
      <c r="BC103" s="80"/>
      <c r="BD103" s="34"/>
      <c r="BE103" s="34"/>
      <c r="BF103" s="34"/>
      <c r="BG103" s="34"/>
      <c r="BH103" s="34"/>
      <c r="BI103" s="34"/>
      <c r="BJ103" s="34"/>
      <c r="BK103" s="34"/>
      <c r="BL103" s="35"/>
    </row>
    <row r="104" spans="1:64" x14ac:dyDescent="0.4">
      <c r="A104" s="78">
        <f t="shared" si="2"/>
        <v>98</v>
      </c>
      <c r="B104" s="78"/>
      <c r="C104" s="79" t="s">
        <v>216</v>
      </c>
      <c r="D104" s="79"/>
      <c r="E104" s="79"/>
      <c r="F104" s="79"/>
      <c r="G104" s="79"/>
      <c r="H104" s="79"/>
      <c r="I104" s="79"/>
      <c r="J104" s="79"/>
      <c r="K104" s="79" t="s">
        <v>223</v>
      </c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 t="s">
        <v>224</v>
      </c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80" t="s">
        <v>44</v>
      </c>
      <c r="AP104" s="80"/>
      <c r="AQ104" s="80"/>
      <c r="AR104" s="80" t="s">
        <v>44</v>
      </c>
      <c r="AS104" s="80"/>
      <c r="AT104" s="80"/>
      <c r="AU104" s="80" t="s">
        <v>44</v>
      </c>
      <c r="AV104" s="80"/>
      <c r="AW104" s="80"/>
      <c r="AX104" s="80" t="s">
        <v>44</v>
      </c>
      <c r="AY104" s="80"/>
      <c r="AZ104" s="80"/>
      <c r="BA104" s="80" t="s">
        <v>40</v>
      </c>
      <c r="BB104" s="80"/>
      <c r="BC104" s="80"/>
      <c r="BD104" s="34"/>
      <c r="BE104" s="34"/>
      <c r="BF104" s="34"/>
      <c r="BG104" s="34"/>
      <c r="BH104" s="34"/>
      <c r="BI104" s="34"/>
      <c r="BJ104" s="34"/>
      <c r="BK104" s="34"/>
      <c r="BL104" s="35"/>
    </row>
    <row r="105" spans="1:64" x14ac:dyDescent="0.4">
      <c r="A105" s="78">
        <f t="shared" si="2"/>
        <v>99</v>
      </c>
      <c r="B105" s="78"/>
      <c r="C105" s="79" t="s">
        <v>225</v>
      </c>
      <c r="D105" s="79"/>
      <c r="E105" s="79"/>
      <c r="F105" s="79"/>
      <c r="G105" s="79"/>
      <c r="H105" s="79"/>
      <c r="I105" s="79"/>
      <c r="J105" s="79"/>
      <c r="K105" s="79" t="s">
        <v>226</v>
      </c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 t="s">
        <v>227</v>
      </c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80" t="s">
        <v>40</v>
      </c>
      <c r="AP105" s="80"/>
      <c r="AQ105" s="80"/>
      <c r="AR105" s="80" t="s">
        <v>40</v>
      </c>
      <c r="AS105" s="80"/>
      <c r="AT105" s="80"/>
      <c r="AU105" s="80" t="s">
        <v>40</v>
      </c>
      <c r="AV105" s="80"/>
      <c r="AW105" s="80"/>
      <c r="AX105" s="80" t="s">
        <v>40</v>
      </c>
      <c r="AY105" s="80"/>
      <c r="AZ105" s="80"/>
      <c r="BA105" s="80" t="s">
        <v>40</v>
      </c>
      <c r="BB105" s="80"/>
      <c r="BC105" s="80"/>
      <c r="BD105" s="34"/>
      <c r="BE105" s="34"/>
      <c r="BF105" s="34"/>
      <c r="BG105" s="34"/>
      <c r="BH105" s="34"/>
      <c r="BI105" s="34"/>
      <c r="BJ105" s="34"/>
      <c r="BK105" s="34"/>
      <c r="BL105" s="35"/>
    </row>
    <row r="106" spans="1:64" x14ac:dyDescent="0.4">
      <c r="A106" s="78">
        <f t="shared" si="2"/>
        <v>100</v>
      </c>
      <c r="B106" s="78"/>
      <c r="C106" s="79" t="s">
        <v>225</v>
      </c>
      <c r="D106" s="79"/>
      <c r="E106" s="79"/>
      <c r="F106" s="79"/>
      <c r="G106" s="79"/>
      <c r="H106" s="79"/>
      <c r="I106" s="79"/>
      <c r="J106" s="79"/>
      <c r="K106" s="79" t="s">
        <v>228</v>
      </c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 t="s">
        <v>229</v>
      </c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80" t="s">
        <v>44</v>
      </c>
      <c r="AP106" s="80"/>
      <c r="AQ106" s="80"/>
      <c r="AR106" s="80" t="s">
        <v>40</v>
      </c>
      <c r="AS106" s="80"/>
      <c r="AT106" s="80"/>
      <c r="AU106" s="80" t="s">
        <v>40</v>
      </c>
      <c r="AV106" s="80"/>
      <c r="AW106" s="80"/>
      <c r="AX106" s="80" t="s">
        <v>40</v>
      </c>
      <c r="AY106" s="80"/>
      <c r="AZ106" s="80"/>
      <c r="BA106" s="80" t="s">
        <v>40</v>
      </c>
      <c r="BB106" s="80"/>
      <c r="BC106" s="80"/>
      <c r="BD106" s="34"/>
      <c r="BE106" s="34"/>
      <c r="BF106" s="34"/>
      <c r="BG106" s="34"/>
      <c r="BH106" s="34"/>
      <c r="BI106" s="34"/>
      <c r="BJ106" s="34"/>
      <c r="BK106" s="34"/>
      <c r="BL106" s="35"/>
    </row>
    <row r="107" spans="1:64" x14ac:dyDescent="0.4">
      <c r="A107" s="78">
        <f t="shared" si="2"/>
        <v>101</v>
      </c>
      <c r="B107" s="78"/>
      <c r="C107" s="79" t="s">
        <v>225</v>
      </c>
      <c r="D107" s="79"/>
      <c r="E107" s="79"/>
      <c r="F107" s="79"/>
      <c r="G107" s="79"/>
      <c r="H107" s="79"/>
      <c r="I107" s="79"/>
      <c r="J107" s="79"/>
      <c r="K107" s="79" t="s">
        <v>230</v>
      </c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 t="s">
        <v>231</v>
      </c>
      <c r="AB107" s="79"/>
      <c r="AC107" s="79"/>
      <c r="AD107" s="79"/>
      <c r="AE107" s="79"/>
      <c r="AF107" s="79"/>
      <c r="AG107" s="79"/>
      <c r="AH107" s="79"/>
      <c r="AI107" s="79"/>
      <c r="AJ107" s="79"/>
      <c r="AK107" s="79"/>
      <c r="AL107" s="79"/>
      <c r="AM107" s="79"/>
      <c r="AN107" s="79"/>
      <c r="AO107" s="80" t="s">
        <v>40</v>
      </c>
      <c r="AP107" s="80"/>
      <c r="AQ107" s="80"/>
      <c r="AR107" s="80" t="s">
        <v>40</v>
      </c>
      <c r="AS107" s="80"/>
      <c r="AT107" s="80"/>
      <c r="AU107" s="80" t="s">
        <v>44</v>
      </c>
      <c r="AV107" s="80"/>
      <c r="AW107" s="80"/>
      <c r="AX107" s="80" t="s">
        <v>44</v>
      </c>
      <c r="AY107" s="80"/>
      <c r="AZ107" s="80"/>
      <c r="BA107" s="80" t="s">
        <v>40</v>
      </c>
      <c r="BB107" s="80"/>
      <c r="BC107" s="80"/>
      <c r="BD107" s="34"/>
      <c r="BE107" s="34"/>
      <c r="BF107" s="34"/>
      <c r="BG107" s="34"/>
      <c r="BH107" s="34"/>
      <c r="BI107" s="34"/>
      <c r="BJ107" s="34"/>
      <c r="BK107" s="34"/>
      <c r="BL107" s="35"/>
    </row>
    <row r="108" spans="1:64" x14ac:dyDescent="0.4">
      <c r="A108" s="78">
        <f t="shared" si="2"/>
        <v>102</v>
      </c>
      <c r="B108" s="78"/>
      <c r="C108" s="79" t="s">
        <v>232</v>
      </c>
      <c r="D108" s="79"/>
      <c r="E108" s="79"/>
      <c r="F108" s="79"/>
      <c r="G108" s="79"/>
      <c r="H108" s="79"/>
      <c r="I108" s="79"/>
      <c r="J108" s="79"/>
      <c r="K108" s="79" t="s">
        <v>233</v>
      </c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 t="s">
        <v>234</v>
      </c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80" t="s">
        <v>44</v>
      </c>
      <c r="AP108" s="80"/>
      <c r="AQ108" s="80"/>
      <c r="AR108" s="80" t="s">
        <v>40</v>
      </c>
      <c r="AS108" s="80"/>
      <c r="AT108" s="80"/>
      <c r="AU108" s="80" t="s">
        <v>44</v>
      </c>
      <c r="AV108" s="80"/>
      <c r="AW108" s="80"/>
      <c r="AX108" s="80" t="s">
        <v>44</v>
      </c>
      <c r="AY108" s="80"/>
      <c r="AZ108" s="80"/>
      <c r="BA108" s="80" t="s">
        <v>40</v>
      </c>
      <c r="BB108" s="80"/>
      <c r="BC108" s="80"/>
      <c r="BD108" s="34"/>
      <c r="BE108" s="34"/>
      <c r="BF108" s="34"/>
      <c r="BG108" s="34"/>
      <c r="BH108" s="34"/>
      <c r="BI108" s="34"/>
      <c r="BJ108" s="34"/>
      <c r="BK108" s="34"/>
      <c r="BL108" s="35"/>
    </row>
    <row r="109" spans="1:64" x14ac:dyDescent="0.4">
      <c r="A109" s="78">
        <f t="shared" si="2"/>
        <v>103</v>
      </c>
      <c r="B109" s="78"/>
      <c r="C109" s="79" t="s">
        <v>232</v>
      </c>
      <c r="D109" s="79"/>
      <c r="E109" s="79"/>
      <c r="F109" s="79"/>
      <c r="G109" s="79"/>
      <c r="H109" s="79"/>
      <c r="I109" s="79"/>
      <c r="J109" s="79"/>
      <c r="K109" s="79" t="s">
        <v>235</v>
      </c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 t="s">
        <v>269</v>
      </c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80" t="s">
        <v>44</v>
      </c>
      <c r="AP109" s="80"/>
      <c r="AQ109" s="80"/>
      <c r="AR109" s="80" t="s">
        <v>40</v>
      </c>
      <c r="AS109" s="80"/>
      <c r="AT109" s="80"/>
      <c r="AU109" s="80" t="s">
        <v>44</v>
      </c>
      <c r="AV109" s="80"/>
      <c r="AW109" s="80"/>
      <c r="AX109" s="80" t="s">
        <v>44</v>
      </c>
      <c r="AY109" s="80"/>
      <c r="AZ109" s="80"/>
      <c r="BA109" s="80" t="s">
        <v>40</v>
      </c>
      <c r="BB109" s="80"/>
      <c r="BC109" s="80"/>
      <c r="BD109" s="34"/>
      <c r="BE109" s="34"/>
      <c r="BF109" s="34"/>
      <c r="BG109" s="34"/>
      <c r="BH109" s="34"/>
      <c r="BI109" s="34"/>
      <c r="BJ109" s="34"/>
      <c r="BK109" s="34"/>
      <c r="BL109" s="35"/>
    </row>
    <row r="110" spans="1:64" ht="16.8" customHeight="1" x14ac:dyDescent="0.4">
      <c r="A110" s="78">
        <f t="shared" si="2"/>
        <v>104</v>
      </c>
      <c r="B110" s="78"/>
      <c r="C110" s="79" t="s">
        <v>232</v>
      </c>
      <c r="D110" s="79"/>
      <c r="E110" s="79"/>
      <c r="F110" s="79"/>
      <c r="G110" s="79"/>
      <c r="H110" s="79"/>
      <c r="I110" s="79"/>
      <c r="J110" s="79"/>
      <c r="K110" s="79" t="s">
        <v>236</v>
      </c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 t="s">
        <v>237</v>
      </c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80" t="s">
        <v>44</v>
      </c>
      <c r="AP110" s="80"/>
      <c r="AQ110" s="80"/>
      <c r="AR110" s="80" t="s">
        <v>44</v>
      </c>
      <c r="AS110" s="80"/>
      <c r="AT110" s="80"/>
      <c r="AU110" s="80" t="s">
        <v>44</v>
      </c>
      <c r="AV110" s="80"/>
      <c r="AW110" s="80"/>
      <c r="AX110" s="80" t="s">
        <v>44</v>
      </c>
      <c r="AY110" s="80"/>
      <c r="AZ110" s="80"/>
      <c r="BA110" s="80" t="s">
        <v>40</v>
      </c>
      <c r="BB110" s="80"/>
      <c r="BC110" s="80"/>
      <c r="BD110" s="34"/>
      <c r="BE110" s="34"/>
      <c r="BF110" s="34"/>
      <c r="BG110" s="34"/>
      <c r="BH110" s="34"/>
      <c r="BI110" s="34"/>
      <c r="BJ110" s="34"/>
      <c r="BK110" s="34"/>
      <c r="BL110" s="35"/>
    </row>
    <row r="111" spans="1:64" ht="16.8" customHeight="1" x14ac:dyDescent="0.4">
      <c r="A111" s="78">
        <f t="shared" si="2"/>
        <v>105</v>
      </c>
      <c r="B111" s="78"/>
      <c r="C111" s="79" t="s">
        <v>232</v>
      </c>
      <c r="D111" s="79"/>
      <c r="E111" s="79"/>
      <c r="F111" s="79"/>
      <c r="G111" s="79"/>
      <c r="H111" s="79"/>
      <c r="I111" s="79"/>
      <c r="J111" s="79"/>
      <c r="K111" s="79" t="s">
        <v>294</v>
      </c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 t="s">
        <v>295</v>
      </c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80" t="s">
        <v>44</v>
      </c>
      <c r="AP111" s="80"/>
      <c r="AQ111" s="80"/>
      <c r="AR111" s="80" t="s">
        <v>44</v>
      </c>
      <c r="AS111" s="80"/>
      <c r="AT111" s="80"/>
      <c r="AU111" s="80" t="s">
        <v>44</v>
      </c>
      <c r="AV111" s="80"/>
      <c r="AW111" s="80"/>
      <c r="AX111" s="80" t="s">
        <v>44</v>
      </c>
      <c r="AY111" s="80"/>
      <c r="AZ111" s="80"/>
      <c r="BA111" s="80" t="s">
        <v>40</v>
      </c>
      <c r="BB111" s="80"/>
      <c r="BC111" s="80"/>
      <c r="BD111" s="34"/>
      <c r="BE111" s="34"/>
      <c r="BF111" s="34"/>
      <c r="BG111" s="34"/>
      <c r="BH111" s="34"/>
      <c r="BI111" s="34"/>
      <c r="BJ111" s="34"/>
      <c r="BK111" s="34"/>
      <c r="BL111" s="35"/>
    </row>
    <row r="112" spans="1:64" x14ac:dyDescent="0.4">
      <c r="A112" s="78">
        <f t="shared" si="2"/>
        <v>106</v>
      </c>
      <c r="B112" s="78"/>
      <c r="C112" s="79" t="s">
        <v>238</v>
      </c>
      <c r="D112" s="79"/>
      <c r="E112" s="79"/>
      <c r="F112" s="79"/>
      <c r="G112" s="79"/>
      <c r="H112" s="79"/>
      <c r="I112" s="79"/>
      <c r="J112" s="79"/>
      <c r="K112" s="79" t="s">
        <v>238</v>
      </c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 t="s">
        <v>239</v>
      </c>
      <c r="AB112" s="79"/>
      <c r="AC112" s="79"/>
      <c r="AD112" s="79"/>
      <c r="AE112" s="79"/>
      <c r="AF112" s="79"/>
      <c r="AG112" s="79"/>
      <c r="AH112" s="79"/>
      <c r="AI112" s="79"/>
      <c r="AJ112" s="79"/>
      <c r="AK112" s="79"/>
      <c r="AL112" s="79"/>
      <c r="AM112" s="79"/>
      <c r="AN112" s="79"/>
      <c r="AO112" s="80" t="s">
        <v>40</v>
      </c>
      <c r="AP112" s="80"/>
      <c r="AQ112" s="80"/>
      <c r="AR112" s="80" t="s">
        <v>40</v>
      </c>
      <c r="AS112" s="80"/>
      <c r="AT112" s="80"/>
      <c r="AU112" s="80" t="s">
        <v>40</v>
      </c>
      <c r="AV112" s="80"/>
      <c r="AW112" s="80"/>
      <c r="AX112" s="80" t="s">
        <v>40</v>
      </c>
      <c r="AY112" s="80"/>
      <c r="AZ112" s="80"/>
      <c r="BA112" s="80" t="s">
        <v>40</v>
      </c>
      <c r="BB112" s="80"/>
      <c r="BC112" s="80"/>
      <c r="BD112" s="34"/>
      <c r="BE112" s="34"/>
      <c r="BF112" s="34"/>
      <c r="BG112" s="34"/>
      <c r="BH112" s="34"/>
      <c r="BI112" s="34"/>
      <c r="BJ112" s="34"/>
      <c r="BK112" s="34"/>
      <c r="BL112" s="35"/>
    </row>
    <row r="113" spans="1:64" x14ac:dyDescent="0.4">
      <c r="A113" s="78">
        <f t="shared" si="2"/>
        <v>107</v>
      </c>
      <c r="B113" s="78"/>
      <c r="C113" s="79" t="s">
        <v>240</v>
      </c>
      <c r="D113" s="79"/>
      <c r="E113" s="79"/>
      <c r="F113" s="79"/>
      <c r="G113" s="79"/>
      <c r="H113" s="79"/>
      <c r="I113" s="79"/>
      <c r="J113" s="79"/>
      <c r="K113" s="79" t="s">
        <v>241</v>
      </c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 t="s">
        <v>242</v>
      </c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80" t="s">
        <v>44</v>
      </c>
      <c r="AP113" s="80"/>
      <c r="AQ113" s="80"/>
      <c r="AR113" s="80" t="s">
        <v>40</v>
      </c>
      <c r="AS113" s="80"/>
      <c r="AT113" s="80"/>
      <c r="AU113" s="80" t="s">
        <v>44</v>
      </c>
      <c r="AV113" s="80"/>
      <c r="AW113" s="80"/>
      <c r="AX113" s="80" t="s">
        <v>44</v>
      </c>
      <c r="AY113" s="80"/>
      <c r="AZ113" s="80"/>
      <c r="BA113" s="80" t="s">
        <v>40</v>
      </c>
      <c r="BB113" s="80"/>
      <c r="BC113" s="80"/>
      <c r="BD113" s="34"/>
      <c r="BE113" s="34"/>
      <c r="BF113" s="34"/>
      <c r="BG113" s="34"/>
      <c r="BH113" s="34"/>
      <c r="BI113" s="34"/>
      <c r="BJ113" s="34"/>
      <c r="BK113" s="34"/>
      <c r="BL113" s="35"/>
    </row>
    <row r="114" spans="1:64" x14ac:dyDescent="0.4">
      <c r="A114" s="78">
        <f t="shared" si="2"/>
        <v>108</v>
      </c>
      <c r="B114" s="78"/>
      <c r="C114" s="79" t="s">
        <v>277</v>
      </c>
      <c r="D114" s="79"/>
      <c r="E114" s="79"/>
      <c r="F114" s="79"/>
      <c r="G114" s="79"/>
      <c r="H114" s="79"/>
      <c r="I114" s="79"/>
      <c r="J114" s="79"/>
      <c r="K114" s="79" t="s">
        <v>243</v>
      </c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 t="s">
        <v>244</v>
      </c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80" t="s">
        <v>44</v>
      </c>
      <c r="AP114" s="80"/>
      <c r="AQ114" s="80"/>
      <c r="AR114" s="80" t="s">
        <v>40</v>
      </c>
      <c r="AS114" s="80"/>
      <c r="AT114" s="80"/>
      <c r="AU114" s="80" t="s">
        <v>44</v>
      </c>
      <c r="AV114" s="80"/>
      <c r="AW114" s="80"/>
      <c r="AX114" s="80" t="s">
        <v>44</v>
      </c>
      <c r="AY114" s="80"/>
      <c r="AZ114" s="80"/>
      <c r="BA114" s="80" t="s">
        <v>40</v>
      </c>
      <c r="BB114" s="80"/>
      <c r="BC114" s="80"/>
      <c r="BD114" s="34"/>
      <c r="BE114" s="34"/>
      <c r="BF114" s="34"/>
      <c r="BG114" s="34"/>
      <c r="BH114" s="34"/>
      <c r="BI114" s="34"/>
      <c r="BJ114" s="34"/>
      <c r="BK114" s="34"/>
      <c r="BL114" s="35"/>
    </row>
    <row r="115" spans="1:64" x14ac:dyDescent="0.4">
      <c r="A115" s="78">
        <v>89</v>
      </c>
      <c r="B115" s="78"/>
      <c r="C115" s="79" t="s">
        <v>277</v>
      </c>
      <c r="D115" s="79"/>
      <c r="E115" s="79"/>
      <c r="F115" s="79"/>
      <c r="G115" s="79"/>
      <c r="H115" s="79"/>
      <c r="I115" s="79"/>
      <c r="J115" s="79"/>
      <c r="K115" s="79" t="s">
        <v>245</v>
      </c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 t="s">
        <v>246</v>
      </c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80" t="s">
        <v>44</v>
      </c>
      <c r="AP115" s="80"/>
      <c r="AQ115" s="80"/>
      <c r="AR115" s="80" t="s">
        <v>40</v>
      </c>
      <c r="AS115" s="80"/>
      <c r="AT115" s="80"/>
      <c r="AU115" s="80" t="s">
        <v>44</v>
      </c>
      <c r="AV115" s="80"/>
      <c r="AW115" s="80"/>
      <c r="AX115" s="80" t="s">
        <v>44</v>
      </c>
      <c r="AY115" s="80"/>
      <c r="AZ115" s="80"/>
      <c r="BA115" s="80" t="s">
        <v>40</v>
      </c>
      <c r="BB115" s="80"/>
      <c r="BC115" s="80"/>
      <c r="BD115" s="34"/>
      <c r="BE115" s="34"/>
      <c r="BF115" s="34"/>
      <c r="BG115" s="34"/>
      <c r="BH115" s="34"/>
      <c r="BI115" s="34"/>
      <c r="BJ115" s="34"/>
      <c r="BK115" s="34"/>
      <c r="BL115" s="35"/>
    </row>
    <row r="116" spans="1:64" x14ac:dyDescent="0.4">
      <c r="A116" s="78">
        <v>90</v>
      </c>
      <c r="B116" s="78"/>
      <c r="C116" s="79" t="s">
        <v>247</v>
      </c>
      <c r="D116" s="79"/>
      <c r="E116" s="79"/>
      <c r="F116" s="79"/>
      <c r="G116" s="79"/>
      <c r="H116" s="79"/>
      <c r="I116" s="79"/>
      <c r="J116" s="79"/>
      <c r="K116" s="79" t="s">
        <v>248</v>
      </c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 t="s">
        <v>249</v>
      </c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80" t="s">
        <v>44</v>
      </c>
      <c r="AP116" s="80"/>
      <c r="AQ116" s="80"/>
      <c r="AR116" s="80" t="s">
        <v>44</v>
      </c>
      <c r="AS116" s="80"/>
      <c r="AT116" s="80"/>
      <c r="AU116" s="80" t="s">
        <v>44</v>
      </c>
      <c r="AV116" s="80"/>
      <c r="AW116" s="80"/>
      <c r="AX116" s="80" t="s">
        <v>44</v>
      </c>
      <c r="AY116" s="80"/>
      <c r="AZ116" s="80"/>
      <c r="BA116" s="80" t="s">
        <v>40</v>
      </c>
      <c r="BB116" s="80"/>
      <c r="BC116" s="80"/>
      <c r="BD116" s="34"/>
      <c r="BE116" s="34"/>
      <c r="BF116" s="34"/>
      <c r="BG116" s="34"/>
      <c r="BH116" s="34"/>
      <c r="BI116" s="34"/>
      <c r="BJ116" s="34"/>
      <c r="BK116" s="34"/>
      <c r="BL116" s="35"/>
    </row>
    <row r="117" spans="1:64" x14ac:dyDescent="0.4">
      <c r="A117" s="78">
        <v>91</v>
      </c>
      <c r="B117" s="78"/>
      <c r="C117" s="79" t="s">
        <v>247</v>
      </c>
      <c r="D117" s="79"/>
      <c r="E117" s="79"/>
      <c r="F117" s="79"/>
      <c r="G117" s="79"/>
      <c r="H117" s="79"/>
      <c r="I117" s="79"/>
      <c r="J117" s="79"/>
      <c r="K117" s="79" t="s">
        <v>250</v>
      </c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 t="s">
        <v>251</v>
      </c>
      <c r="AB117" s="79"/>
      <c r="AC117" s="79"/>
      <c r="AD117" s="79"/>
      <c r="AE117" s="79"/>
      <c r="AF117" s="79"/>
      <c r="AG117" s="79"/>
      <c r="AH117" s="79"/>
      <c r="AI117" s="79"/>
      <c r="AJ117" s="79"/>
      <c r="AK117" s="79"/>
      <c r="AL117" s="79"/>
      <c r="AM117" s="79"/>
      <c r="AN117" s="79"/>
      <c r="AO117" s="80" t="s">
        <v>44</v>
      </c>
      <c r="AP117" s="80"/>
      <c r="AQ117" s="80"/>
      <c r="AR117" s="80" t="s">
        <v>44</v>
      </c>
      <c r="AS117" s="80"/>
      <c r="AT117" s="80"/>
      <c r="AU117" s="80" t="s">
        <v>44</v>
      </c>
      <c r="AV117" s="80"/>
      <c r="AW117" s="80"/>
      <c r="AX117" s="80" t="s">
        <v>44</v>
      </c>
      <c r="AY117" s="80"/>
      <c r="AZ117" s="80"/>
      <c r="BA117" s="80" t="s">
        <v>40</v>
      </c>
      <c r="BB117" s="80"/>
      <c r="BC117" s="80"/>
      <c r="BD117" s="34"/>
      <c r="BE117" s="34"/>
      <c r="BF117" s="34"/>
      <c r="BG117" s="34"/>
      <c r="BH117" s="34"/>
      <c r="BI117" s="34"/>
      <c r="BJ117" s="34"/>
      <c r="BK117" s="34"/>
      <c r="BL117" s="35"/>
    </row>
  </sheetData>
  <mergeCells count="1023">
    <mergeCell ref="A82:B82"/>
    <mergeCell ref="C82:J82"/>
    <mergeCell ref="K82:Z82"/>
    <mergeCell ref="AA82:AN82"/>
    <mergeCell ref="AO82:AQ82"/>
    <mergeCell ref="AR82:AT82"/>
    <mergeCell ref="AU82:AW82"/>
    <mergeCell ref="AX82:AZ82"/>
    <mergeCell ref="BA82:BC82"/>
    <mergeCell ref="A100:B100"/>
    <mergeCell ref="C100:J100"/>
    <mergeCell ref="K100:Z100"/>
    <mergeCell ref="AA100:AN100"/>
    <mergeCell ref="AO100:AQ100"/>
    <mergeCell ref="AR100:AT100"/>
    <mergeCell ref="AU100:AW100"/>
    <mergeCell ref="AX100:AZ100"/>
    <mergeCell ref="BA100:BC100"/>
    <mergeCell ref="A99:B99"/>
    <mergeCell ref="C99:J99"/>
    <mergeCell ref="K99:Z99"/>
    <mergeCell ref="AA99:AN99"/>
    <mergeCell ref="AO99:AQ99"/>
    <mergeCell ref="AR99:AT99"/>
    <mergeCell ref="AU99:AW99"/>
    <mergeCell ref="AX99:AZ99"/>
    <mergeCell ref="BA99:BC99"/>
    <mergeCell ref="AR98:AT98"/>
    <mergeCell ref="AU98:AW98"/>
    <mergeCell ref="AX98:AZ98"/>
    <mergeCell ref="BA98:BC98"/>
    <mergeCell ref="A97:B97"/>
    <mergeCell ref="A117:B117"/>
    <mergeCell ref="C117:J117"/>
    <mergeCell ref="K117:Z117"/>
    <mergeCell ref="AA117:AN117"/>
    <mergeCell ref="AO117:AQ117"/>
    <mergeCell ref="AR117:AT117"/>
    <mergeCell ref="AU117:AW117"/>
    <mergeCell ref="AX117:AZ117"/>
    <mergeCell ref="BA117:BC117"/>
    <mergeCell ref="A116:B116"/>
    <mergeCell ref="C116:J116"/>
    <mergeCell ref="K116:Z116"/>
    <mergeCell ref="AA116:AN116"/>
    <mergeCell ref="AO116:AQ116"/>
    <mergeCell ref="AR116:AT116"/>
    <mergeCell ref="AU116:AW116"/>
    <mergeCell ref="AX116:AZ116"/>
    <mergeCell ref="BA116:BC116"/>
    <mergeCell ref="C97:J97"/>
    <mergeCell ref="K97:Z97"/>
    <mergeCell ref="AA97:AN97"/>
    <mergeCell ref="AO97:AQ97"/>
    <mergeCell ref="AR97:AT97"/>
    <mergeCell ref="AU97:AW97"/>
    <mergeCell ref="AX97:AZ97"/>
    <mergeCell ref="BA97:BC97"/>
    <mergeCell ref="A98:B98"/>
    <mergeCell ref="C98:J98"/>
    <mergeCell ref="K98:Z98"/>
    <mergeCell ref="AA98:AN98"/>
    <mergeCell ref="AO98:AQ98"/>
    <mergeCell ref="C115:J115"/>
    <mergeCell ref="K115:Z115"/>
    <mergeCell ref="AA115:AN115"/>
    <mergeCell ref="AO115:AQ115"/>
    <mergeCell ref="AR115:AT115"/>
    <mergeCell ref="AU115:AW115"/>
    <mergeCell ref="AX115:AZ115"/>
    <mergeCell ref="BA115:BC115"/>
    <mergeCell ref="A114:B114"/>
    <mergeCell ref="C114:J114"/>
    <mergeCell ref="K114:Z114"/>
    <mergeCell ref="AA114:AN114"/>
    <mergeCell ref="AO114:AQ114"/>
    <mergeCell ref="AR114:AT114"/>
    <mergeCell ref="AU114:AW114"/>
    <mergeCell ref="AX114:AZ114"/>
    <mergeCell ref="BA114:BC114"/>
    <mergeCell ref="A115:B115"/>
    <mergeCell ref="A113:B113"/>
    <mergeCell ref="C113:J113"/>
    <mergeCell ref="K113:Z113"/>
    <mergeCell ref="AA113:AN113"/>
    <mergeCell ref="AO113:AQ113"/>
    <mergeCell ref="AR113:AT113"/>
    <mergeCell ref="AU113:AW113"/>
    <mergeCell ref="AX113:AZ113"/>
    <mergeCell ref="BA113:BC113"/>
    <mergeCell ref="A112:B112"/>
    <mergeCell ref="C112:J112"/>
    <mergeCell ref="K112:Z112"/>
    <mergeCell ref="AA112:AN112"/>
    <mergeCell ref="AO112:AQ112"/>
    <mergeCell ref="AR112:AT112"/>
    <mergeCell ref="AU112:AW112"/>
    <mergeCell ref="AX112:AZ112"/>
    <mergeCell ref="BA112:BC112"/>
    <mergeCell ref="A111:B111"/>
    <mergeCell ref="C111:J111"/>
    <mergeCell ref="K111:Z111"/>
    <mergeCell ref="AA111:AN111"/>
    <mergeCell ref="AO111:AQ111"/>
    <mergeCell ref="AR111:AT111"/>
    <mergeCell ref="AU111:AW111"/>
    <mergeCell ref="AX111:AZ111"/>
    <mergeCell ref="BA111:BC111"/>
    <mergeCell ref="A109:B109"/>
    <mergeCell ref="C109:J109"/>
    <mergeCell ref="K109:Z109"/>
    <mergeCell ref="AA109:AN109"/>
    <mergeCell ref="AO109:AQ109"/>
    <mergeCell ref="AR109:AT109"/>
    <mergeCell ref="AU109:AW109"/>
    <mergeCell ref="AX109:AZ109"/>
    <mergeCell ref="BA109:BC109"/>
    <mergeCell ref="A110:B110"/>
    <mergeCell ref="C110:J110"/>
    <mergeCell ref="K110:Z110"/>
    <mergeCell ref="AA110:AN110"/>
    <mergeCell ref="AO110:AQ110"/>
    <mergeCell ref="AR110:AT110"/>
    <mergeCell ref="AU110:AW110"/>
    <mergeCell ref="AX110:AZ110"/>
    <mergeCell ref="BA110:BC110"/>
    <mergeCell ref="A108:B108"/>
    <mergeCell ref="C108:J108"/>
    <mergeCell ref="K108:Z108"/>
    <mergeCell ref="AA108:AN108"/>
    <mergeCell ref="AO108:AQ108"/>
    <mergeCell ref="AR108:AT108"/>
    <mergeCell ref="AU108:AW108"/>
    <mergeCell ref="AX108:AZ108"/>
    <mergeCell ref="BA108:BC108"/>
    <mergeCell ref="A107:B107"/>
    <mergeCell ref="C107:J107"/>
    <mergeCell ref="K107:Z107"/>
    <mergeCell ref="AA107:AN107"/>
    <mergeCell ref="AO107:AQ107"/>
    <mergeCell ref="AR107:AT107"/>
    <mergeCell ref="AU107:AW107"/>
    <mergeCell ref="AX107:AZ107"/>
    <mergeCell ref="BA107:BC107"/>
    <mergeCell ref="A106:B106"/>
    <mergeCell ref="C106:J106"/>
    <mergeCell ref="K106:Z106"/>
    <mergeCell ref="AA106:AN106"/>
    <mergeCell ref="AO106:AQ106"/>
    <mergeCell ref="AR106:AT106"/>
    <mergeCell ref="AU106:AW106"/>
    <mergeCell ref="AX106:AZ106"/>
    <mergeCell ref="BA106:BC106"/>
    <mergeCell ref="A105:B105"/>
    <mergeCell ref="C105:J105"/>
    <mergeCell ref="K105:Z105"/>
    <mergeCell ref="AA105:AN105"/>
    <mergeCell ref="AO105:AQ105"/>
    <mergeCell ref="AR105:AT105"/>
    <mergeCell ref="AU105:AW105"/>
    <mergeCell ref="AX105:AZ105"/>
    <mergeCell ref="BA105:BC105"/>
    <mergeCell ref="A104:B104"/>
    <mergeCell ref="C104:J104"/>
    <mergeCell ref="K104:Z104"/>
    <mergeCell ref="AA104:AN104"/>
    <mergeCell ref="AO104:AQ104"/>
    <mergeCell ref="AR104:AT104"/>
    <mergeCell ref="AU104:AW104"/>
    <mergeCell ref="AX104:AZ104"/>
    <mergeCell ref="BA104:BC104"/>
    <mergeCell ref="A103:B103"/>
    <mergeCell ref="C103:J103"/>
    <mergeCell ref="K103:Z103"/>
    <mergeCell ref="AA103:AN103"/>
    <mergeCell ref="AO103:AQ103"/>
    <mergeCell ref="AR103:AT103"/>
    <mergeCell ref="AU103:AW103"/>
    <mergeCell ref="AX103:AZ103"/>
    <mergeCell ref="BA103:BC103"/>
    <mergeCell ref="A102:B102"/>
    <mergeCell ref="C102:J102"/>
    <mergeCell ref="K102:Z102"/>
    <mergeCell ref="AA102:AN102"/>
    <mergeCell ref="AO102:AQ102"/>
    <mergeCell ref="AR102:AT102"/>
    <mergeCell ref="AU102:AW102"/>
    <mergeCell ref="AX102:AZ102"/>
    <mergeCell ref="BA102:BC102"/>
    <mergeCell ref="A101:B101"/>
    <mergeCell ref="C101:J101"/>
    <mergeCell ref="K101:Z101"/>
    <mergeCell ref="AA101:AN101"/>
    <mergeCell ref="AO101:AQ101"/>
    <mergeCell ref="AR101:AT101"/>
    <mergeCell ref="AU101:AW101"/>
    <mergeCell ref="AX101:AZ101"/>
    <mergeCell ref="BA101:BC101"/>
    <mergeCell ref="A96:B96"/>
    <mergeCell ref="C96:J96"/>
    <mergeCell ref="K96:Z96"/>
    <mergeCell ref="AA96:AN96"/>
    <mergeCell ref="AO96:AQ96"/>
    <mergeCell ref="AR96:AT96"/>
    <mergeCell ref="AU96:AW96"/>
    <mergeCell ref="AX96:AZ96"/>
    <mergeCell ref="BA96:BC96"/>
    <mergeCell ref="A95:B95"/>
    <mergeCell ref="C95:J95"/>
    <mergeCell ref="K95:Z95"/>
    <mergeCell ref="AA95:AN95"/>
    <mergeCell ref="AO95:AQ95"/>
    <mergeCell ref="AR95:AT95"/>
    <mergeCell ref="AU95:AW95"/>
    <mergeCell ref="AX95:AZ95"/>
    <mergeCell ref="BA95:BC95"/>
    <mergeCell ref="A94:B94"/>
    <mergeCell ref="C94:J94"/>
    <mergeCell ref="K94:Z94"/>
    <mergeCell ref="AA94:AN94"/>
    <mergeCell ref="AO94:AQ94"/>
    <mergeCell ref="AR94:AT94"/>
    <mergeCell ref="AU94:AW94"/>
    <mergeCell ref="AX94:AZ94"/>
    <mergeCell ref="BA94:BC94"/>
    <mergeCell ref="A93:B93"/>
    <mergeCell ref="C93:J93"/>
    <mergeCell ref="K93:Z93"/>
    <mergeCell ref="AA93:AN93"/>
    <mergeCell ref="AO93:AQ93"/>
    <mergeCell ref="AR93:AT93"/>
    <mergeCell ref="AU93:AW93"/>
    <mergeCell ref="AX93:AZ93"/>
    <mergeCell ref="BA93:BC93"/>
    <mergeCell ref="A92:B92"/>
    <mergeCell ref="C92:J92"/>
    <mergeCell ref="K92:Z92"/>
    <mergeCell ref="AA92:AN92"/>
    <mergeCell ref="AO92:AQ92"/>
    <mergeCell ref="AR92:AT92"/>
    <mergeCell ref="AU92:AW92"/>
    <mergeCell ref="AX92:AZ92"/>
    <mergeCell ref="BA92:BC92"/>
    <mergeCell ref="A91:B91"/>
    <mergeCell ref="C91:J91"/>
    <mergeCell ref="K91:Z91"/>
    <mergeCell ref="AA91:AN91"/>
    <mergeCell ref="AO91:AQ91"/>
    <mergeCell ref="AR91:AT91"/>
    <mergeCell ref="AU91:AW91"/>
    <mergeCell ref="AX91:AZ91"/>
    <mergeCell ref="BA91:BC91"/>
    <mergeCell ref="A90:B90"/>
    <mergeCell ref="C90:J90"/>
    <mergeCell ref="K90:Z90"/>
    <mergeCell ref="AA90:AN90"/>
    <mergeCell ref="AO90:AQ90"/>
    <mergeCell ref="AR90:AT90"/>
    <mergeCell ref="AU90:AW90"/>
    <mergeCell ref="AX90:AZ90"/>
    <mergeCell ref="BA90:BC90"/>
    <mergeCell ref="A89:B89"/>
    <mergeCell ref="C89:J89"/>
    <mergeCell ref="K89:Z89"/>
    <mergeCell ref="AA89:AN89"/>
    <mergeCell ref="AO89:AQ89"/>
    <mergeCell ref="AR89:AT89"/>
    <mergeCell ref="AU89:AW89"/>
    <mergeCell ref="AX89:AZ89"/>
    <mergeCell ref="BA89:BC89"/>
    <mergeCell ref="A88:B88"/>
    <mergeCell ref="C88:J88"/>
    <mergeCell ref="K88:Z88"/>
    <mergeCell ref="AA88:AN88"/>
    <mergeCell ref="AO88:AQ88"/>
    <mergeCell ref="AR88:AT88"/>
    <mergeCell ref="AU88:AW88"/>
    <mergeCell ref="AX88:AZ88"/>
    <mergeCell ref="BA88:BC88"/>
    <mergeCell ref="A87:B87"/>
    <mergeCell ref="C87:J87"/>
    <mergeCell ref="K87:Z87"/>
    <mergeCell ref="AA87:AN87"/>
    <mergeCell ref="AO87:AQ87"/>
    <mergeCell ref="AR87:AT87"/>
    <mergeCell ref="AU87:AW87"/>
    <mergeCell ref="AX87:AZ87"/>
    <mergeCell ref="BA87:BC87"/>
    <mergeCell ref="A86:B86"/>
    <mergeCell ref="C86:J86"/>
    <mergeCell ref="K86:Z86"/>
    <mergeCell ref="AA86:AN86"/>
    <mergeCell ref="AO86:AQ86"/>
    <mergeCell ref="AR86:AT86"/>
    <mergeCell ref="AU86:AW86"/>
    <mergeCell ref="AX86:AZ86"/>
    <mergeCell ref="BA86:BC86"/>
    <mergeCell ref="A85:B85"/>
    <mergeCell ref="C85:J85"/>
    <mergeCell ref="K85:Z85"/>
    <mergeCell ref="AA85:AN85"/>
    <mergeCell ref="AO85:AQ85"/>
    <mergeCell ref="AR85:AT85"/>
    <mergeCell ref="AU85:AW85"/>
    <mergeCell ref="AX85:AZ85"/>
    <mergeCell ref="BA85:BC85"/>
    <mergeCell ref="A84:B84"/>
    <mergeCell ref="C84:J84"/>
    <mergeCell ref="K84:Z84"/>
    <mergeCell ref="AA84:AN84"/>
    <mergeCell ref="AO84:AQ84"/>
    <mergeCell ref="AR84:AT84"/>
    <mergeCell ref="AU84:AW84"/>
    <mergeCell ref="AX84:AZ84"/>
    <mergeCell ref="BA84:BC84"/>
    <mergeCell ref="A83:B83"/>
    <mergeCell ref="C83:J83"/>
    <mergeCell ref="K83:Z83"/>
    <mergeCell ref="AA83:AN83"/>
    <mergeCell ref="AO83:AQ83"/>
    <mergeCell ref="AR83:AT83"/>
    <mergeCell ref="AU83:AW83"/>
    <mergeCell ref="AX83:AZ83"/>
    <mergeCell ref="BA83:BC83"/>
    <mergeCell ref="A81:B81"/>
    <mergeCell ref="C81:J81"/>
    <mergeCell ref="K81:Z81"/>
    <mergeCell ref="AA81:AN81"/>
    <mergeCell ref="AO81:AQ81"/>
    <mergeCell ref="AR81:AT81"/>
    <mergeCell ref="AU81:AW81"/>
    <mergeCell ref="AX81:AZ81"/>
    <mergeCell ref="BA81:BC81"/>
    <mergeCell ref="A79:B79"/>
    <mergeCell ref="C79:J79"/>
    <mergeCell ref="K79:Z79"/>
    <mergeCell ref="AA79:AN79"/>
    <mergeCell ref="AO79:AQ79"/>
    <mergeCell ref="AR79:AT79"/>
    <mergeCell ref="AU79:AW79"/>
    <mergeCell ref="AX79:AZ79"/>
    <mergeCell ref="BA79:BC79"/>
    <mergeCell ref="A80:B80"/>
    <mergeCell ref="C80:J80"/>
    <mergeCell ref="K80:Z80"/>
    <mergeCell ref="AA80:AN80"/>
    <mergeCell ref="AO80:AQ80"/>
    <mergeCell ref="AR80:AT80"/>
    <mergeCell ref="AU80:AW80"/>
    <mergeCell ref="AX80:AZ80"/>
    <mergeCell ref="BA80:BC80"/>
    <mergeCell ref="A76:B76"/>
    <mergeCell ref="C76:J76"/>
    <mergeCell ref="K76:Z76"/>
    <mergeCell ref="AA76:AN76"/>
    <mergeCell ref="AO76:AQ76"/>
    <mergeCell ref="AR76:AT76"/>
    <mergeCell ref="AU76:AW76"/>
    <mergeCell ref="AX76:AZ76"/>
    <mergeCell ref="BA76:BC76"/>
    <mergeCell ref="A78:B78"/>
    <mergeCell ref="C78:J78"/>
    <mergeCell ref="K78:Z78"/>
    <mergeCell ref="AA78:AN78"/>
    <mergeCell ref="AO78:AQ78"/>
    <mergeCell ref="AR78:AT78"/>
    <mergeCell ref="AU78:AW78"/>
    <mergeCell ref="AX78:AZ78"/>
    <mergeCell ref="BA78:BC78"/>
    <mergeCell ref="A77:B77"/>
    <mergeCell ref="C77:J77"/>
    <mergeCell ref="K77:Z77"/>
    <mergeCell ref="AA77:AN77"/>
    <mergeCell ref="AO77:AQ77"/>
    <mergeCell ref="AR77:AT77"/>
    <mergeCell ref="AU77:AW77"/>
    <mergeCell ref="AX77:AZ77"/>
    <mergeCell ref="BA77:BC77"/>
    <mergeCell ref="A73:B73"/>
    <mergeCell ref="C73:J73"/>
    <mergeCell ref="K73:Z73"/>
    <mergeCell ref="AA73:AN73"/>
    <mergeCell ref="AO73:AQ73"/>
    <mergeCell ref="AR73:AT73"/>
    <mergeCell ref="AR72:AT72"/>
    <mergeCell ref="AU73:AW73"/>
    <mergeCell ref="AX73:AZ73"/>
    <mergeCell ref="BA73:BC73"/>
    <mergeCell ref="A75:B75"/>
    <mergeCell ref="C75:J75"/>
    <mergeCell ref="K75:Z75"/>
    <mergeCell ref="AA75:AN75"/>
    <mergeCell ref="AO75:AQ75"/>
    <mergeCell ref="AR75:AT75"/>
    <mergeCell ref="AU75:AW75"/>
    <mergeCell ref="AX75:AZ75"/>
    <mergeCell ref="BA75:BC75"/>
    <mergeCell ref="A74:B74"/>
    <mergeCell ref="C74:J74"/>
    <mergeCell ref="K74:Z74"/>
    <mergeCell ref="AA74:AN74"/>
    <mergeCell ref="AO74:AQ74"/>
    <mergeCell ref="AR74:AT74"/>
    <mergeCell ref="AU74:AW74"/>
    <mergeCell ref="AX74:AZ74"/>
    <mergeCell ref="BA74:BC74"/>
    <mergeCell ref="AU72:AW72"/>
    <mergeCell ref="AX72:AZ72"/>
    <mergeCell ref="BA72:BC72"/>
    <mergeCell ref="A72:B72"/>
    <mergeCell ref="A68:B68"/>
    <mergeCell ref="C68:J68"/>
    <mergeCell ref="K68:Z68"/>
    <mergeCell ref="AA68:AN68"/>
    <mergeCell ref="AO68:AQ68"/>
    <mergeCell ref="AR68:AT68"/>
    <mergeCell ref="AU68:AW68"/>
    <mergeCell ref="AX68:AZ68"/>
    <mergeCell ref="BA68:BC68"/>
    <mergeCell ref="A70:B70"/>
    <mergeCell ref="C70:J70"/>
    <mergeCell ref="K70:Z70"/>
    <mergeCell ref="AA70:AN70"/>
    <mergeCell ref="AO70:AQ70"/>
    <mergeCell ref="AR70:AT70"/>
    <mergeCell ref="AU70:AW70"/>
    <mergeCell ref="AX70:AZ70"/>
    <mergeCell ref="BA70:BC70"/>
    <mergeCell ref="C72:J72"/>
    <mergeCell ref="A69:B69"/>
    <mergeCell ref="K72:Z72"/>
    <mergeCell ref="AA72:AN72"/>
    <mergeCell ref="AO72:AQ72"/>
    <mergeCell ref="C69:J69"/>
    <mergeCell ref="K69:Z69"/>
    <mergeCell ref="AA69:AN69"/>
    <mergeCell ref="AO69:AQ69"/>
    <mergeCell ref="AR69:AT69"/>
    <mergeCell ref="AU69:AW69"/>
    <mergeCell ref="AX69:AZ69"/>
    <mergeCell ref="BA69:BC69"/>
    <mergeCell ref="A66:B66"/>
    <mergeCell ref="C66:J66"/>
    <mergeCell ref="K66:Z66"/>
    <mergeCell ref="AA66:AN66"/>
    <mergeCell ref="AO66:AQ66"/>
    <mergeCell ref="AR66:AT66"/>
    <mergeCell ref="AU66:AW66"/>
    <mergeCell ref="AX66:AZ66"/>
    <mergeCell ref="BA66:BC66"/>
    <mergeCell ref="A67:B67"/>
    <mergeCell ref="C67:J67"/>
    <mergeCell ref="K67:Z67"/>
    <mergeCell ref="AA67:AN67"/>
    <mergeCell ref="AO67:AQ67"/>
    <mergeCell ref="AR67:AT67"/>
    <mergeCell ref="AU67:AW67"/>
    <mergeCell ref="AX67:AZ67"/>
    <mergeCell ref="BA67:BC67"/>
    <mergeCell ref="A71:B71"/>
    <mergeCell ref="A64:B64"/>
    <mergeCell ref="C64:J64"/>
    <mergeCell ref="K64:Z64"/>
    <mergeCell ref="AA64:AN64"/>
    <mergeCell ref="AO64:AQ64"/>
    <mergeCell ref="AR64:AT64"/>
    <mergeCell ref="AU64:AW64"/>
    <mergeCell ref="AX64:AZ64"/>
    <mergeCell ref="BA64:BC64"/>
    <mergeCell ref="A65:B65"/>
    <mergeCell ref="C65:J65"/>
    <mergeCell ref="K65:Z65"/>
    <mergeCell ref="AA65:AN65"/>
    <mergeCell ref="AO65:AQ65"/>
    <mergeCell ref="AR65:AT65"/>
    <mergeCell ref="AU65:AW65"/>
    <mergeCell ref="AX65:AZ65"/>
    <mergeCell ref="BA65:BC65"/>
    <mergeCell ref="A63:B63"/>
    <mergeCell ref="C63:J63"/>
    <mergeCell ref="K63:Z63"/>
    <mergeCell ref="AA63:AN63"/>
    <mergeCell ref="AO63:AQ63"/>
    <mergeCell ref="AR63:AT63"/>
    <mergeCell ref="AU63:AW63"/>
    <mergeCell ref="AX63:AZ63"/>
    <mergeCell ref="BA63:BC63"/>
    <mergeCell ref="A62:B62"/>
    <mergeCell ref="C62:J62"/>
    <mergeCell ref="K62:Z62"/>
    <mergeCell ref="AA62:AN62"/>
    <mergeCell ref="AO62:AQ62"/>
    <mergeCell ref="AR62:AT62"/>
    <mergeCell ref="AU62:AW62"/>
    <mergeCell ref="AX62:AZ62"/>
    <mergeCell ref="BA62:BC62"/>
    <mergeCell ref="C60:J60"/>
    <mergeCell ref="K60:Z60"/>
    <mergeCell ref="AA60:AN60"/>
    <mergeCell ref="AO60:AQ60"/>
    <mergeCell ref="AR60:AT60"/>
    <mergeCell ref="AU60:AW60"/>
    <mergeCell ref="AX60:AZ60"/>
    <mergeCell ref="BA60:BC60"/>
    <mergeCell ref="A59:B59"/>
    <mergeCell ref="C59:J59"/>
    <mergeCell ref="K59:Z59"/>
    <mergeCell ref="AA59:AN59"/>
    <mergeCell ref="AO59:AQ59"/>
    <mergeCell ref="AR59:AT59"/>
    <mergeCell ref="AU59:AW59"/>
    <mergeCell ref="AX59:AZ59"/>
    <mergeCell ref="BA59:BC59"/>
    <mergeCell ref="A52:B52"/>
    <mergeCell ref="C52:J52"/>
    <mergeCell ref="K52:Z52"/>
    <mergeCell ref="AA52:AN52"/>
    <mergeCell ref="AO52:AQ52"/>
    <mergeCell ref="AR52:AT52"/>
    <mergeCell ref="AU52:AW52"/>
    <mergeCell ref="AX52:AZ52"/>
    <mergeCell ref="BA52:BC52"/>
    <mergeCell ref="A51:B51"/>
    <mergeCell ref="C51:J51"/>
    <mergeCell ref="K51:Z51"/>
    <mergeCell ref="AA51:AN51"/>
    <mergeCell ref="AO51:AQ51"/>
    <mergeCell ref="AR51:AT51"/>
    <mergeCell ref="AU51:AW51"/>
    <mergeCell ref="AX51:AZ51"/>
    <mergeCell ref="BA51:BC51"/>
    <mergeCell ref="A50:B50"/>
    <mergeCell ref="C50:J50"/>
    <mergeCell ref="K50:Z50"/>
    <mergeCell ref="AA50:AN50"/>
    <mergeCell ref="AO50:AQ50"/>
    <mergeCell ref="AR50:AT50"/>
    <mergeCell ref="AU50:AW50"/>
    <mergeCell ref="AX50:AZ50"/>
    <mergeCell ref="BA50:BC50"/>
    <mergeCell ref="A49:B49"/>
    <mergeCell ref="C49:J49"/>
    <mergeCell ref="K49:Z49"/>
    <mergeCell ref="AA49:AN49"/>
    <mergeCell ref="AO49:AQ49"/>
    <mergeCell ref="AR49:AT49"/>
    <mergeCell ref="AU49:AW49"/>
    <mergeCell ref="AX49:AZ49"/>
    <mergeCell ref="BA49:BC49"/>
    <mergeCell ref="A48:B48"/>
    <mergeCell ref="C48:J48"/>
    <mergeCell ref="K48:Z48"/>
    <mergeCell ref="AA48:AN48"/>
    <mergeCell ref="AO48:AQ48"/>
    <mergeCell ref="AR48:AT48"/>
    <mergeCell ref="AU48:AW48"/>
    <mergeCell ref="AX48:AZ48"/>
    <mergeCell ref="BA48:BC48"/>
    <mergeCell ref="A47:B47"/>
    <mergeCell ref="C47:J47"/>
    <mergeCell ref="K47:Z47"/>
    <mergeCell ref="AA47:AN47"/>
    <mergeCell ref="AO47:AQ47"/>
    <mergeCell ref="AR47:AT47"/>
    <mergeCell ref="AU47:AW47"/>
    <mergeCell ref="AX47:AZ47"/>
    <mergeCell ref="BA47:BC47"/>
    <mergeCell ref="A46:B46"/>
    <mergeCell ref="C46:J46"/>
    <mergeCell ref="K46:Z46"/>
    <mergeCell ref="AA46:AN46"/>
    <mergeCell ref="AO46:AQ46"/>
    <mergeCell ref="AR46:AT46"/>
    <mergeCell ref="AU46:AW46"/>
    <mergeCell ref="AX46:AZ46"/>
    <mergeCell ref="BA46:BC46"/>
    <mergeCell ref="A45:B45"/>
    <mergeCell ref="C45:J45"/>
    <mergeCell ref="K45:Z45"/>
    <mergeCell ref="AA45:AN45"/>
    <mergeCell ref="AO45:AQ45"/>
    <mergeCell ref="AR45:AT45"/>
    <mergeCell ref="AU45:AW45"/>
    <mergeCell ref="AX45:AZ45"/>
    <mergeCell ref="BA45:BC45"/>
    <mergeCell ref="A43:B43"/>
    <mergeCell ref="C43:J43"/>
    <mergeCell ref="K43:Z43"/>
    <mergeCell ref="AA43:AN43"/>
    <mergeCell ref="AO43:AQ43"/>
    <mergeCell ref="AR43:AT43"/>
    <mergeCell ref="AU43:AW43"/>
    <mergeCell ref="AX43:AZ43"/>
    <mergeCell ref="BA43:BC43"/>
    <mergeCell ref="A42:B42"/>
    <mergeCell ref="C42:J42"/>
    <mergeCell ref="K42:Z42"/>
    <mergeCell ref="AA42:AN42"/>
    <mergeCell ref="AO42:AQ42"/>
    <mergeCell ref="AR42:AT42"/>
    <mergeCell ref="AU42:AW42"/>
    <mergeCell ref="AX42:AZ42"/>
    <mergeCell ref="BA42:BC42"/>
    <mergeCell ref="A41:B41"/>
    <mergeCell ref="C41:J41"/>
    <mergeCell ref="K41:Z41"/>
    <mergeCell ref="AA41:AN41"/>
    <mergeCell ref="AO41:AQ41"/>
    <mergeCell ref="AR41:AT41"/>
    <mergeCell ref="AU41:AW41"/>
    <mergeCell ref="AX41:AZ41"/>
    <mergeCell ref="BA41:BC41"/>
    <mergeCell ref="A40:B40"/>
    <mergeCell ref="C40:J40"/>
    <mergeCell ref="K40:Z40"/>
    <mergeCell ref="AA40:AN40"/>
    <mergeCell ref="AO40:AQ40"/>
    <mergeCell ref="AR40:AT40"/>
    <mergeCell ref="AU40:AW40"/>
    <mergeCell ref="AX40:AZ40"/>
    <mergeCell ref="BA40:BC40"/>
    <mergeCell ref="A39:B39"/>
    <mergeCell ref="C39:J39"/>
    <mergeCell ref="K39:Z39"/>
    <mergeCell ref="AA39:AN39"/>
    <mergeCell ref="AO39:AQ39"/>
    <mergeCell ref="AR39:AT39"/>
    <mergeCell ref="AU39:AW39"/>
    <mergeCell ref="AX39:AZ39"/>
    <mergeCell ref="BA39:BC39"/>
    <mergeCell ref="A38:B38"/>
    <mergeCell ref="C38:J38"/>
    <mergeCell ref="K38:Z38"/>
    <mergeCell ref="AA38:AN38"/>
    <mergeCell ref="AO38:AQ38"/>
    <mergeCell ref="AR38:AT38"/>
    <mergeCell ref="AU38:AW38"/>
    <mergeCell ref="AX38:AZ38"/>
    <mergeCell ref="BA38:BC38"/>
    <mergeCell ref="A37:B37"/>
    <mergeCell ref="C37:J37"/>
    <mergeCell ref="K37:Z37"/>
    <mergeCell ref="AA37:AN37"/>
    <mergeCell ref="AO37:AQ37"/>
    <mergeCell ref="AR37:AT37"/>
    <mergeCell ref="AU37:AW37"/>
    <mergeCell ref="AX37:AZ37"/>
    <mergeCell ref="BA37:BC37"/>
    <mergeCell ref="A36:B36"/>
    <mergeCell ref="C36:J36"/>
    <mergeCell ref="K36:Z36"/>
    <mergeCell ref="AA36:AN36"/>
    <mergeCell ref="AO36:AQ36"/>
    <mergeCell ref="AR36:AT36"/>
    <mergeCell ref="AU36:AW36"/>
    <mergeCell ref="AX36:AZ36"/>
    <mergeCell ref="BA36:BC36"/>
    <mergeCell ref="A34:B34"/>
    <mergeCell ref="C34:J34"/>
    <mergeCell ref="K34:Z34"/>
    <mergeCell ref="AA34:AN34"/>
    <mergeCell ref="AO34:AQ34"/>
    <mergeCell ref="AR34:AT34"/>
    <mergeCell ref="AU34:AW34"/>
    <mergeCell ref="AX34:AZ34"/>
    <mergeCell ref="BA34:BC34"/>
    <mergeCell ref="A35:B35"/>
    <mergeCell ref="C35:J35"/>
    <mergeCell ref="K35:Z35"/>
    <mergeCell ref="AA35:AN35"/>
    <mergeCell ref="AO35:AQ35"/>
    <mergeCell ref="AR35:AT35"/>
    <mergeCell ref="AU35:AW35"/>
    <mergeCell ref="AX35:AZ35"/>
    <mergeCell ref="BA35:BC35"/>
    <mergeCell ref="A33:B33"/>
    <mergeCell ref="C33:J33"/>
    <mergeCell ref="K33:Z33"/>
    <mergeCell ref="AA33:AN33"/>
    <mergeCell ref="AO33:AQ33"/>
    <mergeCell ref="AR33:AT33"/>
    <mergeCell ref="AU33:AW33"/>
    <mergeCell ref="AX33:AZ33"/>
    <mergeCell ref="BA33:BC33"/>
    <mergeCell ref="A32:B32"/>
    <mergeCell ref="C32:J32"/>
    <mergeCell ref="K32:Z32"/>
    <mergeCell ref="AA32:AN32"/>
    <mergeCell ref="AO32:AQ32"/>
    <mergeCell ref="AR32:AT32"/>
    <mergeCell ref="AU32:AW32"/>
    <mergeCell ref="AX32:AZ32"/>
    <mergeCell ref="BA32:BC32"/>
    <mergeCell ref="A31:B31"/>
    <mergeCell ref="C31:J31"/>
    <mergeCell ref="K31:Z31"/>
    <mergeCell ref="AA31:AN31"/>
    <mergeCell ref="AO31:AQ31"/>
    <mergeCell ref="AR31:AT31"/>
    <mergeCell ref="AU31:AW31"/>
    <mergeCell ref="AX31:AZ31"/>
    <mergeCell ref="BA31:BC31"/>
    <mergeCell ref="A30:B30"/>
    <mergeCell ref="C30:J30"/>
    <mergeCell ref="K30:Z30"/>
    <mergeCell ref="AA30:AN30"/>
    <mergeCell ref="AO30:AQ30"/>
    <mergeCell ref="AR30:AT30"/>
    <mergeCell ref="AU30:AW30"/>
    <mergeCell ref="AX30:AZ30"/>
    <mergeCell ref="BA30:BC30"/>
    <mergeCell ref="A29:B29"/>
    <mergeCell ref="C29:J29"/>
    <mergeCell ref="K29:Z29"/>
    <mergeCell ref="AA29:AN29"/>
    <mergeCell ref="AO29:AQ29"/>
    <mergeCell ref="AR29:AT29"/>
    <mergeCell ref="AU29:AW29"/>
    <mergeCell ref="AX29:AZ29"/>
    <mergeCell ref="BA29:BC29"/>
    <mergeCell ref="A28:B28"/>
    <mergeCell ref="C28:J28"/>
    <mergeCell ref="K28:Z28"/>
    <mergeCell ref="AA28:AN28"/>
    <mergeCell ref="AO28:AQ28"/>
    <mergeCell ref="AR28:AT28"/>
    <mergeCell ref="AU28:AW28"/>
    <mergeCell ref="AX28:AZ28"/>
    <mergeCell ref="BA28:BC28"/>
    <mergeCell ref="A27:B27"/>
    <mergeCell ref="C27:J27"/>
    <mergeCell ref="K27:Z27"/>
    <mergeCell ref="AA27:AN27"/>
    <mergeCell ref="AO27:AQ27"/>
    <mergeCell ref="AR27:AT27"/>
    <mergeCell ref="AU27:AW27"/>
    <mergeCell ref="AX27:AZ27"/>
    <mergeCell ref="BA27:BC27"/>
    <mergeCell ref="A26:B26"/>
    <mergeCell ref="C26:J26"/>
    <mergeCell ref="K26:Z26"/>
    <mergeCell ref="AA26:AN26"/>
    <mergeCell ref="AO26:AQ26"/>
    <mergeCell ref="AR26:AT26"/>
    <mergeCell ref="AU26:AW26"/>
    <mergeCell ref="AX26:AZ26"/>
    <mergeCell ref="BA26:BC26"/>
    <mergeCell ref="A25:B25"/>
    <mergeCell ref="C25:J25"/>
    <mergeCell ref="K25:Z25"/>
    <mergeCell ref="AA25:AN25"/>
    <mergeCell ref="AO25:AQ25"/>
    <mergeCell ref="AR25:AT25"/>
    <mergeCell ref="AU25:AW25"/>
    <mergeCell ref="AX25:AZ25"/>
    <mergeCell ref="BA25:BC25"/>
    <mergeCell ref="A24:B24"/>
    <mergeCell ref="C24:J24"/>
    <mergeCell ref="K24:Z24"/>
    <mergeCell ref="AA24:AN24"/>
    <mergeCell ref="AO24:AQ24"/>
    <mergeCell ref="AR24:AT24"/>
    <mergeCell ref="AU24:AW24"/>
    <mergeCell ref="AX24:AZ24"/>
    <mergeCell ref="BA24:BC24"/>
    <mergeCell ref="A23:B23"/>
    <mergeCell ref="C23:J23"/>
    <mergeCell ref="K23:Z23"/>
    <mergeCell ref="AA23:AN23"/>
    <mergeCell ref="AO23:AQ23"/>
    <mergeCell ref="AR23:AT23"/>
    <mergeCell ref="AU23:AW23"/>
    <mergeCell ref="AX23:AZ23"/>
    <mergeCell ref="BA23:BC23"/>
    <mergeCell ref="A22:B22"/>
    <mergeCell ref="C22:J22"/>
    <mergeCell ref="K22:Z22"/>
    <mergeCell ref="AA22:AN22"/>
    <mergeCell ref="AO22:AQ22"/>
    <mergeCell ref="AR22:AT22"/>
    <mergeCell ref="AU22:AW22"/>
    <mergeCell ref="AX22:AZ22"/>
    <mergeCell ref="BA22:BC22"/>
    <mergeCell ref="A21:B21"/>
    <mergeCell ref="C21:J21"/>
    <mergeCell ref="K21:Z21"/>
    <mergeCell ref="AA21:AN21"/>
    <mergeCell ref="AO21:AQ21"/>
    <mergeCell ref="AR21:AT21"/>
    <mergeCell ref="AU21:AW21"/>
    <mergeCell ref="AX21:AZ21"/>
    <mergeCell ref="BA21:BC21"/>
    <mergeCell ref="A20:B20"/>
    <mergeCell ref="C20:J20"/>
    <mergeCell ref="K20:Z20"/>
    <mergeCell ref="AA20:AN20"/>
    <mergeCell ref="AO20:AQ20"/>
    <mergeCell ref="AR20:AT20"/>
    <mergeCell ref="AU20:AW20"/>
    <mergeCell ref="AX20:AZ20"/>
    <mergeCell ref="BA20:BC20"/>
    <mergeCell ref="A19:B19"/>
    <mergeCell ref="C19:J19"/>
    <mergeCell ref="K19:Z19"/>
    <mergeCell ref="AA19:AN19"/>
    <mergeCell ref="AO19:AQ19"/>
    <mergeCell ref="AR19:AT19"/>
    <mergeCell ref="AU19:AW19"/>
    <mergeCell ref="AX19:AZ19"/>
    <mergeCell ref="BA19:BC19"/>
    <mergeCell ref="A18:B18"/>
    <mergeCell ref="C18:J18"/>
    <mergeCell ref="K18:Z18"/>
    <mergeCell ref="AA18:AN18"/>
    <mergeCell ref="AO18:AQ18"/>
    <mergeCell ref="AR18:AT18"/>
    <mergeCell ref="AU18:AW18"/>
    <mergeCell ref="AX18:AZ18"/>
    <mergeCell ref="BA18:BC18"/>
    <mergeCell ref="A17:B17"/>
    <mergeCell ref="C17:J17"/>
    <mergeCell ref="K17:Z17"/>
    <mergeCell ref="AA17:AN17"/>
    <mergeCell ref="AO17:AQ17"/>
    <mergeCell ref="AR17:AT17"/>
    <mergeCell ref="AU17:AW17"/>
    <mergeCell ref="AX17:AZ17"/>
    <mergeCell ref="BA17:BC17"/>
    <mergeCell ref="A15:B15"/>
    <mergeCell ref="C15:J15"/>
    <mergeCell ref="K15:Z15"/>
    <mergeCell ref="AA15:AN15"/>
    <mergeCell ref="AO15:AQ15"/>
    <mergeCell ref="AR15:AT15"/>
    <mergeCell ref="AU15:AW15"/>
    <mergeCell ref="AX15:AZ15"/>
    <mergeCell ref="BA15:BC15"/>
    <mergeCell ref="A16:B16"/>
    <mergeCell ref="C16:J16"/>
    <mergeCell ref="K16:Z16"/>
    <mergeCell ref="AA16:AN16"/>
    <mergeCell ref="AO16:AQ16"/>
    <mergeCell ref="AR16:AT16"/>
    <mergeCell ref="AU16:AW16"/>
    <mergeCell ref="AX16:AZ16"/>
    <mergeCell ref="BA16:BC16"/>
    <mergeCell ref="A14:B14"/>
    <mergeCell ref="C14:J14"/>
    <mergeCell ref="K14:Z14"/>
    <mergeCell ref="AA14:AN14"/>
    <mergeCell ref="AO14:AQ14"/>
    <mergeCell ref="AR14:AT14"/>
    <mergeCell ref="AU14:AW14"/>
    <mergeCell ref="AX14:AZ14"/>
    <mergeCell ref="BA14:BC14"/>
    <mergeCell ref="A13:B13"/>
    <mergeCell ref="C13:J13"/>
    <mergeCell ref="K13:Z13"/>
    <mergeCell ref="AA13:AN13"/>
    <mergeCell ref="AO13:AQ13"/>
    <mergeCell ref="AR13:AT13"/>
    <mergeCell ref="AU13:AW13"/>
    <mergeCell ref="AX13:AZ13"/>
    <mergeCell ref="BA13:BC13"/>
    <mergeCell ref="A12:B12"/>
    <mergeCell ref="C12:J12"/>
    <mergeCell ref="K12:Z12"/>
    <mergeCell ref="AA12:AN12"/>
    <mergeCell ref="AO12:AQ12"/>
    <mergeCell ref="AR12:AT12"/>
    <mergeCell ref="AU12:AW12"/>
    <mergeCell ref="AX12:AZ12"/>
    <mergeCell ref="BA12:BC12"/>
    <mergeCell ref="A11:B11"/>
    <mergeCell ref="C11:J11"/>
    <mergeCell ref="K11:Z11"/>
    <mergeCell ref="AA11:AN11"/>
    <mergeCell ref="AO11:AQ11"/>
    <mergeCell ref="AR11:AT11"/>
    <mergeCell ref="AU11:AW11"/>
    <mergeCell ref="AX11:AZ11"/>
    <mergeCell ref="BA11:BC11"/>
    <mergeCell ref="A10:B10"/>
    <mergeCell ref="C10:J10"/>
    <mergeCell ref="K10:Z10"/>
    <mergeCell ref="AA10:AN10"/>
    <mergeCell ref="AO10:AQ10"/>
    <mergeCell ref="AR10:AT10"/>
    <mergeCell ref="AU10:AW10"/>
    <mergeCell ref="AX10:AZ10"/>
    <mergeCell ref="BA10:BC10"/>
    <mergeCell ref="A8:B8"/>
    <mergeCell ref="C8:J8"/>
    <mergeCell ref="K8:Z8"/>
    <mergeCell ref="AA8:AN8"/>
    <mergeCell ref="AO8:AQ8"/>
    <mergeCell ref="AR8:AT8"/>
    <mergeCell ref="AU8:AW8"/>
    <mergeCell ref="AX8:AZ8"/>
    <mergeCell ref="BA8:BC8"/>
    <mergeCell ref="A9:B9"/>
    <mergeCell ref="C9:J9"/>
    <mergeCell ref="K9:Z9"/>
    <mergeCell ref="AA9:AN9"/>
    <mergeCell ref="AO9:AQ9"/>
    <mergeCell ref="AR9:AT9"/>
    <mergeCell ref="AU9:AW9"/>
    <mergeCell ref="AX9:AZ9"/>
    <mergeCell ref="BA9:BC9"/>
    <mergeCell ref="A7:B7"/>
    <mergeCell ref="C7:J7"/>
    <mergeCell ref="K7:Z7"/>
    <mergeCell ref="AA7:AN7"/>
    <mergeCell ref="AO7:AQ7"/>
    <mergeCell ref="AR7:AT7"/>
    <mergeCell ref="AU7:AW7"/>
    <mergeCell ref="AX7:AZ7"/>
    <mergeCell ref="BA7:BC7"/>
    <mergeCell ref="A5:B6"/>
    <mergeCell ref="C5:J6"/>
    <mergeCell ref="K5:Z6"/>
    <mergeCell ref="AA5:AN6"/>
    <mergeCell ref="AO5:AQ6"/>
    <mergeCell ref="AR5:AT6"/>
    <mergeCell ref="AU5:AW6"/>
    <mergeCell ref="AX5:AZ6"/>
    <mergeCell ref="BA5:BC6"/>
    <mergeCell ref="AU55:AW55"/>
    <mergeCell ref="AX55:AZ55"/>
    <mergeCell ref="BA55:BC55"/>
    <mergeCell ref="A54:B54"/>
    <mergeCell ref="C54:J54"/>
    <mergeCell ref="K54:Z54"/>
    <mergeCell ref="AA54:AN54"/>
    <mergeCell ref="AO54:AQ54"/>
    <mergeCell ref="A1:J1"/>
    <mergeCell ref="K1:T1"/>
    <mergeCell ref="U1:AN1"/>
    <mergeCell ref="AO1:AT1"/>
    <mergeCell ref="AU1:AZ1"/>
    <mergeCell ref="BA1:BF1"/>
    <mergeCell ref="BG1:BL1"/>
    <mergeCell ref="A2:J3"/>
    <mergeCell ref="K2:T3"/>
    <mergeCell ref="U2:AN3"/>
    <mergeCell ref="AO2:AT3"/>
    <mergeCell ref="AU2:AZ3"/>
    <mergeCell ref="BA2:BF3"/>
    <mergeCell ref="BG2:BL3"/>
    <mergeCell ref="A53:B53"/>
    <mergeCell ref="C53:J53"/>
    <mergeCell ref="K53:Z53"/>
    <mergeCell ref="AA53:AN53"/>
    <mergeCell ref="AO53:AQ53"/>
    <mergeCell ref="AR53:AT53"/>
    <mergeCell ref="AU53:AW53"/>
    <mergeCell ref="AX53:AZ53"/>
    <mergeCell ref="BA53:BC53"/>
    <mergeCell ref="BD5:BL6"/>
    <mergeCell ref="C71:J71"/>
    <mergeCell ref="K71:Z71"/>
    <mergeCell ref="AA71:AN71"/>
    <mergeCell ref="AO71:AQ71"/>
    <mergeCell ref="AR71:AT71"/>
    <mergeCell ref="AU71:AW71"/>
    <mergeCell ref="AX71:AZ71"/>
    <mergeCell ref="BA71:BC71"/>
    <mergeCell ref="K57:Z57"/>
    <mergeCell ref="AA57:AN57"/>
    <mergeCell ref="AO57:AQ57"/>
    <mergeCell ref="A61:B61"/>
    <mergeCell ref="C61:J61"/>
    <mergeCell ref="K61:Z61"/>
    <mergeCell ref="AA61:AN61"/>
    <mergeCell ref="A58:B58"/>
    <mergeCell ref="C58:J58"/>
    <mergeCell ref="K58:Z58"/>
    <mergeCell ref="AA58:AN58"/>
    <mergeCell ref="AO58:AQ58"/>
    <mergeCell ref="A57:B57"/>
    <mergeCell ref="C57:J57"/>
    <mergeCell ref="AO61:AQ61"/>
    <mergeCell ref="AR61:AT61"/>
    <mergeCell ref="AU61:AW61"/>
    <mergeCell ref="AX61:AZ61"/>
    <mergeCell ref="BA61:BC61"/>
    <mergeCell ref="AR57:AT57"/>
    <mergeCell ref="AU57:AW57"/>
    <mergeCell ref="AX57:AZ57"/>
    <mergeCell ref="BA57:BC57"/>
    <mergeCell ref="A60:B60"/>
    <mergeCell ref="A44:B44"/>
    <mergeCell ref="C44:J44"/>
    <mergeCell ref="K44:Z44"/>
    <mergeCell ref="AA44:AN44"/>
    <mergeCell ref="AO44:AQ44"/>
    <mergeCell ref="AR44:AT44"/>
    <mergeCell ref="AU44:AW44"/>
    <mergeCell ref="AX44:AZ44"/>
    <mergeCell ref="BA44:BC44"/>
    <mergeCell ref="AR56:AT56"/>
    <mergeCell ref="AU56:AW56"/>
    <mergeCell ref="AX56:AZ56"/>
    <mergeCell ref="BA56:BC56"/>
    <mergeCell ref="AR58:AT58"/>
    <mergeCell ref="AU58:AW58"/>
    <mergeCell ref="AX58:AZ58"/>
    <mergeCell ref="BA58:BC58"/>
    <mergeCell ref="A56:B56"/>
    <mergeCell ref="C56:J56"/>
    <mergeCell ref="K56:Z56"/>
    <mergeCell ref="AA56:AN56"/>
    <mergeCell ref="AO56:AQ56"/>
    <mergeCell ref="AR54:AT54"/>
    <mergeCell ref="AU54:AW54"/>
    <mergeCell ref="AX54:AZ54"/>
    <mergeCell ref="BA54:BC54"/>
    <mergeCell ref="A55:B55"/>
    <mergeCell ref="C55:J55"/>
    <mergeCell ref="K55:Z55"/>
    <mergeCell ref="AA55:AN55"/>
    <mergeCell ref="AO55:AQ55"/>
    <mergeCell ref="AR55:AT55"/>
  </mergeCells>
  <phoneticPr fontId="17"/>
  <pageMargins left="0.78749999999999998" right="0.78749999999999998" top="1.05277777777778" bottom="1.05277777777778" header="0.78749999999999998" footer="0.78749999999999998"/>
  <pageSetup paperSize="9" scale="39" orientation="portrait" useFirstPageNumber="1" horizontalDpi="300" verticalDpi="300" r:id="rId1"/>
  <headerFooter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表紙</vt:lpstr>
      <vt:lpstr>更新履歴</vt:lpstr>
      <vt:lpstr>画面URL一覧</vt:lpstr>
      <vt:lpstr>更新履歴!Print_Area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 holy</cp:lastModifiedBy>
  <cp:revision>55</cp:revision>
  <dcterms:created xsi:type="dcterms:W3CDTF">2020-12-07T15:06:48Z</dcterms:created>
  <dcterms:modified xsi:type="dcterms:W3CDTF">2024-09-26T04:46:04Z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